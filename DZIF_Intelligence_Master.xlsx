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xl/tables/table17.xml" ContentType="application/vnd.openxmlformats-officedocument.spreadsheetml.table+xml"/>
  <Override PartName="/xl/comments17.xml" ContentType="application/vnd.openxmlformats-officedocument.spreadsheetml.comments+xml"/>
  <Override PartName="/xl/tables/table18.xml" ContentType="application/vnd.openxmlformats-officedocument.spreadsheetml.table+xml"/>
  <Override PartName="/xl/comments18.xml" ContentType="application/vnd.openxmlformats-officedocument.spreadsheetml.comments+xml"/>
  <Override PartName="/xl/tables/table19.xml" ContentType="application/vnd.openxmlformats-officedocument.spreadsheetml.table+xml"/>
  <Override PartName="/xl/comments19.xml" ContentType="application/vnd.openxmlformats-officedocument.spreadsheetml.comments+xml"/>
  <Override PartName="/xl/tables/table20.xml" ContentType="application/vnd.openxmlformats-officedocument.spreadsheetml.table+xml"/>
  <Override PartName="/xl/comments20.xml" ContentType="application/vnd.openxmlformats-officedocument.spreadsheetml.comments+xml"/>
  <Override PartName="/xl/tables/table21.xml" ContentType="application/vnd.openxmlformats-officedocument.spreadsheetml.table+xml"/>
  <Override PartName="/xl/comments21.xml" ContentType="application/vnd.openxmlformats-officedocument.spreadsheetml.comments+xml"/>
  <Override PartName="/xl/tables/table22.xml" ContentType="application/vnd.openxmlformats-officedocument.spreadsheetml.table+xml"/>
  <Override PartName="/xl/comments22.xml" ContentType="application/vnd.openxmlformats-officedocument.spreadsheetml.comments+xml"/>
  <Override PartName="/xl/tables/table23.xml" ContentType="application/vnd.openxmlformats-officedocument.spreadsheetml.table+xml"/>
  <Override PartName="/xl/comments23.xml" ContentType="application/vnd.openxmlformats-officedocument.spreadsheetml.comments+xml"/>
  <Override PartName="/xl/tables/table24.xml" ContentType="application/vnd.openxmlformats-officedocument.spreadsheetml.table+xml"/>
  <Override PartName="/xl/comments24.xml" ContentType="application/vnd.openxmlformats-officedocument.spreadsheetml.comments+xml"/>
  <Override PartName="/xl/tables/table25.xml" ContentType="application/vnd.openxmlformats-officedocument.spreadsheetml.table+xml"/>
  <Override PartName="/xl/comments25.xml" ContentType="application/vnd.openxmlformats-officedocument.spreadsheetml.comments+xml"/>
  <Override PartName="/xl/tables/table26.xml" ContentType="application/vnd.openxmlformats-officedocument.spreadsheetml.table+xml"/>
  <Override PartName="/xl/comments26.xml" ContentType="application/vnd.openxmlformats-officedocument.spreadsheetml.comments+xml"/>
  <Override PartName="/xl/tables/table27.xml" ContentType="application/vnd.openxmlformats-officedocument.spreadsheetml.table+xml"/>
  <Override PartName="/xl/comments27.xml" ContentType="application/vnd.openxmlformats-officedocument.spreadsheetml.comments+xml"/>
  <Override PartName="/xl/tables/table28.xml" ContentType="application/vnd.openxmlformats-officedocument.spreadsheetml.table+xml"/>
  <Override PartName="/xl/comments28.xml" ContentType="application/vnd.openxmlformats-officedocument.spreadsheetml.comments+xml"/>
  <Override PartName="/xl/tables/table29.xml" ContentType="application/vnd.openxmlformats-officedocument.spreadsheetml.table+xml"/>
  <Override PartName="/xl/comments29.xml" ContentType="application/vnd.openxmlformats-officedocument.spreadsheetml.comments+xml"/>
  <Override PartName="/xl/tables/table30.xml" ContentType="application/vnd.openxmlformats-officedocument.spreadsheetml.table+xml"/>
  <Override PartName="/xl/comments30.xml" ContentType="application/vnd.openxmlformats-officedocument.spreadsheetml.comments+xml"/>
  <Override PartName="/xl/tables/table31.xml" ContentType="application/vnd.openxmlformats-officedocument.spreadsheetml.table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r23\HiDrive\TPMO\12_Sonstiges\KI@DZIF\Use cases\GitHub\"/>
    </mc:Choice>
  </mc:AlternateContent>
  <xr:revisionPtr revIDLastSave="0" documentId="8_{4EA3A69A-504A-4B27-B3BF-B75A9E90D7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RT" sheetId="1" r:id="rId1"/>
    <sheet name="MODULE_CONFIG" sheetId="2" r:id="rId2"/>
    <sheet name="FLAGSHIP_CHECK" sheetId="3" r:id="rId3"/>
    <sheet name="EFFICIENCY_REVIEW" sheetId="4" r:id="rId4"/>
    <sheet name="M01_COMPETITORS" sheetId="5" r:id="rId5"/>
    <sheet name="M02_CLINICAL" sheetId="6" r:id="rId6"/>
    <sheet name="M03_SCI_TECH" sheetId="7" r:id="rId7"/>
    <sheet name="M04_REGULATORY" sheetId="8" r:id="rId8"/>
    <sheet name="M05_FUNDING" sheetId="9" r:id="rId9"/>
    <sheet name="M06_BD_PARTNERS" sheetId="10" r:id="rId10"/>
    <sheet name="M07_DEALS" sheetId="11" r:id="rId11"/>
    <sheet name="M08_EVENTS" sheetId="12" r:id="rId12"/>
    <sheet name="M09_MEDICAL" sheetId="13" r:id="rId13"/>
    <sheet name="M10_IP_PATENT" sheetId="14" r:id="rId14"/>
    <sheet name="M11_CMC" sheetId="15" r:id="rId15"/>
    <sheet name="M12_POLICY_ACCESS" sheetId="16" r:id="rId16"/>
    <sheet name="ENTITY_MASTER" sheetId="17" r:id="rId17"/>
    <sheet name="SOURCE_REGISTRY" sheetId="18" r:id="rId18"/>
    <sheet name="MATCH_ANCHORS" sheetId="19" r:id="rId19"/>
    <sheet name="QUERY_TEMPLATES" sheetId="20" r:id="rId20"/>
    <sheet name="DZIF_COVERAGE" sheetId="21" r:id="rId21"/>
    <sheet name="REVIEW_QUEUE" sheetId="22" r:id="rId22"/>
    <sheet name="CHANGELOG" sheetId="23" r:id="rId23"/>
    <sheet name="TAXONOMY" sheetId="24" state="hidden" r:id="rId24"/>
    <sheet name="MASTER_CONFIG" sheetId="25" state="hidden" r:id="rId25"/>
    <sheet name="SELECTION_POLICY" sheetId="26" state="hidden" r:id="rId26"/>
    <sheet name="MATCH_RULES" sheetId="27" state="hidden" r:id="rId27"/>
    <sheet name="FIELD_DICTIONARY" sheetId="28" state="hidden" r:id="rId28"/>
    <sheet name="OUTPUT_SCHEMA" sheetId="29" state="hidden" r:id="rId29"/>
    <sheet name="PROVENANCE" sheetId="30" state="hidden" r:id="rId30"/>
    <sheet name="STRUCTURAL_TESTS" sheetId="31" state="hidden" r:id="rId31"/>
    <sheet name="PROJECT_RELEVANCE_TESTS" sheetId="32" state="hidden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6" l="1"/>
  <c r="O7" i="16"/>
  <c r="O6" i="16"/>
  <c r="O5" i="16"/>
  <c r="O4" i="16"/>
  <c r="O3" i="16"/>
  <c r="O2" i="16"/>
  <c r="O8" i="15"/>
  <c r="O7" i="15"/>
  <c r="O6" i="15"/>
  <c r="O5" i="15"/>
  <c r="O4" i="15"/>
  <c r="O3" i="15"/>
  <c r="O2" i="15"/>
  <c r="O4" i="14"/>
  <c r="O3" i="14"/>
  <c r="O2" i="14"/>
  <c r="O7" i="13"/>
  <c r="O6" i="13"/>
  <c r="O5" i="13"/>
  <c r="O4" i="13"/>
  <c r="O3" i="13"/>
  <c r="O2" i="13"/>
  <c r="O8" i="12"/>
  <c r="O7" i="12"/>
  <c r="O6" i="12"/>
  <c r="O5" i="12"/>
  <c r="O4" i="12"/>
  <c r="O3" i="12"/>
  <c r="O2" i="12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Q79" i="10"/>
  <c r="C79" i="10"/>
  <c r="Q78" i="10"/>
  <c r="C78" i="10"/>
  <c r="Q77" i="10"/>
  <c r="C77" i="10"/>
  <c r="Q76" i="10"/>
  <c r="C76" i="10"/>
  <c r="Q75" i="10"/>
  <c r="C75" i="10"/>
  <c r="Q74" i="10"/>
  <c r="C74" i="10"/>
  <c r="Q73" i="10"/>
  <c r="C73" i="10"/>
  <c r="Q72" i="10"/>
  <c r="C72" i="10"/>
  <c r="Q71" i="10"/>
  <c r="C71" i="10"/>
  <c r="Q70" i="10"/>
  <c r="C70" i="10"/>
  <c r="Q69" i="10"/>
  <c r="C69" i="10"/>
  <c r="Q68" i="10"/>
  <c r="C68" i="10"/>
  <c r="Q67" i="10"/>
  <c r="C67" i="10"/>
  <c r="Q66" i="10"/>
  <c r="C66" i="10"/>
  <c r="Q65" i="10"/>
  <c r="C65" i="10"/>
  <c r="Q64" i="10"/>
  <c r="C64" i="10"/>
  <c r="Q63" i="10"/>
  <c r="C63" i="10"/>
  <c r="Q62" i="10"/>
  <c r="C62" i="10"/>
  <c r="Q61" i="10"/>
  <c r="C61" i="10"/>
  <c r="Q60" i="10"/>
  <c r="C60" i="10"/>
  <c r="Q59" i="10"/>
  <c r="C59" i="10"/>
  <c r="Q58" i="10"/>
  <c r="C58" i="10"/>
  <c r="Q57" i="10"/>
  <c r="C57" i="10"/>
  <c r="Q56" i="10"/>
  <c r="C56" i="10"/>
  <c r="Q55" i="10"/>
  <c r="C55" i="10"/>
  <c r="Q54" i="10"/>
  <c r="C54" i="10"/>
  <c r="Q53" i="10"/>
  <c r="C53" i="10"/>
  <c r="Q52" i="10"/>
  <c r="C52" i="10"/>
  <c r="Q51" i="10"/>
  <c r="C51" i="10"/>
  <c r="Q50" i="10"/>
  <c r="C50" i="10"/>
  <c r="Q49" i="10"/>
  <c r="C49" i="10"/>
  <c r="Q48" i="10"/>
  <c r="C48" i="10"/>
  <c r="Q47" i="10"/>
  <c r="C47" i="10"/>
  <c r="Q46" i="10"/>
  <c r="C46" i="10"/>
  <c r="Q45" i="10"/>
  <c r="C45" i="10"/>
  <c r="Q44" i="10"/>
  <c r="C44" i="10"/>
  <c r="Q43" i="10"/>
  <c r="C43" i="10"/>
  <c r="Q42" i="10"/>
  <c r="C42" i="10"/>
  <c r="Q41" i="10"/>
  <c r="C41" i="10"/>
  <c r="Q40" i="10"/>
  <c r="C40" i="10"/>
  <c r="Q39" i="10"/>
  <c r="C39" i="10"/>
  <c r="Q38" i="10"/>
  <c r="C38" i="10"/>
  <c r="Q37" i="10"/>
  <c r="C37" i="10"/>
  <c r="Q36" i="10"/>
  <c r="C36" i="10"/>
  <c r="Q35" i="10"/>
  <c r="C35" i="10"/>
  <c r="Q34" i="10"/>
  <c r="C34" i="10"/>
  <c r="Q33" i="10"/>
  <c r="C33" i="10"/>
  <c r="Q32" i="10"/>
  <c r="C32" i="10"/>
  <c r="Q31" i="10"/>
  <c r="C31" i="10"/>
  <c r="Q30" i="10"/>
  <c r="C30" i="10"/>
  <c r="Q29" i="10"/>
  <c r="C29" i="10"/>
  <c r="Q28" i="10"/>
  <c r="C28" i="10"/>
  <c r="Q27" i="10"/>
  <c r="C27" i="10"/>
  <c r="Q26" i="10"/>
  <c r="C26" i="10"/>
  <c r="Q25" i="10"/>
  <c r="C25" i="10"/>
  <c r="Q24" i="10"/>
  <c r="C24" i="10"/>
  <c r="Q23" i="10"/>
  <c r="C23" i="10"/>
  <c r="Q22" i="10"/>
  <c r="C22" i="10"/>
  <c r="Q21" i="10"/>
  <c r="C21" i="10"/>
  <c r="Q20" i="10"/>
  <c r="C20" i="10"/>
  <c r="Q19" i="10"/>
  <c r="C19" i="10"/>
  <c r="Q18" i="10"/>
  <c r="C18" i="10"/>
  <c r="Q17" i="10"/>
  <c r="C17" i="10"/>
  <c r="Q16" i="10"/>
  <c r="C16" i="10"/>
  <c r="Q15" i="10"/>
  <c r="C15" i="10"/>
  <c r="Q14" i="10"/>
  <c r="C14" i="10"/>
  <c r="Q13" i="10"/>
  <c r="C13" i="10"/>
  <c r="Q12" i="10"/>
  <c r="C12" i="10"/>
  <c r="Q11" i="10"/>
  <c r="C11" i="10"/>
  <c r="Q10" i="10"/>
  <c r="C10" i="10"/>
  <c r="Q9" i="10"/>
  <c r="C9" i="10"/>
  <c r="Q8" i="10"/>
  <c r="C8" i="10"/>
  <c r="Q7" i="10"/>
  <c r="C7" i="10"/>
  <c r="Q6" i="10"/>
  <c r="C6" i="10"/>
  <c r="Q5" i="10"/>
  <c r="C5" i="10"/>
  <c r="Q4" i="10"/>
  <c r="C4" i="10"/>
  <c r="Q3" i="10"/>
  <c r="C3" i="10"/>
  <c r="Q2" i="10"/>
  <c r="C2" i="10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O11" i="8"/>
  <c r="O10" i="8"/>
  <c r="O9" i="8"/>
  <c r="O8" i="8"/>
  <c r="O7" i="8"/>
  <c r="O6" i="8"/>
  <c r="O5" i="8"/>
  <c r="O4" i="8"/>
  <c r="O3" i="8"/>
  <c r="O2" i="8"/>
  <c r="O4" i="7"/>
  <c r="O3" i="7"/>
  <c r="O2" i="7"/>
  <c r="O6" i="6"/>
  <c r="O5" i="6"/>
  <c r="O4" i="6"/>
  <c r="O3" i="6"/>
  <c r="O2" i="6"/>
  <c r="P245" i="5"/>
  <c r="C245" i="5"/>
  <c r="P244" i="5"/>
  <c r="C244" i="5"/>
  <c r="P243" i="5"/>
  <c r="C243" i="5"/>
  <c r="P242" i="5"/>
  <c r="C242" i="5"/>
  <c r="P241" i="5"/>
  <c r="C241" i="5"/>
  <c r="P240" i="5"/>
  <c r="C240" i="5"/>
  <c r="P239" i="5"/>
  <c r="C239" i="5"/>
  <c r="P238" i="5"/>
  <c r="C238" i="5"/>
  <c r="P237" i="5"/>
  <c r="C237" i="5"/>
  <c r="P236" i="5"/>
  <c r="C236" i="5"/>
  <c r="P235" i="5"/>
  <c r="C235" i="5"/>
  <c r="P234" i="5"/>
  <c r="C234" i="5"/>
  <c r="P233" i="5"/>
  <c r="C233" i="5"/>
  <c r="P232" i="5"/>
  <c r="C232" i="5"/>
  <c r="P231" i="5"/>
  <c r="C231" i="5"/>
  <c r="P230" i="5"/>
  <c r="C230" i="5"/>
  <c r="P229" i="5"/>
  <c r="C229" i="5"/>
  <c r="P228" i="5"/>
  <c r="C228" i="5"/>
  <c r="P227" i="5"/>
  <c r="C227" i="5"/>
  <c r="P226" i="5"/>
  <c r="C226" i="5"/>
  <c r="P225" i="5"/>
  <c r="C225" i="5"/>
  <c r="P224" i="5"/>
  <c r="C224" i="5"/>
  <c r="P223" i="5"/>
  <c r="C223" i="5"/>
  <c r="P222" i="5"/>
  <c r="C222" i="5"/>
  <c r="P221" i="5"/>
  <c r="C221" i="5"/>
  <c r="P220" i="5"/>
  <c r="C220" i="5"/>
  <c r="P219" i="5"/>
  <c r="C219" i="5"/>
  <c r="P218" i="5"/>
  <c r="C218" i="5"/>
  <c r="P217" i="5"/>
  <c r="C217" i="5"/>
  <c r="P216" i="5"/>
  <c r="C216" i="5"/>
  <c r="P215" i="5"/>
  <c r="C215" i="5"/>
  <c r="P214" i="5"/>
  <c r="C214" i="5"/>
  <c r="P213" i="5"/>
  <c r="C213" i="5"/>
  <c r="P212" i="5"/>
  <c r="C212" i="5"/>
  <c r="P211" i="5"/>
  <c r="C211" i="5"/>
  <c r="P210" i="5"/>
  <c r="C210" i="5"/>
  <c r="P209" i="5"/>
  <c r="C209" i="5"/>
  <c r="P208" i="5"/>
  <c r="C208" i="5"/>
  <c r="P207" i="5"/>
  <c r="C207" i="5"/>
  <c r="P206" i="5"/>
  <c r="C206" i="5"/>
  <c r="P205" i="5"/>
  <c r="C205" i="5"/>
  <c r="P204" i="5"/>
  <c r="C204" i="5"/>
  <c r="P203" i="5"/>
  <c r="C203" i="5"/>
  <c r="P202" i="5"/>
  <c r="C202" i="5"/>
  <c r="P201" i="5"/>
  <c r="C201" i="5"/>
  <c r="P200" i="5"/>
  <c r="C200" i="5"/>
  <c r="P199" i="5"/>
  <c r="C199" i="5"/>
  <c r="P198" i="5"/>
  <c r="C198" i="5"/>
  <c r="P197" i="5"/>
  <c r="C197" i="5"/>
  <c r="P196" i="5"/>
  <c r="C196" i="5"/>
  <c r="P195" i="5"/>
  <c r="C195" i="5"/>
  <c r="P194" i="5"/>
  <c r="C194" i="5"/>
  <c r="P193" i="5"/>
  <c r="C193" i="5"/>
  <c r="P192" i="5"/>
  <c r="C192" i="5"/>
  <c r="P191" i="5"/>
  <c r="C191" i="5"/>
  <c r="P190" i="5"/>
  <c r="C190" i="5"/>
  <c r="P189" i="5"/>
  <c r="C189" i="5"/>
  <c r="P188" i="5"/>
  <c r="C188" i="5"/>
  <c r="P187" i="5"/>
  <c r="C187" i="5"/>
  <c r="P186" i="5"/>
  <c r="C186" i="5"/>
  <c r="P185" i="5"/>
  <c r="C185" i="5"/>
  <c r="P184" i="5"/>
  <c r="C184" i="5"/>
  <c r="P183" i="5"/>
  <c r="C183" i="5"/>
  <c r="P182" i="5"/>
  <c r="C182" i="5"/>
  <c r="P181" i="5"/>
  <c r="C181" i="5"/>
  <c r="P180" i="5"/>
  <c r="C180" i="5"/>
  <c r="P179" i="5"/>
  <c r="C179" i="5"/>
  <c r="P178" i="5"/>
  <c r="C178" i="5"/>
  <c r="P177" i="5"/>
  <c r="C177" i="5"/>
  <c r="P176" i="5"/>
  <c r="C176" i="5"/>
  <c r="P175" i="5"/>
  <c r="C175" i="5"/>
  <c r="P174" i="5"/>
  <c r="C174" i="5"/>
  <c r="P173" i="5"/>
  <c r="C173" i="5"/>
  <c r="P172" i="5"/>
  <c r="C172" i="5"/>
  <c r="P171" i="5"/>
  <c r="C171" i="5"/>
  <c r="P170" i="5"/>
  <c r="C170" i="5"/>
  <c r="P169" i="5"/>
  <c r="C169" i="5"/>
  <c r="P168" i="5"/>
  <c r="C168" i="5"/>
  <c r="P167" i="5"/>
  <c r="C167" i="5"/>
  <c r="P166" i="5"/>
  <c r="C166" i="5"/>
  <c r="P165" i="5"/>
  <c r="C165" i="5"/>
  <c r="P164" i="5"/>
  <c r="C164" i="5"/>
  <c r="P163" i="5"/>
  <c r="C163" i="5"/>
  <c r="P162" i="5"/>
  <c r="C162" i="5"/>
  <c r="P161" i="5"/>
  <c r="C161" i="5"/>
  <c r="P160" i="5"/>
  <c r="C160" i="5"/>
  <c r="P159" i="5"/>
  <c r="C159" i="5"/>
  <c r="P158" i="5"/>
  <c r="C158" i="5"/>
  <c r="P157" i="5"/>
  <c r="C157" i="5"/>
  <c r="P156" i="5"/>
  <c r="C156" i="5"/>
  <c r="P155" i="5"/>
  <c r="C155" i="5"/>
  <c r="P154" i="5"/>
  <c r="C154" i="5"/>
  <c r="P153" i="5"/>
  <c r="C153" i="5"/>
  <c r="P152" i="5"/>
  <c r="C152" i="5"/>
  <c r="P151" i="5"/>
  <c r="C151" i="5"/>
  <c r="P150" i="5"/>
  <c r="C150" i="5"/>
  <c r="P149" i="5"/>
  <c r="C149" i="5"/>
  <c r="P148" i="5"/>
  <c r="C148" i="5"/>
  <c r="P147" i="5"/>
  <c r="C147" i="5"/>
  <c r="P146" i="5"/>
  <c r="C146" i="5"/>
  <c r="P145" i="5"/>
  <c r="C145" i="5"/>
  <c r="P144" i="5"/>
  <c r="C144" i="5"/>
  <c r="P143" i="5"/>
  <c r="C143" i="5"/>
  <c r="P142" i="5"/>
  <c r="C142" i="5"/>
  <c r="P141" i="5"/>
  <c r="C141" i="5"/>
  <c r="P140" i="5"/>
  <c r="C140" i="5"/>
  <c r="P139" i="5"/>
  <c r="C139" i="5"/>
  <c r="P138" i="5"/>
  <c r="C138" i="5"/>
  <c r="P137" i="5"/>
  <c r="C137" i="5"/>
  <c r="P136" i="5"/>
  <c r="C136" i="5"/>
  <c r="P135" i="5"/>
  <c r="C135" i="5"/>
  <c r="P134" i="5"/>
  <c r="C134" i="5"/>
  <c r="P133" i="5"/>
  <c r="C133" i="5"/>
  <c r="P132" i="5"/>
  <c r="C132" i="5"/>
  <c r="P131" i="5"/>
  <c r="C131" i="5"/>
  <c r="P130" i="5"/>
  <c r="C130" i="5"/>
  <c r="P129" i="5"/>
  <c r="C129" i="5"/>
  <c r="P128" i="5"/>
  <c r="C128" i="5"/>
  <c r="P127" i="5"/>
  <c r="C127" i="5"/>
  <c r="P126" i="5"/>
  <c r="C126" i="5"/>
  <c r="P125" i="5"/>
  <c r="C125" i="5"/>
  <c r="P124" i="5"/>
  <c r="C124" i="5"/>
  <c r="P123" i="5"/>
  <c r="C123" i="5"/>
  <c r="P122" i="5"/>
  <c r="C122" i="5"/>
  <c r="P121" i="5"/>
  <c r="C121" i="5"/>
  <c r="P120" i="5"/>
  <c r="C120" i="5"/>
  <c r="P119" i="5"/>
  <c r="C119" i="5"/>
  <c r="P118" i="5"/>
  <c r="C118" i="5"/>
  <c r="P117" i="5"/>
  <c r="C117" i="5"/>
  <c r="P116" i="5"/>
  <c r="C116" i="5"/>
  <c r="P115" i="5"/>
  <c r="C115" i="5"/>
  <c r="P114" i="5"/>
  <c r="C114" i="5"/>
  <c r="P113" i="5"/>
  <c r="C113" i="5"/>
  <c r="P112" i="5"/>
  <c r="C112" i="5"/>
  <c r="P111" i="5"/>
  <c r="C111" i="5"/>
  <c r="P110" i="5"/>
  <c r="C110" i="5"/>
  <c r="P109" i="5"/>
  <c r="C109" i="5"/>
  <c r="P108" i="5"/>
  <c r="C108" i="5"/>
  <c r="P107" i="5"/>
  <c r="C107" i="5"/>
  <c r="P106" i="5"/>
  <c r="C106" i="5"/>
  <c r="P105" i="5"/>
  <c r="C105" i="5"/>
  <c r="P104" i="5"/>
  <c r="C104" i="5"/>
  <c r="P103" i="5"/>
  <c r="C103" i="5"/>
  <c r="P102" i="5"/>
  <c r="C102" i="5"/>
  <c r="P101" i="5"/>
  <c r="C101" i="5"/>
  <c r="P100" i="5"/>
  <c r="C100" i="5"/>
  <c r="P99" i="5"/>
  <c r="C99" i="5"/>
  <c r="P98" i="5"/>
  <c r="C98" i="5"/>
  <c r="P97" i="5"/>
  <c r="C97" i="5"/>
  <c r="P96" i="5"/>
  <c r="C96" i="5"/>
  <c r="P95" i="5"/>
  <c r="C95" i="5"/>
  <c r="P94" i="5"/>
  <c r="C94" i="5"/>
  <c r="P93" i="5"/>
  <c r="C93" i="5"/>
  <c r="P92" i="5"/>
  <c r="C92" i="5"/>
  <c r="P91" i="5"/>
  <c r="C91" i="5"/>
  <c r="P90" i="5"/>
  <c r="C90" i="5"/>
  <c r="P89" i="5"/>
  <c r="C89" i="5"/>
  <c r="P88" i="5"/>
  <c r="C88" i="5"/>
  <c r="P87" i="5"/>
  <c r="C87" i="5"/>
  <c r="P86" i="5"/>
  <c r="C86" i="5"/>
  <c r="P85" i="5"/>
  <c r="C85" i="5"/>
  <c r="P84" i="5"/>
  <c r="C84" i="5"/>
  <c r="P83" i="5"/>
  <c r="C83" i="5"/>
  <c r="P82" i="5"/>
  <c r="C82" i="5"/>
  <c r="P81" i="5"/>
  <c r="C81" i="5"/>
  <c r="P80" i="5"/>
  <c r="C80" i="5"/>
  <c r="P79" i="5"/>
  <c r="C79" i="5"/>
  <c r="P78" i="5"/>
  <c r="C78" i="5"/>
  <c r="P77" i="5"/>
  <c r="C77" i="5"/>
  <c r="P76" i="5"/>
  <c r="C76" i="5"/>
  <c r="P75" i="5"/>
  <c r="C75" i="5"/>
  <c r="P74" i="5"/>
  <c r="C74" i="5"/>
  <c r="P73" i="5"/>
  <c r="C73" i="5"/>
  <c r="P72" i="5"/>
  <c r="C72" i="5"/>
  <c r="P71" i="5"/>
  <c r="C71" i="5"/>
  <c r="P70" i="5"/>
  <c r="C70" i="5"/>
  <c r="P69" i="5"/>
  <c r="C69" i="5"/>
  <c r="P68" i="5"/>
  <c r="C68" i="5"/>
  <c r="P67" i="5"/>
  <c r="C67" i="5"/>
  <c r="P66" i="5"/>
  <c r="C66" i="5"/>
  <c r="P65" i="5"/>
  <c r="C65" i="5"/>
  <c r="P64" i="5"/>
  <c r="C64" i="5"/>
  <c r="P63" i="5"/>
  <c r="C63" i="5"/>
  <c r="P62" i="5"/>
  <c r="C62" i="5"/>
  <c r="P61" i="5"/>
  <c r="C61" i="5"/>
  <c r="P60" i="5"/>
  <c r="C60" i="5"/>
  <c r="P59" i="5"/>
  <c r="C59" i="5"/>
  <c r="P58" i="5"/>
  <c r="C58" i="5"/>
  <c r="P57" i="5"/>
  <c r="C57" i="5"/>
  <c r="P56" i="5"/>
  <c r="C56" i="5"/>
  <c r="P55" i="5"/>
  <c r="C55" i="5"/>
  <c r="P54" i="5"/>
  <c r="C54" i="5"/>
  <c r="P53" i="5"/>
  <c r="C53" i="5"/>
  <c r="P52" i="5"/>
  <c r="C52" i="5"/>
  <c r="P51" i="5"/>
  <c r="C51" i="5"/>
  <c r="P50" i="5"/>
  <c r="C50" i="5"/>
  <c r="P49" i="5"/>
  <c r="C49" i="5"/>
  <c r="P48" i="5"/>
  <c r="C48" i="5"/>
  <c r="P47" i="5"/>
  <c r="C47" i="5"/>
  <c r="P46" i="5"/>
  <c r="C46" i="5"/>
  <c r="P45" i="5"/>
  <c r="C45" i="5"/>
  <c r="P44" i="5"/>
  <c r="C44" i="5"/>
  <c r="P43" i="5"/>
  <c r="C43" i="5"/>
  <c r="P42" i="5"/>
  <c r="C42" i="5"/>
  <c r="P41" i="5"/>
  <c r="C41" i="5"/>
  <c r="P40" i="5"/>
  <c r="C40" i="5"/>
  <c r="P39" i="5"/>
  <c r="C39" i="5"/>
  <c r="P38" i="5"/>
  <c r="C38" i="5"/>
  <c r="P37" i="5"/>
  <c r="C37" i="5"/>
  <c r="P36" i="5"/>
  <c r="C36" i="5"/>
  <c r="P35" i="5"/>
  <c r="C35" i="5"/>
  <c r="P34" i="5"/>
  <c r="C34" i="5"/>
  <c r="P33" i="5"/>
  <c r="C33" i="5"/>
  <c r="P32" i="5"/>
  <c r="C32" i="5"/>
  <c r="P31" i="5"/>
  <c r="C31" i="5"/>
  <c r="P30" i="5"/>
  <c r="C30" i="5"/>
  <c r="P29" i="5"/>
  <c r="C29" i="5"/>
  <c r="P28" i="5"/>
  <c r="C28" i="5"/>
  <c r="P27" i="5"/>
  <c r="C27" i="5"/>
  <c r="P26" i="5"/>
  <c r="C26" i="5"/>
  <c r="P25" i="5"/>
  <c r="C25" i="5"/>
  <c r="P24" i="5"/>
  <c r="C24" i="5"/>
  <c r="P23" i="5"/>
  <c r="C23" i="5"/>
  <c r="P22" i="5"/>
  <c r="C22" i="5"/>
  <c r="P21" i="5"/>
  <c r="C21" i="5"/>
  <c r="P20" i="5"/>
  <c r="C20" i="5"/>
  <c r="P19" i="5"/>
  <c r="C19" i="5"/>
  <c r="P18" i="5"/>
  <c r="C18" i="5"/>
  <c r="P17" i="5"/>
  <c r="C17" i="5"/>
  <c r="P16" i="5"/>
  <c r="C16" i="5"/>
  <c r="P15" i="5"/>
  <c r="C15" i="5"/>
  <c r="P14" i="5"/>
  <c r="C14" i="5"/>
  <c r="P13" i="5"/>
  <c r="C13" i="5"/>
  <c r="P12" i="5"/>
  <c r="C12" i="5"/>
  <c r="P11" i="5"/>
  <c r="C11" i="5"/>
  <c r="P10" i="5"/>
  <c r="C10" i="5"/>
  <c r="P9" i="5"/>
  <c r="C9" i="5"/>
  <c r="P8" i="5"/>
  <c r="C8" i="5"/>
  <c r="P7" i="5"/>
  <c r="C7" i="5"/>
  <c r="P6" i="5"/>
  <c r="C6" i="5"/>
  <c r="P5" i="5"/>
  <c r="C5" i="5"/>
  <c r="P4" i="5"/>
  <c r="C4" i="5"/>
  <c r="P3" i="5"/>
  <c r="C3" i="5"/>
  <c r="P2" i="5"/>
  <c r="C2" i="5"/>
  <c r="D28" i="1"/>
  <c r="D27" i="1"/>
  <c r="D26" i="1"/>
  <c r="D25" i="1"/>
  <c r="D24" i="1"/>
  <c r="D23" i="1"/>
  <c r="D22" i="1"/>
  <c r="D21" i="1"/>
  <c r="D20" i="1"/>
  <c r="D19" i="1"/>
  <c r="D18" i="1"/>
  <c r="D17" i="1"/>
  <c r="F10" i="1"/>
  <c r="E10" i="1"/>
  <c r="D10" i="1"/>
  <c r="C10" i="1"/>
  <c r="B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See FIELD_DICTIONARY for MODULE_CONFIG.module_id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See FIELD_DICTIONARY for MODULE_CONFIG.module_name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See FIELD_DICTIONARY for MODULE_CONFIG.sheet_name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See FIELD_DICTIONARY for MODULE_CONFIG.module_priority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See FIELD_DICTIONARY for MODULE_CONFIG.routine_enabled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See FIELD_DICTIONARY for MODULE_CONFIG.run_cadence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See FIELD_DICTIONARY for MODULE_CONFIG.candidate_cap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See FIELD_DICTIONARY for MODULE_CONFIG.max_live_checks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See FIELD_DICTIONARY for MODULE_CONFIG.discovery_queries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See FIELD_DICTIONARY for MODULE_CONFIG.freshness_days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See FIELD_DICTIONARY for MODULE_CONFIG.catalog_review_months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See FIELD_DICTIONARY for MODULE_CONFIG.selection_basis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See FIELD_DICTIONARY for MODULE_CONFIG.output_focus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See FIELD_DICTIONARY for MODULE_CONFIG.policy_note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See FIELD_DICTIONARY for MODULE_CONFIG.catalog_status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See FIELD_DICTIONARY for MODULE_CONFIG.integration_status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See FIELD_DICTIONARY for MODULE_CONFIG.default_query_id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See FIELD_DICTIONARY for FLAGSHIP_CHECK.project_id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See FIELD_DICTIONARY for FLAGSHIP_CHECK.project_name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Belegter Projektumfang fuer den Benchmark; keine bestaetigte aktuelle Phase.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See FIELD_DICTIONARY for FLAGSHIP_CHECK.change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See FIELD_DICTIONARY for FLAGSHIP_CHECK.official_url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Offengelegte Antragsteller-/Phasenannahmen des Testprofils.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See FIELD_DICTIONARY for FLAGSHIP_CHECK.m01_profiles_before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See FIELD_DICTIONARY for FLAGSHIP_CHECK.m01_profiles_after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See FIELD_DICTIONARY for FLAGSHIP_CHECK.m01_planned_live_requests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Im Test beobachtete Suchanker, keine gemessene Vollstaendigkeit der Marktrecherche.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See FIELD_DICTIONARY for FLAGSHIP_CHECK.remaining_gap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Lokale Routingbeobachtung getrennt von fachlicher und Live-Connector-Abnahme.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See FIELD_DICTIONARY for EFFICIENCY_REVIEW.review_id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See FIELD_DICTIONARY for EFFICIENCY_REVIEW.area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See FIELD_DICTIONARY for EFFICIENCY_REVIEW.decision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See FIELD_DICTIONARY for EFFICIENCY_REVIEW.action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See FIELD_DICTIONARY for EFFICIENCY_REVIEW.remaining_validation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See FIELD_DICTIONARY for M01_COMPETITORS.record_id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See FIELD_DICTIONARY for M01_COMPETITORS.entity_id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Abgeleitete Anzeige aus ENTITY_MASTER, ausser im zentralen Entity-Verzeichnis.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See FIELD_DICTIONARY for M01_COMPETITORS.record_type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See FIELD_DICTIONARY for M01_COMPETITORS.topic_tags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See FIELD_DICTIONARY for M01_COMPETITORS.pathogen_tags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See FIELD_DICTIONARY for M01_COMPETITORS.indication_tags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See FIELD_DICTIONARY for M01_COMPETITORS.modality_tags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See FIELD_DICTIONARY for M01_COMPETITORS.search_terms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See FIELD_DICTIONARY for M01_COMPETITORS.source_id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See FIELD_DICTIONARY for M01_COMPETITORS.base_priority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See FIELD_DICTIONARY for M01_COMPETITORS.evidence_scope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See FIELD_DICTIONARY for M01_COMPETITORS.provenance_id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See FIELD_DICTIONARY for M01_COMPETITORS.cautions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See FIELD_DICTIONARY for M01_COMPETITORS.watch_policy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See FIELD_DICTIONARY for M02_CLINICAL.record_id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See FIELD_DICTIONARY for M02_CLINICAL.record_name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See FIELD_DICTIONARY for M02_CLINICAL.record_type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See FIELD_DICTIONARY for M02_CLINICAL.scope_note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See FIELD_DICTIONARY for M02_CLINICAL.topic_tags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See FIELD_DICTIONARY for M02_CLINICAL.pathogen_tags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See FIELD_DICTIONARY for M02_CLINICAL.modality_tags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See FIELD_DICTIONARY for M02_CLINICAL.jurisdiction_tags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See FIELD_DICTIONARY for M02_CLINICAL.query_class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See FIELD_DICTIONARY for M02_CLINICAL.source_id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See FIELD_DICTIONARY for M02_CLINICAL.base_priority</t>
        </r>
      </text>
    </comment>
    <comment ref="L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See FIELD_DICTIONARY for M02_CLINICAL.watch_policy</t>
        </r>
      </text>
    </comment>
    <comment ref="M1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See FIELD_DICTIONARY for M02_CLINICAL.cautions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See FIELD_DICTIONARY for M03_SCI_TECH.record_id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See FIELD_DICTIONARY for M03_SCI_TECH.record_name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See FIELD_DICTIONARY for M03_SCI_TECH.record_type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See FIELD_DICTIONARY for M03_SCI_TECH.scope_note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See FIELD_DICTIONARY for M03_SCI_TECH.topic_tags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See FIELD_DICTIONARY for M03_SCI_TECH.pathogen_tags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See FIELD_DICTIONARY for M03_SCI_TECH.modality_tags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See FIELD_DICTIONARY for M03_SCI_TECH.jurisdiction_tags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See FIELD_DICTIONARY for M03_SCI_TECH.query_class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See FIELD_DICTIONARY for M03_SCI_TECH.source_id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See FIELD_DICTIONARY for M03_SCI_TECH.base_priority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See FIELD_DICTIONARY for M03_SCI_TECH.watch_policy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See FIELD_DICTIONARY for M03_SCI_TECH.cautions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See FIELD_DICTIONARY for M04_REGULATORY.record_id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See FIELD_DICTIONARY for M04_REGULATORY.record_name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See FIELD_DICTIONARY for M04_REGULATORY.record_type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See FIELD_DICTIONARY for M04_REGULATORY.scope_note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See FIELD_DICTIONARY for M04_REGULATORY.topic_tags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See FIELD_DICTIONARY for M04_REGULATORY.pathogen_tags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See FIELD_DICTIONARY for M04_REGULATORY.modality_tags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See FIELD_DICTIONARY for M04_REGULATORY.jurisdiction_tags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See FIELD_DICTIONARY for M04_REGULATORY.query_class</t>
        </r>
      </text>
    </comment>
    <comment ref="J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See FIELD_DICTIONARY for M04_REGULATORY.source_id</t>
        </r>
      </text>
    </comment>
    <comment ref="K1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See FIELD_DICTIONARY for M04_REGULATORY.base_priority</t>
        </r>
      </text>
    </comment>
    <comment ref="L1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See FIELD_DICTIONARY for M04_REGULATORY.watch_policy</t>
        </r>
      </text>
    </comment>
    <comment ref="M1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See FIELD_DICTIONARY for M04_REGULATORY.cautions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See FIELD_DICTIONARY for M05_FUNDING.record_id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See FIELD_DICTIONARY for M05_FUNDING.record_name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See FIELD_DICTIONARY for M05_FUNDING.record_type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See FIELD_DICTIONARY for M05_FUNDING.applicant_types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See FIELD_DICTIONARY for M05_FUNDING.region_scope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See FIELD_DICTIONARY for M05_FUNDING.institution_scope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See FIELD_DICTIONARY for M05_FUNDING.trigger_tags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See FIELD_DICTIONARY for M05_FUNDING.required_context_tags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See FIELD_DICTIONARY for M05_FUNDING.development_scope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See FIELD_DICTIONARY for M05_FUNDING.activity_tags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See FIELD_DICTIONARY for M05_FUNDING.routing_mode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See FIELD_DICTIONARY for M05_FUNDING.source_id</t>
        </r>
      </text>
    </comment>
    <comment ref="M1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See FIELD_DICTIONARY for M05_FUNDING.base_priority</t>
        </r>
      </text>
    </comment>
    <comment ref="N1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O1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See FIELD_DICTIONARY for M05_FUNDING.eligibility_note</t>
        </r>
      </text>
    </comment>
    <comment ref="P1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See FIELD_DICTIONARY for M05_FUNDING.provenance_id</t>
        </r>
      </text>
    </comment>
    <comment ref="Q1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R1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See FIELD_DICTIONARY for M05_FUNDING.parent_record_id</t>
        </r>
      </text>
    </comment>
    <comment ref="S1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See FIELD_DICTIONARY for M05_FUNDING.context_match</t>
        </r>
      </text>
    </comment>
    <comment ref="T1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See FIELD_DICTIONARY for M05_FUNDING.watch_policy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See FIELD_DICTIONARY for M06_BD_PARTNERS.record_id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See FIELD_DICTIONARY for M06_BD_PARTNERS.entity_id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Abgeleitete Anzeige aus ENTITY_MASTER, ausser im zentralen Entity-Verzeichnis.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See FIELD_DICTIONARY for M06_BD_PARTNERS.partner_role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See FIELD_DICTIONARY for M06_BD_PARTNERS.topic_tags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See FIELD_DICTIONARY for M06_BD_PARTNERS.modality_tags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See FIELD_DICTIONARY for M06_BD_PARTNERS.development_scope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See FIELD_DICTIONARY for M06_BD_PARTNERS.investment_stage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See FIELD_DICTIONARY for M06_BD_PARTNERS.applicant_route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See FIELD_DICTIONARY for M06_BD_PARTNERS.geography_scope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See FIELD_DICTIONARY for M06_BD_PARTNERS.source_id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See FIELD_DICTIONARY for M06_BD_PARTNERS.base_priority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See FIELD_DICTIONARY for M06_BD_PARTNERS.fit_note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See FIELD_DICTIONARY for M06_BD_PARTNERS.constraints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See FIELD_DICTIONARY for M06_BD_PARTNERS.provenance_id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R1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See FIELD_DICTIONARY for M06_BD_PARTNERS.watch_policy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See FIELD_DICTIONARY for M07_DEALS.record_id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See FIELD_DICTIONARY for M07_DEALS.entity_id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Abgeleitete Anzeige aus ENTITY_MASTER, ausser im zentralen Entity-Verzeichnis.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See FIELD_DICTIONARY for M07_DEALS.record_type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See FIELD_DICTIONARY for M07_DEALS.topic_tags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See FIELD_DICTIONARY for M07_DEALS.modality_tags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See FIELD_DICTIONARY for M07_DEALS.transaction_types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See FIELD_DICTIONARY for M07_DEALS.source_id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See FIELD_DICTIONARY for M07_DEALS.base_priority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See FIELD_DICTIONARY for M07_DEALS.provenance_id</t>
        </r>
      </text>
    </comment>
    <comment ref="L1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See FIELD_DICTIONARY for M07_DEALS.cautions</t>
        </r>
      </text>
    </comment>
    <comment ref="M1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See FIELD_DICTIONARY for M07_DEALS.watch_policy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See FIELD_DICTIONARY for M08_EVENTS.record_id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See FIELD_DICTIONARY for M08_EVENTS.record_name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See FIELD_DICTIONARY for M08_EVENTS.record_type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See FIELD_DICTIONARY for M08_EVENTS.scope_note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See FIELD_DICTIONARY for M08_EVENTS.topic_tags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See FIELD_DICTIONARY for M08_EVENTS.pathogen_tags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See FIELD_DICTIONARY for M08_EVENTS.modality_tags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See FIELD_DICTIONARY for M08_EVENTS.jurisdiction_tags</t>
        </r>
      </text>
    </comment>
    <comment ref="I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See FIELD_DICTIONARY for M08_EVENTS.query_class</t>
        </r>
      </text>
    </comment>
    <comment ref="J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See FIELD_DICTIONARY for M08_EVENTS.source_id</t>
        </r>
      </text>
    </comment>
    <comment ref="K1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See FIELD_DICTIONARY for M08_EVENTS.base_priority</t>
        </r>
      </text>
    </comment>
    <comment ref="L1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See FIELD_DICTIONARY for M08_EVENTS.watch_policy</t>
        </r>
      </text>
    </comment>
    <comment ref="M1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See FIELD_DICTIONARY for M08_EVENTS.cautions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See FIELD_DICTIONARY for M09_MEDICAL.record_id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See FIELD_DICTIONARY for M09_MEDICAL.record_name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See FIELD_DICTIONARY for M09_MEDICAL.record_type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See FIELD_DICTIONARY for M09_MEDICAL.scope_note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See FIELD_DICTIONARY for M09_MEDICAL.topic_tags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See FIELD_DICTIONARY for M09_MEDICAL.pathogen_tags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See FIELD_DICTIONARY for M09_MEDICAL.modality_tags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See FIELD_DICTIONARY for M09_MEDICAL.jurisdiction_tags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See FIELD_DICTIONARY for M09_MEDICAL.query_class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See FIELD_DICTIONARY for M09_MEDICAL.source_id</t>
        </r>
      </text>
    </comment>
    <comment ref="K1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See FIELD_DICTIONARY for M09_MEDICAL.base_priority</t>
        </r>
      </text>
    </comment>
    <comment ref="L1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See FIELD_DICTIONARY for M09_MEDICAL.watch_policy</t>
        </r>
      </text>
    </comment>
    <comment ref="M1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See FIELD_DICTIONARY for M09_MEDICAL.cautions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See FIELD_DICTIONARY for M10_IP_PATENT.record_id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See FIELD_DICTIONARY for M10_IP_PATENT.record_name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See FIELD_DICTIONARY for M10_IP_PATENT.record_type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See FIELD_DICTIONARY for M10_IP_PATENT.scope_note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See FIELD_DICTIONARY for M10_IP_PATENT.topic_tags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See FIELD_DICTIONARY for M10_IP_PATENT.pathogen_tags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See FIELD_DICTIONARY for M10_IP_PATENT.modality_tags</t>
        </r>
      </text>
    </comment>
    <comment ref="H1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See FIELD_DICTIONARY for M10_IP_PATENT.jurisdiction_tags</t>
        </r>
      </text>
    </comment>
    <comment ref="I1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See FIELD_DICTIONARY for M10_IP_PATENT.query_class</t>
        </r>
      </text>
    </comment>
    <comment ref="J1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See FIELD_DICTIONARY for M10_IP_PATENT.source_id</t>
        </r>
      </text>
    </comment>
    <comment ref="K1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See FIELD_DICTIONARY for M10_IP_PATENT.base_priority</t>
        </r>
      </text>
    </comment>
    <comment ref="L1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See FIELD_DICTIONARY for M10_IP_PATENT.watch_policy</t>
        </r>
      </text>
    </comment>
    <comment ref="M1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See FIELD_DICTIONARY for M10_IP_PATENT.cautions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See FIELD_DICTIONARY for M11_CMC.record_id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See FIELD_DICTIONARY for M11_CMC.record_name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See FIELD_DICTIONARY for M11_CMC.record_type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See FIELD_DICTIONARY for M11_CMC.scope_note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See FIELD_DICTIONARY for M11_CMC.topic_tags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See FIELD_DICTIONARY for M11_CMC.pathogen_tags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See FIELD_DICTIONARY for M11_CMC.modality_tags</t>
        </r>
      </text>
    </comment>
    <comment ref="H1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See FIELD_DICTIONARY for M11_CMC.jurisdiction_tags</t>
        </r>
      </text>
    </comment>
    <comment ref="I1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See FIELD_DICTIONARY for M11_CMC.query_class</t>
        </r>
      </text>
    </comment>
    <comment ref="J1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See FIELD_DICTIONARY for M11_CMC.source_id</t>
        </r>
      </text>
    </comment>
    <comment ref="K1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See FIELD_DICTIONARY for M11_CMC.base_priority</t>
        </r>
      </text>
    </comment>
    <comment ref="L1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See FIELD_DICTIONARY for M11_CMC.watch_policy</t>
        </r>
      </text>
    </comment>
    <comment ref="M1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See FIELD_DICTIONARY for M11_CMC.cautions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M12_POLICY_ACCESS.record_id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M12_POLICY_ACCESS.record_name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M12_POLICY_ACCESS.record_type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M12_POLICY_ACCESS.scope_note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M12_POLICY_ACCESS.topic_tags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M12_POLICY_ACCESS.pathogen_tags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M12_POLICY_ACCESS.modality_tags</t>
        </r>
      </text>
    </comment>
    <comment ref="H1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M12_POLICY_ACCESS.jurisdiction_tags</t>
        </r>
      </text>
    </comment>
    <comment ref="I1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M12_POLICY_ACCESS.query_class</t>
        </r>
      </text>
    </comment>
    <comment ref="J1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M12_POLICY_ACCESS.source_id</t>
        </r>
      </text>
    </comment>
    <comment ref="K1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M12_POLICY_ACCESS.base_priority</t>
        </r>
      </text>
    </comment>
    <comment ref="L1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M12_POLICY_ACCESS.watch_policy</t>
        </r>
      </text>
    </comment>
    <comment ref="M1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N1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Review des Quellen-Suchankers, nicht Datum aller darin enthaltenen Fakten.</t>
        </r>
      </text>
    </comment>
    <comment ref="O1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P1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See FIELD_DICTIONARY for M12_POLICY_ACCESS.cautions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See FIELD_DICTIONARY for ENTITY_MASTER.entity_id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Abgeleitete Anzeige aus ENTITY_MASTER, ausser im zentralen Entity-Verzeichnis.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See FIELD_DICTIONARY for ENTITY_MASTER.entity_type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Optionale belegte Namensvarianten; leer ist zulaessig, wenn keine bekannt sind.</t>
        </r>
      </text>
    </comment>
    <comment ref="E1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Optionale belegte Konzernbeziehung. Nicht fuer jede Organisation erforderlich; keine Eltern-ID erfinden.</t>
        </r>
      </text>
    </comment>
    <comment ref="F1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See FIELD_DICTIONARY for ENTITY_MASTER.group_note</t>
        </r>
      </text>
    </comment>
    <comment ref="G1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Offizielle Organisations-Homepage, soweit belegt; fehlend ist ein Review-Hinweis, kein erfundener URL.</t>
        </r>
      </text>
    </comment>
    <comment ref="H1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I1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See FIELD_DICTIONARY for ENTITY_MASTER.provenance_ids</t>
        </r>
      </text>
    </comment>
    <comment ref="J1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See FIELD_DICTIONARY for ENTITY_MASTER.curator_note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See FIELD_DICTIONARY for SOURCE_REGISTRY.source_id</t>
        </r>
      </text>
    </comment>
    <comment ref="B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See FIELD_DICTIONARY for SOURCE_REGISTRY.source_name</t>
        </r>
      </text>
    </comment>
    <comment ref="C1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See FIELD_DICTIONARY for SOURCE_REGISTRY.source_type</t>
        </r>
      </text>
    </comment>
    <comment ref="D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See FIELD_DICTIONARY for SOURCE_REGISTRY.module_ids</t>
        </r>
      </text>
    </comment>
    <comment ref="E1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Quellenanker; nur explizite Namens-Suchstrategie ohne URL zulaessig.</t>
        </r>
      </text>
    </comment>
    <comment ref="F1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See FIELD_DICTIONARY for SOURCE_REGISTRY.access_method</t>
        </r>
      </text>
    </comment>
    <comment ref="G1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See FIELD_DICTIONARY for SOURCE_REGISTRY.web_check_status</t>
        </r>
      </text>
    </comment>
    <comment ref="H1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See FIELD_DICTIONARY for SOURCE_REGISTRY.checked_on</t>
        </r>
      </text>
    </comment>
    <comment ref="I1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See FIELD_DICTIONARY for SOURCE_REGISTRY.langdock_access</t>
        </r>
      </text>
    </comment>
    <comment ref="J1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See FIELD_DICTIONARY for SOURCE_REGISTRY.use_scope</t>
        </r>
      </text>
    </comment>
    <comment ref="K1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See FIELD_DICTIONARY for SOURCE_REGISTRY.rights_scope</t>
        </r>
      </text>
    </comment>
    <comment ref="L1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See FIELD_DICTIONARY for SOURCE_REGISTRY.access_note</t>
        </r>
      </text>
    </comment>
    <comment ref="M1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Pruefkontext/Version; inhaltliche und technische Verifikation bleiben getrennt.</t>
        </r>
      </text>
    </comment>
    <comment ref="N1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Nur fuer dokumentierte API-Adapter; Webquellen koennen dieses Feld leer lassen.</t>
        </r>
      </text>
    </comment>
    <comment ref="O1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Nur bei mehrseitigen strukturierten API-Abfragen erforderlich; kein universelles Pflichtfeld.</t>
        </r>
      </text>
    </comment>
    <comment ref="P1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See FIELD_DICTIONARY for SOURCE_REGISTRY.source_evidence_type</t>
        </r>
      </text>
    </comment>
    <comment ref="Q1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See FIELD_DICTIONARY for SOURCE_REGISTRY.content_validation_status</t>
        </r>
      </text>
    </comment>
    <comment ref="R1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See FIELD_DICTIONARY for SOURCE_REGISTRY.identity_verification_status</t>
        </r>
      </text>
    </comment>
    <comment ref="S1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See FIELD_DICTIONARY for SOURCE_REGISTRY.canonical_source_id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See FIELD_DICTIONARY for MATCH_ANCHORS.anchor_id</t>
        </r>
      </text>
    </comment>
    <comment ref="B1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See FIELD_DICTIONARY for MATCH_ANCHORS.entity_ids</t>
        </r>
      </text>
    </comment>
    <comment ref="C1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Bei ASSET_SCOPE erforderlich; Portfolio-Suchanker besitzen keine erfundene Asset-ID.</t>
        </r>
      </text>
    </comment>
    <comment ref="D1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See FIELD_DICTIONARY for MATCH_ANCHORS.asset_name</t>
        </r>
      </text>
    </comment>
    <comment ref="E1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See FIELD_DICTIONARY for MATCH_ANCHORS.anchor_scope</t>
        </r>
      </text>
    </comment>
    <comment ref="F1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See FIELD_DICTIONARY for MATCH_ANCHORS.pathogen_tags</t>
        </r>
      </text>
    </comment>
    <comment ref="G1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See FIELD_DICTIONARY for MATCH_ANCHORS.indication_tags</t>
        </r>
      </text>
    </comment>
    <comment ref="H1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See FIELD_DICTIONARY for MATCH_ANCHORS.modality_tags</t>
        </r>
      </text>
    </comment>
    <comment ref="I1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See FIELD_DICTIONARY for MATCH_ANCHORS.target_tags</t>
        </r>
      </text>
    </comment>
    <comment ref="J1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See FIELD_DICTIONARY for MATCH_ANCHORS.moa_tags</t>
        </r>
      </text>
    </comment>
    <comment ref="K1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See FIELD_DICTIONARY for MATCH_ANCHORS.population_tags</t>
        </r>
      </text>
    </comment>
    <comment ref="L1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See FIELD_DICTIONARY for MATCH_ANCHORS.purpose_tags</t>
        </r>
      </text>
    </comment>
    <comment ref="M1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See FIELD_DICTIONARY for MATCH_ANCHORS.source_id</t>
        </r>
      </text>
    </comment>
    <comment ref="N1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See FIELD_DICTIONARY for MATCH_ANCHORS.evidence_url</t>
        </r>
      </text>
    </comment>
    <comment ref="O1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See FIELD_DICTIONARY for MATCH_ANCHORS.scope_reviewed_on</t>
        </r>
      </text>
    </comment>
    <comment ref="P1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See FIELD_DICTIONARY for MATCH_ANCHORS.verification_status</t>
        </r>
      </text>
    </comment>
    <comment ref="Q1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See FIELD_DICTIONARY for MATCH_ANCHORS.caution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See FIELD_DICTIONARY for QUERY_TEMPLATES.query_id</t>
        </r>
      </text>
    </comment>
    <comment ref="B1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See FIELD_DICTIONARY for QUERY_TEMPLATES.module_id</t>
        </r>
      </text>
    </comment>
    <comment ref="C1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See FIELD_DICTIONARY for QUERY_TEMPLATES.query_type</t>
        </r>
      </text>
    </comment>
    <comment ref="D1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See FIELD_DICTIONARY for QUERY_TEMPLATES.template</t>
        </r>
      </text>
    </comment>
    <comment ref="E1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See FIELD_DICTIONARY for QUERY_TEMPLATES.required_inputs</t>
        </r>
      </text>
    </comment>
    <comment ref="F1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See FIELD_DICTIONARY for QUERY_TEMPLATES.source_strategy</t>
        </r>
      </text>
    </comment>
    <comment ref="G1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See FIELD_DICTIONARY for QUERY_TEMPLATES.max_results</t>
        </r>
      </text>
    </comment>
    <comment ref="H1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I1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See FIELD_DICTIONARY for QUERY_TEMPLATES.adapter_status</t>
        </r>
      </text>
    </comment>
    <comment ref="J1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See FIELD_DICTIONARY for QUERY_TEMPLATES.quality_rule</t>
        </r>
      </text>
    </comment>
    <comment ref="K1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See FIELD_DICTIONARY for QUERY_TEMPLATES.source_ids</t>
        </r>
      </text>
    </comment>
    <comment ref="L1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See FIELD_DICTIONARY for QUERY_TEMPLATES.topic_gate</t>
        </r>
      </text>
    </comment>
    <comment ref="M1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See FIELD_DICTIONARY for QUERY_TEMPLATES.purpose_gate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See FIELD_DICTIONARY for DZIF_COVERAGE.coverage_id</t>
        </r>
      </text>
    </comment>
    <comment ref="B1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See FIELD_DICTIONARY for DZIF_COVERAGE.coverage_type</t>
        </r>
      </text>
    </comment>
    <comment ref="C1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See FIELD_DICTIONARY for DZIF_COVERAGE.official_name</t>
        </r>
      </text>
    </comment>
    <comment ref="D1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See FIELD_DICTIONARY for DZIF_COVERAGE.routing_tags</t>
        </r>
      </text>
    </comment>
    <comment ref="E1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See FIELD_DICTIONARY for DZIF_COVERAGE.source_ids</t>
        </r>
      </text>
    </comment>
    <comment ref="F1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See FIELD_DICTIONARY for DZIF_COVERAGE.entity_ids</t>
        </r>
      </text>
    </comment>
    <comment ref="G1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See FIELD_DICTIONARY for DZIF_COVERAGE.coverage_assessment</t>
        </r>
      </text>
    </comment>
    <comment ref="H1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See FIELD_DICTIONARY for DZIF_COVERAGE.remaining_gap</t>
        </r>
      </text>
    </comment>
    <comment ref="I1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See FIELD_DICTIONARY for DZIF_COVERAGE.priority</t>
        </r>
      </text>
    </comment>
    <comment ref="J1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See FIELD_DICTIONARY for DZIF_COVERAGE.official_reference</t>
        </r>
      </text>
    </comment>
    <comment ref="K1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See FIELD_DICTIONARY for DZIF_COVERAGE.reviewed_on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See FIELD_DICTIONARY for REVIEW_QUEUE.issue_id</t>
        </r>
      </text>
    </comment>
    <comment ref="B1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See FIELD_DICTIONARY for REVIEW_QUEUE.category</t>
        </r>
      </text>
    </comment>
    <comment ref="C1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See FIELD_DICTIONARY for REVIEW_QUEUE.record_id</t>
        </r>
      </text>
    </comment>
    <comment ref="D1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See FIELD_DICTIONARY for REVIEW_QUEUE.severity</t>
        </r>
      </text>
    </comment>
    <comment ref="E1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See FIELD_DICTIONARY for REVIEW_QUEUE.description</t>
        </r>
      </text>
    </comment>
    <comment ref="F1" authorId="0" shapeId="0" xr:uid="{00000000-0006-0000-1500-000006000000}">
      <text>
        <r>
          <rPr>
            <sz val="11"/>
            <color theme="1"/>
            <rFont val="Calibri"/>
            <family val="2"/>
            <scheme val="minor"/>
          </rPr>
          <t>See FIELD_DICTIONARY for REVIEW_QUEUE.required_action</t>
        </r>
      </text>
    </comment>
    <comment ref="G1" authorId="0" shapeId="0" xr:uid="{00000000-0006-0000-1500-000007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H1" authorId="0" shapeId="0" xr:uid="{00000000-0006-0000-1500-000008000000}">
      <text>
        <r>
          <rPr>
            <sz val="11"/>
            <color theme="1"/>
            <rFont val="Calibri"/>
            <family val="2"/>
            <scheme val="minor"/>
          </rPr>
          <t>Abgeleitete Anzeige aus SOURCE_REGISTRY; nur bei Namens-Discovery leer zulaessig.</t>
        </r>
      </text>
    </comment>
    <comment ref="I1" authorId="0" shapeId="0" xr:uid="{00000000-0006-0000-1500-000009000000}">
      <text>
        <r>
          <rPr>
            <sz val="11"/>
            <color theme="1"/>
            <rFont val="Calibri"/>
            <family val="2"/>
            <scheme val="minor"/>
          </rPr>
          <t>See FIELD_DICTIONARY for REVIEW_QUEUE.reviewed_on</t>
        </r>
      </text>
    </comment>
    <comment ref="J1" authorId="0" shapeId="0" xr:uid="{00000000-0006-0000-1500-00000A000000}">
      <text>
        <r>
          <rPr>
            <sz val="11"/>
            <color theme="1"/>
            <rFont val="Calibri"/>
            <family val="2"/>
            <scheme val="minor"/>
          </rPr>
          <t>Pruefkontext/Version; inhaltliche und technische Verifikation bleiben getrennt.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See FIELD_DICTIONARY for CHANGELOG.change_id</t>
        </r>
      </text>
    </comment>
    <comment ref="B1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See FIELD_DICTIONARY for CHANGELOG.change_date</t>
        </r>
      </text>
    </comment>
    <comment ref="C1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See FIELD_DICTIONARY for CHANGELOG.sheet_name</t>
        </r>
      </text>
    </comment>
    <comment ref="D1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See FIELD_DICTIONARY for CHANGELOG.record_id</t>
        </r>
      </text>
    </comment>
    <comment ref="E1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See FIELD_DICTIONARY for CHANGELOG.action</t>
        </r>
      </text>
    </comment>
    <comment ref="F1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See FIELD_DICTIONARY for CHANGELOG.reason</t>
        </r>
      </text>
    </comment>
    <comment ref="G1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See FIELD_DICTIONARY for CHANGELOG.verified_source_url</t>
        </r>
      </text>
    </comment>
    <comment ref="H1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See FIELD_DICTIONARY for CHANGELOG.editor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See FIELD_DICTIONARY for TAXONOMY.taxonomy_group</t>
        </r>
      </text>
    </comment>
    <comment ref="B1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See FIELD_DICTIONARY for TAXONOMY.value</t>
        </r>
      </text>
    </comment>
    <comment ref="C1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See FIELD_DICTIONARY for TAXONOMY.display_label</t>
        </r>
      </text>
    </comment>
    <comment ref="D1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See FIELD_DICTIONARY for TAXONOMY.definition</t>
        </r>
      </text>
    </comment>
    <comment ref="E1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See FIELD_DICTIONARY for TAXONOMY.raw_aliases</t>
        </r>
      </text>
    </comment>
    <comment ref="F1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See FIELD_DICTIONARY for MASTER_CONFIG.config_key</t>
        </r>
      </text>
    </comment>
    <comment ref="B1" authorId="0" shapeId="0" xr:uid="{00000000-0006-0000-1800-000002000000}">
      <text>
        <r>
          <rPr>
            <sz val="11"/>
            <color theme="1"/>
            <rFont val="Calibri"/>
            <family val="2"/>
            <scheme val="minor"/>
          </rPr>
          <t>See FIELD_DICTIONARY for MASTER_CONFIG.config_value</t>
        </r>
      </text>
    </comment>
    <comment ref="C1" authorId="0" shapeId="0" xr:uid="{00000000-0006-0000-1800-000003000000}">
      <text>
        <r>
          <rPr>
            <sz val="11"/>
            <color theme="1"/>
            <rFont val="Calibri"/>
            <family val="2"/>
            <scheme val="minor"/>
          </rPr>
          <t>See FIELD_DICTIONARY for MASTER_CONFIG.description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See FIELD_DICTIONARY for SELECTION_POLICY.parameter</t>
        </r>
      </text>
    </comment>
    <comment ref="B1" authorId="0" shapeId="0" xr:uid="{00000000-0006-0000-1900-000002000000}">
      <text>
        <r>
          <rPr>
            <sz val="11"/>
            <color theme="1"/>
            <rFont val="Calibri"/>
            <family val="2"/>
            <scheme val="minor"/>
          </rPr>
          <t>See FIELD_DICTIONARY for SELECTION_POLICY.value</t>
        </r>
      </text>
    </comment>
    <comment ref="C1" authorId="0" shapeId="0" xr:uid="{00000000-0006-0000-1900-000003000000}">
      <text>
        <r>
          <rPr>
            <sz val="11"/>
            <color theme="1"/>
            <rFont val="Calibri"/>
            <family val="2"/>
            <scheme val="minor"/>
          </rPr>
          <t>See FIELD_DICTIONARY for SELECTION_POLICY.meaning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See FIELD_DICTIONARY for MATCH_RULES.group</t>
        </r>
      </text>
    </comment>
    <comment ref="B1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>See FIELD_DICTIONARY for MATCH_RULES.token</t>
        </r>
      </text>
    </comment>
    <comment ref="C1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See FIELD_DICTIONARY for MATCH_RULES.expands_to</t>
        </r>
      </text>
    </comment>
    <comment ref="D1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See FIELD_DICTIONARY for MATCH_RULES.note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B00-000001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FIELD_DICTIONARY.sheet_name</t>
        </r>
      </text>
    </comment>
    <comment ref="B1" authorId="0" shapeId="0" xr:uid="{00000000-0006-0000-1B00-000002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FIELD_DICTIONARY.field_name</t>
        </r>
      </text>
    </comment>
    <comment ref="C1" authorId="0" shapeId="0" xr:uid="{00000000-0006-0000-1B00-000003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FIELD_DICTIONARY.data_type</t>
        </r>
      </text>
    </comment>
    <comment ref="D1" authorId="0" shapeId="0" xr:uid="{00000000-0006-0000-1B00-000004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FIELD_DICTIONARY.required</t>
        </r>
      </text>
    </comment>
    <comment ref="E1" authorId="0" shapeId="0" xr:uid="{00000000-0006-0000-1B00-000005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FIELD_DICTIONARY.description_de</t>
        </r>
      </text>
    </comment>
    <comment ref="F1" authorId="0" shapeId="0" xr:uid="{00000000-0006-0000-1B00-000006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FIELD_DICTIONARY.allowed_values</t>
        </r>
      </text>
    </comment>
    <comment ref="G1" authorId="0" shapeId="0" xr:uid="{00000000-0006-0000-1B00-000007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FIELD_DICTIONARY.update_policy</t>
        </r>
      </text>
    </comment>
    <comment ref="H1" authorId="0" shapeId="0" xr:uid="{00000000-0006-0000-1B00-000008000000}">
      <text>
        <r>
          <rPr>
            <sz val="11"/>
            <color theme="1"/>
            <rFont val="Calibri"/>
            <family val="2"/>
            <scheme val="minor"/>
          </rPr>
          <t>See FIELD_DICTIONARY for FIELD_DICTIONARY.agent_usage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See FIELD_DICTIONARY for OUTPUT_SCHEMA.field_name</t>
        </r>
      </text>
    </comment>
    <comment ref="B1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>See FIELD_DICTIONARY for OUTPUT_SCHEMA.data_type</t>
        </r>
      </text>
    </comment>
    <comment ref="C1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See FIELD_DICTIONARY for OUTPUT_SCHEMA.required</t>
        </r>
      </text>
    </comment>
    <comment ref="D1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See FIELD_DICTIONARY for OUTPUT_SCHEMA.meaning</t>
        </r>
      </text>
    </comment>
    <comment ref="E1" authorId="0" shapeId="0" xr:uid="{00000000-0006-0000-1C00-000005000000}">
      <text>
        <r>
          <rPr>
            <sz val="11"/>
            <color theme="1"/>
            <rFont val="Calibri"/>
            <family val="2"/>
            <scheme val="minor"/>
          </rPr>
          <t>See FIELD_DICTIONARY for OUTPUT_SCHEMA.example</t>
        </r>
      </text>
    </comment>
    <comment ref="F1" authorId="0" shapeId="0" xr:uid="{00000000-0006-0000-1C00-000006000000}">
      <text>
        <r>
          <rPr>
            <sz val="11"/>
            <color theme="1"/>
            <rFont val="Calibri"/>
            <family val="2"/>
            <scheme val="minor"/>
          </rPr>
          <t>See FIELD_DICTIONARY for OUTPUT_SCHEMA.belongs_to</t>
        </r>
      </text>
    </comment>
    <comment ref="G1" authorId="0" shapeId="0" xr:uid="{00000000-0006-0000-1C00-000007000000}">
      <text>
        <r>
          <rPr>
            <sz val="11"/>
            <color theme="1"/>
            <rFont val="Calibri"/>
            <family val="2"/>
            <scheme val="minor"/>
          </rPr>
          <t>See FIELD_DICTIONARY for OUTPUT_SCHEMA.storage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D00-000001000000}">
      <text>
        <r>
          <rPr>
            <sz val="11"/>
            <color theme="1"/>
            <rFont val="Calibri"/>
            <family val="2"/>
            <scheme val="minor"/>
          </rPr>
          <t>See FIELD_DICTIONARY for PROVENANCE.provenance_id</t>
        </r>
      </text>
    </comment>
    <comment ref="B1" authorId="0" shapeId="0" xr:uid="{00000000-0006-0000-1D00-000002000000}">
      <text>
        <r>
          <rPr>
            <sz val="11"/>
            <color theme="1"/>
            <rFont val="Calibri"/>
            <family val="2"/>
            <scheme val="minor"/>
          </rPr>
          <t>See FIELD_DICTIONARY for PROVENANCE.source_file</t>
        </r>
      </text>
    </comment>
    <comment ref="C1" authorId="0" shapeId="0" xr:uid="{00000000-0006-0000-1D00-000003000000}">
      <text>
        <r>
          <rPr>
            <sz val="11"/>
            <color theme="1"/>
            <rFont val="Calibri"/>
            <family val="2"/>
            <scheme val="minor"/>
          </rPr>
          <t>See FIELD_DICTIONARY for PROVENANCE.source_sheet</t>
        </r>
      </text>
    </comment>
    <comment ref="D1" authorId="0" shapeId="0" xr:uid="{00000000-0006-0000-1D00-000004000000}">
      <text>
        <r>
          <rPr>
            <sz val="11"/>
            <color theme="1"/>
            <rFont val="Calibri"/>
            <family val="2"/>
            <scheme val="minor"/>
          </rPr>
          <t>See FIELD_DICTIONARY for PROVENANCE.source_row</t>
        </r>
      </text>
    </comment>
    <comment ref="E1" authorId="0" shapeId="0" xr:uid="{00000000-0006-0000-1D00-000005000000}">
      <text>
        <r>
          <rPr>
            <sz val="11"/>
            <color theme="1"/>
            <rFont val="Calibri"/>
            <family val="2"/>
            <scheme val="minor"/>
          </rPr>
          <t>See FIELD_DICTIONARY for PROVENANCE.original_id</t>
        </r>
      </text>
    </comment>
    <comment ref="F1" authorId="0" shapeId="0" xr:uid="{00000000-0006-0000-1D00-000006000000}">
      <text>
        <r>
          <rPr>
            <sz val="11"/>
            <color theme="1"/>
            <rFont val="Calibri"/>
            <family val="2"/>
            <scheme val="minor"/>
          </rPr>
          <t>See FIELD_DICTIONARY for PROVENANCE.original_name</t>
        </r>
      </text>
    </comment>
    <comment ref="G1" authorId="0" shapeId="0" xr:uid="{00000000-0006-0000-1D00-000007000000}">
      <text>
        <r>
          <rPr>
            <sz val="11"/>
            <color theme="1"/>
            <rFont val="Calibri"/>
            <family val="2"/>
            <scheme val="minor"/>
          </rPr>
          <t>See FIELD_DICTIONARY for PROVENANCE.target_sheet</t>
        </r>
      </text>
    </comment>
    <comment ref="H1" authorId="0" shapeId="0" xr:uid="{00000000-0006-0000-1D00-000008000000}">
      <text>
        <r>
          <rPr>
            <sz val="11"/>
            <color theme="1"/>
            <rFont val="Calibri"/>
            <family val="2"/>
            <scheme val="minor"/>
          </rPr>
          <t>See FIELD_DICTIONARY for PROVENANCE.target_id</t>
        </r>
      </text>
    </comment>
    <comment ref="I1" authorId="0" shapeId="0" xr:uid="{00000000-0006-0000-1D00-000009000000}">
      <text>
        <r>
          <rPr>
            <sz val="11"/>
            <color theme="1"/>
            <rFont val="Calibri"/>
            <family val="2"/>
            <scheme val="minor"/>
          </rPr>
          <t>See FIELD_DICTIONARY for PROVENANCE.entity_id</t>
        </r>
      </text>
    </comment>
    <comment ref="J1" authorId="0" shapeId="0" xr:uid="{00000000-0006-0000-1D00-00000A000000}">
      <text>
        <r>
          <rPr>
            <sz val="11"/>
            <color theme="1"/>
            <rFont val="Calibri"/>
            <family val="2"/>
            <scheme val="minor"/>
          </rPr>
          <t>See FIELD_DICTIONARY for PROVENANCE.source_as_of</t>
        </r>
      </text>
    </comment>
    <comment ref="K1" authorId="0" shapeId="0" xr:uid="{00000000-0006-0000-1D00-00000B000000}">
      <text>
        <r>
          <rPr>
            <sz val="11"/>
            <color theme="1"/>
            <rFont val="Calibri"/>
            <family val="2"/>
            <scheme val="minor"/>
          </rPr>
          <t>See FIELD_DICTIONARY for PROVENANCE.upstream_checked_on</t>
        </r>
      </text>
    </comment>
    <comment ref="L1" authorId="0" shapeId="0" xr:uid="{00000000-0006-0000-1D00-00000C000000}">
      <text>
        <r>
          <rPr>
            <sz val="11"/>
            <color theme="1"/>
            <rFont val="Calibri"/>
            <family val="2"/>
            <scheme val="minor"/>
          </rPr>
          <t>See FIELD_DICTIONARY for PROVENANCE.imported_on</t>
        </r>
      </text>
    </comment>
    <comment ref="M1" authorId="0" shapeId="0" xr:uid="{00000000-0006-0000-1D00-00000D000000}">
      <text>
        <r>
          <rPr>
            <sz val="11"/>
            <color theme="1"/>
            <rFont val="Calibri"/>
            <family val="2"/>
            <scheme val="minor"/>
          </rPr>
          <t>See FIELD_DICTIONARY for PROVENANCE.review_level</t>
        </r>
      </text>
    </comment>
    <comment ref="N1" authorId="0" shapeId="0" xr:uid="{00000000-0006-0000-1D00-00000E000000}">
      <text>
        <r>
          <rPr>
            <sz val="11"/>
            <color theme="1"/>
            <rFont val="Calibri"/>
            <family val="2"/>
            <scheme val="minor"/>
          </rPr>
          <t>See FIELD_DICTIONARY for PROVENANCE.primary_reviewed_on</t>
        </r>
      </text>
    </comment>
    <comment ref="O1" authorId="0" shapeId="0" xr:uid="{00000000-0006-0000-1D00-00000F000000}">
      <text>
        <r>
          <rPr>
            <sz val="11"/>
            <color theme="1"/>
            <rFont val="Calibri"/>
            <family val="2"/>
            <scheme val="minor"/>
          </rPr>
          <t>See FIELD_DICTIONARY for PROVENANCE.review_scope</t>
        </r>
      </text>
    </comment>
    <comment ref="P1" authorId="0" shapeId="0" xr:uid="{00000000-0006-0000-1D00-000010000000}">
      <text>
        <r>
          <rPr>
            <sz val="11"/>
            <color theme="1"/>
            <rFont val="Calibri"/>
            <family val="2"/>
            <scheme val="minor"/>
          </rPr>
          <t>See FIELD_DICTIONARY for PROVENANCE.original_source_url</t>
        </r>
      </text>
    </comment>
    <comment ref="Q1" authorId="0" shapeId="0" xr:uid="{00000000-0006-0000-1D00-000011000000}">
      <text>
        <r>
          <rPr>
            <sz val="11"/>
            <color theme="1"/>
            <rFont val="Calibri"/>
            <family val="2"/>
            <scheme val="minor"/>
          </rPr>
          <t>See FIELD_DICTIONARY for PROVENANCE.snapshot_note</t>
        </r>
      </text>
    </comment>
    <comment ref="R1" authorId="0" shapeId="0" xr:uid="{00000000-0006-0000-1D00-000012000000}">
      <text>
        <r>
          <rPr>
            <sz val="11"/>
            <color theme="1"/>
            <rFont val="Calibri"/>
            <family val="2"/>
            <scheme val="minor"/>
          </rPr>
          <t>See FIELD_DICTIONARY for PROVENANCE.transformation_note</t>
        </r>
      </text>
    </comment>
    <comment ref="S1" authorId="0" shapeId="0" xr:uid="{00000000-0006-0000-1D00-000013000000}">
      <text>
        <r>
          <rPr>
            <sz val="11"/>
            <color theme="1"/>
            <rFont val="Calibri"/>
            <family val="2"/>
            <scheme val="minor"/>
          </rPr>
          <t>See FIELD_DICTIONARY for PROVENANCE.raw_record_json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E00-000001000000}">
      <text>
        <r>
          <rPr>
            <sz val="11"/>
            <color theme="1"/>
            <rFont val="Calibri"/>
            <family val="2"/>
            <scheme val="minor"/>
          </rPr>
          <t>See FIELD_DICTIONARY for STRUCTURAL_TESTS.test_id</t>
        </r>
      </text>
    </comment>
    <comment ref="B1" authorId="0" shapeId="0" xr:uid="{00000000-0006-0000-1E00-000002000000}">
      <text>
        <r>
          <rPr>
            <sz val="11"/>
            <color theme="1"/>
            <rFont val="Calibri"/>
            <family val="2"/>
            <scheme val="minor"/>
          </rPr>
          <t>See FIELD_DICTIONARY for STRUCTURAL_TESTS.test_group</t>
        </r>
      </text>
    </comment>
    <comment ref="C1" authorId="0" shapeId="0" xr:uid="{00000000-0006-0000-1E00-000003000000}">
      <text>
        <r>
          <rPr>
            <sz val="11"/>
            <color theme="1"/>
            <rFont val="Calibri"/>
            <family val="2"/>
            <scheme val="minor"/>
          </rPr>
          <t>See FIELD_DICTIONARY for STRUCTURAL_TESTS.test_name</t>
        </r>
      </text>
    </comment>
    <comment ref="D1" authorId="0" shapeId="0" xr:uid="{00000000-0006-0000-1E00-000004000000}">
      <text>
        <r>
          <rPr>
            <sz val="11"/>
            <color theme="1"/>
            <rFont val="Calibri"/>
            <family val="2"/>
            <scheme val="minor"/>
          </rPr>
          <t>Katalogstatus fuer Auswahl; ACTIVE bedeutet nicht aktuell aktives Unternehmen/Asset.</t>
        </r>
      </text>
    </comment>
    <comment ref="E1" authorId="0" shapeId="0" xr:uid="{00000000-0006-0000-1E00-000005000000}">
      <text>
        <r>
          <rPr>
            <sz val="11"/>
            <color theme="1"/>
            <rFont val="Calibri"/>
            <family val="2"/>
            <scheme val="minor"/>
          </rPr>
          <t>See FIELD_DICTIONARY for STRUCTURAL_TESTS.observed</t>
        </r>
      </text>
    </comment>
    <comment ref="F1" authorId="0" shapeId="0" xr:uid="{00000000-0006-0000-1E00-000006000000}">
      <text>
        <r>
          <rPr>
            <sz val="11"/>
            <color theme="1"/>
            <rFont val="Calibri"/>
            <family val="2"/>
            <scheme val="minor"/>
          </rPr>
          <t>See FIELD_DICTIONARY for STRUCTURAL_TESTS.limit</t>
        </r>
      </text>
    </comment>
    <comment ref="G1" authorId="0" shapeId="0" xr:uid="{00000000-0006-0000-1E00-000007000000}">
      <text>
        <r>
          <rPr>
            <sz val="11"/>
            <color theme="1"/>
            <rFont val="Calibri"/>
            <family val="2"/>
            <scheme val="minor"/>
          </rPr>
          <t>See FIELD_DICTIONARY for STRUCTURAL_TESTS.tested_on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DZIF Master</author>
  </authors>
  <commentList>
    <comment ref="A1" authorId="0" shapeId="0" xr:uid="{00000000-0006-0000-1F00-000001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PROJECT_RELEVANCE_TESTS.profile_id</t>
        </r>
      </text>
    </comment>
    <comment ref="B1" authorId="0" shapeId="0" xr:uid="{00000000-0006-0000-1F00-000002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PROJECT_RELEVANCE_TESTS.profile_name</t>
        </r>
      </text>
    </comment>
    <comment ref="C1" authorId="0" shapeId="0" xr:uid="{00000000-0006-0000-1F00-000003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PROJECT_RELEVANCE_TESTS.expected_entities</t>
        </r>
      </text>
    </comment>
    <comment ref="D1" authorId="0" shapeId="0" xr:uid="{00000000-0006-0000-1F00-000004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PROJECT_RELEVANCE_TESTS.considered_entities</t>
        </r>
      </text>
    </comment>
    <comment ref="E1" authorId="0" shapeId="0" xr:uid="{00000000-0006-0000-1F00-000005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PROJECT_RELEVANCE_TESTS.planned_entities</t>
        </r>
      </text>
    </comment>
    <comment ref="F1" authorId="0" shapeId="0" xr:uid="{00000000-0006-0000-1F00-000006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PROJECT_RELEVANCE_TESTS.budget_gaps</t>
        </r>
      </text>
    </comment>
    <comment ref="G1" authorId="0" shapeId="0" xr:uid="{00000000-0006-0000-1F00-000007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PROJECT_RELEVANCE_TESTS.negative_controls</t>
        </r>
      </text>
    </comment>
    <comment ref="H1" authorId="0" shapeId="0" xr:uid="{00000000-0006-0000-1F00-000008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PROJECT_RELEVANCE_TESTS.local_result</t>
        </r>
      </text>
    </comment>
    <comment ref="I1" authorId="0" shapeId="0" xr:uid="{00000000-0006-0000-1F00-000009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PROJECT_RELEVANCE_TESTS.content_acceptance</t>
        </r>
      </text>
    </comment>
    <comment ref="J1" authorId="0" shapeId="0" xr:uid="{00000000-0006-0000-1F00-00000A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PROJECT_RELEVANCE_TESTS.langdock_test</t>
        </r>
      </text>
    </comment>
    <comment ref="K1" authorId="0" shapeId="0" xr:uid="{00000000-0006-0000-1F00-00000B000000}">
      <text>
        <r>
          <rPr>
            <sz val="11"/>
            <color theme="1"/>
            <rFont val="Calibri"/>
            <family val="2"/>
            <scheme val="minor"/>
          </rPr>
          <t>See FIELD_DICTIONARY for PROJECT_RELEVANCE_TESTS.scope_note</t>
        </r>
      </text>
    </comment>
  </commentList>
</comments>
</file>

<file path=xl/sharedStrings.xml><?xml version="1.0" encoding="utf-8"?>
<sst xmlns="http://schemas.openxmlformats.org/spreadsheetml/2006/main" count="65070" uniqueCount="14310">
  <si>
    <t>DZIF Intelligence Master | v2.3</t>
  </si>
  <si>
    <t>Pflegequelle Excel  |  Geprueft am 29.10.2026  |  Routine: Competitor, Funding, BD</t>
  </si>
  <si>
    <t>ZWECK: Quellen und Entitaeten finden, projektbezogen auswaehlen und Recherche priorisieren.</t>
  </si>
  <si>
    <t>KEINE Ergebnisdatenbank: Phasen, Calls, Fristen, Deals und klinische Evidenz werden live verifiziert.</t>
  </si>
  <si>
    <t>Reservierte Firmen bleiben in Excel. JSON enthaelt nur operative Routen und deren Abhaengigkeiten.</t>
  </si>
  <si>
    <t>Organisationen</t>
  </si>
  <si>
    <t>M01 gesamt</t>
  </si>
  <si>
    <t>M01 operativ</t>
  </si>
  <si>
    <t>Funding-Routen</t>
  </si>
  <si>
    <t>Quellen</t>
  </si>
  <si>
    <t>Flagship-Pruefung</t>
  </si>
  <si>
    <t>11 reale DZIF-Beispiele; Scope, Korrektur und verbleibende Luecken.</t>
  </si>
  <si>
    <t>Effizienzentscheidungen</t>
  </si>
  <si>
    <t>Was bleibt, was archiviert ist und welche Unsicherheiten bestehen.</t>
  </si>
  <si>
    <t>Offene Datenpruefung</t>
  </si>
  <si>
    <t>Keine Pflicht zur erneuten Vollrecherche aller Reservefirmen.</t>
  </si>
  <si>
    <t>Modul</t>
  </si>
  <si>
    <t>Katalogzeilen</t>
  </si>
  <si>
    <t>Routine</t>
  </si>
  <si>
    <t>Funktion</t>
  </si>
  <si>
    <t>M01 | Competitor &amp; Asset Intelligence</t>
  </si>
  <si>
    <t>AKTIV</t>
  </si>
  <si>
    <t>Suchprofile</t>
  </si>
  <si>
    <t>M02 | Clinical Trial Intelligence</t>
  </si>
  <si>
    <t>RESERVIERT</t>
  </si>
  <si>
    <t>Quellenanker</t>
  </si>
  <si>
    <t>M03 | Scientific &amp; Technology Intelligence</t>
  </si>
  <si>
    <t>M04 | Regulatory Intelligence</t>
  </si>
  <si>
    <t>M05 | Funding Opportunities</t>
  </si>
  <si>
    <t>M06 | BD &amp; Partnering Intelligence</t>
  </si>
  <si>
    <t>M07 | Deal &amp; Investment Intelligence</t>
  </si>
  <si>
    <t>M08 | Conference &amp; Event Intelligence</t>
  </si>
  <si>
    <t>M09 | Clinical &amp; Medical Landscape</t>
  </si>
  <si>
    <t>M10 | IP &amp; Patent Intelligence</t>
  </si>
  <si>
    <t>M11 | CMC &amp; Manufacturing Intelligence</t>
  </si>
  <si>
    <t>M12 | Policy, Market &amp; Access Intelligence</t>
  </si>
  <si>
    <t>PFLEGE</t>
  </si>
  <si>
    <t>IDs erhalten; nur belegte neue Angaben eintragen. Pflichtfelder nicht leer lassen. Optionale Elternbeziehung, Alias oder API-Felder duerfen leer sein.</t>
  </si>
  <si>
    <t>AUSWAHL</t>
  </si>
  <si>
    <t>own_asset_ids im Projekt-Intake angeben. Gleicher Erreger ist nicht automatisch gleicher klinischer Zweck. Rueckstellungen sind sichtbar.</t>
  </si>
  <si>
    <t>EXPORT</t>
  </si>
  <si>
    <t>Mit export_master.py neu erzeugen. DISCOVERY/PAUSED/INACTIVE und unreferenzierte Entitaeten/Quellen werden nicht in den Standardexport geladen.</t>
  </si>
  <si>
    <t>ARCHIV</t>
  </si>
  <si>
    <t>Historische Seeds, Discovery Pool und 18 ausgelagerte Blaetter liegen unveraendert im Integrations-/Auditpaket; v2.2-Original ebenfalls enthalten.</t>
  </si>
  <si>
    <t>ABNAHME</t>
  </si>
  <si>
    <t>109 lokale technische Checks bestanden. 11 Flagships plus 13 Kontrastprofile. Keine externe Recall-Messung und kein Langdock-End-to-End-Test.</t>
  </si>
  <si>
    <t>RECHTE</t>
  </si>
  <si>
    <t>GlobalData-abgeleitete Inhalte nur im geklaerten Nutzungsrahmen. Privates GitHub-Repository allein ersetzt keine Weitergaberechte.</t>
  </si>
  <si>
    <t>module_id</t>
  </si>
  <si>
    <t>module_name</t>
  </si>
  <si>
    <t>sheet_name</t>
  </si>
  <si>
    <t>module_priority</t>
  </si>
  <si>
    <t>routine_enabled</t>
  </si>
  <si>
    <t>run_cadence</t>
  </si>
  <si>
    <t>candidate_cap</t>
  </si>
  <si>
    <t>max_live_checks</t>
  </si>
  <si>
    <t>discovery_queries</t>
  </si>
  <si>
    <t>freshness_days</t>
  </si>
  <si>
    <t>catalog_review_months</t>
  </si>
  <si>
    <t>selection_basis</t>
  </si>
  <si>
    <t>output_focus</t>
  </si>
  <si>
    <t>policy_note</t>
  </si>
  <si>
    <t>catalog_status</t>
  </si>
  <si>
    <t>integration_status</t>
  </si>
  <si>
    <t>default_query_id</t>
  </si>
  <si>
    <t>M01</t>
  </si>
  <si>
    <t>Competitor &amp; Asset Intelligence</t>
  </si>
  <si>
    <t>M01_COMPETITORS</t>
  </si>
  <si>
    <t>SEHR_HOCH</t>
  </si>
  <si>
    <t>YES</t>
  </si>
  <si>
    <t>MONTHLY</t>
  </si>
  <si>
    <t>EVIDENCE_TIER &gt; pathogen/indication/target &gt; MoA/modality &gt; stage &gt; specific topic &gt; base priority</t>
  </si>
  <si>
    <t>Asset / Wettbewerbsentwicklung</t>
  </si>
  <si>
    <t>Direct asset and clinical-context anchors precede general companies; no forced field quotas; all budget omissions visible.</t>
  </si>
  <si>
    <t>POPULATED_REFERENCE_INDEX</t>
  </si>
  <si>
    <t>LOCAL_SELECTOR_ONLY</t>
  </si>
  <si>
    <t>M01_ENTITY</t>
  </si>
  <si>
    <t>M02</t>
  </si>
  <si>
    <t>Clinical Trial Intelligence</t>
  </si>
  <si>
    <t>M02_CLINICAL</t>
  </si>
  <si>
    <t>NO</t>
  </si>
  <si>
    <t>SCOPE_MATCH;PROJECT_MATCH;PRIORITY;STABLE_ID</t>
  </si>
  <si>
    <t>Studie / Studiendelta</t>
  </si>
  <si>
    <t>Budget = Planungsannahme. Erst lokal filtern; Quellen nicht vollstaendig in Agentenprompt laden. Unabhaengige Discovery bleibt. Kein Persistenz-/Live-Connector-Test.</t>
  </si>
  <si>
    <t>M02_REGISTRY</t>
  </si>
  <si>
    <t>M03</t>
  </si>
  <si>
    <t>Scientific &amp; Technology Intelligence</t>
  </si>
  <si>
    <t>M03_SCI_TECH</t>
  </si>
  <si>
    <t>QUARTERLY</t>
  </si>
  <si>
    <t>Publikation / Technologieentwicklung</t>
  </si>
  <si>
    <t>M03_LITERATURE</t>
  </si>
  <si>
    <t>M04</t>
  </si>
  <si>
    <t>Regulatory Intelligence</t>
  </si>
  <si>
    <t>M04_REGULATORY</t>
  </si>
  <si>
    <t>Regulatorisches Dokument / Änderung</t>
  </si>
  <si>
    <t>M04_GUIDANCE</t>
  </si>
  <si>
    <t>M05</t>
  </si>
  <si>
    <t>Funding Opportunities</t>
  </si>
  <si>
    <t>M05_FUNDING</t>
  </si>
  <si>
    <t>WEEKLY</t>
  </si>
  <si>
    <t>Call / Förderchance</t>
  </si>
  <si>
    <t>M05_SOURCE</t>
  </si>
  <si>
    <t>M06</t>
  </si>
  <si>
    <t>BD &amp; Partnering Intelligence</t>
  </si>
  <si>
    <t>M06_BD_PARTNERS</t>
  </si>
  <si>
    <t>Partnerkandidat / Strategisches Signal</t>
  </si>
  <si>
    <t>Equity only with explicit company/spinout financing strategy; licensing, co-development and nonprofit R&amp;D assessed separately.</t>
  </si>
  <si>
    <t>M06_ENTITY</t>
  </si>
  <si>
    <t>M07</t>
  </si>
  <si>
    <t>Deal &amp; Investment Intelligence</t>
  </si>
  <si>
    <t>M07_DEALS</t>
  </si>
  <si>
    <t>HOCH</t>
  </si>
  <si>
    <t>Transaktion / Finanzierung</t>
  </si>
  <si>
    <t>Optional watches only. Activation requires validated deal-event results schema and explicit approval; master contains NO transactions.</t>
  </si>
  <si>
    <t>RESERVED_DEAL_EVENT_STORE_NOT_VALIDATED</t>
  </si>
  <si>
    <t>M07_ENTITY</t>
  </si>
  <si>
    <t>M08</t>
  </si>
  <si>
    <t>Conference &amp; Event Intelligence</t>
  </si>
  <si>
    <t>M08_EVENTS</t>
  </si>
  <si>
    <t>Event-Ausgabe / Deadline</t>
  </si>
  <si>
    <t>M08_EVENT</t>
  </si>
  <si>
    <t>M09</t>
  </si>
  <si>
    <t>Clinical &amp; Medical Landscape</t>
  </si>
  <si>
    <t>M09_MEDICAL</t>
  </si>
  <si>
    <t>Leitlinien-/SoC-Update</t>
  </si>
  <si>
    <t>M10</t>
  </si>
  <si>
    <t>IP &amp; Patent Intelligence</t>
  </si>
  <si>
    <t>M10_IP_PATENT</t>
  </si>
  <si>
    <t>MITTEL_HOCH</t>
  </si>
  <si>
    <t>Patentfamilie / neue Anmeldung</t>
  </si>
  <si>
    <t>M10_PATENT</t>
  </si>
  <si>
    <t>M11</t>
  </si>
  <si>
    <t>CMC &amp; Manufacturing Intelligence</t>
  </si>
  <si>
    <t>M11_CMC</t>
  </si>
  <si>
    <t>MITTEL</t>
  </si>
  <si>
    <t>CMC-Standard / Technologie / Lieferant</t>
  </si>
  <si>
    <t>M12</t>
  </si>
  <si>
    <t>Policy, Market &amp; Access Intelligence</t>
  </si>
  <si>
    <t>M12_POLICY_ACCESS</t>
  </si>
  <si>
    <t>Policy-/Access-Entwicklung</t>
  </si>
  <si>
    <t>M12_POLICY</t>
  </si>
  <si>
    <t>project_id</t>
  </si>
  <si>
    <t>project_name</t>
  </si>
  <si>
    <t>scope</t>
  </si>
  <si>
    <t>change</t>
  </si>
  <si>
    <t>official_url</t>
  </si>
  <si>
    <t>scenario_assumption</t>
  </si>
  <si>
    <t>m01_profiles_before</t>
  </si>
  <si>
    <t>m01_profiles_after</t>
  </si>
  <si>
    <t>m01_planned_live_requests</t>
  </si>
  <si>
    <t>important_anchors</t>
  </si>
  <si>
    <t>remaining_gap</t>
  </si>
  <si>
    <t>acceptance</t>
  </si>
  <si>
    <t>DZIF-FLAG-HEV</t>
  </si>
  <si>
    <t>HEVbnAb</t>
  </si>
  <si>
    <t>HEV / neutralisierender Antikoerper / akute und chronische Infektion</t>
  </si>
  <si>
    <t>Spezifische HEV-Indikationen ergaenzt; Hecolin als Praeventionsprodukt herabgestuft.</t>
  </si>
  <si>
    <t>https://www.dzif.de/de/hevbnab-breit-neutralisierende-antikoerper-gegen-das-hepatitis-e-virus</t>
  </si>
  <si>
    <t>Academic applicant, no equity strategy; scenario phase only for routing test, not independently verified current study status.</t>
  </si>
  <si>
    <t>DIRECT_COMPETITOR_DISCOVERY_OPEN</t>
  </si>
  <si>
    <t>Kein direkt konkurrierendes therapeutisches HEV-mAb-Programm in dieser gezielten Recherche belegt; offene akademische/klinische Suche bleibt notwendig.</t>
  </si>
  <si>
    <t>LOCAL_ROUTING_OBSERVED; NOT_EXTERNAL_RECALL; LANGDOCK_NOT_RUN</t>
  </si>
  <si>
    <t>DZIF-FLAG-EVREA</t>
  </si>
  <si>
    <t>EVREA-Phage</t>
  </si>
  <si>
    <t>E. faecium / lebende Phagen / intestinale VRE-Dekolonisierung</t>
  </si>
  <si>
    <t>E_FAECIUM und Dekolonisierung ergaenzt; SNIPR001 bleibt E.-coli-Kontextalternative.</t>
  </si>
  <si>
    <t>https://www.dzif.de/de/evrea-phage-mit-phagen-gegen-das-darmbakterium-enterococcus-faecium</t>
  </si>
  <si>
    <t>SNIPR Biome ApS: PLANNED</t>
  </si>
  <si>
    <t>Kein direkter E.-faecium-Phagenkonkurrent belegt. Andere Spezies, systemische Therapie und Dekolonisierung nicht gleichsetzen.</t>
  </si>
  <si>
    <t>DZIF-FLAG-PANTIPA</t>
  </si>
  <si>
    <t>PANTIPA / UHC-D9b</t>
  </si>
  <si>
    <t>P. aeruginosa / anti-PcrV / HAP-VAP-Therapieszenario</t>
  </si>
  <si>
    <t>Spezifische Anker geschuetzt; hoechstens fuenf allgemeine Firmenprofile; akademische Discovery erhalten.</t>
  </si>
  <si>
    <t>https://www.dzif.de/de/pantipa-monoklonale-antikoerper-gegen-pseudomonas-aeruginosa</t>
  </si>
  <si>
    <t>User-supplied HAP/VAP treatment scenario; public DZIF page also discusses prophylaxis. PRECLINICAL/CMC test input, not a verified current phase.</t>
  </si>
  <si>
    <t>Infex Therapeutics: PLANNED; AstraZeneca: PLANNED; Armata Pharmaceuticals: PLANNED</t>
  </si>
  <si>
    <t>NCFB/CF ist nicht akute HAP/VAP. Aktuelle Phase, Aktivitaet, Differenzierung und Versorgungskontext live pruefen.</t>
  </si>
  <si>
    <t>DZIF-FLAG-H052</t>
  </si>
  <si>
    <t>H052 / alpha-toxin small molecules</t>
  </si>
  <si>
    <t>S. aureus / alpha-Toxin-Inhibition / Small Molecule / Pneumonie</t>
  </si>
  <si>
    <t>AR-301 als Target-/Indikationsalternative ergaenzt; IBT-Niedersachsen als Forschungsroute.</t>
  </si>
  <si>
    <t>https://www.dzif.de/de/niedermolekulare-inhibitoren-des-alpha-toxins-von-staphylococcus-aureus-gegen-schwere</t>
  </si>
  <si>
    <t>Aridis Pharmaceuticals Inc: PLANNED</t>
  </si>
  <si>
    <t>Aktuelle Fortfuehrung/Rechte und Studienergebnisse von AR-301 unabhaengig pruefen; anderer Wirkstofftyp.</t>
  </si>
  <si>
    <t>DZIF-FLAG-BTZ043</t>
  </si>
  <si>
    <t>BTZ-043</t>
  </si>
  <si>
    <t>M. tuberculosis / DprE1 / Small Molecule / Kombinationstherapie</t>
  </si>
  <si>
    <t>Otsuka mit offizieller Pipeline und Quabodepistat-Anker nachqualifiziert.</t>
  </si>
  <si>
    <t>https://www.dzif.de/de/neuer-wirkstoff-btz-043-gegen-tuberkulose</t>
  </si>
  <si>
    <t>Otsuka Pharmaceutical Co Ltd: PLANNED; TB Alliance: PLANNED</t>
  </si>
  <si>
    <t>Kombinationsregime und aktuelle Studienaktivitaet nicht im Master gepflegt. Weitere DprE1-/Regimenprogramme live recherchieren.</t>
  </si>
  <si>
    <t>DZIF-FLAG-HY133</t>
  </si>
  <si>
    <t>HY-133</t>
  </si>
  <si>
    <t>S. aureus / Endolysin-Protein / nasale Dekolonisierung</t>
  </si>
  <si>
    <t>ENDOLYSIN getrennt von PHAGE; HYpharm/HY-133 im eigenen Projekt nicht als Konkurrenz.</t>
  </si>
  <si>
    <t>https://www.dzif.de/de/neuer-wirkstoff-gegen-krankenhauskeim</t>
  </si>
  <si>
    <t>Direkte nasale Dekolonisierungsalternativen und Standard of Care fehlen als vollstaendig qualifizierte Asset-Liste; gezielte offene Suche.</t>
  </si>
  <si>
    <t>DZIF-FLAG-CORA</t>
  </si>
  <si>
    <t>Corallopyronin A</t>
  </si>
  <si>
    <t>Filarienindikation / Wolbachia-Symbiont / Corallopyronin A</t>
  </si>
  <si>
    <t>Filarien und Wolbachia getrennt; DNDi/Emodepsid als klinisch anderer Ansatz.</t>
  </si>
  <si>
    <t>https://www.dzif.de/de/corallopyronin-neues-antibiotikum-gegen-wurminfektionen</t>
  </si>
  <si>
    <t>Drugs for Neglected Diseases initiative: PLANNED</t>
  </si>
  <si>
    <t>DNDi hat zugleich Partner- und alternative Asset-Rollen. Weitere antifilariale Programme und Phase live verifizieren.</t>
  </si>
  <si>
    <t>DZIF-FLAG-MERS</t>
  </si>
  <si>
    <t>MVA-MERS-S</t>
  </si>
  <si>
    <t>MERS-CoV / MVA-Vektorimpfstoff / Praevention</t>
  </si>
  <si>
    <t>Oxford/ChAdOx1-MERS aus vorhandener Reserve mit stabiler ID uebernommen.</t>
  </si>
  <si>
    <t>https://www.dzif.de/de/entwicklung-eines-mers-impfstoffes</t>
  </si>
  <si>
    <t>University of Oxford: PLANNED</t>
  </si>
  <si>
    <t>Oxford-Ankuendigung belegt historischen Programmscope, nicht aktuelle Aktivitaet oder heutige Lizenzrechte.</t>
  </si>
  <si>
    <t>DZIF-FLAG-EBV</t>
  </si>
  <si>
    <t>EBV vaccine / VLP</t>
  </si>
  <si>
    <t>EBV / VLP-Impfstoff / Praevention der Mononukleose</t>
  </si>
  <si>
    <t>Moderna/mRNA-1189-Praeventionsanker; EBV-PTLD-Zelltherapie nicht als direkte Impfkonkurrenz.</t>
  </si>
  <si>
    <t>https://www.dzif.de/de/ein-impfstoff-gegen-das-epstein-barr-virus</t>
  </si>
  <si>
    <t>Moderna: PLANNED</t>
  </si>
  <si>
    <t>EBViously-Projektrolle und aktuelle Kandidaten/Studien live klaeren; Impfziel von PTLD-Therapie trennen.</t>
  </si>
  <si>
    <t>DZIF-FLAG-THERVACB</t>
  </si>
  <si>
    <t>TherVacB</t>
  </si>
  <si>
    <t>HBV / therapeutische Impfung / chronische Infektion</t>
  </si>
  <si>
    <t>THERAPEUTIC_VACCINE separat; BRII-179-Anker statt generischer Praeventionsprofile.</t>
  </si>
  <si>
    <t>https://www.dzif.de/de/thervacb-eine-therapeutische-impfung-gegen-hepatitis-b</t>
  </si>
  <si>
    <t>Brii Biosciences Ltd: PLANNED</t>
  </si>
  <si>
    <t>Aktuelle Kombinationen, Rekrutierung und Impfregime gehoeren in die Ergebnisdatenbank; Uebersichtsseite enthaelt alte Zeitangaben.</t>
  </si>
  <si>
    <t>DZIF-FLAG-HEPCLUDEX</t>
  </si>
  <si>
    <t>Hepcludex / bulevirtide</t>
  </si>
  <si>
    <t>HDV / Bulevirtid-Peptid / zugelassenes Translationsbeispiel</t>
  </si>
  <si>
    <t>Eigenes Bulevirtid ausgeschlossen, Vir/Assembly als Alternativen erhalten; kein Fruehphasen-Funding-Test.</t>
  </si>
  <si>
    <t>https://www.dzif.de/de/hepcludex-erstes-medikament-fuer-hepatitis-d-zugelassen</t>
  </si>
  <si>
    <t>Approved reference; industry/non-equity scenario for M01/M06 only. No fresh clinical-stage inference from overview.</t>
  </si>
  <si>
    <t>Vir Biotechnology Inc: PLANNED; Assembly Biosciences: PLANNED</t>
  </si>
  <si>
    <t>Zugelassener Referenzfall, kein neues fruehes Entwicklungsprojekt. Aktuelle HDV-Alternativen und Access-Fragen bleiben live.</t>
  </si>
  <si>
    <t>review_id</t>
  </si>
  <si>
    <t>area</t>
  </si>
  <si>
    <t>decision</t>
  </si>
  <si>
    <t>action</t>
  </si>
  <si>
    <t>remaining_validation</t>
  </si>
  <si>
    <t>status</t>
  </si>
  <si>
    <t>EFF-01</t>
  </si>
  <si>
    <t>PURPOSE</t>
  </si>
  <si>
    <t>KEEP</t>
  </si>
  <si>
    <t>Master als kuratiertes Such- und Routingverzeichnis. Keine aktuellen Phasen, Calls oder Deals als Stammdaten.</t>
  </si>
  <si>
    <t>Live-Befunde separat versionieren.</t>
  </si>
  <si>
    <t>CLOSED_STRUCTURE</t>
  </si>
  <si>
    <t>EFF-02</t>
  </si>
  <si>
    <t>WORKBOOK</t>
  </si>
  <si>
    <t>SIMPLIFY</t>
  </si>
  <si>
    <t>49 Blaetter zuvor; 18 historische, doppelte oder Reserveblaetter ins Auditarchiv; zwei konzentrierte Pruefuebersichten neu.</t>
  </si>
  <si>
    <t>Operative Module/IDs/Provenance erhalten.</t>
  </si>
  <si>
    <t>EFF-03</t>
  </si>
  <si>
    <t>FIELDS</t>
  </si>
  <si>
    <t>ARCHIVE</t>
  </si>
  <si>
    <t>Drei ungenutzte HQ-Felder, leeres MATCH_RULES.rule_id und zwei ungenutzte Seed-Schalter entfernt.</t>
  </si>
  <si>
    <t>HQ ist kein Nachweis der Antragsregion. Archive erhaelt Werte.</t>
  </si>
  <si>
    <t>EFF-04</t>
  </si>
  <si>
    <t>DISCOVERY_ROWS</t>
  </si>
  <si>
    <t>EXCLUDE_FROM_RUNTIME</t>
  </si>
  <si>
    <t>141 M01-Discovery-Profile und ein M05-Discovery-Eintrag bleiben in Excel, nicht im Standard-JSON.</t>
  </si>
  <si>
    <t>Promote nur nach Quellenpruefung. Unabhaengige Discovery bleibt.</t>
  </si>
  <si>
    <t>EFF-05</t>
  </si>
  <si>
    <t>RUNTIME_GRAPH</t>
  </si>
  <si>
    <t>PRUNE_EXPORT</t>
  </si>
  <si>
    <t>Runtime enthaelt nur referenzierte Organisationen und Quellen, inkl. Parent-/Canonical-Abhaengigkeiten.</t>
  </si>
  <si>
    <t>Vollstaendige Registry bleibt in Excel.</t>
  </si>
  <si>
    <t>EFF-06</t>
  </si>
  <si>
    <t>BLANK_FIELDS</t>
  </si>
  <si>
    <t>DISTINGUISH</t>
  </si>
  <si>
    <t>Alle notwendigen IDs, Verknuepfungen, Prioritaeten und Statusfelder geprueft. Optionale Beziehungen/API-Felder duerfen leer sein.</t>
  </si>
  <si>
    <t>UNKNOWN bedeutet unbekannt, nicht nicht vorhanden; keine erfundenen Details.</t>
  </si>
  <si>
    <t>PARTIAL_CONTENT</t>
  </si>
  <si>
    <t>EFF-07</t>
  </si>
  <si>
    <t>FUNDING_GEO</t>
  </si>
  <si>
    <t>KEEP_AND_FIX</t>
  </si>
  <si>
    <t>Regionale Auswahl fuer alle 16 Bundeslaender erhalten; EU-Erweiterung von vier auf alle 27 Laendercodes korrigiert.</t>
  </si>
  <si>
    <t>Region ist Suchscope, keine rechtsverbindliche Foerderfaehigkeit.</t>
  </si>
  <si>
    <t>CLOSED_ROUTING</t>
  </si>
  <si>
    <t>EFF-08</t>
  </si>
  <si>
    <t>FUNDING_IBT</t>
  </si>
  <si>
    <t>ADD_TARGETED</t>
  </si>
  <si>
    <t>IBT Lower Saxony als eine zusaetzliche Forschungs-Translationsroute ergaenzt.</t>
  </si>
  <si>
    <t>Unterprogramme, Standort, IP/Spinout-Anforderungen und offene Frist live pruefen.</t>
  </si>
  <si>
    <t>SCOPE_ONLY</t>
  </si>
  <si>
    <t>EFF-09</t>
  </si>
  <si>
    <t>OWN_ASSETS</t>
  </si>
  <si>
    <t>FIX</t>
  </si>
  <si>
    <t>Eigene Asset-IDs werden vom Konkurrenzranking getrennt, andere Programme derselben Organisation bleiben moeglich.</t>
  </si>
  <si>
    <t>Intake muss own_asset_ids liefern; keine automatische Kenntnis privater Projektrollen.</t>
  </si>
  <si>
    <t>EFF-10</t>
  </si>
  <si>
    <t>CLINICAL_PURPOSE</t>
  </si>
  <si>
    <t>Praevention, Therapie, Dekolonisierung und Diagnostik getrennt; Endolysine sind keine lebenden Phagen.</t>
  </si>
  <si>
    <t>Andere Modalitaeten im gleichen klinischen Kontext bleiben beruecksichtigt.</t>
  </si>
  <si>
    <t>EFF-11</t>
  </si>
  <si>
    <t>GENERAL_BREADTH</t>
  </si>
  <si>
    <t>LIMIT</t>
  </si>
  <si>
    <t>Maximal fuenf allgemeine M01-Firmenprofile pro Lauf; spezifische Asset-Anker und Must-Watches nicht davon betroffen.</t>
  </si>
  <si>
    <t>Zurueckstellungen als Coverage Gaps; kein Recall-Nachweis oder Kostenversprechen.</t>
  </si>
  <si>
    <t>PILOT_POLICY</t>
  </si>
  <si>
    <t>EFF-12</t>
  </si>
  <si>
    <t>FLAGSHIP_COVERAGE</t>
  </si>
  <si>
    <t>TEST</t>
  </si>
  <si>
    <t>Elf offizielle Beispiele abgebildet; 13 vorab benannte Suchanker im lokalen Plan enthalten.</t>
  </si>
  <si>
    <t>Keine vollstaendige Markt-, Phase-, SoC- oder Ergebnispruefung. HEV/EVREA/HY-133 behalten gezielte Luecken.</t>
  </si>
  <si>
    <t>EFF-13</t>
  </si>
  <si>
    <t>SCOPE_UPDATES</t>
  </si>
  <si>
    <t>ENRICH</t>
  </si>
  <si>
    <t>Acht vorhandene Organisationsprofile nachqualifiziert; Oxford aus Reserve mit gleicher ID, neun spezifische Anker.</t>
  </si>
  <si>
    <t>Aktuelle Entwicklungsstaende und Rechte nicht aus den Suchankern ableiten.</t>
  </si>
  <si>
    <t>EFF-14</t>
  </si>
  <si>
    <t>SOURCE_ACCESS</t>
  </si>
  <si>
    <t>RETAIN_GAPS</t>
  </si>
  <si>
    <t>Fehlgeschlagene/gerenderte Abrufe getrennt von Quellenidentitaet; BfArM 403 dokumentiert.</t>
  </si>
  <si>
    <t>Kein Live-Langdock-Zugriff nachgewiesen.</t>
  </si>
  <si>
    <t>OPEN_INTEGRATION</t>
  </si>
  <si>
    <t>EFF-15</t>
  </si>
  <si>
    <t>UNKNOWN_COMPANIES</t>
  </si>
  <si>
    <t>NO_FABRICATION</t>
  </si>
  <si>
    <t>202 von 244 M01-Profilen ohne spezifischen Pathogen/Indikations-Tag; 140 nur Namenssuche.</t>
  </si>
  <si>
    <t>Reserve nicht als verifiziert ausgeben. Relevante Programmanreicherung folgt Discovery, nicht Vollpruefung aller Firmen.</t>
  </si>
  <si>
    <t>OPEN_CONTENT</t>
  </si>
  <si>
    <t>EFF-16</t>
  </si>
  <si>
    <t>TESTS</t>
  </si>
  <si>
    <t>SEPARATE</t>
  </si>
  <si>
    <t>109 ausgefuehrte technische Checks sowie 11 reale und 13 kontrastierende Projektprofile getrennt dokumentiert.</t>
  </si>
  <si>
    <t>Tests = lokal; fachliche Vollstaendigkeit und Langdock End-to-End offen.</t>
  </si>
  <si>
    <t>LOCAL_ONLY</t>
  </si>
  <si>
    <t>record_id</t>
  </si>
  <si>
    <t>entity_id</t>
  </si>
  <si>
    <t>entity_name</t>
  </si>
  <si>
    <t>record_type</t>
  </si>
  <si>
    <t>topic_tags</t>
  </si>
  <si>
    <t>pathogen_tags</t>
  </si>
  <si>
    <t>indication_tags</t>
  </si>
  <si>
    <t>modality_tags</t>
  </si>
  <si>
    <t>search_terms</t>
  </si>
  <si>
    <t>source_id</t>
  </si>
  <si>
    <t>base_priority</t>
  </si>
  <si>
    <t>evidence_scope</t>
  </si>
  <si>
    <t>provenance_id</t>
  </si>
  <si>
    <t>cautions</t>
  </si>
  <si>
    <t>source_url</t>
  </si>
  <si>
    <t>watch_policy</t>
  </si>
  <si>
    <t>M01-CMP-02e13c78d23</t>
  </si>
  <si>
    <t>CMP-02e13c78d23</t>
  </si>
  <si>
    <t>COMPANY_WATCH</t>
  </si>
  <si>
    <t>HAI;ANTIBACTERIAL;AMR</t>
  </si>
  <si>
    <t>S_AUREUS</t>
  </si>
  <si>
    <t>NASAL_DECOLONIZATION</t>
  </si>
  <si>
    <t>ENDOLYSIN;PROTEIN</t>
  </si>
  <si>
    <t>Hypharm;HY-133;HY133;HYpharm;endolysin;nasal decolonization</t>
  </si>
  <si>
    <t>SRC-V23-HYPHARM</t>
  </si>
  <si>
    <t>P1</t>
  </si>
  <si>
    <t>ACTIVE</t>
  </si>
  <si>
    <t>INDEX_PLUS_SOURCE_SCOPE</t>
  </si>
  <si>
    <t>PR-RAD-CMP-02e13c78d23</t>
  </si>
  <si>
    <t>Specific programme scope is in MATCH_ANCHORS; no verified current phase or blanket competitor role. Own-project context supplied by intake.</t>
  </si>
  <si>
    <t>CONDITIONAL</t>
  </si>
  <si>
    <t>M01-CMP-0c4fb4ab435</t>
  </si>
  <si>
    <t>CMP-0c4fb4ab435</t>
  </si>
  <si>
    <t>ENTITY_WATCH</t>
  </si>
  <si>
    <t>VIRAL;HSV;IMMUNOCOMPROMISED</t>
  </si>
  <si>
    <t>HSV;BK_POLYOMAVIRUS</t>
  </si>
  <si>
    <t>HSV_INFECTION</t>
  </si>
  <si>
    <t>SMALL_MOLECULE;RNA</t>
  </si>
  <si>
    <t>AiCuris Anti-infective Cures AG</t>
  </si>
  <si>
    <t>SRC-V2-AICURIS</t>
  </si>
  <si>
    <t>SOURCE_BACKED_SCOPE_NOT_CURRENT_ASSET_STATUS</t>
  </si>
  <si>
    <t>PR-V2-M01-CMP-0c4fb4ab435</t>
  </si>
  <si>
    <t>Projektfit pruefen; nicht automatisch direkter Wettbewerber.</t>
  </si>
  <si>
    <t>M01-CMP-0fd9a9b02c5</t>
  </si>
  <si>
    <t>CMP-0fd9a9b02c5</t>
  </si>
  <si>
    <t>HAI;ANTIBACTERIAL;MUCOSAL_INFECTIONS;IMMUNOCOMPROMISED</t>
  </si>
  <si>
    <t>UNKNOWN</t>
  </si>
  <si>
    <t>MICROBIOME</t>
  </si>
  <si>
    <t>Seres Therapeutics Inc</t>
  </si>
  <si>
    <t>SRC-RAD-6f35534e04</t>
  </si>
  <si>
    <t>GD_SNAPSHOT_PROXY</t>
  </si>
  <si>
    <t>PR-RAD-CMP-0fd9a9b02c5</t>
  </si>
  <si>
    <t>Themen/Modalitaeten sind Suchhinweise. Aktive Assets, Phase, Indikation und Konkurrenzstatus immer live verifizieren.</t>
  </si>
  <si>
    <t>M01-CMP-13b02aead78</t>
  </si>
  <si>
    <t>CMP-13b02aead78</t>
  </si>
  <si>
    <t>HAI</t>
  </si>
  <si>
    <t>DIAGNOSTIC</t>
  </si>
  <si>
    <t>Profionics</t>
  </si>
  <si>
    <t>SRC-RAD-dd4d6ddb44</t>
  </si>
  <si>
    <t>CURATED_SOURCE_ASSOCIATION</t>
  </si>
  <si>
    <t>PR-RAD-CMP-13b02aead78</t>
  </si>
  <si>
    <t>Themen/Modalitaeten sind Suchhinweise. Aktive Assets, Phase, Indikation und Konkurrenzstatus immer live verifizieren. GD-Nullwerte bedeuten fehlende Abdeckung, nicht Nullportfolio.</t>
  </si>
  <si>
    <t>M01-CMP-1a319a119c8</t>
  </si>
  <si>
    <t>CMP-1a319a119c8</t>
  </si>
  <si>
    <t>VIRAL;VACCINE;PANDEMIC;RESPIRATORY</t>
  </si>
  <si>
    <t>RNA;VACCINE;PLATFORM</t>
  </si>
  <si>
    <t>Arcturus Therapeutics</t>
  </si>
  <si>
    <t>SRC-BD-033</t>
  </si>
  <si>
    <t>BD_DERIVED_SEARCH_HINT</t>
  </si>
  <si>
    <t>PR-BD-033</t>
  </si>
  <si>
    <t>Ergaenzung aus BD-Katalog; kein Nachweis eines aktuellen konkurrierenden Assets. Primaere Pipeline separat pruefen.</t>
  </si>
  <si>
    <t>M01-CMP-1c39dd558a2</t>
  </si>
  <si>
    <t>CMP-1c39dd558a2</t>
  </si>
  <si>
    <t>HAI;IMMUNOCOMPROMISED;MICROBIOME</t>
  </si>
  <si>
    <t>C_DIFFICILE</t>
  </si>
  <si>
    <t>RECURRENT_CDI</t>
  </si>
  <si>
    <t>Ferring;Rebyota;microbiome</t>
  </si>
  <si>
    <t>SRC-FERRING</t>
  </si>
  <si>
    <t>PR-RAD-CMP-1c39dd558a2</t>
  </si>
  <si>
    <t>GD active=0 war fehlende GD-Abdeckung; nicht als leere Pipeline verwenden.</t>
  </si>
  <si>
    <t>M01-CMP-1dc25b959ce</t>
  </si>
  <si>
    <t>CMP-1dc25b959ce</t>
  </si>
  <si>
    <t>HIV;ANTIBACTERIAL;EMERGING_INFECTIONS;TUBERCULOSIS;NTD;MUCOSAL_INFECTIONS</t>
  </si>
  <si>
    <t>VACCINE</t>
  </si>
  <si>
    <t>BioNTech;BioNTech SE</t>
  </si>
  <si>
    <t>SRC-BD-011</t>
  </si>
  <si>
    <t>PR-RAD-CMP-1dc25b959ce</t>
  </si>
  <si>
    <t>M01-CMP-24531a6b01f</t>
  </si>
  <si>
    <t>CMP-24531a6b01f</t>
  </si>
  <si>
    <t>HIV;EMERGING_INFECTIONS;MUCOSAL_INFECTIONS;IMMUNOCOMPROMISED;VIRAL;VACCINE</t>
  </si>
  <si>
    <t>EBV</t>
  </si>
  <si>
    <t>INFECTIOUS_MONONUCLEOSIS</t>
  </si>
  <si>
    <t>VACCINE;MRNA_VACCINE</t>
  </si>
  <si>
    <t>Moderna;Moderna Inc;mRNA-1189;Epstein-Barr vaccine</t>
  </si>
  <si>
    <t>SRC-BD-012</t>
  </si>
  <si>
    <t>PR-RAD-CMP-24531a6b01f</t>
  </si>
  <si>
    <t>M01-CMP-272f19fd220</t>
  </si>
  <si>
    <t>CMP-272f19fd220</t>
  </si>
  <si>
    <t>ANTIBACTERIAL;EMERGING_INFECTIONS;TUBERCULOSIS;NTD</t>
  </si>
  <si>
    <t>VACCINE;ANTIBODY</t>
  </si>
  <si>
    <t>Serum Institute of India;Serum Institute of India Pvt Ltd;SII</t>
  </si>
  <si>
    <t>SRC-BD-018</t>
  </si>
  <si>
    <t>PR-RAD-CMP-272f19fd220</t>
  </si>
  <si>
    <t>M01-CMP-2e66edddf5d</t>
  </si>
  <si>
    <t>CMP-2e66edddf5d</t>
  </si>
  <si>
    <t>HAI;ANTIBACTERIAL;IMMUNOCOMPROMISED</t>
  </si>
  <si>
    <t>Vedanta Biosciences Inc</t>
  </si>
  <si>
    <t>SRC-RAD-d19726318a</t>
  </si>
  <si>
    <t>PR-RAD-CMP-2e66edddf5d</t>
  </si>
  <si>
    <t>M01-CMP-3150ecd5e02</t>
  </si>
  <si>
    <t>CMP-3150ecd5e02</t>
  </si>
  <si>
    <t>VACCINE;MALARIA;GLOBAL_HEALTH</t>
  </si>
  <si>
    <t>ANY</t>
  </si>
  <si>
    <t>VACCINE;ANTIBODY;DIAGNOSTIC</t>
  </si>
  <si>
    <t>PATH</t>
  </si>
  <si>
    <t>SRC-V2-PATH</t>
  </si>
  <si>
    <t>PUBLIC_SCOPE_NOT_LIVE_ASSET</t>
  </si>
  <si>
    <t>PR-V2-M01-CMP-3150ecd5e02</t>
  </si>
  <si>
    <t>M01-CMP-335ff7e594c</t>
  </si>
  <si>
    <t>CMP-335ff7e594c</t>
  </si>
  <si>
    <t>HAI;ANTIBACTERIAL;EMERGING_INFECTIONS;MUCOSAL_INFECTIONS</t>
  </si>
  <si>
    <t>Pfizer;infectious diseases;vaccines</t>
  </si>
  <si>
    <t>SRC-PFIZER-PIPE</t>
  </si>
  <si>
    <t>PR-RAD-CMP-335ff7e594c</t>
  </si>
  <si>
    <t>Keine konkrete Konkurrenzklassifikation oder aktuelle Phase ableiten; andere Modalitaeten nicht pauschal ausschliessen.</t>
  </si>
  <si>
    <t>M01-CMP-33c76a2d988</t>
  </si>
  <si>
    <t>CMP-33c76a2d988</t>
  </si>
  <si>
    <t>IMMUNOTHERAPY</t>
  </si>
  <si>
    <t>Centauri Therapeutics</t>
  </si>
  <si>
    <t>SRC-CENTAURI</t>
  </si>
  <si>
    <t>PARTIAL_PRIMARY_SCOPE_CHECK</t>
  </si>
  <si>
    <t>PR-RAD-CMP-33c76a2d988</t>
  </si>
  <si>
    <t>Alphamer = Immuntherapie mit Rekrutierung vorhandener Antikoerper, nicht automatisch mAb. Historischer MAB-Tag nur im Herkunftsnachweis.</t>
  </si>
  <si>
    <t>M01-CMP-36f899e5b8d</t>
  </si>
  <si>
    <t>CMP-36f899e5b8d</t>
  </si>
  <si>
    <t>HIV;HAI;TUBERCULOSIS</t>
  </si>
  <si>
    <t>Cepheid</t>
  </si>
  <si>
    <t>SRC-RAD-b6e19f6da9</t>
  </si>
  <si>
    <t>PR-RAD-CMP-36f899e5b8d</t>
  </si>
  <si>
    <t>M01-CMP-384891abbee</t>
  </si>
  <si>
    <t>CMP-384891abbee</t>
  </si>
  <si>
    <t>HIV;HEPATITIS;HAI;EMERGING_INFECTIONS;MUCOSAL_INFECTIONS;IMMUNOCOMPROMISED</t>
  </si>
  <si>
    <t>HIV;HBV;HDV</t>
  </si>
  <si>
    <t>HIV;CHRONIC_HBV;CHRONIC_HDV</t>
  </si>
  <si>
    <t>SMALL_MOLECULE;PEPTIDE</t>
  </si>
  <si>
    <t>Gilead Sciences;Gilead Sciences Inc;bulevirtide;Hepcludex;HDV</t>
  </si>
  <si>
    <t>SRC-BD-015</t>
  </si>
  <si>
    <t>PR-RAD-CMP-384891abbee</t>
  </si>
  <si>
    <t>M01-CMP-3a0fa1b3462</t>
  </si>
  <si>
    <t>CMP-3a0fa1b3462</t>
  </si>
  <si>
    <t>P_AERUGINOSA</t>
  </si>
  <si>
    <t>CF;NCFB</t>
  </si>
  <si>
    <t>PHAGE</t>
  </si>
  <si>
    <t>Armata;AP-PA02;Pseudomonas</t>
  </si>
  <si>
    <t>SRC-ARMATA</t>
  </si>
  <si>
    <t>PR-RAD-CMP-3a0fa1b3462</t>
  </si>
  <si>
    <t>M01-CMP-3d4eedeeed7</t>
  </si>
  <si>
    <t>CMP-3d4eedeeed7</t>
  </si>
  <si>
    <t>VIRAL;BACTERIAL;VACCINE</t>
  </si>
  <si>
    <t>VACCINE;PLATFORM;CELL_GENE_THERAPY</t>
  </si>
  <si>
    <t>Eli Lilly</t>
  </si>
  <si>
    <t>SRC-BD-008</t>
  </si>
  <si>
    <t>PR-BD-008</t>
  </si>
  <si>
    <t>M01-CMP-3f134522796</t>
  </si>
  <si>
    <t>CMP-3f134522796</t>
  </si>
  <si>
    <t>HIV;HEPATITIS;HAI;ANTIBACTERIAL;EMERGING_INFECTIONS;NTD;MUCOSAL_INFECTIONS;IMMUNOCOMPROMISED</t>
  </si>
  <si>
    <t>MSD / Merck &amp; Co.;Merck &amp; Co Inc;Merck &amp; Co.;MSD</t>
  </si>
  <si>
    <t>SRC-BD-002</t>
  </si>
  <si>
    <t>PR-RAD-CMP-3f134522796</t>
  </si>
  <si>
    <t>M01-CMP-3f2e0eccbeb</t>
  </si>
  <si>
    <t>CMP-3f2e0eccbeb</t>
  </si>
  <si>
    <t>HAI;MUCOSAL_INFECTIONS;IMMUNOCOMPROMISED</t>
  </si>
  <si>
    <t>bioMerieux</t>
  </si>
  <si>
    <t>SRC-RAD-11cd893e09</t>
  </si>
  <si>
    <t>PR-RAD-CMP-3f2e0eccbeb</t>
  </si>
  <si>
    <t>M01-CMP-3fd58dd38dd</t>
  </si>
  <si>
    <t>CMP-3fd58dd38dd</t>
  </si>
  <si>
    <t>HAI;AMR;ANTIBACTERIAL</t>
  </si>
  <si>
    <t>P_AERUGINOSA;S_AUREUS;A_BAUMANNII</t>
  </si>
  <si>
    <t>HAP;VAP;BSI</t>
  </si>
  <si>
    <t>ANTIBODY;SMALL_MOLECULE</t>
  </si>
  <si>
    <t>Aridis Pharmaceuticals Inc;AR-301;AR301;alpha toxin</t>
  </si>
  <si>
    <t>SRC-V22-ARIDIS</t>
  </si>
  <si>
    <t>PR-RAD-CMP-3fd58dd38dd</t>
  </si>
  <si>
    <t>M01-CMP-410a276e6c6</t>
  </si>
  <si>
    <t>CMP-410a276e6c6</t>
  </si>
  <si>
    <t>HAI;ANTIBACTERIAL;MUCOSAL_INFECTIONS</t>
  </si>
  <si>
    <t>ANTIBODY</t>
  </si>
  <si>
    <t>Clarametyx Biosciences;Clarametyx Biosciences Inc</t>
  </si>
  <si>
    <t>SRC-RAD-c2abdf37fd</t>
  </si>
  <si>
    <t>PR-RAD-CMP-410a276e6c6</t>
  </si>
  <si>
    <t>M01-CMP-4146497d3c7</t>
  </si>
  <si>
    <t>CMP-4146497d3c7</t>
  </si>
  <si>
    <t>HEPATITIS;VIRAL</t>
  </si>
  <si>
    <t>HBV;HDV</t>
  </si>
  <si>
    <t>CHRONIC_HBV;CHRONIC_HDV</t>
  </si>
  <si>
    <t>Aligos Therapeutics Inc</t>
  </si>
  <si>
    <t>SRC-V22-ALIGOS</t>
  </si>
  <si>
    <t>OFFICIAL_SCOPE_SEARCH_ANCHOR</t>
  </si>
  <si>
    <t>PR-RAD-CMP-4146497d3c7</t>
  </si>
  <si>
    <t>Official HBV portfolio and investigational HDV antisense work. Not a final status check.</t>
  </si>
  <si>
    <t>M01-CMP-421dd2c5f23</t>
  </si>
  <si>
    <t>CMP-421dd2c5f23</t>
  </si>
  <si>
    <t>HAI;ANTIBACTERIAL</t>
  </si>
  <si>
    <t>Phagos</t>
  </si>
  <si>
    <t>SRC-RAD-1fb244a155</t>
  </si>
  <si>
    <t>PR-RAD-CMP-421dd2c5f23</t>
  </si>
  <si>
    <t>M01-CMP-425a0205bf3</t>
  </si>
  <si>
    <t>CMP-425a0205bf3</t>
  </si>
  <si>
    <t>VACCINE;MALARIA;EMERGING_INFECTIONS</t>
  </si>
  <si>
    <t>MALARIA;PANDEMIC_PREVENTION</t>
  </si>
  <si>
    <t>Bharat Biotech Ltd</t>
  </si>
  <si>
    <t>SRC-V22-BHARAT</t>
  </si>
  <si>
    <t>PR-RAD-CMP-425a0205bf3</t>
  </si>
  <si>
    <t>Broad vaccine portfolio; pathogens must be assessed for each candidate.</t>
  </si>
  <si>
    <t>M01-CMP-42c932e38d3</t>
  </si>
  <si>
    <t>CMP-42c932e38d3</t>
  </si>
  <si>
    <t>SMALL_MOLECULE</t>
  </si>
  <si>
    <t>Antabio;Antabio SAS</t>
  </si>
  <si>
    <t>PR-RAD-CMP-42c932e38d3</t>
  </si>
  <si>
    <t>M01-CMP-4cdbd28fa00</t>
  </si>
  <si>
    <t>CMP-4cdbd28fa00</t>
  </si>
  <si>
    <t>Disperazol Pharma</t>
  </si>
  <si>
    <t>PR-RAD-CMP-4cdbd28fa00</t>
  </si>
  <si>
    <t>M01-CMP-4eec897c81d</t>
  </si>
  <si>
    <t>CMP-4eec897c81d</t>
  </si>
  <si>
    <t>IMMUNETHEP</t>
  </si>
  <si>
    <t>PR-RAD-CMP-4eec897c81d</t>
  </si>
  <si>
    <t>M01-CMP-50fc87fe9bd</t>
  </si>
  <si>
    <t>CMP-50fc87fe9bd</t>
  </si>
  <si>
    <t>ACADEMIC_PROGRAMME_WATCH</t>
  </si>
  <si>
    <t>VACCINE;EMERGING_INFECTIONS;PANDEMIC</t>
  </si>
  <si>
    <t>MERS_COV</t>
  </si>
  <si>
    <t>MERS</t>
  </si>
  <si>
    <t>VIRAL_VECTOR_VACCINE</t>
  </si>
  <si>
    <t>ChAdOx1 MERS;Oxford MERS vaccine</t>
  </si>
  <si>
    <t>SRC-V23-OXFORD_MERS</t>
  </si>
  <si>
    <t>PR-V23-OXFORD</t>
  </si>
  <si>
    <t>Official historical programme scope; ongoing activity and rights need live check.</t>
  </si>
  <si>
    <t>M01-CMP-579c450159e</t>
  </si>
  <si>
    <t>CMP-579c450159e</t>
  </si>
  <si>
    <t>HIV;HEPATITIS;HAI;ANTIBACTERIAL;EMERGING_INFECTIONS;TUBERCULOSIS;NTD;MUCOSAL_INFECTIONS;IMMUNOCOMPROMISED</t>
  </si>
  <si>
    <t>GSK;vaccines;infectious diseases;HIV</t>
  </si>
  <si>
    <t>SRC-GSK-PIPE</t>
  </si>
  <si>
    <t>PR-RAD-CMP-579c450159e</t>
  </si>
  <si>
    <t>M01-CMP-58902c4b7fe</t>
  </si>
  <si>
    <t>CMP-58902c4b7fe</t>
  </si>
  <si>
    <t>VIRAL;PLATFORM</t>
  </si>
  <si>
    <t>HPV</t>
  </si>
  <si>
    <t>IMMUNOTHERAPY;PLATFORM</t>
  </si>
  <si>
    <t>Inovio Pharmaceuticals Inc</t>
  </si>
  <si>
    <t>SRC-V22-INOVIO</t>
  </si>
  <si>
    <t>PR-RAD-CMP-58902c4b7fe</t>
  </si>
  <si>
    <t>HPV-related DNA therapeutics; not an HIV-antiviral competitor.</t>
  </si>
  <si>
    <t>M01-CMP-58b87d18792</t>
  </si>
  <si>
    <t>CMP-58b87d18792</t>
  </si>
  <si>
    <t>BACTERIAL;AMR;BIOFILM</t>
  </si>
  <si>
    <t>Trellis Bioscience</t>
  </si>
  <si>
    <t>SRC-BD-024</t>
  </si>
  <si>
    <t>PR-BD-024</t>
  </si>
  <si>
    <t>M01-CMP-5ad19a5f747</t>
  </si>
  <si>
    <t>CMP-5ad19a5f747</t>
  </si>
  <si>
    <t>HIV</t>
  </si>
  <si>
    <t>HIV;HIV_TREATMENT;HIV_PREVENTION</t>
  </si>
  <si>
    <t>ViiV;HIV;cabotegravir</t>
  </si>
  <si>
    <t>SRC-VIIV</t>
  </si>
  <si>
    <t>PR-RAD-CMP-5ad19a5f747</t>
  </si>
  <si>
    <t>Official HIV scope rechecked; programme phase/status must be verified live. Primary source is ViiV Medical Information, not a licensing mandate.</t>
  </si>
  <si>
    <t>M01-CMP-5b18365f8f7</t>
  </si>
  <si>
    <t>CMP-5b18365f8f7</t>
  </si>
  <si>
    <t>Syntinel Biologics</t>
  </si>
  <si>
    <t>PR-RAD-CMP-5b18365f8f7</t>
  </si>
  <si>
    <t>M01-CMP-601bca434c7</t>
  </si>
  <si>
    <t>CMP-601bca434c7</t>
  </si>
  <si>
    <t>HIV;HEPATITIS;EMERGING_INFECTIONS</t>
  </si>
  <si>
    <t>HDV;HIV</t>
  </si>
  <si>
    <t>CHRONIC_HDV;HIV_CURE</t>
  </si>
  <si>
    <t>ANTIBODY;RNA</t>
  </si>
  <si>
    <t>Vir Biotechnology Inc</t>
  </si>
  <si>
    <t>SRC-V21-VIR</t>
  </si>
  <si>
    <t>PR-RAD-CMP-601bca434c7</t>
  </si>
  <si>
    <t>Themen/Modalitaeten sind Suchhinweise. Aktive Assets, Phase, Indikation und Konkurrenzstatus immer live verifizieren. Kein bestaetigter Primaer-URL im Input; Namenssuche vorgesehen.</t>
  </si>
  <si>
    <t>M01-CMP-662744fae82</t>
  </si>
  <si>
    <t>CMP-662744fae82</t>
  </si>
  <si>
    <t>Bactobio</t>
  </si>
  <si>
    <t>PR-RAD-CMP-662744fae82</t>
  </si>
  <si>
    <t>M01-CMP-68725fd05c9</t>
  </si>
  <si>
    <t>CMP-68725fd05c9</t>
  </si>
  <si>
    <t>HEPATITIS;EMERGING_INFECTIONS</t>
  </si>
  <si>
    <t>Atea Pharmaceuticals;Atea Pharmaceuticals Inc</t>
  </si>
  <si>
    <t>SRC-BD-038</t>
  </si>
  <si>
    <t>PR-RAD-CMP-68725fd05c9</t>
  </si>
  <si>
    <t>M01-CMP-6aacfbb37e0</t>
  </si>
  <si>
    <t>CMP-6aacfbb37e0</t>
  </si>
  <si>
    <t>Telum Therapeutics</t>
  </si>
  <si>
    <t>PR-RAD-CMP-6aacfbb37e0</t>
  </si>
  <si>
    <t>M01-CMP-6c2d50627b9</t>
  </si>
  <si>
    <t>CMP-6c2d50627b9</t>
  </si>
  <si>
    <t>HIV;HEPATITIS;HAI;TUBERCULOSIS;MUCOSAL_INFECTIONS</t>
  </si>
  <si>
    <t>Roche Diagnostics</t>
  </si>
  <si>
    <t>SRC-RAD-1786dd6b66</t>
  </si>
  <si>
    <t>PR-RAD-CMP-6c2d50627b9</t>
  </si>
  <si>
    <t>M01-CMP-6ebc81fa4e8</t>
  </si>
  <si>
    <t>CMP-6ebc81fa4e8</t>
  </si>
  <si>
    <t>HAI;MUCOSAL_INFECTIONS</t>
  </si>
  <si>
    <t>OM Pharma</t>
  </si>
  <si>
    <t>PR-RAD-CMP-6ebc81fa4e8</t>
  </si>
  <si>
    <t>M01-CMP-726db97a94d</t>
  </si>
  <si>
    <t>CMP-726db97a94d</t>
  </si>
  <si>
    <t>VAXDYN</t>
  </si>
  <si>
    <t>PR-RAD-CMP-726db97a94d</t>
  </si>
  <si>
    <t>M01-CMP-811101667a0</t>
  </si>
  <si>
    <t>CMP-811101667a0</t>
  </si>
  <si>
    <t>Nostics</t>
  </si>
  <si>
    <t>PR-RAD-CMP-811101667a0</t>
  </si>
  <si>
    <t>M01-CMP-85e7acc8115</t>
  </si>
  <si>
    <t>CMP-85e7acc8115</t>
  </si>
  <si>
    <t>HAI;ANTIBACTERIAL;EMERGING_INFECTIONS;TUBERCULOSIS;MUCOSAL_INFECTIONS;IMMUNOCOMPROMISED</t>
  </si>
  <si>
    <t>NCFB</t>
  </si>
  <si>
    <t>VACCINE;ANTIBODY;BISPECIFIC</t>
  </si>
  <si>
    <t>AstraZeneca;AstraZeneca Plc</t>
  </si>
  <si>
    <t>SRC-BD-010</t>
  </si>
  <si>
    <t>PR-RAD-CMP-85e7acc8115</t>
  </si>
  <si>
    <t>M01-CMP-8dd8f490342</t>
  </si>
  <si>
    <t>CMP-8dd8f490342</t>
  </si>
  <si>
    <t>AMR;ANTIBACTERIAL;HAI</t>
  </si>
  <si>
    <t>Bugworks Research Inc</t>
  </si>
  <si>
    <t>SRC-V2-BUGWORKS</t>
  </si>
  <si>
    <t>PR-V2-M01-CMP-8dd8f490342</t>
  </si>
  <si>
    <t>M01-CMP-92fc1bf734e</t>
  </si>
  <si>
    <t>CMP-92fc1bf734e</t>
  </si>
  <si>
    <t>HIV;EMERGING_INFECTIONS;TUBERCULOSIS</t>
  </si>
  <si>
    <t>HIV;M_TUBERCULOSIS</t>
  </si>
  <si>
    <t>International AIDS Vaccine Initiative Inc</t>
  </si>
  <si>
    <t>SRC-V2-IAVI</t>
  </si>
  <si>
    <t>PR-RAD-CMP-92fc1bf734e</t>
  </si>
  <si>
    <t>Quellenroute aktualisiert; historische Phasen nicht bestaetigt.</t>
  </si>
  <si>
    <t>M01-CMP-93148ce3ea6</t>
  </si>
  <si>
    <t>CMP-93148ce3ea6</t>
  </si>
  <si>
    <t>Basilea Pharmaceutica;Basilea Pharmaceutica Ltd</t>
  </si>
  <si>
    <t>PR-RAD-CMP-93148ce3ea6</t>
  </si>
  <si>
    <t>M01-CMP-9b3f31b82f1</t>
  </si>
  <si>
    <t>CMP-9b3f31b82f1</t>
  </si>
  <si>
    <t>BugSee</t>
  </si>
  <si>
    <t>PR-RAD-CMP-9b3f31b82f1</t>
  </si>
  <si>
    <t>M01-CMP-a5c7a831bb1</t>
  </si>
  <si>
    <t>CMP-a5c7a831bb1</t>
  </si>
  <si>
    <t>Aurobac Therapeutics SAS</t>
  </si>
  <si>
    <t>PR-RAD-CMP-a5c7a831bb1</t>
  </si>
  <si>
    <t>M01-CMP-a8a014d97c6</t>
  </si>
  <si>
    <t>CMP-a8a014d97c6</t>
  </si>
  <si>
    <t>ArrePath</t>
  </si>
  <si>
    <t>PR-RAD-CMP-a8a014d97c6</t>
  </si>
  <si>
    <t>M01-CMP-ac1aeb1ba3f</t>
  </si>
  <si>
    <t>CMP-ac1aeb1ba3f</t>
  </si>
  <si>
    <t>TUBERCULOSIS;MALARIA;GLOBAL_HEALTH</t>
  </si>
  <si>
    <t>M_TUBERCULOSIS;P_FALCIPARUM</t>
  </si>
  <si>
    <t>VACCINE;SMALL_MOLECULE;ANTIBODY</t>
  </si>
  <si>
    <t>Gates Medical Research Institute</t>
  </si>
  <si>
    <t>SRC-V2-GATES_MRI</t>
  </si>
  <si>
    <t>PR-V2-M01-CMP-ac1aeb1ba3f</t>
  </si>
  <si>
    <t>M01-CMP-ad5a354e035</t>
  </si>
  <si>
    <t>CMP-ad5a354e035</t>
  </si>
  <si>
    <t>smartbax</t>
  </si>
  <si>
    <t>PR-RAD-CMP-ad5a354e035</t>
  </si>
  <si>
    <t>M01-CMP-add35b11171</t>
  </si>
  <si>
    <t>CMP-add35b11171</t>
  </si>
  <si>
    <t>VACCINE;TUBERCULOSIS;EMERGING_INFECTIONS</t>
  </si>
  <si>
    <t>M_TUBERCULOSIS;INFLUENZA;EBOLA</t>
  </si>
  <si>
    <t>TB;PANDEMIC_PREVENTION</t>
  </si>
  <si>
    <t>CanSino Biologics Inc</t>
  </si>
  <si>
    <t>SRC-V22-CANSINO</t>
  </si>
  <si>
    <t>PR-RAD-CMP-add35b11171</t>
  </si>
  <si>
    <t>TB inhaled vaccine and other vaccine programmes; current stages require live check.</t>
  </si>
  <si>
    <t>M01-CMP-b223897f72c</t>
  </si>
  <si>
    <t>CMP-b223897f72c</t>
  </si>
  <si>
    <t>EMERGING_INFECTIONS;NTD;MUCOSAL_INFECTIONS</t>
  </si>
  <si>
    <t>Valneva;Valneva SE</t>
  </si>
  <si>
    <t>SRC-BD-014</t>
  </si>
  <si>
    <t>PR-RAD-CMP-b223897f72c</t>
  </si>
  <si>
    <t>M01-CMP-b3350328f73</t>
  </si>
  <si>
    <t>CMP-b3350328f73</t>
  </si>
  <si>
    <t>HAI;IMMUNOCOMPROMISED;FUNGAL</t>
  </si>
  <si>
    <t>ASPERGILLUS</t>
  </si>
  <si>
    <t>INVASIVE_ASPERGILLOSIS</t>
  </si>
  <si>
    <t>F2G;F2G Ltd</t>
  </si>
  <si>
    <t>SRC-V2-F2G_SHIONOGI</t>
  </si>
  <si>
    <t>PR-RAD-CMP-b3350328f73</t>
  </si>
  <si>
    <t>Datiertes Primaersignal 21.10.2026; Quelle kein Ersatz fuer gesamte aktuelle F2G-Pipeline.</t>
  </si>
  <si>
    <t>M01-CMP-b41888fba29</t>
  </si>
  <si>
    <t>CMP-b41888fba29</t>
  </si>
  <si>
    <t>Nexbiome Therapeutics</t>
  </si>
  <si>
    <t>PR-RAD-CMP-b41888fba29</t>
  </si>
  <si>
    <t>M01-CMP-b67700d6c62</t>
  </si>
  <si>
    <t>CMP-b67700d6c62</t>
  </si>
  <si>
    <t>DIAGNOSTICS;HEPATITIS;TUBERCULOSIS</t>
  </si>
  <si>
    <t>HBV;M_TUBERCULOSIS</t>
  </si>
  <si>
    <t>CHRONIC_HBV;TB</t>
  </si>
  <si>
    <t>QIAGEN</t>
  </si>
  <si>
    <t>SRC-V22-QIAGENINF</t>
  </si>
  <si>
    <t>PR-RAD-CMP-b67700d6c62</t>
  </si>
  <si>
    <t>Diagnostic assays, not drug discovery competitor.</t>
  </si>
  <si>
    <t>M01-CMP-b77ac4d5aa1</t>
  </si>
  <si>
    <t>CMP-b77ac4d5aa1</t>
  </si>
  <si>
    <t>Qpex Biopharma Inc</t>
  </si>
  <si>
    <t>PR-RAD-CMP-b77ac4d5aa1</t>
  </si>
  <si>
    <t>M01-CMP-b82e0112382</t>
  </si>
  <si>
    <t>CMP-b82e0112382</t>
  </si>
  <si>
    <t>HAI;ANTIBACTERIAL;TUBERCULOSIS;MUCOSAL_INFECTIONS</t>
  </si>
  <si>
    <t>BioVersys;Bioversys AG</t>
  </si>
  <si>
    <t>PR-RAD-CMP-b82e0112382</t>
  </si>
  <si>
    <t>M01-CMP-bb2003e8cb6</t>
  </si>
  <si>
    <t>CMP-bb2003e8cb6</t>
  </si>
  <si>
    <t>HAI;TUBERCULOSIS;MUCOSAL_INFECTIONS</t>
  </si>
  <si>
    <t>Becton;Dickinson and Company</t>
  </si>
  <si>
    <t>SRC-RAD-71fc0abe40</t>
  </si>
  <si>
    <t>PR-RAD-CMP-bb2003e8cb6</t>
  </si>
  <si>
    <t>M01-CMP-bebf092fda0</t>
  </si>
  <si>
    <t>CMP-bebf092fda0</t>
  </si>
  <si>
    <t>HBV</t>
  </si>
  <si>
    <t>CHRONIC_HBV</t>
  </si>
  <si>
    <t>VACCINE;RNA;IMMUNOTHERAPY</t>
  </si>
  <si>
    <t>Brii Biosciences Ltd</t>
  </si>
  <si>
    <t>SRC-V22-BRII</t>
  </si>
  <si>
    <t>PR-RAD-CMP-bebf092fda0</t>
  </si>
  <si>
    <t>Oct 29 HBV BRII-179 regimen update; vaccination-like therapeutic immunotherapy not general prophylactic vaccine.</t>
  </si>
  <si>
    <t>M01-CMP-bede831b69b</t>
  </si>
  <si>
    <t>CMP-bede831b69b</t>
  </si>
  <si>
    <t>HAI;ANTIBACTERIAL;MUCOSAL_INFECTIONS;IMMUNOCOMPROMISED;AMR</t>
  </si>
  <si>
    <t>E_COLI;K_PNEUMONIAE;P_AERUGINOSA</t>
  </si>
  <si>
    <t>BSI;SEPSIS;UTI;CF;NCFB</t>
  </si>
  <si>
    <t>MICROBIOME;PHAGE</t>
  </si>
  <si>
    <t>SNIPR Biome ApS;SNIPR001;SNIPR001-Oral;CRISPR guided phage</t>
  </si>
  <si>
    <t>SRC-V23-SNIPR</t>
  </si>
  <si>
    <t>PR-RAD-CMP-bede831b69b</t>
  </si>
  <si>
    <t>M01-CMP-c0364501a9f</t>
  </si>
  <si>
    <t>CMP-c0364501a9f</t>
  </si>
  <si>
    <t>HAI;ANTIBACTERIAL;EMERGING_INFECTIONS;NTD;IMMUNOCOMPROMISED</t>
  </si>
  <si>
    <t>Novartis;Novartis AG</t>
  </si>
  <si>
    <t>SRC-BD-019</t>
  </si>
  <si>
    <t>PR-RAD-CMP-c0364501a9f</t>
  </si>
  <si>
    <t>M01-CMP-c03b5eb46a0</t>
  </si>
  <si>
    <t>CMP-c03b5eb46a0</t>
  </si>
  <si>
    <t>HAI;IMMUNOCOMPROMISED</t>
  </si>
  <si>
    <t>MaaT Pharma</t>
  </si>
  <si>
    <t>SRC-RAD-b1e50ef2f0</t>
  </si>
  <si>
    <t>PR-RAD-CMP-c03b5eb46a0</t>
  </si>
  <si>
    <t>M01-CMP-c26d0b0b2ae</t>
  </si>
  <si>
    <t>CMP-c26d0b0b2ae</t>
  </si>
  <si>
    <t>Obulytix</t>
  </si>
  <si>
    <t>PR-RAD-CMP-c26d0b0b2ae</t>
  </si>
  <si>
    <t>M01-CMP-c2df97c26fd</t>
  </si>
  <si>
    <t>CMP-c2df97c26fd</t>
  </si>
  <si>
    <t>HIV_CURE</t>
  </si>
  <si>
    <t>CELL_GENE_THERAPY;GENE_EDITING</t>
  </si>
  <si>
    <t>Excision BioTherapeutics</t>
  </si>
  <si>
    <t>SRC-RAD-9142305dd4</t>
  </si>
  <si>
    <t>PR-RAD-CMP-c2df97c26fd</t>
  </si>
  <si>
    <t>M01-CMP-cfd0a415846</t>
  </si>
  <si>
    <t>CMP-cfd0a415846</t>
  </si>
  <si>
    <t>VACCINE;GLOBAL_HEALTH;EMERGING_INFECTIONS</t>
  </si>
  <si>
    <t>International Vaccine Institute</t>
  </si>
  <si>
    <t>SRC-V2-IVI</t>
  </si>
  <si>
    <t>PR-V2-M01-CMP-cfd0a415846</t>
  </si>
  <si>
    <t>M01-CMP-d4bb4737696</t>
  </si>
  <si>
    <t>CMP-d4bb4737696</t>
  </si>
  <si>
    <t>Omnix Medical</t>
  </si>
  <si>
    <t>PR-RAD-CMP-d4bb4737696</t>
  </si>
  <si>
    <t>M01-CMP-d65ad545b92</t>
  </si>
  <si>
    <t>CMP-d65ad545b92</t>
  </si>
  <si>
    <t>Microbira</t>
  </si>
  <si>
    <t>PR-RAD-CMP-d65ad545b92</t>
  </si>
  <si>
    <t>M01-CMP-db564be93cb</t>
  </si>
  <si>
    <t>CMP-db564be93cb</t>
  </si>
  <si>
    <t>EMERGING_INFECTIONS;IMMUNOCOMPROMISED</t>
  </si>
  <si>
    <t>CELL_GENE_THERAPY</t>
  </si>
  <si>
    <t>Atara Biotherapeutics</t>
  </si>
  <si>
    <t>SRC-RAD-99e967cfbf</t>
  </si>
  <si>
    <t>PR-RAD-CMP-db564be93cb</t>
  </si>
  <si>
    <t>M01-CMP-e0fa5955eec</t>
  </si>
  <si>
    <t>CMP-e0fa5955eec</t>
  </si>
  <si>
    <t>Debiopharm International</t>
  </si>
  <si>
    <t>PR-RAD-CMP-e0fa5955eec</t>
  </si>
  <si>
    <t>M01-CMP-e149f79216b</t>
  </si>
  <si>
    <t>CMP-e149f79216b</t>
  </si>
  <si>
    <t>INTELIPHAGE</t>
  </si>
  <si>
    <t>PR-RAD-CMP-e149f79216b</t>
  </si>
  <si>
    <t>M01-CMP-e1f2b6c9f07</t>
  </si>
  <si>
    <t>CMP-e1f2b6c9f07</t>
  </si>
  <si>
    <t>HEPATITIS;HAI;ANTIBACTERIAL;EMERGING_INFECTIONS;MUCOSAL_INFECTIONS;IMMUNOCOMPROMISED</t>
  </si>
  <si>
    <t>VACCINE;SMALL_MOLECULE</t>
  </si>
  <si>
    <t>Shionogi;Shionogi &amp; Co Ltd</t>
  </si>
  <si>
    <t>SRC-BD-006</t>
  </si>
  <si>
    <t>PR-RAD-CMP-e1f2b6c9f07</t>
  </si>
  <si>
    <t>M01-CMP-e5709fc55b5</t>
  </si>
  <si>
    <t>CMP-e5709fc55b5</t>
  </si>
  <si>
    <t>Santero Therapeutics</t>
  </si>
  <si>
    <t>PR-RAD-CMP-e5709fc55b5</t>
  </si>
  <si>
    <t>M01-CMP-eac17a0cae7</t>
  </si>
  <si>
    <t>CMP-eac17a0cae7</t>
  </si>
  <si>
    <t>VACCINE;EMERGING_INFECTIONS;RESPIRATORY</t>
  </si>
  <si>
    <t>S_PNEUMONIAE;RSV;EBOLA</t>
  </si>
  <si>
    <t>PANDEMIC_PREVENTION</t>
  </si>
  <si>
    <t>SK Bioscience Ltd</t>
  </si>
  <si>
    <t>SRC-V22-SKBIOSCIENCE</t>
  </si>
  <si>
    <t>PR-RAD-CMP-eac17a0cae7</t>
  </si>
  <si>
    <t>Official public pipeline includes vaccine programmes and RSV preventive mAb, not all vaccines.</t>
  </si>
  <si>
    <t>M01-CMP-ef3fd5062fb</t>
  </si>
  <si>
    <t>CMP-ef3fd5062fb</t>
  </si>
  <si>
    <t>HAI;ANTIBACTERIAL;EMERGING_INFECTIONS;TUBERCULOSIS;NTD;MUCOSAL_INFECTIONS;IMMUNOCOMPROMISED</t>
  </si>
  <si>
    <t>Sanofi</t>
  </si>
  <si>
    <t>SRC-BD-003</t>
  </si>
  <si>
    <t>PR-RAD-CMP-ef3fd5062fb</t>
  </si>
  <si>
    <t>M01-CMP-f7d41a189a8</t>
  </si>
  <si>
    <t>CMP-f7d41a189a8</t>
  </si>
  <si>
    <t>BACTERIAL;VACCINE</t>
  </si>
  <si>
    <t>VACCINE;PROTEIN;PLATFORM</t>
  </si>
  <si>
    <t>Vaxcyte</t>
  </si>
  <si>
    <t>SRC-BD-031</t>
  </si>
  <si>
    <t>PR-BD-031</t>
  </si>
  <si>
    <t>M01-CMP-fa8243cafa7</t>
  </si>
  <si>
    <t>CMP-fa8243cafa7</t>
  </si>
  <si>
    <t>HAI;ANTIBACTERIAL;AMR;EMERGING_INFECTIONS</t>
  </si>
  <si>
    <t>Infex;RESP-X;INFEX702;COT-143;MET-X</t>
  </si>
  <si>
    <t>SRC-INFEX-TEXT</t>
  </si>
  <si>
    <t>PR-RAD-CMP-fa8243cafa7</t>
  </si>
  <si>
    <t>M01-CMP-fbe85e38ed1</t>
  </si>
  <si>
    <t>CMP-fbe85e38ed1</t>
  </si>
  <si>
    <t>VACCINE;MALARIA;MUCOSAL_INFECTIONS;EMERGING_INFECTIONS</t>
  </si>
  <si>
    <t>P_FALCIPARUM;C_DIFFICILE;INFLUENZA</t>
  </si>
  <si>
    <t>MALARIA;RECURRENT_CDI;PANDEMIC_PREVENTION</t>
  </si>
  <si>
    <t>Novavax Inc</t>
  </si>
  <si>
    <t>SRC-V22-NOVAVAX</t>
  </si>
  <si>
    <t>PR-RAD-CMP-fbe85e38ed1</t>
  </si>
  <si>
    <t>R21/Matrix-M malaria vaccine is authorised in some regions; not an early active asset.</t>
  </si>
  <si>
    <t>M01-ENT-V2-ABBOTT</t>
  </si>
  <si>
    <t>ENT-V2-ABBOTT</t>
  </si>
  <si>
    <t>DIAGNOSTICS;VIRAL;HIV;HEPATITIS</t>
  </si>
  <si>
    <t>HIV;HBV;HCV;CMV;EBV</t>
  </si>
  <si>
    <t>Abbott</t>
  </si>
  <si>
    <t>SRC-V2-ABBOTT</t>
  </si>
  <si>
    <t>PR-V2-M01-ENT-V2-ABBOTT</t>
  </si>
  <si>
    <t>M01-ENT-V2-FIND</t>
  </si>
  <si>
    <t>ENT-V2-FIND</t>
  </si>
  <si>
    <t>DIAGNOSTICS;GLOBAL_HEALTH</t>
  </si>
  <si>
    <t>FIND</t>
  </si>
  <si>
    <t>SRC-V2-FIND</t>
  </si>
  <si>
    <t>PR-V2-M01-ENT-V2-FIND</t>
  </si>
  <si>
    <t>M01-ENT-V2-GARDP</t>
  </si>
  <si>
    <t>ENT-V2-GARDP</t>
  </si>
  <si>
    <t>AMR;ANTIBACTERIAL</t>
  </si>
  <si>
    <t>GARDP</t>
  </si>
  <si>
    <t>SRC-V2-GARDP</t>
  </si>
  <si>
    <t>PR-V2-M01-ENT-V2-GARDP</t>
  </si>
  <si>
    <t>M01-ENT-V2-MMV</t>
  </si>
  <si>
    <t>ENT-V2-MMV</t>
  </si>
  <si>
    <t>MALARIA;PARASITIC;NTD</t>
  </si>
  <si>
    <t>P_FALCIPARUM;P_VIVAX</t>
  </si>
  <si>
    <t>MALARIA</t>
  </si>
  <si>
    <t>Medicines for Malaria Venture</t>
  </si>
  <si>
    <t>SRC-V21-MMV</t>
  </si>
  <si>
    <t>PR-V2-M01-ENT-V2-MMV</t>
  </si>
  <si>
    <t>M01-ENT-V2-PIERRE_FABRE</t>
  </si>
  <si>
    <t>ENT-V2-PIERRE_FABRE</t>
  </si>
  <si>
    <t>IMMUNOCOMPROMISED;VIRAL</t>
  </si>
  <si>
    <t>EBV_PTLD</t>
  </si>
  <si>
    <t>CELL_THERAPY</t>
  </si>
  <si>
    <t>Pierre Fabre</t>
  </si>
  <si>
    <t>SRC-V2-EBVALLO</t>
  </si>
  <si>
    <t>PR-V2-M01-ENT-V2-PIERRE_FABRE</t>
  </si>
  <si>
    <t>Virusassoziierte EBV+ PTLD: relevant fuer T-Zelltherapie, nicht Beleg einer allgemeinen Infektions-BD-Strategie.</t>
  </si>
  <si>
    <t>M01-ENT-V2-TB_ALLIANCE</t>
  </si>
  <si>
    <t>ENT-V2-TB_ALLIANCE</t>
  </si>
  <si>
    <t>TUBERCULOSIS;ANTIBACTERIAL</t>
  </si>
  <si>
    <t>M_TUBERCULOSIS</t>
  </si>
  <si>
    <t>TB</t>
  </si>
  <si>
    <t>TB Alliance</t>
  </si>
  <si>
    <t>SRC-V2-TB_ALLIANCE</t>
  </si>
  <si>
    <t>PR-V2-M01-ENT-V2-TB_ALLIANCE</t>
  </si>
  <si>
    <t>M01-ENT-V22-ELIGO_BIOSCIENCE</t>
  </si>
  <si>
    <t>ENT-V22-ELIGO_BIOSCIENCE</t>
  </si>
  <si>
    <t>MICROBIOME;ANTIBACTERIAL;PLATFORM</t>
  </si>
  <si>
    <t>GENE_EDITING;MICROBIOME;PLATFORM</t>
  </si>
  <si>
    <t>Eligo Bioscience</t>
  </si>
  <si>
    <t>SRC-V22-ELIGO</t>
  </si>
  <si>
    <t>PR-V22-M01-ENT-V22-ELIGO-BIOSCIENCE</t>
  </si>
  <si>
    <t>Microbiome gene editing, not automatically CDI clinical competitor.</t>
  </si>
  <si>
    <t>M01-ENT-V22-SABIN_VACCINE_INSTITUTE</t>
  </si>
  <si>
    <t>ENT-V22-SABIN_VACCINE_INSTITUTE</t>
  </si>
  <si>
    <t>VACCINE;EMERGING_INFECTIONS;GLOBAL_HEALTH;PANDEMIC</t>
  </si>
  <si>
    <t>MARBURG;SUDAN_EBOLA</t>
  </si>
  <si>
    <t>Sabin Vaccine Institute</t>
  </si>
  <si>
    <t>SRC-V22-SABIN</t>
  </si>
  <si>
    <t>PR-V22-M01-ENT-V22-SABIN-VACCINE-INSTITUTE</t>
  </si>
  <si>
    <t>Nonprofit developer of investigational Marburg and Sudan Ebola vaccines.</t>
  </si>
  <si>
    <t>M01-ENT-V22-SCYNEXIS</t>
  </si>
  <si>
    <t>ENT-V22-SCYNEXIS</t>
  </si>
  <si>
    <t>FUNGAL;IMMUNOCOMPROMISED;AMR</t>
  </si>
  <si>
    <t>CANDIDA;C_AURIS;ASPERGILLUS</t>
  </si>
  <si>
    <t>INVASIVE_CANDIDIASIS;INVASIVE_ASPERGILLOSIS</t>
  </si>
  <si>
    <t>SCYNEXIS</t>
  </si>
  <si>
    <t>SRC-V22-SCYNEXIS</t>
  </si>
  <si>
    <t>PR-V22-M01-ENT-V22-SCYNEXIS</t>
  </si>
  <si>
    <t>Invasive fungal drug research; do not reuse a specific SCY-247 phase without live check.</t>
  </si>
  <si>
    <t>M01-ENT-V22-SEEGENE</t>
  </si>
  <si>
    <t>ENT-V22-SEEGENE</t>
  </si>
  <si>
    <t>DIAGNOSTICS;HAI;RESPIRATORY</t>
  </si>
  <si>
    <t>HAI;ENTERIC_INFECTION</t>
  </si>
  <si>
    <t>Seegene</t>
  </si>
  <si>
    <t>SRC-V22-SEEGENE</t>
  </si>
  <si>
    <t>PR-V22-M01-ENT-V22-SEEGENE</t>
  </si>
  <si>
    <t>Syndromic multiplex PCR assay developer, not anti-infective drug developer.</t>
  </si>
  <si>
    <t>M01-ENT-V22-VENATORX_PHARMACEUTICALS</t>
  </si>
  <si>
    <t>ENT-V22-VENATORX_PHARMACEUTICALS</t>
  </si>
  <si>
    <t>K_PNEUMONIAE;E_COLI</t>
  </si>
  <si>
    <t>HAP;VAP;UTI</t>
  </si>
  <si>
    <t>Venatorx Pharmaceuticals</t>
  </si>
  <si>
    <t>SRC-V22-VENATORX</t>
  </si>
  <si>
    <t>REVIEW</t>
  </si>
  <si>
    <t>SECONDARY_DIRECTORY_SEARCH_ANCHOR</t>
  </si>
  <si>
    <t>PR-V22-M01-ENT-V22-VENATORX-PHARMACEUTICALS</t>
  </si>
  <si>
    <t>Secondary 2026 AMR benchmark: candidate and rights/status need direct validation.</t>
  </si>
  <si>
    <t>M01-CMP-155bfcfe459</t>
  </si>
  <si>
    <t>CMP-155bfcfe459</t>
  </si>
  <si>
    <t>EMERGING_INFECTIONS;MUCOSAL_INFECTIONS</t>
  </si>
  <si>
    <t>INFLUENZA</t>
  </si>
  <si>
    <t>CSL Seqirus;Seqirus Ltd</t>
  </si>
  <si>
    <t>SRC-BD-020</t>
  </si>
  <si>
    <t>P2</t>
  </si>
  <si>
    <t>PR-RAD-CMP-155bfcfe459</t>
  </si>
  <si>
    <t>M01-CMP-37b3da7d795</t>
  </si>
  <si>
    <t>CMP-37b3da7d795</t>
  </si>
  <si>
    <t>VIRAL;HEPATITIS;HSV</t>
  </si>
  <si>
    <t>HBV;HDV;HSV</t>
  </si>
  <si>
    <t>CHRONIC_HBV;CHRONIC_HDV;HSV_INFECTION</t>
  </si>
  <si>
    <t>Assembly Biosciences</t>
  </si>
  <si>
    <t>SRC-BD-034</t>
  </si>
  <si>
    <t>PR-BD-034</t>
  </si>
  <si>
    <t>M01-CMP-4d9ee3f1716</t>
  </si>
  <si>
    <t>CMP-4d9ee3f1716</t>
  </si>
  <si>
    <t>HAI;ANTIBACTERIAL;EMERGING_INFECTIONS;IMMUNOCOMPROMISED</t>
  </si>
  <si>
    <t>Regeneron;Regeneron Pharmaceuticals Inc</t>
  </si>
  <si>
    <t>SRC-BD-017</t>
  </si>
  <si>
    <t>PR-RAD-CMP-4d9ee3f1716</t>
  </si>
  <si>
    <t>M01-CMP-578ce8097cb</t>
  </si>
  <si>
    <t>CMP-578ce8097cb</t>
  </si>
  <si>
    <t>Roche;F. Hoffmann-La Roche Ltd</t>
  </si>
  <si>
    <t>SRC-BD-005</t>
  </si>
  <si>
    <t>PR-RAD-CMP-578ce8097cb</t>
  </si>
  <si>
    <t>M01-CMP-6dcf8867166</t>
  </si>
  <si>
    <t>CMP-6dcf8867166</t>
  </si>
  <si>
    <t>EMERGING_INFECTIONS;NTD;IMMUNOCOMPROMISED;FUNGAL;HEPATITIS;DENGUE;PARASITIC;GLOBAL_HEALTH</t>
  </si>
  <si>
    <t>LEISHMANIA;T_CRUZI;T_BRUCEI;HCV;HIV;CRYPTOCOCCUS;O_VOLVULUS</t>
  </si>
  <si>
    <t>LEISHMANIASIS;CHAGAS;SLEEPING_SICKNESS;CHRONIC_HCV;HIV_TREATMENT;CRYPTOCOCCAL_MENINGITIS;ONCHOCERCIASIS;LYMPHATIC_FILARIASIS</t>
  </si>
  <si>
    <t>SMALL_MOLECULE;ANTIBODY</t>
  </si>
  <si>
    <t>Drugs for Neglected Diseases initiative;emodepside;onchocerciasis;filaria</t>
  </si>
  <si>
    <t>SRC-V2-DNDI</t>
  </si>
  <si>
    <t>PR-RAD-CMP-6dcf8867166</t>
  </si>
  <si>
    <t>M01-CMP-7bddd983db2</t>
  </si>
  <si>
    <t>CMP-7bddd983db2</t>
  </si>
  <si>
    <t>VACCINE;PROTEIN</t>
  </si>
  <si>
    <t>MinervaX</t>
  </si>
  <si>
    <t>SRC-BD-032</t>
  </si>
  <si>
    <t>PR-BD-032</t>
  </si>
  <si>
    <t>M01-CMP-9a50f62c0bf</t>
  </si>
  <si>
    <t>CMP-9a50f62c0bf</t>
  </si>
  <si>
    <t>Bavarian Nordic;Bavarian Nordic AS</t>
  </si>
  <si>
    <t>SRC-BD-013</t>
  </si>
  <si>
    <t>PR-RAD-CMP-9a50f62c0bf</t>
  </si>
  <si>
    <t>M01-CMP-9d444f16979</t>
  </si>
  <si>
    <t>CMP-9d444f16979</t>
  </si>
  <si>
    <t>HEPATITIS;MUCOSAL_INFECTIONS;VACCINE</t>
  </si>
  <si>
    <t>HEV;HPV</t>
  </si>
  <si>
    <t>HEPATITIS</t>
  </si>
  <si>
    <t>Xiamen Innovax Biotech Co Ltd;Hecolin;hepatitis E vaccine;Innovax</t>
  </si>
  <si>
    <t>SRC-V23-INNOVAX</t>
  </si>
  <si>
    <t>PR-RAD-CMP-9d444f16979</t>
  </si>
  <si>
    <t>M01-CMP-bc6b7e09a69</t>
  </si>
  <si>
    <t>CMP-bc6b7e09a69</t>
  </si>
  <si>
    <t>VIRAL;VACCINE;PANDEMIC</t>
  </si>
  <si>
    <t>VACCINE;DELIVERY_PLATFORM</t>
  </si>
  <si>
    <t>Vaxxas</t>
  </si>
  <si>
    <t>SRC-BD-036</t>
  </si>
  <si>
    <t>PR-BD-036</t>
  </si>
  <si>
    <t>M01-CMP-c1c503fce47</t>
  </si>
  <si>
    <t>CMP-c1c503fce47</t>
  </si>
  <si>
    <t>ANTIBACTERIAL;TUBERCULOSIS</t>
  </si>
  <si>
    <t>Otsuka Pharmaceutical Co Ltd;quabodepistat;OPC-167832;delamanid;DprE1</t>
  </si>
  <si>
    <t>SRC-V23-OTSUKA</t>
  </si>
  <si>
    <t>PR-RAD-CMP-c1c503fce47</t>
  </si>
  <si>
    <t>M01-CMP-c910b6e8dda</t>
  </si>
  <si>
    <t>CMP-c910b6e8dda</t>
  </si>
  <si>
    <t>BACTERIAL;AMR;HAI</t>
  </si>
  <si>
    <t>PHAGE;GENE_EDITING;PLATFORM</t>
  </si>
  <si>
    <t>Locus Biosciences</t>
  </si>
  <si>
    <t>SRC-BD-037</t>
  </si>
  <si>
    <t>PR-BD-037</t>
  </si>
  <si>
    <t>M01-CMP-cb6708093dc</t>
  </si>
  <si>
    <t>CMP-cb6708093dc</t>
  </si>
  <si>
    <t>VIRAL;HEPATITIS</t>
  </si>
  <si>
    <t>GENE_EDITING;CELL_GENE_THERAPY;PLATFORM</t>
  </si>
  <si>
    <t>Precision BioSciences</t>
  </si>
  <si>
    <t>SRC-BD-035</t>
  </si>
  <si>
    <t>PR-BD-035</t>
  </si>
  <si>
    <t>M01-CMP-e40d855a05d</t>
  </si>
  <si>
    <t>CMP-e40d855a05d</t>
  </si>
  <si>
    <t>EMERGING_INFECTIONS;NTD;IMMUNOCOMPROMISED</t>
  </si>
  <si>
    <t>Takeda;Takeda Pharmaceutical Co Ltd</t>
  </si>
  <si>
    <t>SRC-BD-021</t>
  </si>
  <si>
    <t>PR-RAD-CMP-e40d855a05d</t>
  </si>
  <si>
    <t>M01-CMP-ebec5cdb20c</t>
  </si>
  <si>
    <t>CMP-ebec5cdb20c</t>
  </si>
  <si>
    <t>FUNGAL;AMR</t>
  </si>
  <si>
    <t>Elion Therapeutics</t>
  </si>
  <si>
    <t>SRC-AMR-AF</t>
  </si>
  <si>
    <t>PR-BD-030</t>
  </si>
  <si>
    <t>M01-ENT-V22-HOLOGIC</t>
  </si>
  <si>
    <t>ENT-V22-HOLOGIC</t>
  </si>
  <si>
    <t>DIAGNOSTICS;MUCOSAL_INFECTIONS;IMMUNOCOMPROMISED</t>
  </si>
  <si>
    <t>Hologic</t>
  </si>
  <si>
    <t>SRC-V22-HOLOGIC</t>
  </si>
  <si>
    <t>PR-V22-M01-ENT-V22-HOLOGIC</t>
  </si>
  <si>
    <t>Molecular assay developer; clinical intended uses vary by assay.</t>
  </si>
  <si>
    <t>M01-CMP-08a8fbeac27</t>
  </si>
  <si>
    <t>CMP-08a8fbeac27</t>
  </si>
  <si>
    <t>HEPATITIS;EMERGING_INFECTIONS;NTD;MUCOSAL_INFECTIONS</t>
  </si>
  <si>
    <t>KM Biologics Co Ltd</t>
  </si>
  <si>
    <t>SRC-NAME-SEARCH</t>
  </si>
  <si>
    <t>DISCOVERY_CANDIDATE_UNVERIFIED</t>
  </si>
  <si>
    <t>PR-RAD-CMP-08a8fbeac27</t>
  </si>
  <si>
    <t>DISCOVERY</t>
  </si>
  <si>
    <t>M01-CMP-0a76928b480</t>
  </si>
  <si>
    <t>CMP-0a76928b480</t>
  </si>
  <si>
    <t>ANTIBACTERIAL;TUBERCULOSIS;MUCOSAL_INFECTIONS;IMMUNOCOMPROMISED</t>
  </si>
  <si>
    <t>Shenzhen Rhegen Biotechnology Co Ltd</t>
  </si>
  <si>
    <t>PR-RAD-CMP-0a76928b480</t>
  </si>
  <si>
    <t>M01-CMP-108641addb6</t>
  </si>
  <si>
    <t>CMP-108641addb6</t>
  </si>
  <si>
    <t>HIV;EMERGING_INFECTIONS</t>
  </si>
  <si>
    <t>City of Hope</t>
  </si>
  <si>
    <t>PR-RAD-CMP-108641addb6</t>
  </si>
  <si>
    <t>M01-CMP-1a25fe5bbff</t>
  </si>
  <si>
    <t>CMP-1a25fe5bbff</t>
  </si>
  <si>
    <t>EMERGING_INFECTIONS;NTD;MUCOSAL_INFECTIONS;IMMUNOCOMPROMISED</t>
  </si>
  <si>
    <t>60 Degrees Pharmaceuticals Inc</t>
  </si>
  <si>
    <t>PR-RAD-CMP-1a25fe5bbff</t>
  </si>
  <si>
    <t>M01-CMP-1c8ca8e408e</t>
  </si>
  <si>
    <t>CMP-1c8ca8e408e</t>
  </si>
  <si>
    <t>ANTIBACTERIAL;EMERGING_INFECTIONS;MUCOSAL_INFECTIONS;IMMUNOCOMPROMISED</t>
  </si>
  <si>
    <t>Sinovac Biotech Ltd</t>
  </si>
  <si>
    <t>PR-RAD-CMP-1c8ca8e408e</t>
  </si>
  <si>
    <t>M01-CMP-2100701d612</t>
  </si>
  <si>
    <t>CMP-2100701d612</t>
  </si>
  <si>
    <t>Rebiotix Inc</t>
  </si>
  <si>
    <t>PR-RAD-CMP-2100701d612</t>
  </si>
  <si>
    <t>M01-CMP-246ca48d6d7</t>
  </si>
  <si>
    <t>CMP-246ca48d6d7</t>
  </si>
  <si>
    <t>Chengdu Olymvax Biopharmaceuticals Inc</t>
  </si>
  <si>
    <t>PR-RAD-CMP-246ca48d6d7</t>
  </si>
  <si>
    <t>M01-CMP-251613697f2</t>
  </si>
  <si>
    <t>CMP-251613697f2</t>
  </si>
  <si>
    <t>ANTIBACTERIAL;TUBERCULOSIS;NTD</t>
  </si>
  <si>
    <t>Quratis Inc</t>
  </si>
  <si>
    <t>PR-RAD-CMP-251613697f2</t>
  </si>
  <si>
    <t>M01-CMP-2ce03c6442a</t>
  </si>
  <si>
    <t>CMP-2ce03c6442a</t>
  </si>
  <si>
    <t>HEPATITIS;ANTIBACTERIAL;EMERGING_INFECTIONS;TUBERCULOSIS;MUCOSAL_INFECTIONS</t>
  </si>
  <si>
    <t>Vital Korea</t>
  </si>
  <si>
    <t>PR-RAD-CMP-2ce03c6442a</t>
  </si>
  <si>
    <t>M01-CMP-3d6b5bd3377</t>
  </si>
  <si>
    <t>CMP-3d6b5bd3377</t>
  </si>
  <si>
    <t>HIV;HEPATITIS;ANTIBACTERIAL;EMERGING_INFECTIONS;TUBERCULOSIS;NTD;MUCOSAL_INFECTIONS;IMMUNOCOMPROMISED</t>
  </si>
  <si>
    <t>Palisades Therapeutics</t>
  </si>
  <si>
    <t>PR-RAD-CMP-3d6b5bd3377</t>
  </si>
  <si>
    <t>M01-CMP-413f8fd9f55</t>
  </si>
  <si>
    <t>CMP-413f8fd9f55</t>
  </si>
  <si>
    <t>Bayer AG</t>
  </si>
  <si>
    <t>PR-RAD-CMP-413f8fd9f55</t>
  </si>
  <si>
    <t>M01-CMP-455a5cf00a7</t>
  </si>
  <si>
    <t>CMP-455a5cf00a7</t>
  </si>
  <si>
    <t>Indian Immunologicals Ltd</t>
  </si>
  <si>
    <t>PR-RAD-CMP-455a5cf00a7</t>
  </si>
  <si>
    <t>M01-CMP-4e3acc2788c</t>
  </si>
  <si>
    <t>CMP-4e3acc2788c</t>
  </si>
  <si>
    <t>HEPATITIS;ANTIBACTERIAL;EMERGING_INFECTIONS;NTD;MUCOSAL_INFECTIONS</t>
  </si>
  <si>
    <t>Biological E Ltd</t>
  </si>
  <si>
    <t>PR-RAD-CMP-4e3acc2788c</t>
  </si>
  <si>
    <t>M01-CMP-59cc13297d8</t>
  </si>
  <si>
    <t>CMP-59cc13297d8</t>
  </si>
  <si>
    <t>BioNet-Asia Co Ltd</t>
  </si>
  <si>
    <t>PR-RAD-CMP-59cc13297d8</t>
  </si>
  <si>
    <t>M01-CMP-870018ed6f8</t>
  </si>
  <si>
    <t>CMP-870018ed6f8</t>
  </si>
  <si>
    <t>ANTIBACTERIAL;EMERGING_INFECTIONS;TUBERCULOSIS;MUCOSAL_INFECTIONS;IMMUNOCOMPROMISED</t>
  </si>
  <si>
    <t>Suzhou Abogen Biosciences Co Ltd</t>
  </si>
  <si>
    <t>PR-RAD-CMP-870018ed6f8</t>
  </si>
  <si>
    <t>M01-CMP-89418911969</t>
  </si>
  <si>
    <t>CMP-89418911969</t>
  </si>
  <si>
    <t>HEPATITIS;HAI;ANTIBACTERIAL</t>
  </si>
  <si>
    <t>Chia Tai Tianqing Pharmaceutical Group Co Ltd</t>
  </si>
  <si>
    <t>PR-RAD-CMP-89418911969</t>
  </si>
  <si>
    <t>M01-CMP-8c64c4d04de</t>
  </si>
  <si>
    <t>CMP-8c64c4d04de</t>
  </si>
  <si>
    <t>HIV;HEPATITIS;ANTIBACTERIAL;MUCOSAL_INFECTIONS;IMMUNOCOMPROMISED</t>
  </si>
  <si>
    <t>Shanxi Kangbao Biological Product Co Ltd</t>
  </si>
  <si>
    <t>PR-RAD-CMP-8c64c4d04de</t>
  </si>
  <si>
    <t>M01-CMP-8ee8900c31c</t>
  </si>
  <si>
    <t>CMP-8ee8900c31c</t>
  </si>
  <si>
    <t>HEPATITIS;HAI;ANTIBACTERIAL;EMERGING_INFECTIONS;NTD;IMMUNOCOMPROMISED</t>
  </si>
  <si>
    <t>Zydus Lifesciences Ltd</t>
  </si>
  <si>
    <t>PR-RAD-CMP-8ee8900c31c</t>
  </si>
  <si>
    <t>M01-CMP-994d1e3fd3b</t>
  </si>
  <si>
    <t>CMP-994d1e3fd3b</t>
  </si>
  <si>
    <t>GeneOne Life Science Inc</t>
  </si>
  <si>
    <t>PR-RAD-CMP-994d1e3fd3b</t>
  </si>
  <si>
    <t>M01-CMP-9c376d2b7ab</t>
  </si>
  <si>
    <t>CMP-9c376d2b7ab</t>
  </si>
  <si>
    <t>HAI;ANTIBACTERIAL;TUBERCULOSIS;MUCOSAL_INFECTIONS;IMMUNOCOMPROMISED</t>
  </si>
  <si>
    <t>MicuRx Pharmaceuticals Inc</t>
  </si>
  <si>
    <t>PR-RAD-CMP-9c376d2b7ab</t>
  </si>
  <si>
    <t>M01-CMP-9f2367b42ec</t>
  </si>
  <si>
    <t>CMP-9f2367b42ec</t>
  </si>
  <si>
    <t>IMMUNOCOMPROMISED</t>
  </si>
  <si>
    <t>Bristar Immunotech Biotechnology Co Ltd</t>
  </si>
  <si>
    <t>PR-RAD-CMP-9f2367b42ec</t>
  </si>
  <si>
    <t>M01-CMP-a133809740b</t>
  </si>
  <si>
    <t>CMP-a133809740b</t>
  </si>
  <si>
    <t>HIV;HEPATITIS;HAI;ANTIBACTERIAL;EMERGING_INFECTIONS;TUBERCULOSIS;NTD;MUCOSAL_INFECTIONS</t>
  </si>
  <si>
    <t>Johnson &amp; Johnson</t>
  </si>
  <si>
    <t>PR-RAD-CMP-a133809740b</t>
  </si>
  <si>
    <t>M01-CMP-a455fe8ed3b</t>
  </si>
  <si>
    <t>CMP-a455fe8ed3b</t>
  </si>
  <si>
    <t>MUCOSAL_INFECTIONS;IMMUNOCOMPROMISED</t>
  </si>
  <si>
    <t>Changchun Bcht Biotechnology Co Ltd</t>
  </si>
  <si>
    <t>PR-RAD-CMP-a455fe8ed3b</t>
  </si>
  <si>
    <t>M01-CMP-aedbc6dad69</t>
  </si>
  <si>
    <t>CMP-aedbc6dad69</t>
  </si>
  <si>
    <t>HAI;ANTIBACTERIAL;TUBERCULOSIS;IMMUNOCOMPROMISED</t>
  </si>
  <si>
    <t>Crestone Inc</t>
  </si>
  <si>
    <t>PR-RAD-CMP-aedbc6dad69</t>
  </si>
  <si>
    <t>M01-CMP-b372a79ea29</t>
  </si>
  <si>
    <t>CMP-b372a79ea29</t>
  </si>
  <si>
    <t>VIRAL;BIOTECH</t>
  </si>
  <si>
    <t>AbbVie Inc</t>
  </si>
  <si>
    <t>SRC-V22-ABBVIE</t>
  </si>
  <si>
    <t>OFFICIAL_BROAD_PORTFOLIO_DISCOVERY</t>
  </si>
  <si>
    <t>PR-RAD-CMP-b372a79ea29</t>
  </si>
  <si>
    <t>Broad portfolio only; do not infer active infectious asset from general pipeline.</t>
  </si>
  <si>
    <t>M01-CMP-b69f0599844</t>
  </si>
  <si>
    <t>CMP-b69f0599844</t>
  </si>
  <si>
    <t>HAI;ANTIBACTERIAL;EMERGING_INFECTIONS;MUCOSAL_INFECTIONS;IMMUNOCOMPROMISED</t>
  </si>
  <si>
    <t>AIM Vaccine Co Ltd</t>
  </si>
  <si>
    <t>PR-RAD-CMP-b69f0599844</t>
  </si>
  <si>
    <t>M01-CMP-b6c031ebf37</t>
  </si>
  <si>
    <t>CMP-b6c031ebf37</t>
  </si>
  <si>
    <t>Lanzhou Institute of Biological Products Co Ltd</t>
  </si>
  <si>
    <t>PR-RAD-CMP-b6c031ebf37</t>
  </si>
  <si>
    <t>M01-CMP-ba04c7a5187</t>
  </si>
  <si>
    <t>CMP-ba04c7a5187</t>
  </si>
  <si>
    <t>Suzhou Juwei Biotech Co Ltd</t>
  </si>
  <si>
    <t>PR-RAD-CMP-ba04c7a5187</t>
  </si>
  <si>
    <t>M01-CMP-c132e3a36c6</t>
  </si>
  <si>
    <t>CMP-c132e3a36c6</t>
  </si>
  <si>
    <t>HEPATITIS;EMERGING_INFECTIONS;MUCOSAL_INFECTIONS;IMMUNOCOMPROMISED</t>
  </si>
  <si>
    <t>CSPC Pharmaceutical Group Ltd</t>
  </si>
  <si>
    <t>PR-RAD-CMP-c132e3a36c6</t>
  </si>
  <si>
    <t>M01-CMP-c6b22982ad3</t>
  </si>
  <si>
    <t>CMP-c6b22982ad3</t>
  </si>
  <si>
    <t>EMERGING_INFECTIONS</t>
  </si>
  <si>
    <t>Shenzhen Geno-Immune Medical Institute</t>
  </si>
  <si>
    <t>PR-RAD-CMP-c6b22982ad3</t>
  </si>
  <si>
    <t>M01-CMP-c6bc30af3d8</t>
  </si>
  <si>
    <t>CMP-c6bc30af3d8</t>
  </si>
  <si>
    <t>Wuhan Bio-Raid Biotechnology Co Ltd</t>
  </si>
  <si>
    <t>PR-RAD-CMP-c6bc30af3d8</t>
  </si>
  <si>
    <t>M01-CMP-cc9fc6ac0ff</t>
  </si>
  <si>
    <t>CMP-cc9fc6ac0ff</t>
  </si>
  <si>
    <t>Chongqing Zhifei Biological Products Co Ltd</t>
  </si>
  <si>
    <t>PR-RAD-CMP-cc9fc6ac0ff</t>
  </si>
  <si>
    <t>M01-CMP-cdc8013144b</t>
  </si>
  <si>
    <t>CMP-cdc8013144b</t>
  </si>
  <si>
    <t>AriBioLab Co Ltd</t>
  </si>
  <si>
    <t>PR-RAD-CMP-cdc8013144b</t>
  </si>
  <si>
    <t>M01-CMP-d30edde7435</t>
  </si>
  <si>
    <t>CMP-d30edde7435</t>
  </si>
  <si>
    <t>HAI;ANTIBACTERIAL;EMERGING_INFECTIONS;TUBERCULOSIS;MUCOSAL_INFECTIONS</t>
  </si>
  <si>
    <t>Akagera Medicines Inc</t>
  </si>
  <si>
    <t>PR-RAD-CMP-d30edde7435</t>
  </si>
  <si>
    <t>M01-CMP-de8e4c7e849</t>
  </si>
  <si>
    <t>CMP-de8e4c7e849</t>
  </si>
  <si>
    <t>Suzhou CureMed Biopharma Technology Co Ltd</t>
  </si>
  <si>
    <t>PR-RAD-CMP-de8e4c7e849</t>
  </si>
  <si>
    <t>M01-CMP-e6d28a1f43f</t>
  </si>
  <si>
    <t>CMP-e6d28a1f43f</t>
  </si>
  <si>
    <t>HIV;EMERGING_INFECTIONS;MUCOSAL_INFECTIONS</t>
  </si>
  <si>
    <t>Henan Genuine Biotech Co Ltd</t>
  </si>
  <si>
    <t>PR-RAD-CMP-e6d28a1f43f</t>
  </si>
  <si>
    <t>M01-CMP-ea5495c6494</t>
  </si>
  <si>
    <t>CMP-ea5495c6494</t>
  </si>
  <si>
    <t>HIV;HAI;ANTIBACTERIAL;EMERGING_INFECTIONS;NTD;IMMUNOCOMPROMISED</t>
  </si>
  <si>
    <t>Bristol-Myers Squibb Co</t>
  </si>
  <si>
    <t>PR-RAD-CMP-ea5495c6494</t>
  </si>
  <si>
    <t>M01-CMP-fcc9f977944</t>
  </si>
  <si>
    <t>CMP-fcc9f977944</t>
  </si>
  <si>
    <t>ANTIBACTERIAL;EMERGING_INFECTIONS;TUBERCULOSIS;MUCOSAL_INFECTIONS</t>
  </si>
  <si>
    <t>SPbNIIVS FMBA of Russia</t>
  </si>
  <si>
    <t>PR-RAD-CMP-fcc9f977944</t>
  </si>
  <si>
    <t>M01-CMP-feb7d44c4f0</t>
  </si>
  <si>
    <t>CMP-feb7d44c4f0</t>
  </si>
  <si>
    <t>MUCOSAL_INFECTIONS</t>
  </si>
  <si>
    <t>Beijing Minhai Biotechnology Co Ltd</t>
  </si>
  <si>
    <t>PR-RAD-CMP-feb7d44c4f0</t>
  </si>
  <si>
    <t>M01-CMP-ff43c4d38a6</t>
  </si>
  <si>
    <t>CMP-ff43c4d38a6</t>
  </si>
  <si>
    <t>Lion TCR Pte Ltd</t>
  </si>
  <si>
    <t>PR-RAD-CMP-ff43c4d38a6</t>
  </si>
  <si>
    <t>M01-CMP-01bd01edab9</t>
  </si>
  <si>
    <t>CMP-01bd01edab9</t>
  </si>
  <si>
    <t>ANTIBACTERIAL;EMERGING_INFECTIONS;MUCOSAL_INFECTIONS</t>
  </si>
  <si>
    <t>Inventprise LLC</t>
  </si>
  <si>
    <t>PR-RAD-CMP-01bd01edab9</t>
  </si>
  <si>
    <t>M01-CMP-078b33dd07f</t>
  </si>
  <si>
    <t>CMP-078b33dd07f</t>
  </si>
  <si>
    <t>HEPATITIS;HAI;ANTIBACTERIAL;MUCOSAL_INFECTIONS;IMMUNOCOMPROMISED</t>
  </si>
  <si>
    <t>Jiangsu Hengrui Pharmaceuticals Co Ltd</t>
  </si>
  <si>
    <t>PR-RAD-CMP-078b33dd07f</t>
  </si>
  <si>
    <t>M01-CMP-0934bdf51e6</t>
  </si>
  <si>
    <t>CMP-0934bdf51e6</t>
  </si>
  <si>
    <t>EMERGING_INFECTIONS;MUCOSAL_INFECTIONS;IMMUNOCOMPROMISED</t>
  </si>
  <si>
    <t>Shanghai Institute of Biological Products Co Ltd</t>
  </si>
  <si>
    <t>PR-RAD-CMP-0934bdf51e6</t>
  </si>
  <si>
    <t>M01-CMP-0b55c608dd1</t>
  </si>
  <si>
    <t>CMP-0b55c608dd1</t>
  </si>
  <si>
    <t>LucasBio Co Ltd</t>
  </si>
  <si>
    <t>PR-RAD-CMP-0b55c608dd1</t>
  </si>
  <si>
    <t>M01-CMP-0c333834d33</t>
  </si>
  <si>
    <t>CMP-0c333834d33</t>
  </si>
  <si>
    <t>Boehringer Ingelheim International GmbH</t>
  </si>
  <si>
    <t>PR-RAD-CMP-0c333834d33</t>
  </si>
  <si>
    <t>M01-CMP-0e7071bcdb5</t>
  </si>
  <si>
    <t>CMP-0e7071bcdb5</t>
  </si>
  <si>
    <t>HAI;ANTIBACTERIAL;NTD</t>
  </si>
  <si>
    <t>Aviex Technologies LLC</t>
  </si>
  <si>
    <t>PR-RAD-CMP-0e7071bcdb5</t>
  </si>
  <si>
    <t>M01-CMP-0f0e212f928</t>
  </si>
  <si>
    <t>CMP-0f0e212f928</t>
  </si>
  <si>
    <t>Huahui Health Ltd</t>
  </si>
  <si>
    <t>PR-RAD-CMP-0f0e212f928</t>
  </si>
  <si>
    <t>M01-CMP-104615421c5</t>
  </si>
  <si>
    <t>CMP-104615421c5</t>
  </si>
  <si>
    <t>Citius Pharmaceuticals Inc</t>
  </si>
  <si>
    <t>PR-RAD-CMP-104615421c5</t>
  </si>
  <si>
    <t>M01-CMP-1230b627b39</t>
  </si>
  <si>
    <t>CMP-1230b627b39</t>
  </si>
  <si>
    <t>Alopexx Inc</t>
  </si>
  <si>
    <t>PR-RAD-CMP-1230b627b39</t>
  </si>
  <si>
    <t>M01-CMP-13c8a43edd1</t>
  </si>
  <si>
    <t>CMP-13c8a43edd1</t>
  </si>
  <si>
    <t>HIV;ANTIBACTERIAL;MUCOSAL_INFECTIONS</t>
  </si>
  <si>
    <t>Osel Inc</t>
  </si>
  <si>
    <t>PR-RAD-CMP-13c8a43edd1</t>
  </si>
  <si>
    <t>M01-CMP-1441b9ac13e</t>
  </si>
  <si>
    <t>CMP-1441b9ac13e</t>
  </si>
  <si>
    <t>Beijing Luzhu Biotechnology Co Ltd</t>
  </si>
  <si>
    <t>PR-RAD-CMP-1441b9ac13e</t>
  </si>
  <si>
    <t>M01-CMP-156cb401985</t>
  </si>
  <si>
    <t>CMP-156cb401985</t>
  </si>
  <si>
    <t>MAXVAX Biotechnology Co Ltd</t>
  </si>
  <si>
    <t>PR-RAD-CMP-156cb401985</t>
  </si>
  <si>
    <t>M01-CMP-15c4ed59a02</t>
  </si>
  <si>
    <t>CMP-15c4ed59a02</t>
  </si>
  <si>
    <t>LigaChem Biosciences Inc</t>
  </si>
  <si>
    <t>PR-RAD-CMP-15c4ed59a02</t>
  </si>
  <si>
    <t>M01-CMP-1d21555768c</t>
  </si>
  <si>
    <t>CMP-1d21555768c</t>
  </si>
  <si>
    <t>Luye Life Sciences Group Ltd</t>
  </si>
  <si>
    <t>PR-RAD-CMP-1d21555768c</t>
  </si>
  <si>
    <t>M01-CMP-2297c0d2f25</t>
  </si>
  <si>
    <t>CMP-2297c0d2f25</t>
  </si>
  <si>
    <t>Dynavax Technologies Corp</t>
  </si>
  <si>
    <t>PR-RAD-CMP-2297c0d2f25</t>
  </si>
  <si>
    <t>M01-CMP-2689ea1fbe9</t>
  </si>
  <si>
    <t>CMP-2689ea1fbe9</t>
  </si>
  <si>
    <t>Viriom Inc</t>
  </si>
  <si>
    <t>PR-RAD-CMP-2689ea1fbe9</t>
  </si>
  <si>
    <t>M01-CMP-2e8e0dfb894</t>
  </si>
  <si>
    <t>CMP-2e8e0dfb894</t>
  </si>
  <si>
    <t>ANTIBACTERIAL;EMERGING_INFECTIONS;NTD;MUCOSAL_INFECTIONS</t>
  </si>
  <si>
    <t>RedHill Biopharma Ltd</t>
  </si>
  <si>
    <t>PR-RAD-CMP-2e8e0dfb894</t>
  </si>
  <si>
    <t>M01-CMP-30076d157c9</t>
  </si>
  <si>
    <t>CMP-30076d157c9</t>
  </si>
  <si>
    <t>Immuron Ltd</t>
  </si>
  <si>
    <t>PR-RAD-CMP-30076d157c9</t>
  </si>
  <si>
    <t>M01-CMP-38726f0edd0</t>
  </si>
  <si>
    <t>CMP-38726f0edd0</t>
  </si>
  <si>
    <t>HIV;EMERGING_INFECTIONS;NTD</t>
  </si>
  <si>
    <t>ConserV Bioscience Ltd</t>
  </si>
  <si>
    <t>PR-RAD-CMP-38726f0edd0</t>
  </si>
  <si>
    <t>M01-CMP-3f15ddb6b50</t>
  </si>
  <si>
    <t>CMP-3f15ddb6b50</t>
  </si>
  <si>
    <t>NTD;IMMUNOCOMPROMISED</t>
  </si>
  <si>
    <t>Eisai Co Ltd</t>
  </si>
  <si>
    <t>PR-RAD-CMP-3f15ddb6b50</t>
  </si>
  <si>
    <t>M01-CMP-3f19c5bc4ac</t>
  </si>
  <si>
    <t>CMP-3f19c5bc4ac</t>
  </si>
  <si>
    <t>Eubiologics Co Ltd</t>
  </si>
  <si>
    <t>PR-RAD-CMP-3f19c5bc4ac</t>
  </si>
  <si>
    <t>M01-CMP-3f23dcf79de</t>
  </si>
  <si>
    <t>CMP-3f23dcf79de</t>
  </si>
  <si>
    <t>AimMax Therapeutics Inc</t>
  </si>
  <si>
    <t>PR-RAD-CMP-3f23dcf79de</t>
  </si>
  <si>
    <t>M01-CMP-4554fe38f79</t>
  </si>
  <si>
    <t>CMP-4554fe38f79</t>
  </si>
  <si>
    <t>Jiangsu Aidea Pharmaceutical Group Co Ltd</t>
  </si>
  <si>
    <t>PR-RAD-CMP-4554fe38f79</t>
  </si>
  <si>
    <t>M01-CMP-45b05f5c83e</t>
  </si>
  <si>
    <t>CMP-45b05f5c83e</t>
  </si>
  <si>
    <t>EMERGING_INFECTIONS;NTD</t>
  </si>
  <si>
    <t>Pasteur Institute</t>
  </si>
  <si>
    <t>PR-RAD-CMP-45b05f5c83e</t>
  </si>
  <si>
    <t>M01-CMP-4b7ea901498</t>
  </si>
  <si>
    <t>CMP-4b7ea901498</t>
  </si>
  <si>
    <t>HIV;HEPATITIS</t>
  </si>
  <si>
    <t>GeneCure Biotechnologies LLC</t>
  </si>
  <si>
    <t>PR-RAD-CMP-4b7ea901498</t>
  </si>
  <si>
    <t>M01-CMP-4b8976fa781</t>
  </si>
  <si>
    <t>CMP-4b8976fa781</t>
  </si>
  <si>
    <t>HEPATITIS;MUCOSAL_INFECTIONS</t>
  </si>
  <si>
    <t>Genrix (Shanghai) Biopharmaceutical Co Ltd</t>
  </si>
  <si>
    <t>PR-RAD-CMP-4b8976fa781</t>
  </si>
  <si>
    <t>M01-CMP-4ce16cef964</t>
  </si>
  <si>
    <t>CMP-4ce16cef964</t>
  </si>
  <si>
    <t>Joincare Pharmaceutical Group Industry Co Ltd</t>
  </si>
  <si>
    <t>PR-RAD-CMP-4ce16cef964</t>
  </si>
  <si>
    <t>M01-CMP-4e04704ecc0</t>
  </si>
  <si>
    <t>CMP-4e04704ecc0</t>
  </si>
  <si>
    <t>ReiThera Srl</t>
  </si>
  <si>
    <t>PR-RAD-CMP-4e04704ecc0</t>
  </si>
  <si>
    <t>M01-CMP-4f8a2958e3d</t>
  </si>
  <si>
    <t>CMP-4f8a2958e3d</t>
  </si>
  <si>
    <t>Lumen Bioscience Inc</t>
  </si>
  <si>
    <t>PR-RAD-CMP-4f8a2958e3d</t>
  </si>
  <si>
    <t>M01-CMP-53fd82f1af9</t>
  </si>
  <si>
    <t>CMP-53fd82f1af9</t>
  </si>
  <si>
    <t>CSL Ltd</t>
  </si>
  <si>
    <t>PR-RAD-CMP-53fd82f1af9</t>
  </si>
  <si>
    <t>M01-CMP-561749078f8</t>
  </si>
  <si>
    <t>CMP-561749078f8</t>
  </si>
  <si>
    <t>Codagenix Inc</t>
  </si>
  <si>
    <t>PR-RAD-CMP-561749078f8</t>
  </si>
  <si>
    <t>M01-CMP-5756f6656b7</t>
  </si>
  <si>
    <t>CMP-5756f6656b7</t>
  </si>
  <si>
    <t>GC Biopharma Corp</t>
  </si>
  <si>
    <t>PR-RAD-CMP-5756f6656b7</t>
  </si>
  <si>
    <t>M01-CMP-58ed874c974</t>
  </si>
  <si>
    <t>CMP-58ed874c974</t>
  </si>
  <si>
    <t>Clover Biopharmaceuticals Ltd</t>
  </si>
  <si>
    <t>PR-RAD-CMP-58ed874c974</t>
  </si>
  <si>
    <t>M01-CMP-5e80d86ddfe</t>
  </si>
  <si>
    <t>CMP-5e80d86ddfe</t>
  </si>
  <si>
    <t>HAI;ANTIBACTERIAL;EMERGING_INFECTIONS</t>
  </si>
  <si>
    <t>AbVacc Inc</t>
  </si>
  <si>
    <t>PR-RAD-CMP-5e80d86ddfe</t>
  </si>
  <si>
    <t>M01-CMP-5e8e018b773</t>
  </si>
  <si>
    <t>CMP-5e8e018b773</t>
  </si>
  <si>
    <t>HEPATITIS;HAI;ANTIBACTERIAL;EMERGING_INFECTIONS;MUCOSAL_INFECTIONS</t>
  </si>
  <si>
    <t>Abion Inc</t>
  </si>
  <si>
    <t>PR-RAD-CMP-5e8e018b773</t>
  </si>
  <si>
    <t>M01-CMP-5ecaf4c905a</t>
  </si>
  <si>
    <t>CMP-5ecaf4c905a</t>
  </si>
  <si>
    <t>Jecho Biopharmaceuticals Co Ltd</t>
  </si>
  <si>
    <t>PR-RAD-CMP-5ecaf4c905a</t>
  </si>
  <si>
    <t>M01-CMP-6a58fd2de4b</t>
  </si>
  <si>
    <t>CMP-6a58fd2de4b</t>
  </si>
  <si>
    <t>Chugai Pharmaceutical Co Ltd</t>
  </si>
  <si>
    <t>PR-RAD-CMP-6a58fd2de4b</t>
  </si>
  <si>
    <t>M01-CMP-6b4f0aaee02</t>
  </si>
  <si>
    <t>CMP-6b4f0aaee02</t>
  </si>
  <si>
    <t>Austrianni GmbH</t>
  </si>
  <si>
    <t>PR-RAD-CMP-6b4f0aaee02</t>
  </si>
  <si>
    <t>M01-CMP-6d82459e523</t>
  </si>
  <si>
    <t>CMP-6d82459e523</t>
  </si>
  <si>
    <t>HIV;HEPATITIS;ANTIBACTERIAL;IMMUNOCOMPROMISED</t>
  </si>
  <si>
    <t>Bolder Biotechnology Inc</t>
  </si>
  <si>
    <t>PR-RAD-CMP-6d82459e523</t>
  </si>
  <si>
    <t>M01-CMP-6f9f822213f</t>
  </si>
  <si>
    <t>CMP-6f9f822213f</t>
  </si>
  <si>
    <t>EyeGene Inc</t>
  </si>
  <si>
    <t>PR-RAD-CMP-6f9f822213f</t>
  </si>
  <si>
    <t>M01-CMP-78274050aea</t>
  </si>
  <si>
    <t>CMP-78274050aea</t>
  </si>
  <si>
    <t>HEPATITIS;EMERGING_INFECTIONS;MUCOSAL_INFECTIONS</t>
  </si>
  <si>
    <t>LG Chem Ltd</t>
  </si>
  <si>
    <t>PR-RAD-CMP-78274050aea</t>
  </si>
  <si>
    <t>M01-CMP-7f9729c098e</t>
  </si>
  <si>
    <t>CMP-7f9729c098e</t>
  </si>
  <si>
    <t>Medicines Development for Global Health Ltd</t>
  </si>
  <si>
    <t>PR-RAD-CMP-7f9729c098e</t>
  </si>
  <si>
    <t>M01-CMP-8286c6c630d</t>
  </si>
  <si>
    <t>CMP-8286c6c630d</t>
  </si>
  <si>
    <t>Vaxart Inc</t>
  </si>
  <si>
    <t>PR-RAD-CMP-8286c6c630d</t>
  </si>
  <si>
    <t>M01-CMP-83aac7ecc69</t>
  </si>
  <si>
    <t>CMP-83aac7ecc69</t>
  </si>
  <si>
    <t>HEPATITIS;ANTIBACTERIAL;EMERGING_INFECTIONS</t>
  </si>
  <si>
    <t>Grifols SA</t>
  </si>
  <si>
    <t>PR-RAD-CMP-83aac7ecc69</t>
  </si>
  <si>
    <t>M01-CMP-895a161abc0</t>
  </si>
  <si>
    <t>CMP-895a161abc0</t>
  </si>
  <si>
    <t>Chengdu Keen Biotechnology Co Ltd</t>
  </si>
  <si>
    <t>PR-RAD-CMP-895a161abc0</t>
  </si>
  <si>
    <t>M01-CMP-90be0717d63</t>
  </si>
  <si>
    <t>CMP-90be0717d63</t>
  </si>
  <si>
    <t>ANTIBACTERIAL;TUBERCULOSIS;MUCOSAL_INFECTIONS</t>
  </si>
  <si>
    <t>ILiAD Biotechnologies LLC</t>
  </si>
  <si>
    <t>PR-RAD-CMP-90be0717d63</t>
  </si>
  <si>
    <t>M01-CMP-9307e1b3409</t>
  </si>
  <si>
    <t>CMP-9307e1b3409</t>
  </si>
  <si>
    <t>ANTIBACTERIAL;EMERGING_INFECTIONS;TUBERCULOSIS</t>
  </si>
  <si>
    <t>Sysvax (Beijing) Biotechnology Co Ltd</t>
  </si>
  <si>
    <t>PR-RAD-CMP-9307e1b3409</t>
  </si>
  <si>
    <t>M01-CMP-972583c6f34</t>
  </si>
  <si>
    <t>CMP-972583c6f34</t>
  </si>
  <si>
    <t>Shenzhen Kangtai Biological Products Co Ltd</t>
  </si>
  <si>
    <t>PR-RAD-CMP-972583c6f34</t>
  </si>
  <si>
    <t>M01-CMP-977c15d94f6</t>
  </si>
  <si>
    <t>CMP-977c15d94f6</t>
  </si>
  <si>
    <t>Shanghai Jiatan Pharmaceutical Technology Co Ltd</t>
  </si>
  <si>
    <t>PR-RAD-CMP-977c15d94f6</t>
  </si>
  <si>
    <t>M01-CMP-9873271cb64</t>
  </si>
  <si>
    <t>CMP-9873271cb64</t>
  </si>
  <si>
    <t>TaiGen Biotechnology Co Ltd</t>
  </si>
  <si>
    <t>PR-RAD-CMP-9873271cb64</t>
  </si>
  <si>
    <t>M01-CMP-9b5b6eb5241</t>
  </si>
  <si>
    <t>CMP-9b5b6eb5241</t>
  </si>
  <si>
    <t>Frontier Biotechnologies Inc</t>
  </si>
  <si>
    <t>PR-RAD-CMP-9b5b6eb5241</t>
  </si>
  <si>
    <t>M01-CMP-9c1a100dc59</t>
  </si>
  <si>
    <t>CMP-9c1a100dc59</t>
  </si>
  <si>
    <t>SinoCelltech Group Ltd</t>
  </si>
  <si>
    <t>PR-RAD-CMP-9c1a100dc59</t>
  </si>
  <si>
    <t>M01-CMP-9d580665cfb</t>
  </si>
  <si>
    <t>CMP-9d580665cfb</t>
  </si>
  <si>
    <t>ANTIBACTERIAL;MUCOSAL_INFECTIONS;IMMUNOCOMPROMISED</t>
  </si>
  <si>
    <t>Phenobio Biopharmaceutical Technology (Hangzhou) Co Ltd</t>
  </si>
  <si>
    <t>PR-RAD-CMP-9d580665cfb</t>
  </si>
  <si>
    <t>M01-CMP-9decd84757e</t>
  </si>
  <si>
    <t>CMP-9decd84757e</t>
  </si>
  <si>
    <t>Biocidium Biopharmaceuticals Inc</t>
  </si>
  <si>
    <t>PR-RAD-CMP-9decd84757e</t>
  </si>
  <si>
    <t>M01-CMP-a013038a1b4</t>
  </si>
  <si>
    <t>CMP-a013038a1b4</t>
  </si>
  <si>
    <t>Archivel Farma SL</t>
  </si>
  <si>
    <t>PR-RAD-CMP-a013038a1b4</t>
  </si>
  <si>
    <t>M01-CMP-a192e827864</t>
  </si>
  <si>
    <t>CMP-a192e827864</t>
  </si>
  <si>
    <t>Emergent BioSolutions Inc</t>
  </si>
  <si>
    <t>PR-RAD-CMP-a192e827864</t>
  </si>
  <si>
    <t>M01-CMP-a3444927172</t>
  </si>
  <si>
    <t>CMP-a3444927172</t>
  </si>
  <si>
    <t>Adimmune Corp</t>
  </si>
  <si>
    <t>PR-RAD-CMP-a3444927172</t>
  </si>
  <si>
    <t>M01-CMP-a407ca8cf34</t>
  </si>
  <si>
    <t>CMP-a407ca8cf34</t>
  </si>
  <si>
    <t>Merck KGaA</t>
  </si>
  <si>
    <t>PR-RAD-CMP-a407ca8cf34</t>
  </si>
  <si>
    <t>M01-CMP-a693719a769</t>
  </si>
  <si>
    <t>CMP-a693719a769</t>
  </si>
  <si>
    <t>Shanghai Bao Pharmaceuticals Co Ltd</t>
  </si>
  <si>
    <t>PR-RAD-CMP-a693719a769</t>
  </si>
  <si>
    <t>M01-CMP-a8e434f18c2</t>
  </si>
  <si>
    <t>CMP-a8e434f18c2</t>
  </si>
  <si>
    <t>Imperial College London</t>
  </si>
  <si>
    <t>PR-RAD-CMP-a8e434f18c2</t>
  </si>
  <si>
    <t>M01-CMP-ac2fdd1b3e6</t>
  </si>
  <si>
    <t>CMP-ac2fdd1b3e6</t>
  </si>
  <si>
    <t>VLP Therapeutics LLC</t>
  </si>
  <si>
    <t>PR-RAD-CMP-ac2fdd1b3e6</t>
  </si>
  <si>
    <t>M01-CMP-af44d9046cb</t>
  </si>
  <si>
    <t>CMP-af44d9046cb</t>
  </si>
  <si>
    <t>NTD</t>
  </si>
  <si>
    <t>Sanaria Inc</t>
  </si>
  <si>
    <t>PR-RAD-CMP-af44d9046cb</t>
  </si>
  <si>
    <t>M01-CMP-b226b1ca0a8</t>
  </si>
  <si>
    <t>CMP-b226b1ca0a8</t>
  </si>
  <si>
    <t>Collaborations Pharmaceuticals Inc</t>
  </si>
  <si>
    <t>PR-RAD-CMP-b226b1ca0a8</t>
  </si>
  <si>
    <t>M01-CMP-b3f407f932b</t>
  </si>
  <si>
    <t>CMP-b3f407f932b</t>
  </si>
  <si>
    <t>Beijing Sinovac Biotech Co Ltd</t>
  </si>
  <si>
    <t>PR-RAD-CMP-b3f407f932b</t>
  </si>
  <si>
    <t>M01-CMP-b42b7fb59f0</t>
  </si>
  <si>
    <t>CMP-b42b7fb59f0</t>
  </si>
  <si>
    <t>Panacea Biotec Ltd</t>
  </si>
  <si>
    <t>PR-RAD-CMP-b42b7fb59f0</t>
  </si>
  <si>
    <t>M01-CMP-b568334fb83</t>
  </si>
  <si>
    <t>CMP-b568334fb83</t>
  </si>
  <si>
    <t>HIV;IMMUNOCOMPROMISED</t>
  </si>
  <si>
    <t>United BioPharma Inc</t>
  </si>
  <si>
    <t>PR-RAD-CMP-b568334fb83</t>
  </si>
  <si>
    <t>M01-CMP-ba0f4be8da0</t>
  </si>
  <si>
    <t>CMP-ba0f4be8da0</t>
  </si>
  <si>
    <t>Wuhan Institute of Biological Products Co Ltd</t>
  </si>
  <si>
    <t>PR-RAD-CMP-ba0f4be8da0</t>
  </si>
  <si>
    <t>M01-CMP-bba1a1ec87d</t>
  </si>
  <si>
    <t>CMP-bba1a1ec87d</t>
  </si>
  <si>
    <t>Swedish Orphan Biovitrum AB</t>
  </si>
  <si>
    <t>PR-RAD-CMP-bba1a1ec87d</t>
  </si>
  <si>
    <t>M01-CMP-bded2171a7f</t>
  </si>
  <si>
    <t>CMP-bded2171a7f</t>
  </si>
  <si>
    <t>Biotron Ltd</t>
  </si>
  <si>
    <t>PR-RAD-CMP-bded2171a7f</t>
  </si>
  <si>
    <t>M01-CMP-be25b80e3f0</t>
  </si>
  <si>
    <t>CMP-be25b80e3f0</t>
  </si>
  <si>
    <t>Hefei Afana Biotechnology Co Ltd</t>
  </si>
  <si>
    <t>PR-RAD-CMP-be25b80e3f0</t>
  </si>
  <si>
    <t>M01-CMP-bf7e57274f6</t>
  </si>
  <si>
    <t>CMP-bf7e57274f6</t>
  </si>
  <si>
    <t>Promomed LLC</t>
  </si>
  <si>
    <t>PR-RAD-CMP-bf7e57274f6</t>
  </si>
  <si>
    <t>M01-CMP-c148cfc9d75</t>
  </si>
  <si>
    <t>CMP-c148cfc9d75</t>
  </si>
  <si>
    <t>HIV;HEPATITIS;HAI;ANTIBACTERIAL;MUCOSAL_INFECTIONS;IMMUNOCOMPROMISED</t>
  </si>
  <si>
    <t>Brandenburg Antiinfektiva GmbH</t>
  </si>
  <si>
    <t>PR-RAD-CMP-c148cfc9d75</t>
  </si>
  <si>
    <t>M01-CMP-c1748b7ddd0</t>
  </si>
  <si>
    <t>CMP-c1748b7ddd0</t>
  </si>
  <si>
    <t>Theravectys SA</t>
  </si>
  <si>
    <t>PR-RAD-CMP-c1748b7ddd0</t>
  </si>
  <si>
    <t>M01-CMP-c227f16eb1c</t>
  </si>
  <si>
    <t>CMP-c227f16eb1c</t>
  </si>
  <si>
    <t>RinuaGene Biotechnology Co Ltd</t>
  </si>
  <si>
    <t>PR-RAD-CMP-c227f16eb1c</t>
  </si>
  <si>
    <t>M01-CMP-c34e195e985</t>
  </si>
  <si>
    <t>CMP-c34e195e985</t>
  </si>
  <si>
    <t>Beijing Sanroad Biological Products Co Ltd</t>
  </si>
  <si>
    <t>PR-RAD-CMP-c34e195e985</t>
  </si>
  <si>
    <t>M01-CMP-c58329fede0</t>
  </si>
  <si>
    <t>CMP-c58329fede0</t>
  </si>
  <si>
    <t>Helocyte Inc</t>
  </si>
  <si>
    <t>PR-RAD-CMP-c58329fede0</t>
  </si>
  <si>
    <t>M01-CMP-c5c2748c797</t>
  </si>
  <si>
    <t>CMP-c5c2748c797</t>
  </si>
  <si>
    <t>Asia Scientific Global</t>
  </si>
  <si>
    <t>PR-RAD-CMP-c5c2748c797</t>
  </si>
  <si>
    <t>M01-CMP-c650577a6ad</t>
  </si>
  <si>
    <t>CMP-c650577a6ad</t>
  </si>
  <si>
    <t>Arrowsmith Inc</t>
  </si>
  <si>
    <t>PR-RAD-CMP-c650577a6ad</t>
  </si>
  <si>
    <t>M01-CMP-ca4713a975e</t>
  </si>
  <si>
    <t>CMP-ca4713a975e</t>
  </si>
  <si>
    <t>Xiamen Amoytop Biotech Co Ltd</t>
  </si>
  <si>
    <t>PR-RAD-CMP-ca4713a975e</t>
  </si>
  <si>
    <t>M01-CMP-cc6f0a4140b</t>
  </si>
  <si>
    <t>CMP-cc6f0a4140b</t>
  </si>
  <si>
    <t>Intravacc BV</t>
  </si>
  <si>
    <t>PR-RAD-CMP-cc6f0a4140b</t>
  </si>
  <si>
    <t>M01-CMP-ce1905883b7</t>
  </si>
  <si>
    <t>CMP-ce1905883b7</t>
  </si>
  <si>
    <t>Chengdu Anyong Dingye Biotechnology Co Ltd</t>
  </si>
  <si>
    <t>PR-RAD-CMP-ce1905883b7</t>
  </si>
  <si>
    <t>M01-CMP-ce583ab95df</t>
  </si>
  <si>
    <t>CMP-ce583ab95df</t>
  </si>
  <si>
    <t>HEPATITIS;IMMUNOCOMPROMISED</t>
  </si>
  <si>
    <t>Beijing Kawin Technology Share-Holding Co Ltd</t>
  </si>
  <si>
    <t>PR-RAD-CMP-ce583ab95df</t>
  </si>
  <si>
    <t>M01-CMP-d048b7e58a6</t>
  </si>
  <si>
    <t>CMP-d048b7e58a6</t>
  </si>
  <si>
    <t>Autonomous Therapeutics Inc</t>
  </si>
  <si>
    <t>PR-RAD-CMP-d048b7e58a6</t>
  </si>
  <si>
    <t>M01-CMP-d0dc37ee4f9</t>
  </si>
  <si>
    <t>CMP-d0dc37ee4f9</t>
  </si>
  <si>
    <t>HIV;ANTIBACTERIAL;EMERGING_INFECTIONS;MUCOSAL_INFECTIONS</t>
  </si>
  <si>
    <t>Yaso Therapeutics Inc</t>
  </si>
  <si>
    <t>PR-RAD-CMP-d0dc37ee4f9</t>
  </si>
  <si>
    <t>M01-CMP-d4177913933</t>
  </si>
  <si>
    <t>CMP-d4177913933</t>
  </si>
  <si>
    <t>Yicura Biomed Ltd</t>
  </si>
  <si>
    <t>PR-RAD-CMP-d4177913933</t>
  </si>
  <si>
    <t>M01-CMP-dbe4abdb422</t>
  </si>
  <si>
    <t>CMP-dbe4abdb422</t>
  </si>
  <si>
    <t>Changzhou Yinsheng Pharmaceutical Co Ltd</t>
  </si>
  <si>
    <t>PR-RAD-CMP-dbe4abdb422</t>
  </si>
  <si>
    <t>M01-CMP-dda1b1eb60d</t>
  </si>
  <si>
    <t>CMP-dda1b1eb60d</t>
  </si>
  <si>
    <t>Jiangsu Kunli Biopharmaceutical Co Ltd</t>
  </si>
  <si>
    <t>PR-RAD-CMP-dda1b1eb60d</t>
  </si>
  <si>
    <t>M01-CMP-e06a0a2c903</t>
  </si>
  <si>
    <t>CMP-e06a0a2c903</t>
  </si>
  <si>
    <t>Walvax Biotechnology Co Ltd</t>
  </si>
  <si>
    <t>PR-RAD-CMP-e06a0a2c903</t>
  </si>
  <si>
    <t>M01-CMP-e0ed1515d16</t>
  </si>
  <si>
    <t>CMP-e0ed1515d16</t>
  </si>
  <si>
    <t>WestVac Biopharma Co Ltd</t>
  </si>
  <si>
    <t>PR-RAD-CMP-e0ed1515d16</t>
  </si>
  <si>
    <t>M01-CMP-e2fd1a7b36e</t>
  </si>
  <si>
    <t>CMP-e2fd1a7b36e</t>
  </si>
  <si>
    <t>HIV;HAI;ANTIBACTERIAL;EMERGING_INFECTIONS;IMMUNOCOMPROMISED</t>
  </si>
  <si>
    <t>ImmunityBio Inc</t>
  </si>
  <si>
    <t>PR-RAD-CMP-e2fd1a7b36e</t>
  </si>
  <si>
    <t>M01-CMP-e4f41a9d76c</t>
  </si>
  <si>
    <t>CMP-e4f41a9d76c</t>
  </si>
  <si>
    <t>HEPATITIS;MUCOSAL_INFECTIONS;IMMUNOCOMPROMISED</t>
  </si>
  <si>
    <t>Grand Theravac Life Sciences (Nanjing) Co Ltd</t>
  </si>
  <si>
    <t>PR-RAD-CMP-e4f41a9d76c</t>
  </si>
  <si>
    <t>M01-CMP-e6d5184b1a1</t>
  </si>
  <si>
    <t>CMP-e6d5184b1a1</t>
  </si>
  <si>
    <t>HAI;ANTIBACTERIAL;EMERGING_INFECTIONS;NTD;MUCOSAL_INFECTIONS;IMMUNOCOMPROMISED</t>
  </si>
  <si>
    <t>KARE Biosciences Inc</t>
  </si>
  <si>
    <t>PR-RAD-CMP-e6d5184b1a1</t>
  </si>
  <si>
    <t>M01-CMP-e82f0c0e061</t>
  </si>
  <si>
    <t>CMP-e82f0c0e061</t>
  </si>
  <si>
    <t>Thirty Respiratory Ltd</t>
  </si>
  <si>
    <t>PR-RAD-CMP-e82f0c0e061</t>
  </si>
  <si>
    <t>M01-CMP-e85454a4b35</t>
  </si>
  <si>
    <t>CMP-e85454a4b35</t>
  </si>
  <si>
    <t>Yisheng Biopharma Co Ltd</t>
  </si>
  <si>
    <t>PR-RAD-CMP-e85454a4b35</t>
  </si>
  <si>
    <t>M01-CMP-ed793550845</t>
  </si>
  <si>
    <t>CMP-ed793550845</t>
  </si>
  <si>
    <t>A&amp;J Science</t>
  </si>
  <si>
    <t>PR-RAD-CMP-ed793550845</t>
  </si>
  <si>
    <t>M01-CMP-ee9a972ce12</t>
  </si>
  <si>
    <t>CMP-ee9a972ce12</t>
  </si>
  <si>
    <t>Qurient Co Ltd</t>
  </si>
  <si>
    <t>PR-RAD-CMP-ee9a972ce12</t>
  </si>
  <si>
    <t>M01-CMP-ef19cd41803</t>
  </si>
  <si>
    <t>CMP-ef19cd41803</t>
  </si>
  <si>
    <t>Livzon Pharmaceutical Group Inc</t>
  </si>
  <si>
    <t>PR-RAD-CMP-ef19cd41803</t>
  </si>
  <si>
    <t>M01-CMP-f08e7bb1c06</t>
  </si>
  <si>
    <t>CMP-f08e7bb1c06</t>
  </si>
  <si>
    <t>MedinCell SA</t>
  </si>
  <si>
    <t>PR-RAD-CMP-f08e7bb1c06</t>
  </si>
  <si>
    <t>M01-CMP-f0ace507d0a</t>
  </si>
  <si>
    <t>CMP-f0ace507d0a</t>
  </si>
  <si>
    <t>YouCare Pharmaceutical Group Co Ltd</t>
  </si>
  <si>
    <t>PR-RAD-CMP-f0ace507d0a</t>
  </si>
  <si>
    <t>M01-CMP-f2ce30354a7</t>
  </si>
  <si>
    <t>CMP-f2ce30354a7</t>
  </si>
  <si>
    <t>VaxForm LLC</t>
  </si>
  <si>
    <t>PR-RAD-CMP-f2ce30354a7</t>
  </si>
  <si>
    <t>M01-CMP-fce0f58579d</t>
  </si>
  <si>
    <t>CMP-fce0f58579d</t>
  </si>
  <si>
    <t>Immorna Hangzhou Biotechnology Co Ltd</t>
  </si>
  <si>
    <t>PR-RAD-CMP-fce0f58579d</t>
  </si>
  <si>
    <t>record_name</t>
  </si>
  <si>
    <t>scope_note</t>
  </si>
  <si>
    <t>jurisdiction_tags</t>
  </si>
  <si>
    <t>query_class</t>
  </si>
  <si>
    <t>catalog_review_on</t>
  </si>
  <si>
    <t>M02-CTG</t>
  </si>
  <si>
    <t>ClinicalTrials.gov API</t>
  </si>
  <si>
    <t>SOURCE_WATCH</t>
  </si>
  <si>
    <t>REGISTRY_API_DOCS</t>
  </si>
  <si>
    <t>GLOBAL</t>
  </si>
  <si>
    <t>SRC-V2-CTG</t>
  </si>
  <si>
    <t>CORE</t>
  </si>
  <si>
    <t>2026-10-29</t>
  </si>
  <si>
    <t>Registerroute; API und Pagination im Langdock-Workspace noch nicht getestet.</t>
  </si>
  <si>
    <t>M02-CTIS</t>
  </si>
  <si>
    <t>EMA CTIS public information</t>
  </si>
  <si>
    <t>EU_REGISTRY_ROUTE</t>
  </si>
  <si>
    <t>EU</t>
  </si>
  <si>
    <t>SRC-V2-CTIS</t>
  </si>
  <si>
    <t>EU/EEA-Studien. Oeffentliches Portal ueber offizielle EMA-Seite aufrufen; keine freie API unterstellen.</t>
  </si>
  <si>
    <t>M02-ICTRP</t>
  </si>
  <si>
    <t>WHO ICTRP</t>
  </si>
  <si>
    <t>GLOBAL_REGISTRY_AGGREGATOR</t>
  </si>
  <si>
    <t>SRC-V2-ICTRP</t>
  </si>
  <si>
    <t>Internationaler Aggregator; Dubletten ueber Register-IDs zusammenfuehren; Zugriffsbedingungen beachten.</t>
  </si>
  <si>
    <t>M02-V21-DRKS</t>
  </si>
  <si>
    <t>DRKS</t>
  </si>
  <si>
    <t>SOURCE_ANCHOR</t>
  </si>
  <si>
    <t>Register search; study ID and secondary IDs available. Search execution and pagination not tested in Langdock.</t>
  </si>
  <si>
    <t>SRC-V21-DRKS</t>
  </si>
  <si>
    <t>P0</t>
  </si>
  <si>
    <t>Reference source only. No module activation and no live evidence implied.</t>
  </si>
  <si>
    <t>M02-V21-DZIF_CTU</t>
  </si>
  <si>
    <t>DZIF CTU register entry</t>
  </si>
  <si>
    <t>Public entry page only. Full use/downloads may require DZIF SSO; do not infer public bulk access.</t>
  </si>
  <si>
    <t>SRC-V21-DZIF_CTU</t>
  </si>
  <si>
    <t>DZIF SSO/full-use permissions unresolved; never treat inaccessible data as no trials.</t>
  </si>
  <si>
    <t>M03-PUBMED</t>
  </si>
  <si>
    <t>NCBI E-utilities</t>
  </si>
  <si>
    <t>LITERATURE_API_DOCS</t>
  </si>
  <si>
    <t>SRC-V2-PUBMED</t>
  </si>
  <si>
    <t>PubMed und PMC APIs; API-Limits/Batching beachten; keine Volltextlizenz aus Metadatenzugriff ableiten.</t>
  </si>
  <si>
    <t>M03-EPMC</t>
  </si>
  <si>
    <t>Europe PMC REST API</t>
  </si>
  <si>
    <t>SRC-V2-EPMC</t>
  </si>
  <si>
    <t>Produktiver REST-Dienst bei ebi.ac.uk dokumentiert; Guide-Abruf hier 403, offizielle Dev-Dokumentation gegengeprueft. Preprints gesondert markieren.</t>
  </si>
  <si>
    <t>M03-V21-CORDIS</t>
  </si>
  <si>
    <t>CORDIS academic and consortium research</t>
  </si>
  <si>
    <t>Academic and early-development consortium discovery; project records do not prove an active commercial pipeline.</t>
  </si>
  <si>
    <t>SRC-V21-CORDIS</t>
  </si>
  <si>
    <t>M04-EMA_GUIDE</t>
  </si>
  <si>
    <t>EMA scientific guidelines</t>
  </si>
  <si>
    <t>REGULATORY_GUIDELINE_HUB</t>
  </si>
  <si>
    <t>SRC-V2-EMA_GUIDE</t>
  </si>
  <si>
    <t>Version, Draft/Final, Gueltigkeitsdatum und Produktklasse live pruefen. Keine vertraulichen Scientific-Advice-Protokolle erwarten.</t>
  </si>
  <si>
    <t>M04-FDA_GUIDE</t>
  </si>
  <si>
    <t>FDA guidance documents</t>
  </si>
  <si>
    <t>FDA_GUIDELINE_HUB</t>
  </si>
  <si>
    <t>US</t>
  </si>
  <si>
    <t>SRC-V2-FDA_GUIDE</t>
  </si>
  <si>
    <t>Filter nach Produkttyp, Ausgabedatum und Draft/Final; Tabelleninhalt dynamisch.</t>
  </si>
  <si>
    <t>M04-EMA_MED</t>
  </si>
  <si>
    <t>EMA medicines</t>
  </si>
  <si>
    <t>AUTHORIZATION_ROUTE</t>
  </si>
  <si>
    <t>SRC-V2-EMA_MED</t>
  </si>
  <si>
    <t>EPAR, oeffentliche Bewertungen und Zulassungsentscheidungen; nicht vollstaendig fuer nationale Zulassungen.</t>
  </si>
  <si>
    <t>M04-EMA_ATMP</t>
  </si>
  <si>
    <t>EMA investigational ATMP guideline</t>
  </si>
  <si>
    <t>ATMP_GUIDELINE_ROUTE</t>
  </si>
  <si>
    <t>CELL_GENE_THERAPY;CELL_THERAPY;GENE_THERAPY</t>
  </si>
  <si>
    <t>SRC-V2-EMA_ATMP</t>
  </si>
  <si>
    <t>Zell-/Gentherapie; einschlaegige Version und Umsetzungsdatum pruefen.</t>
  </si>
  <si>
    <t>M04-FDA_CGT</t>
  </si>
  <si>
    <t>FDA cellular and gene therapy guidance</t>
  </si>
  <si>
    <t>CGT_GUIDELINE_ROUTE</t>
  </si>
  <si>
    <t>SRC-V2-FDA_CGT</t>
  </si>
  <si>
    <t>CBER-Zell-/Gentherapie; produkt- und risikospezifische Anforderungen.</t>
  </si>
  <si>
    <t>M04-PEI</t>
  </si>
  <si>
    <t>PEI regulation</t>
  </si>
  <si>
    <t>GERMAN_BIOLOGICS_REGULATION</t>
  </si>
  <si>
    <t>VACCINE;ANTIBODY;CELL_GENE_THERAPY;CELL_THERAPY;GENE_THERAPY</t>
  </si>
  <si>
    <t>DE</t>
  </si>
  <si>
    <t>SRC-V2-PEI</t>
  </si>
  <si>
    <t>Biologics source hub, not a blanket classification for all phages/microbiome products; authority responsibility is product-specific. Access still untested in Langdock.</t>
  </si>
  <si>
    <t>M04-EU_IVDR</t>
  </si>
  <si>
    <t>EU MDR / IVDR framework</t>
  </si>
  <si>
    <t>IVD_REGULATORY_ROUTE</t>
  </si>
  <si>
    <t>SRC-V2-EU_IVDR</t>
  </si>
  <si>
    <t>MDR und IVDR getrennt von Arzneimittelregulierung; Produktklassifikation und aktuelle Uebergangsregeln pruefen.</t>
  </si>
  <si>
    <t>M04-EMA_PHAGE</t>
  </si>
  <si>
    <t>EMA phage quality guideline</t>
  </si>
  <si>
    <t>PHAGE_QUALITY_GUIDELINE</t>
  </si>
  <si>
    <t>SRC-V2-EMA_PHAGE</t>
  </si>
  <si>
    <t>Offizielle Seite zeigt Draft / consultation closed; nicht als finale verbindliche Leitlinie ausgeben.</t>
  </si>
  <si>
    <t>M04-FDA_LBP</t>
  </si>
  <si>
    <t>FDA live biotherapeutic CMC guidance</t>
  </si>
  <si>
    <t>LIVE_BIOTHERAPEUTIC_CMC</t>
  </si>
  <si>
    <t>SRC-V2-FDA_LBP</t>
  </si>
  <si>
    <t>FDA-Route fuer Live Biotherapeutic Products. Nicht automatisch auf Gentherapie-Vektoren anwendbar.</t>
  </si>
  <si>
    <t>M04-BFARM</t>
  </si>
  <si>
    <t>BfArM clinical trials / medicinal products</t>
  </si>
  <si>
    <t>GERMAN_MEDICINAL_PRODUCT_REGULATION</t>
  </si>
  <si>
    <t>SMALL_MOLECULE;PHAGE;ENDOLYSIN;PEPTIDE;MICROBIOME</t>
  </si>
  <si>
    <t>SRC-V23-BFARM</t>
  </si>
  <si>
    <t>Official source blocked here (403). Product classification and German authority responsibility require product-specific confirmation. Not an automatic PEI/BfArM determination.</t>
  </si>
  <si>
    <t>applicant_types</t>
  </si>
  <si>
    <t>region_scope</t>
  </si>
  <si>
    <t>institution_scope</t>
  </si>
  <si>
    <t>trigger_tags</t>
  </si>
  <si>
    <t>required_context_tags</t>
  </si>
  <si>
    <t>development_scope</t>
  </si>
  <si>
    <t>activity_tags</t>
  </si>
  <si>
    <t>routing_mode</t>
  </si>
  <si>
    <t>eligibility_note</t>
  </si>
  <si>
    <t>parent_record_id</t>
  </si>
  <si>
    <t>context_match</t>
  </si>
  <si>
    <t>DE_FDB</t>
  </si>
  <si>
    <t>Förderdatenbank Bund / Länder / EU</t>
  </si>
  <si>
    <t>PORTAL</t>
  </si>
  <si>
    <t>BASELINE</t>
  </si>
  <si>
    <t>SRC-DE_FDB</t>
  </si>
  <si>
    <t>Bund/Laender/EU-Einstieg; keine pauschale Foerderfaehigkeit.</t>
  </si>
  <si>
    <t>PR-FUND-DE_FDB</t>
  </si>
  <si>
    <t>DE_BMFTR_HEALTH</t>
  </si>
  <si>
    <t>BMFTR Gesundheitsforschung - Bekanntmachungen</t>
  </si>
  <si>
    <t>ACADEMIA;PUBLIC_BODY;CONSORTIUM</t>
  </si>
  <si>
    <t>SRC-DE_BMFTR_HEALTH</t>
  </si>
  <si>
    <t>Suchquelle, kein bestaetigter offener Call. Antragsteller, Konsortium, Standort und Bedingungen pro Ausschreibung pruefen.</t>
  </si>
  <si>
    <t>PR-FUND-DE_BMFTR_HEALTH</t>
  </si>
  <si>
    <t>DE_DFG</t>
  </si>
  <si>
    <t>DFG Förderprogramme</t>
  </si>
  <si>
    <t>ACADEMIA</t>
  </si>
  <si>
    <t>BASIC;CLINICAL;HEALTH</t>
  </si>
  <si>
    <t>DISCOVERY;PRECLINICAL;PHASE_1;PHASE_2;PHASE_3</t>
  </si>
  <si>
    <t>CLINICAL</t>
  </si>
  <si>
    <t>MATCH</t>
  </si>
  <si>
    <t>SRC-DE_DFG</t>
  </si>
  <si>
    <t>PR-FUND-DE_DFG</t>
  </si>
  <si>
    <t>DE_DFG_CLINICAL</t>
  </si>
  <si>
    <t>DFG Klinische Studien</t>
  </si>
  <si>
    <t>PROGRAMME</t>
  </si>
  <si>
    <t>PHASE_1;PHASE_2;PHASE_3</t>
  </si>
  <si>
    <t>SRC-DE_DFG_CLINICAL</t>
  </si>
  <si>
    <t>PR-FUND-DE_DFG_CLINICAL</t>
  </si>
  <si>
    <t>DE_FORTRA</t>
  </si>
  <si>
    <t>EKFS / ForTra Translatorik</t>
  </si>
  <si>
    <t>ACADEMIA;PUBLIC_BODY</t>
  </si>
  <si>
    <t>TRANSLATION;THERAPEUTICS;DIAGNOSTICS;MEDTECH</t>
  </si>
  <si>
    <t>PRECLINICAL;PHASE_1</t>
  </si>
  <si>
    <t>CMC</t>
  </si>
  <si>
    <t>SRC-DE_FORTRA</t>
  </si>
  <si>
    <t>Translatorische Programmfamilie; konkrete Ausschreibung und Eligibility bleiben live.</t>
  </si>
  <si>
    <t>PR-FUND-DE_FORTRA</t>
  </si>
  <si>
    <t>DE_EKFS_CALLS</t>
  </si>
  <si>
    <t>EKFS Ausschreibungskalender</t>
  </si>
  <si>
    <t>HEALTH;CLINICAL;TRANSLATION</t>
  </si>
  <si>
    <t>SRC-DE_EKFS_CALLS</t>
  </si>
  <si>
    <t>PR-FUND-DE_EKFS_CALLS</t>
  </si>
  <si>
    <t>DE_GO_BIO</t>
  </si>
  <si>
    <t>GO-Bio next</t>
  </si>
  <si>
    <t>ACADEMIA;SPINOUT</t>
  </si>
  <si>
    <t>TRANSLATION;COMMERCIALIZATION</t>
  </si>
  <si>
    <t>PRECLINICAL;DISCOVERY;LEAD</t>
  </si>
  <si>
    <t>SRC-DE_GO_BIO</t>
  </si>
  <si>
    <t>PR-FUND-DE_GO_BIO</t>
  </si>
  <si>
    <t>DE_KMU_BIOMED</t>
  </si>
  <si>
    <t>KMU-innovativ Biomedizin</t>
  </si>
  <si>
    <t>SME;CONSORTIUM</t>
  </si>
  <si>
    <t>HEALTH;THERAPEUTICS;DIAGNOSTICS;MEDTECH</t>
  </si>
  <si>
    <t>PRECLINICAL;PHASE_1;PHASE_2;PHASE_3</t>
  </si>
  <si>
    <t>CMC;CLINICAL</t>
  </si>
  <si>
    <t>SRC-DE_KMU_BIOMED</t>
  </si>
  <si>
    <t>PR-FUND-DE_KMU_BIOMED</t>
  </si>
  <si>
    <t>DE_ZIM</t>
  </si>
  <si>
    <t>ZIM - Zentrales Innovationsprogramm Mittelstand</t>
  </si>
  <si>
    <t>INNOVATION;COMMERCIALIZATION</t>
  </si>
  <si>
    <t>DISCOVERY;LEAD;PRECLINICAL</t>
  </si>
  <si>
    <t>SRC-DE_ZIM</t>
  </si>
  <si>
    <t>PR-FUND-DE_ZIM</t>
  </si>
  <si>
    <t>DE_EXIST</t>
  </si>
  <si>
    <t>EXIST</t>
  </si>
  <si>
    <t>SPINOUT;COMMERCIALIZATION</t>
  </si>
  <si>
    <t>SRC-DE_EXIST</t>
  </si>
  <si>
    <t>PR-FUND-DE_EXIST</t>
  </si>
  <si>
    <t>DE_VW_STIFTUNG</t>
  </si>
  <si>
    <t>VolkswagenStiftung - Förderangebote</t>
  </si>
  <si>
    <t>FOUNDATION</t>
  </si>
  <si>
    <t>BASIC;HEALTH;INNOVATION</t>
  </si>
  <si>
    <t>DISCOVERY;PRECLINICAL</t>
  </si>
  <si>
    <t>SRC-DE_VW_STIFTUNG</t>
  </si>
  <si>
    <t>PR-FUND-DE_VW_STIFTUNG</t>
  </si>
  <si>
    <t>DE_DZIF_INTERNAL</t>
  </si>
  <si>
    <t>DZIF interne Projekt- und Transferförderung</t>
  </si>
  <si>
    <t>INSTITUTION</t>
  </si>
  <si>
    <t>DZIF</t>
  </si>
  <si>
    <t>INSTITUTION;TRANSLATION;HEALTH</t>
  </si>
  <si>
    <t>SRC-DE_DZIF_INTERNAL</t>
  </si>
  <si>
    <t>Suchquelle, kein bestaetigter offener Call. Antragsteller, Konsortium, Standort und Bedingungen pro Ausschreibung pruefen. Interne Calls ggf. nicht oeffentlich; autorisierte interne Quelle erforderlich.</t>
  </si>
  <si>
    <t>PR-FUND-DE_DZIF_INTERNAL</t>
  </si>
  <si>
    <t>DE_HELMHOLTZ_ENTERPRISE</t>
  </si>
  <si>
    <t>Helmholtz Enterprise</t>
  </si>
  <si>
    <t>ACADEMIA;PUBLIC_BODY;SPINOUT</t>
  </si>
  <si>
    <t>HELMHOLTZ</t>
  </si>
  <si>
    <t>SRC-DE_HELMHOLTZ_ENTERPRISE</t>
  </si>
  <si>
    <t>Helmholtz-Zentrum UND Gruendungskontext; SPINOUT ist nicht Alternative zur institutionellen Bindung.</t>
  </si>
  <si>
    <t>PR-FUND-DE_HELMHOLTZ_ENTERPRISE</t>
  </si>
  <si>
    <t>DE_HELMHOLTZ_TRANSFER</t>
  </si>
  <si>
    <t>Helmholtz Innovations- und Transferprogramme</t>
  </si>
  <si>
    <t>SRC-DE_HELMHOLTZ_TRANSFER</t>
  </si>
  <si>
    <t>PR-FUND-DE_HELMHOLTZ_TRANSFER</t>
  </si>
  <si>
    <t>EU_FT</t>
  </si>
  <si>
    <t>EU Funding &amp; Tenders - Calls for Proposals</t>
  </si>
  <si>
    <t>SRC-EU_FT</t>
  </si>
  <si>
    <t>Callliste technisch separat testen; aktuelle Topics und Antragstellerregeln live pruefen.</t>
  </si>
  <si>
    <t>PR-FUND-EU_FT</t>
  </si>
  <si>
    <t>EU_IHI</t>
  </si>
  <si>
    <t>Innovative Health Initiative (IHI)</t>
  </si>
  <si>
    <t>CONSORTIUM;ACADEMIA;INDUSTRY</t>
  </si>
  <si>
    <t>HEALTH;TRANSLATION;INDUSTRY_PARTNERSHIP</t>
  </si>
  <si>
    <t>SRC-EU_IHI</t>
  </si>
  <si>
    <t>PR-FUND-EU_IHI</t>
  </si>
  <si>
    <t>EU_EIC</t>
  </si>
  <si>
    <t>European Innovation Council (EIC)</t>
  </si>
  <si>
    <t>SPINOUT;SME;CONSORTIUM</t>
  </si>
  <si>
    <t>COMMERCIALIZATION;INNOVATION;SPINOUT</t>
  </si>
  <si>
    <t>DISCOVERY;LEAD;PRECLINICAL;PHASE_1;PHASE_2;PHASE_3</t>
  </si>
  <si>
    <t>SRC-EU_EIC</t>
  </si>
  <si>
    <t>Suchquelle, kein bestaetigter offener Call. Antragsteller, Konsortium, Standort und Bedingungen pro Ausschreibung pruefen. V2: Fallback-Portal; Pathfinder/Transition/Accelerator als gezielte Unterrouten, nicht pauschal doppelt abrufen.</t>
  </si>
  <si>
    <t>PR-FUND-EU_EIC</t>
  </si>
  <si>
    <t>EU_OHAMR</t>
  </si>
  <si>
    <t>European Partnership on One Health AMR</t>
  </si>
  <si>
    <t>CONSORTIUM;ACADEMIA</t>
  </si>
  <si>
    <t>AMR;GLOBAL_HEALTH</t>
  </si>
  <si>
    <t>SRC-EU_OHAMR</t>
  </si>
  <si>
    <t>PR-FUND-EU_OHAMR</t>
  </si>
  <si>
    <t>EU_EUROSTARS</t>
  </si>
  <si>
    <t>Eureka Eurostars</t>
  </si>
  <si>
    <t>SRC-EU_EUROSTARS</t>
  </si>
  <si>
    <t>PR-FUND-EU_EUROSTARS</t>
  </si>
  <si>
    <t>EU_EDCTP3</t>
  </si>
  <si>
    <t>Global Health EDCTP3</t>
  </si>
  <si>
    <t>GLOBAL_HEALTH;CLINICAL</t>
  </si>
  <si>
    <t>AFRICA</t>
  </si>
  <si>
    <t>SRC-EU_EDCTP3</t>
  </si>
  <si>
    <t>Suchquelle, kein bestaetigter offener Call. Antragsteller, Konsortium, Standort und Bedingungen pro Ausschreibung pruefen. Afrikabezug und konkrete Partnerlaender-/Konsortialregeln pruefen; AFRICA ist Kontext, keine Eligibility-Zusage.</t>
  </si>
  <si>
    <t>PR-FUND-EU_EDCTP3</t>
  </si>
  <si>
    <t>EU_EU4HEALTH</t>
  </si>
  <si>
    <t>EU4Health (HaDEA)</t>
  </si>
  <si>
    <t>CONSORTIUM;PUBLIC_BODY;ACADEMIA</t>
  </si>
  <si>
    <t>PUBLIC_HEALTH;HEALTH;PREPAREDNESS</t>
  </si>
  <si>
    <t>SRC-EU_EU4HEALTH</t>
  </si>
  <si>
    <t>PR-FUND-EU_EU4HEALTH</t>
  </si>
  <si>
    <t>EU_EIT_HEALTH</t>
  </si>
  <si>
    <t>EIT Health - Calls</t>
  </si>
  <si>
    <t>CONSORTIUM;SME;ACADEMIA</t>
  </si>
  <si>
    <t>HEALTH;INNOVATION;COMMERCIALIZATION</t>
  </si>
  <si>
    <t>SRC-EU_EIT_HEALTH</t>
  </si>
  <si>
    <t>PR-FUND-EU_EIT_HEALTH</t>
  </si>
  <si>
    <t>EU_COST</t>
  </si>
  <si>
    <t>COST Actions - Networking</t>
  </si>
  <si>
    <t>ACADEMIA;CONSORTIUM</t>
  </si>
  <si>
    <t>NETWORKING;RESEARCH_NETWORK</t>
  </si>
  <si>
    <t>SRC-EU_COST</t>
  </si>
  <si>
    <t>PR-FUND-EU_COST</t>
  </si>
  <si>
    <t>GL_CARBX</t>
  </si>
  <si>
    <t>CARB-X</t>
  </si>
  <si>
    <t>ACADEMIA;SME;INDUSTRY</t>
  </si>
  <si>
    <t>AMR;ANTIBACTERIAL;DIAGNOSTICS</t>
  </si>
  <si>
    <t>SRC-GL_CARBX</t>
  </si>
  <si>
    <t>Scope nur Routinghilfe; Quelle CLINICAL nicht pauschal auf Phase 2/3 ausdehnen. Aktuelle Themes und Grenzen pruefen.</t>
  </si>
  <si>
    <t>PR-FUND-GL_CARBX</t>
  </si>
  <si>
    <t>GL_CEPI</t>
  </si>
  <si>
    <t>CEPI Calls for Proposals</t>
  </si>
  <si>
    <t>ACADEMIA;INDUSTRY;CONSORTIUM</t>
  </si>
  <si>
    <t>VACCINE;PANDEMIC;PREPAREDNESS</t>
  </si>
  <si>
    <t>PANDEMIC;PREPAREDNESS</t>
  </si>
  <si>
    <t>SRC-GL_CEPI</t>
  </si>
  <si>
    <t>VACCINE allein belegt keine Eignung. Epidemischer/pandemischer Zweck und aktueller Call erforderlich.</t>
  </si>
  <si>
    <t>PR-FUND-GL_CEPI</t>
  </si>
  <si>
    <t>GL_WELLCOME</t>
  </si>
  <si>
    <t>Wellcome Funding Schemes</t>
  </si>
  <si>
    <t>HEALTH;BASIC;GLOBAL_HEALTH</t>
  </si>
  <si>
    <t>SRC-GL_WELLCOME</t>
  </si>
  <si>
    <t>PR-FUND-GL_WELLCOME</t>
  </si>
  <si>
    <t>GL_GHIT</t>
  </si>
  <si>
    <t>Global Health Innovative Technology Fund (GHIT)</t>
  </si>
  <si>
    <t>CONSORTIUM</t>
  </si>
  <si>
    <t>NTD;MALARIA;TUBERCULOSIS;PANDEMIC</t>
  </si>
  <si>
    <t>JAPAN_PARTNER</t>
  </si>
  <si>
    <t>SRC-GL_GHIT</t>
  </si>
  <si>
    <t>Suchquelle, kein bestaetigter offener Call. Antragsteller, Konsortium, Standort und Bedingungen pro Ausschreibung pruefen. Japanischer UND nicht-japanischer Partner erforderlich; RFP-Scope gesondert pruefen.</t>
  </si>
  <si>
    <t>PR-FUND-GL_GHIT</t>
  </si>
  <si>
    <t>GL_GRANDCHALLENGES</t>
  </si>
  <si>
    <t>Grand Challenges - Funding</t>
  </si>
  <si>
    <t>ACADEMIA;SME;CONSORTIUM</t>
  </si>
  <si>
    <t>GLOBAL_HEALTH;INNOVATION</t>
  </si>
  <si>
    <t>SRC-GL_GRANDCHALLENGES</t>
  </si>
  <si>
    <t>PR-FUND-GL_GRANDCHALLENGES</t>
  </si>
  <si>
    <t>GL_INCATE</t>
  </si>
  <si>
    <t>INCATE - Early Antibacterial Innovation</t>
  </si>
  <si>
    <t>ACADEMIA;SPINOUT;SME</t>
  </si>
  <si>
    <t>AMR;ANTIBACTERIAL;EARLY_INNOVATION</t>
  </si>
  <si>
    <t>SRC-GL_INCATE</t>
  </si>
  <si>
    <t>PR-FUND-GL_INCATE</t>
  </si>
  <si>
    <t>GL_NOVO</t>
  </si>
  <si>
    <t>Novo Nordisk Foundation - Grant Calls</t>
  </si>
  <si>
    <t>HEALTH;BASIC;INNOVATION</t>
  </si>
  <si>
    <t>SRC-GL_NOVO</t>
  </si>
  <si>
    <t>PR-FUND-GL_NOVO</t>
  </si>
  <si>
    <t>GL_NIH_FOREIGN</t>
  </si>
  <si>
    <t>NIH - Foreign Grants / Eligibility</t>
  </si>
  <si>
    <t>BASIC;GLOBAL_HEALTH;HEALTH</t>
  </si>
  <si>
    <t>SRC-GL_NIH_FOREIGN</t>
  </si>
  <si>
    <t>Suchquelle, kein bestaetigter offener Call. Antragsteller, Konsortium, Standort und Bedingungen pro Ausschreibung pruefen. Auslandsfoerderung und aktuelle NIH-Regeln sind call-spezifisch; keine pauschale Eligibility ableiten.</t>
  </si>
  <si>
    <t>PR-FUND-GL_NIH_FOREIGN</t>
  </si>
  <si>
    <t>REG_BW</t>
  </si>
  <si>
    <t>L-Bank Baden-Württemberg</t>
  </si>
  <si>
    <t>DE-BW</t>
  </si>
  <si>
    <t>REGIONAL;INNOVATION;HEALTH</t>
  </si>
  <si>
    <t>REGION</t>
  </si>
  <si>
    <t>SRC-REG_BW</t>
  </si>
  <si>
    <t>PR-FUND-REG_BW</t>
  </si>
  <si>
    <t>REG_BY</t>
  </si>
  <si>
    <t>Bayerische Forschungs- und Innovationsagentur</t>
  </si>
  <si>
    <t>DE-BY</t>
  </si>
  <si>
    <t>SRC-REG_BY</t>
  </si>
  <si>
    <t>PR-FUND-REG_BY</t>
  </si>
  <si>
    <t>REG_BE</t>
  </si>
  <si>
    <t>IBB Berlin - Förderungen</t>
  </si>
  <si>
    <t>DE-BE</t>
  </si>
  <si>
    <t>SRC-REG_BE</t>
  </si>
  <si>
    <t>PR-FUND-REG_BE</t>
  </si>
  <si>
    <t>REG_BB</t>
  </si>
  <si>
    <t>ILB Brandenburg - Innovation / FuE</t>
  </si>
  <si>
    <t>DE-BB</t>
  </si>
  <si>
    <t>SRC-REG_BB</t>
  </si>
  <si>
    <t>PR-FUND-REG_BB</t>
  </si>
  <si>
    <t>REG_HB</t>
  </si>
  <si>
    <t>Bremer Aufbau-Bank (BAB)</t>
  </si>
  <si>
    <t>DE-HB</t>
  </si>
  <si>
    <t>SRC-REG_HB</t>
  </si>
  <si>
    <t>PR-FUND-REG_HB</t>
  </si>
  <si>
    <t>REG_HH</t>
  </si>
  <si>
    <t>IFB Hamburg - Förderprogramme</t>
  </si>
  <si>
    <t>DE-HH</t>
  </si>
  <si>
    <t>SRC-REG_HH</t>
  </si>
  <si>
    <t>PR-FUND-REG_HH</t>
  </si>
  <si>
    <t>REG_HE</t>
  </si>
  <si>
    <t>WIBank Hessen - Förderprogramme</t>
  </si>
  <si>
    <t>DE-HE</t>
  </si>
  <si>
    <t>SRC-REG_HE</t>
  </si>
  <si>
    <t>PR-FUND-REG_HE</t>
  </si>
  <si>
    <t>REG_MV</t>
  </si>
  <si>
    <t>LFI M-V - Förderfinder</t>
  </si>
  <si>
    <t>DE-MV</t>
  </si>
  <si>
    <t>SRC-REG_MV</t>
  </si>
  <si>
    <t>PR-FUND-REG_MV</t>
  </si>
  <si>
    <t>REG_NI</t>
  </si>
  <si>
    <t>NBank Niedersachsen - Förderübersicht</t>
  </si>
  <si>
    <t>DE-NI</t>
  </si>
  <si>
    <t>SRC-REG_NI</t>
  </si>
  <si>
    <t>PR-FUND-REG_NI</t>
  </si>
  <si>
    <t>REG_NW</t>
  </si>
  <si>
    <t>Innovationsförderagentur NRW - Maßnahmen</t>
  </si>
  <si>
    <t>DE-NW</t>
  </si>
  <si>
    <t>SRC-REG_NW</t>
  </si>
  <si>
    <t>Standort/Projektregion ist Suchroute, keine abschliessende Eligibility; relevante Partnerregionen ebenfalls beruecksichtigen.</t>
  </si>
  <si>
    <t>PR-FUND-REG_NW</t>
  </si>
  <si>
    <t>REG_RP</t>
  </si>
  <si>
    <t>ISB Rheinland-Pfalz</t>
  </si>
  <si>
    <t>DE-RP</t>
  </si>
  <si>
    <t>SRC-REG_RP</t>
  </si>
  <si>
    <t>PR-FUND-REG_RP</t>
  </si>
  <si>
    <t>REG_SL</t>
  </si>
  <si>
    <t>SIKB Saarland</t>
  </si>
  <si>
    <t>DE-SL</t>
  </si>
  <si>
    <t>SRC-REG_SL</t>
  </si>
  <si>
    <t>PR-FUND-REG_SL</t>
  </si>
  <si>
    <t>REG_SN</t>
  </si>
  <si>
    <t>Sächsische Aufbaubank (SAB)</t>
  </si>
  <si>
    <t>DE-SN</t>
  </si>
  <si>
    <t>SRC-REG_SN</t>
  </si>
  <si>
    <t>PR-FUND-REG_SN</t>
  </si>
  <si>
    <t>REG_ST</t>
  </si>
  <si>
    <t>Investitionsbank Sachsen-Anhalt</t>
  </si>
  <si>
    <t>DE-ST</t>
  </si>
  <si>
    <t>SRC-REG_ST</t>
  </si>
  <si>
    <t>PR-FUND-REG_ST</t>
  </si>
  <si>
    <t>REG_SH</t>
  </si>
  <si>
    <t>Investitionsbank Schleswig-Holstein (IB.SH)</t>
  </si>
  <si>
    <t>DE-SH</t>
  </si>
  <si>
    <t>SRC-REG_SH</t>
  </si>
  <si>
    <t>PR-FUND-REG_SH</t>
  </si>
  <si>
    <t>REG_TH</t>
  </si>
  <si>
    <t>Thüringer Aufbaubank</t>
  </si>
  <si>
    <t>DE-TH</t>
  </si>
  <si>
    <t>SRC-REG_TH</t>
  </si>
  <si>
    <t>PR-FUND-REG_TH</t>
  </si>
  <si>
    <t>REG_NW_NRW_BANK</t>
  </si>
  <si>
    <t>NRW.BANK - Förderprodukte</t>
  </si>
  <si>
    <t>SME;INDUSTRY;ACADEMIA</t>
  </si>
  <si>
    <t>REGIONAL;INNOVATION;SPINOUT</t>
  </si>
  <si>
    <t>SRC-REG_NW_NRW_BANK</t>
  </si>
  <si>
    <t>PR-FUND-REG_NW_NRW_BANK</t>
  </si>
  <si>
    <t>REG_BY_RESEARCH</t>
  </si>
  <si>
    <t>Bayerische Transformations- und Forschungsstiftung - Forschungsfoerderung</t>
  </si>
  <si>
    <t>ACADEMIA;CONSORTIUM;INDUSTRY</t>
  </si>
  <si>
    <t>REGIONAL;INNOVATION;RESEARCH_NETWORK</t>
  </si>
  <si>
    <t>PRECLINICAL</t>
  </si>
  <si>
    <t>SRC-BY-STIFTUNG</t>
  </si>
  <si>
    <t>Name und Foerdereinstieg aktualisiert. Wissenschaft-Wirtschaft-Kooperation und Bayernbezug pruefen; Details im jeweiligen Foerderverfahren.</t>
  </si>
  <si>
    <t>PR-FUND-REG_BY_RESEARCH</t>
  </si>
  <si>
    <t>INST_KOELN_FORTUNE</t>
  </si>
  <si>
    <t>Köln Fortune (Medizinische Fakultät)</t>
  </si>
  <si>
    <t>UNI_KOELN_MED</t>
  </si>
  <si>
    <t>INSTITUTION;CLINICAL;BASIC</t>
  </si>
  <si>
    <t>SRC-INST_KOELN_FORTUNE</t>
  </si>
  <si>
    <t>Personen-/Karrierefoerderung; geeignete Person/Fakultaetszugehoerigkeit und Kostenarten gesondert pruefen.</t>
  </si>
  <si>
    <t>PR-FUND-INST_KOELN_FORTUNE</t>
  </si>
  <si>
    <t>DE_GO_BIO_INITIAL</t>
  </si>
  <si>
    <t>GO-Bio initial</t>
  </si>
  <si>
    <t>TRANSLATION;BIOTECH;SPINOUT</t>
  </si>
  <si>
    <t>SRC-V2-GO_BIO_INITIAL</t>
  </si>
  <si>
    <t>Fruehe Verwertungsideen; kein Ersatz fuer GO-Bio next.</t>
  </si>
  <si>
    <t>PR-V2-DE_GO_BIO_INITIAL</t>
  </si>
  <si>
    <t>ALL</t>
  </si>
  <si>
    <t>EU_HORIZON_HEALTH</t>
  </si>
  <si>
    <t>Horizon Europe Cluster 1 Health</t>
  </si>
  <si>
    <t>ACADEMIA;SME;INDUSTRY;PUBLIC_BODY;CONSORTIUM</t>
  </si>
  <si>
    <t>HEALTH;INFECTIOUS_BROAD</t>
  </si>
  <si>
    <t>Topic-, Konsortial- und Laenderbedingungen konkret pruefen; Portal mit EU_FT geteilt.</t>
  </si>
  <si>
    <t>PR-V2-EU_HORIZON_HEALTH</t>
  </si>
  <si>
    <t>EU_EIC_PATHFINDER</t>
  </si>
  <si>
    <t>EIC Pathfinder</t>
  </si>
  <si>
    <t>ACADEMIA;SME;INDUSTRY;CONSORTIUM</t>
  </si>
  <si>
    <t>PLATFORM;BIOTECH;BASIC</t>
  </si>
  <si>
    <t>SRC-V2-EIC_PATHFINDER</t>
  </si>
  <si>
    <t>Open und Challenges haben unterschiedliche Regeln; TRL nicht klinischer Phase gleichsetzen.</t>
  </si>
  <si>
    <t>PR-V2-EU_EIC_PATHFINDER</t>
  </si>
  <si>
    <t>EU_EIC_TRANSITION</t>
  </si>
  <si>
    <t>EIC Transition</t>
  </si>
  <si>
    <t>TRANSLATION;PLATFORM;BIOTECH</t>
  </si>
  <si>
    <t>ELIGIBLE_EU_RESULT</t>
  </si>
  <si>
    <t>SRC-V2-EIC_TRANSITION</t>
  </si>
  <si>
    <t>Zugelassenes EU-Vorprojektergebnis und Fristfenster zwingend verifizieren.</t>
  </si>
  <si>
    <t>PR-V2-EU_EIC_TRANSITION</t>
  </si>
  <si>
    <t>EU_EIC_ACCELERATOR</t>
  </si>
  <si>
    <t>EIC Accelerator</t>
  </si>
  <si>
    <t>SME</t>
  </si>
  <si>
    <t>SPINOUT;COMMERCIALIZATION;BIOTECH</t>
  </si>
  <si>
    <t>SRC-V2-EIC_ACCELERATOR</t>
  </si>
  <si>
    <t>SME-/Startup- bzw. Gruendungskonstellation, TRL und Grant/Investment-Komponente pro Call pruefen.</t>
  </si>
  <si>
    <t>PR-V2-EU_EIC_ACCELERATOR</t>
  </si>
  <si>
    <t>EU_ERC_POC</t>
  </si>
  <si>
    <t>ERC Proof of Concept</t>
  </si>
  <si>
    <t>TRANSLATION;SPINOUT;COMMERCIALIZATION</t>
  </si>
  <si>
    <t>ELIGIBLE_ERC_GRANT</t>
  </si>
  <si>
    <t>SRC-V2-ERC_POC</t>
  </si>
  <si>
    <t>Kein offenes allgemeines Transferprogramm; Foerderfaehigkeit der ERC-PI-Vorfoerderung pruefen.</t>
  </si>
  <si>
    <t>PR-V2-EU_ERC_POC</t>
  </si>
  <si>
    <t>US_BARDA_BAA</t>
  </si>
  <si>
    <t>BARDA BAA</t>
  </si>
  <si>
    <t>SOLICITATION</t>
  </si>
  <si>
    <t>PREPAREDNESS;PANDEMIC;AMR</t>
  </si>
  <si>
    <t>US_MCM_FIT</t>
  </si>
  <si>
    <t>SRC-V2-BARDA_BAA</t>
  </si>
  <si>
    <t>US-Bedarfsfit, aktive AOIs, internationale Teilnahme und Vertragsbedingungen pruefen.</t>
  </si>
  <si>
    <t>PR-V2-US_BARDA_BAA</t>
  </si>
  <si>
    <t>US_BARDA_DRIVE</t>
  </si>
  <si>
    <t>BARDA DRIVe opportunities</t>
  </si>
  <si>
    <t>OPPORTUNITIES_PORTAL</t>
  </si>
  <si>
    <t>PREPAREDNESS;DIAGNOSTICS;PLATFORM</t>
  </si>
  <si>
    <t>SRC-V2-BARDA_DRIVE</t>
  </si>
  <si>
    <t>Kein Always-open-Grant; EZ-BAA derzeit laut separater offizieller Statusroute geschlossen.</t>
  </si>
  <si>
    <t>PR-V2-US_BARDA_DRIVE</t>
  </si>
  <si>
    <t>GL_FIND_PARTNERS</t>
  </si>
  <si>
    <t>FIND calls for partners</t>
  </si>
  <si>
    <t>PARTNER_CALL</t>
  </si>
  <si>
    <t>DIAGNOSTICS</t>
  </si>
  <si>
    <t>Partnerschafts-/Entwicklungsaufruf; Budget und Zuschusscharakter nur bei explizitem Nachweis.</t>
  </si>
  <si>
    <t>PR-V2-GL_FIND_PARTNERS</t>
  </si>
  <si>
    <t>EU_HERA_OPPORTUNITIES</t>
  </si>
  <si>
    <t>HERA funding and opportunities</t>
  </si>
  <si>
    <t>SRC-V2-HERA</t>
  </si>
  <si>
    <t>Forschungsfoerderung, Beschaffung und Bevorratung sind unterschiedliche Instrumente.</t>
  </si>
  <si>
    <t>PR-V2-EU_HERA_OPPORTUNITIES</t>
  </si>
  <si>
    <t>INST_BONN_BONFOR</t>
  </si>
  <si>
    <t>BONFOR - Medizinische Fakultaet Bonn</t>
  </si>
  <si>
    <t>UNI_BONN_MED</t>
  </si>
  <si>
    <t>BASIC;CLINICAL;TRANSLATION</t>
  </si>
  <si>
    <t>SRC-V22-BONFOR</t>
  </si>
  <si>
    <t>Nur geeignete Angehoerige der Medizinischen Fakultaet Bonn; aktuelle Instrumente, Bewerberstatus und Fristen live pruefen.</t>
  </si>
  <si>
    <t>PR-V22-INST-BONN-BONFOR</t>
  </si>
  <si>
    <t>INST_TUEBINGEN_FORTUNE</t>
  </si>
  <si>
    <t>fortuene - Medizinische Fakultaet Tuebingen</t>
  </si>
  <si>
    <t>UNI_TUEBINGEN_MED</t>
  </si>
  <si>
    <t>TRANSLATION;CLINICAL</t>
  </si>
  <si>
    <t>SRC-V22-FORTUNE</t>
  </si>
  <si>
    <t>Intramurale Ausschreibungen; eligibles Arbeitsverhaeltnis und Foerderlinie anhand Originalseite pruefen.</t>
  </si>
  <si>
    <t>PR-V22-INST-TUEBINGEN-FORTUNE</t>
  </si>
  <si>
    <t>INST_MHH_HILF</t>
  </si>
  <si>
    <t>MHH Hochschulinterne Leistungsfoerderung (HiLF)</t>
  </si>
  <si>
    <t>MHH</t>
  </si>
  <si>
    <t>SRC-V22-MHH</t>
  </si>
  <si>
    <t>MHH-interne Foerderung; Details nur im Intranet, verbindlicher Zugriff muss vor Antragsplanung geklaert werden.</t>
  </si>
  <si>
    <t>PR-V22-INST-MHH-HILF</t>
  </si>
  <si>
    <t>INST_HEIDELBERG_COLLAB</t>
  </si>
  <si>
    <t>Heidelberg Medizin - Collaborative Seed Grant</t>
  </si>
  <si>
    <t>UNI_HEIDELBERG_MED</t>
  </si>
  <si>
    <t>SRC-V22-HDSEED</t>
  </si>
  <si>
    <t>Befristete fakultatsinterne Anschubfoerderung; keine universelle DZIF-Foerderung.</t>
  </si>
  <si>
    <t>PR-V22-INST-HEIDELBERG-COLLAB</t>
  </si>
  <si>
    <t>REG_HE_LOEWE</t>
  </si>
  <si>
    <t>Hessen LOEWE - Forschung und Transfer</t>
  </si>
  <si>
    <t>ACADEMIA;SME;CONSORTIUM;PUBLIC_BODY</t>
  </si>
  <si>
    <t>BASIC;TRANSLATION;BIOTECH</t>
  </si>
  <si>
    <t>SRC-V22-LOEWE</t>
  </si>
  <si>
    <t>Unterschiedliche LOEWE-Foerderlinien; akademisch, KMU-Verbund und Forschung nicht gleichsetzen.</t>
  </si>
  <si>
    <t>PR-V22-REG-HE-LOEWE</t>
  </si>
  <si>
    <t>GL_UNITAID_PROJECTS</t>
  </si>
  <si>
    <t>Unitaid - Global Health Project &amp; Funding Calls</t>
  </si>
  <si>
    <t>ACADEMIA;SME;NONPROFIT;CONSORTIUM</t>
  </si>
  <si>
    <t>GLOBAL_HEALTH;HIV;TUBERCULOSIS;MALARIA;DIAGNOSTICS</t>
  </si>
  <si>
    <t>SRC-V22-UNITAID</t>
  </si>
  <si>
    <t>Programm-/Projektquellen; aktuelle Wettbewerbe, Aufrufart und Eligibility in jedem Run pruefen. Viele Instrumente sind Implementierung, nicht preclinical R&amp;D.</t>
  </si>
  <si>
    <t>PR-V22-GL-UNITAID-PROJECTS</t>
  </si>
  <si>
    <t>DE_NI_IBT</t>
  </si>
  <si>
    <t>IBT Lower Saxony - EXPLORE / PRE-SEED</t>
  </si>
  <si>
    <t>PROGRAMME_FAMILY</t>
  </si>
  <si>
    <t>SRC-V23-IBT_LS</t>
  </si>
  <si>
    <t>Research from Lower Saxony; EXPLORE and PRE-SEED conditions differ. State and applicant eligibility, IP, commercialization plan and current call must be verified; do not infer an open call.</t>
  </si>
  <si>
    <t>PR-V23-IBT</t>
  </si>
  <si>
    <t>partner_role</t>
  </si>
  <si>
    <t>investment_stage</t>
  </si>
  <si>
    <t>applicant_route</t>
  </si>
  <si>
    <t>geography_scope</t>
  </si>
  <si>
    <t>fit_note</t>
  </si>
  <si>
    <t>constraints</t>
  </si>
  <si>
    <t>BD-001</t>
  </si>
  <si>
    <t>LICENSING_PARTNER</t>
  </si>
  <si>
    <t>BACTERIAL;VIRAL;VACCINE;HIV</t>
  </si>
  <si>
    <t>VACCINE;ANTIBODY;SMALL_MOLECULE</t>
  </si>
  <si>
    <t>NOT_APPLICABLE</t>
  </si>
  <si>
    <t>ACADEMIA_OR_COMPANY</t>
  </si>
  <si>
    <t>SRC-GSK-BD</t>
  </si>
  <si>
    <t>Allgemeiner Licensing-/Partnering-Einstieg; keine positive Asset-Fit-Aussage.</t>
  </si>
  <si>
    <t>Aktuelle therapeutische Schwerpunkte je Projekt abgleichen.</t>
  </si>
  <si>
    <t>PR-BD-001</t>
  </si>
  <si>
    <t>BD-002</t>
  </si>
  <si>
    <t>VACCINE;ANTIBODY;SMALL_MOLECULE;CELL_GENE_THERAPY</t>
  </si>
  <si>
    <t>PRECLINICAL;PHASE_1;PHASE_2;PHASE_3;APPROVED</t>
  </si>
  <si>
    <t>Ausgangsbegruendung (nicht neu live validiert): Offizielles BD&amp;L-Formular erfasst Infectious Diseases, Vaccines und Pre-PoC.</t>
  </si>
  <si>
    <t>Merck &amp; Co. (MSD) nicht mit Merck KGaA verwechseln.</t>
  </si>
  <si>
    <t>PR-BD-002</t>
  </si>
  <si>
    <t>BD-003</t>
  </si>
  <si>
    <t>VIRAL;BACTERIAL;VACCINE;RESPIRATORY</t>
  </si>
  <si>
    <t>VACCINE;ANTIBODY;RNA;PLATFORM</t>
  </si>
  <si>
    <t>DISCOVERY;LEAD;PRECLINICAL;PHASE_1;PHASE_2;PHASE_3;APPROVED</t>
  </si>
  <si>
    <t>Ausgangsbegruendung (nicht neu live validiert): Ausdrueckliches Vaccines-Partnering inkl. externer Innovationsprogramme.</t>
  </si>
  <si>
    <t>Konkreter Indikationsfit und IP-Rechte projektbezogen pruefen.</t>
  </si>
  <si>
    <t>PR-BD-003</t>
  </si>
  <si>
    <t>BD-004</t>
  </si>
  <si>
    <t>BACTERIAL;VIRAL;VACCINE</t>
  </si>
  <si>
    <t>VACCINE;RNA;ANTIBODY;PLATFORM</t>
  </si>
  <si>
    <t>SRC-PFIZER-BD</t>
  </si>
  <si>
    <t>Partnering-Ziel getrennt von Pfizer Ventures; Schwerpunkt laufend pruefen.</t>
  </si>
  <si>
    <t>Pfizer Ventures als eigene Investment-Einheit separat erfassen.</t>
  </si>
  <si>
    <t>PR-BD-004</t>
  </si>
  <si>
    <t>BD-005</t>
  </si>
  <si>
    <t>VIRAL;BACTERIAL;AMR</t>
  </si>
  <si>
    <t>ANTIBODY;SMALL_MOLECULE;PLATFORM</t>
  </si>
  <si>
    <t>Ausgangsbegruendung (nicht neu live validiert): Offizielle Pharma-Partnering-Schwerpunkte HBV und MDR-Gramnegative.</t>
  </si>
  <si>
    <t>Interesse an anderem Pathogen/Target nicht unterstellen.</t>
  </si>
  <si>
    <t>PR-BD-005</t>
  </si>
  <si>
    <t>BD-006</t>
  </si>
  <si>
    <t>BACTERIAL;AMR;VIRAL;HIV;FUNGAL</t>
  </si>
  <si>
    <t>SMALL_MOLECULE;ANTIBODY;VACCINE</t>
  </si>
  <si>
    <t>PHASE_1;PHASE_2;PHASE_3;APPROVED</t>
  </si>
  <si>
    <t>GLOBAL;EU</t>
  </si>
  <si>
    <t>Ausgangsbegruendung (nicht neu live validiert): Aktive europaeische In-Licensing-Interessen fuer Infektionskrankheiten.</t>
  </si>
  <si>
    <t>Bestehende Target- und Gebietsrechte pruefen.</t>
  </si>
  <si>
    <t>PR-BD-006</t>
  </si>
  <si>
    <t>BD-007</t>
  </si>
  <si>
    <t>BACTERIAL;AMR;FUNGAL</t>
  </si>
  <si>
    <t>SRC-BD-007</t>
  </si>
  <si>
    <t>Ausgangsbegruendung (nicht neu live validiert): Nachgewiesene externe Antiinfektiva-Einlizenzierungen und Portfolioaufbau.</t>
  </si>
  <si>
    <t>Modalitaetsfit fuer Impfstoffe/Antikoerper nicht automatisch gegeben.</t>
  </si>
  <si>
    <t>PR-BD-007</t>
  </si>
  <si>
    <t>BD-008</t>
  </si>
  <si>
    <t>ACQUIRER</t>
  </si>
  <si>
    <t>Ausgangsbegruendung (nicht neu live validiert): 2026 Erwerb von drei Impfstoff-/Infektionsentwicklern.</t>
  </si>
  <si>
    <t>Neue Infectious-Diseases-Strategie erst 2026 aufgebaut.</t>
  </si>
  <si>
    <t>BD-009</t>
  </si>
  <si>
    <t>ENT-BD-009</t>
  </si>
  <si>
    <t>VIRAL;IMMUNOCOMPROMISED</t>
  </si>
  <si>
    <t>SRC-V2-AKTX</t>
  </si>
  <si>
    <t>Ausgangsbegruendung (nicht neu live validiert): 2026 abgeschlossene Uebernahme von AiCuris fuer schwere Virusinfektionen.</t>
  </si>
  <si>
    <t>AiCuris kein unabhaengiger Uebernahmekandidat mehr.</t>
  </si>
  <si>
    <t>PR-BD-009</t>
  </si>
  <si>
    <t>BD-010</t>
  </si>
  <si>
    <t>STRATEGIC_PARTNER</t>
  </si>
  <si>
    <t>BACTERIAL;VIRAL;RESPIRATORY</t>
  </si>
  <si>
    <t>ANTIBODY;VACCINE</t>
  </si>
  <si>
    <t>Ausgangsbegruendung (nicht neu live validiert): Aktive Infectious-Disease- und Antikoerperprogramme laut Pipeline.</t>
  </si>
  <si>
    <t>Eigene konkurrierende Assets und aktuelle BD-Interessen pruefen.</t>
  </si>
  <si>
    <t>PR-BD-010</t>
  </si>
  <si>
    <t>BD-011</t>
  </si>
  <si>
    <t>VIRAL;BACTERIAL;PARASITIC;VACCINE</t>
  </si>
  <si>
    <t>RNA;VACCINE;CELL_GENE_THERAPY;ANTIBODY</t>
  </si>
  <si>
    <t>Ausgangsbegruendung (nicht neu live validiert): mRNA-Impfstoffprogramme gegen TB, Malaria, HIV, Mpox; aktive Partnerschaften.</t>
  </si>
  <si>
    <t>Aktuelles Investment-/Lizenzinteresse nicht aus Pipeline ableiten.</t>
  </si>
  <si>
    <t>PR-BD-011</t>
  </si>
  <si>
    <t>BD-012</t>
  </si>
  <si>
    <t>VIRAL;BACTERIAL;VACCINE;PANDEMIC</t>
  </si>
  <si>
    <t>RNA;VACCINE</t>
  </si>
  <si>
    <t>Ausgangsbegruendung (nicht neu live validiert): Breites klinisches mRNA-Vakzinportfolio inkl. viraler und bakterieller Targets.</t>
  </si>
  <si>
    <t>Partnering-Fit und aktuelle Programme separat pruefen.</t>
  </si>
  <si>
    <t>PR-BD-012</t>
  </si>
  <si>
    <t>BD-013</t>
  </si>
  <si>
    <t>VACCINE;PLATFORM</t>
  </si>
  <si>
    <t>Ausgangsbegruendung (nicht neu live validiert): 2026 Impfstoff-Technologietransfer und Co-Development-Optionen mit SII.</t>
  </si>
  <si>
    <t>Bevorzugte Modalitaeten und Herstellungsinteresse projektbezogen pruefen.</t>
  </si>
  <si>
    <t>PR-BD-013</t>
  </si>
  <si>
    <t>BD-014</t>
  </si>
  <si>
    <t>Ausgangsbegruendung (nicht neu live validiert): Partnerschaften mit Pfizer und LimmaTech sowie Travel-Vaccine-Vermarktung.</t>
  </si>
  <si>
    <t>Produkt- und Regulatory-Risiken vor Ansprache aktuell pruefen.</t>
  </si>
  <si>
    <t>PR-BD-014</t>
  </si>
  <si>
    <t>BD-015</t>
  </si>
  <si>
    <t>VIRAL;HIV;HEPATITIS</t>
  </si>
  <si>
    <t>SMALL_MOLECULE;CELL_GENE_THERAPY</t>
  </si>
  <si>
    <t>Ausgangsbegruendung (nicht neu live validiert): Globale HIV/Hepatitis-Lizenzierungen und Partnerschaftsstrukturen.</t>
  </si>
  <si>
    <t>Die angefuehrte Lizenz ist Out-Licensing; kein Beleg fuer In-Licensing.</t>
  </si>
  <si>
    <t>PR-BD-015</t>
  </si>
  <si>
    <t>BD-016</t>
  </si>
  <si>
    <t>VIRAL;HIV</t>
  </si>
  <si>
    <t>SRC-BD-016</t>
  </si>
  <si>
    <t>Ausgangsbegruendung (nicht neu live validiert): Spezialunternehmen fuer HIV mit dokumentierten Forschungspartnerschaften.</t>
  </si>
  <si>
    <t>GSK/Pfizer/Shionogi-Beteiligungen beachten; kein eigenstaendiger VC-Fonds.</t>
  </si>
  <si>
    <t>PR-BD-016</t>
  </si>
  <si>
    <t>BD-017</t>
  </si>
  <si>
    <t>VIRAL;PANDEMIC;ANTIBODY</t>
  </si>
  <si>
    <t>ANTIBODY;PLATFORM</t>
  </si>
  <si>
    <t>Ausgangsbegruendung (nicht neu live validiert): Ebola-Antikoerperplattform und nachgewiesene externe Kooperationen.</t>
  </si>
  <si>
    <t>Fokus auf proprietaere Antikoerper; externer In-Licensing-Bedarf ungeprueft.</t>
  </si>
  <si>
    <t>PR-BD-017</t>
  </si>
  <si>
    <t>BD-018</t>
  </si>
  <si>
    <t>BACTERIAL;VIRAL;VACCINE;TUBERCULOSIS</t>
  </si>
  <si>
    <t>GLOBAL;LMIC</t>
  </si>
  <si>
    <t>Ausgangsbegruendung (nicht neu live validiert): 2026 TB-Vakzin-Herstellpartnerschaft und Technologietransfer.</t>
  </si>
  <si>
    <t>Rolle eher Co-Development/Manufacturing als Equity-Investor.</t>
  </si>
  <si>
    <t>PR-BD-018</t>
  </si>
  <si>
    <t>BD-019</t>
  </si>
  <si>
    <t>PARASITIC;MALARIA</t>
  </si>
  <si>
    <t>Ausgangsbegruendung (nicht neu live validiert): Aktives Antimalaria-Portfolio und Partnerschaften mit MMV.</t>
  </si>
  <si>
    <t>Nicht pauschal als Partner fuer alle Antiinfektiva behandeln.</t>
  </si>
  <si>
    <t>PR-BD-019</t>
  </si>
  <si>
    <t>BD-020</t>
  </si>
  <si>
    <t>VIRAL;INFLUENZA;VACCINE</t>
  </si>
  <si>
    <t>Official CSL Seqirus partnering page supports influenza-vaccine collaboration scope; not evidence of willingness to transact on any particular asset.</t>
  </si>
  <si>
    <t>Current partnering scope and rights must be checked live. Historical relationship statements retained in original provenance, not used as current restrictions.</t>
  </si>
  <si>
    <t>PR-BD-020</t>
  </si>
  <si>
    <t>BD-021</t>
  </si>
  <si>
    <t>VIRAL;DENGUE;VACCINE</t>
  </si>
  <si>
    <t>Ausgangsbegruendung (nicht neu live validiert): Aktive Dengue-Impfstoffentwicklung und internationale Impfstoffpartnerschaften.</t>
  </si>
  <si>
    <t>Kein generelles In-Licensing-Mandat fuer Infektionsprojekte belegt.</t>
  </si>
  <si>
    <t>PR-BD-021</t>
  </si>
  <si>
    <t>BD-022</t>
  </si>
  <si>
    <t>DEVELOPER_SIGNAL</t>
  </si>
  <si>
    <t>BACTERIAL;AMR;RESPIRATORY</t>
  </si>
  <si>
    <t>PRECLINICAL;PHASE_1;PHASE_2</t>
  </si>
  <si>
    <t>UK;GLOBAL</t>
  </si>
  <si>
    <t>Developer-Signal / moeglicher Wettbewerber, nicht automatisch Lizenznehmer.</t>
  </si>
  <si>
    <t>Direktes PcrV-Portfolio-Overlap moeglich; keine automatische Lizenznehmerqualifikation.</t>
  </si>
  <si>
    <t>PR-BD-022</t>
  </si>
  <si>
    <t>BD-023</t>
  </si>
  <si>
    <t>SRC-BD-023</t>
  </si>
  <si>
    <t>Ausgangsbegruendung (nicht neu live validiert): Anti-Biofilm-mAb und nachgewiesene AMR-Investorenbeziehungen.</t>
  </si>
  <si>
    <t>Vorrangig Entwicklungs- und Deal-Netzwerk, keine belegte Erwerbskapazitaet.</t>
  </si>
  <si>
    <t>PR-BD-023</t>
  </si>
  <si>
    <t>BD-024</t>
  </si>
  <si>
    <t>Ausgangsbegruendung (nicht neu live validiert): 2026 Finanzierung fuer humanen antiinfektiven mAb; relevante Investorensyndikate.</t>
  </si>
  <si>
    <t>Als Wettbewerber/Co-Dev-Kontext screenen; keine Annahme zum Deal Appetite.</t>
  </si>
  <si>
    <t>BD-025</t>
  </si>
  <si>
    <t>BACTERIAL;AMR</t>
  </si>
  <si>
    <t>ANTIBODY;IMMUNOTHERAPY</t>
  </si>
  <si>
    <t>UK</t>
  </si>
  <si>
    <t>Ausgangsbegruendung (nicht neu live validiert): 2026 Finanzierung und immunotherapeutischer Gramnegativ-Fokus.</t>
  </si>
  <si>
    <t>Eigene Assets und Rechtekonflikte pruefen.</t>
  </si>
  <si>
    <t>PR-BD-025</t>
  </si>
  <si>
    <t>BD-026</t>
  </si>
  <si>
    <t>BACTERIAL;AMR;TUBERCULOSIS</t>
  </si>
  <si>
    <t>CH;EU;GLOBAL</t>
  </si>
  <si>
    <t>SRC-BD-026</t>
  </si>
  <si>
    <t>Ausgangsbegruendung (nicht neu live validiert): Aktive klinische AMR-Pipeline und dokumentierter Finanzierungsmarkt.</t>
  </si>
  <si>
    <t>Primaer Developer/Partner und Benchmark; nicht automatisch Acquirer.</t>
  </si>
  <si>
    <t>PR-BD-026</t>
  </si>
  <si>
    <t>BD-027</t>
  </si>
  <si>
    <t>FR;GLOBAL</t>
  </si>
  <si>
    <t>SRC-BD-027</t>
  </si>
  <si>
    <t>Ausgangsbegruendung (nicht neu live validiert): Klinische Gramnegativ-Antibiotika und Investoren aus AMR-Spezialfonds.</t>
  </si>
  <si>
    <t>Kein Nachweis, dass weitere mAb-Programme einlizenziert werden.</t>
  </si>
  <si>
    <t>PR-BD-027</t>
  </si>
  <si>
    <t>BD-028</t>
  </si>
  <si>
    <t>UK;US;EU</t>
  </si>
  <si>
    <t>SRC-BD-028</t>
  </si>
  <si>
    <t>Ausgangsbegruendung (nicht neu live validiert): Invasive Mykosen und Investment-/Lizenzierungsnetzwerk.</t>
  </si>
  <si>
    <t>Asset-Rechte und regionale Lizenzvertraege beachten.</t>
  </si>
  <si>
    <t>PR-BD-028</t>
  </si>
  <si>
    <t>BD-029</t>
  </si>
  <si>
    <t>PROTEIN;PLATFORM</t>
  </si>
  <si>
    <t>ES;EU</t>
  </si>
  <si>
    <t>SRC-BD-029</t>
  </si>
  <si>
    <t>Ausgangsbegruendung (nicht neu live validiert): 2026 Series A unter Beteiligung mehrerer AMR-Investoren.</t>
  </si>
  <si>
    <t>Investorennetzwerk nutzen; Finanzierungsrunde nicht Einzelinvestor zuschreiben.</t>
  </si>
  <si>
    <t>PR-BD-029</t>
  </si>
  <si>
    <t>BD-030</t>
  </si>
  <si>
    <t>Ausgangsbegruendung (nicht neu live validiert): AMR Action Fund nennt Entwickler antifungaler Wirkstoffe.</t>
  </si>
  <si>
    <t>BD-Kapazitaet und gegenwaertige Stufe neu verifizieren.</t>
  </si>
  <si>
    <t>BD-031</t>
  </si>
  <si>
    <t>US;GLOBAL</t>
  </si>
  <si>
    <t>Ausgangsbegruendung (nicht neu live validiert): Pneumokokken-, Strep-A- und Shigella-Impfstoffprogramme.</t>
  </si>
  <si>
    <t>Primaer Vaccine Developer und potenzieller Partner, nicht Investor.</t>
  </si>
  <si>
    <t>BD-032</t>
  </si>
  <si>
    <t>DK;EU</t>
  </si>
  <si>
    <t>Ausgangsbegruendung (nicht neu live validiert): GBS-Impfstoffentwicklung mit klinischen Studien und CVC-Investoren.</t>
  </si>
  <si>
    <t>Maternal-Vaccine-Spezialisierung; fremde Targets projektbezogen pruefen.</t>
  </si>
  <si>
    <t>BD-033</t>
  </si>
  <si>
    <t>Ausgangsbegruendung (nicht neu live validiert): 2026 Rueckerhalt von saRNA-Impfstoffrechten und explizite Partnering-Option.</t>
  </si>
  <si>
    <t>Fruehere CSL-Seqirus-Zusammenarbeit wurde beendet.</t>
  </si>
  <si>
    <t>BD-034</t>
  </si>
  <si>
    <t>Ausgangsbegruendung (nicht neu live validiert): Klinische HBV/HDV/HSV-Pipeline und Gilead-Partnerprogramme.</t>
  </si>
  <si>
    <t>Nicht als diversifizierten Finanzinvestor klassifizieren.</t>
  </si>
  <si>
    <t>BD-035</t>
  </si>
  <si>
    <t>Ausgangsbegruendung (nicht neu live validiert): HBV-in-vivo-Gene-Editing-Programm und nachgewiesene Plattformlizenzierung.</t>
  </si>
  <si>
    <t>HBV-Targeting nicht allgemein auf andere Infektionen uebertragen.</t>
  </si>
  <si>
    <t>BD-036</t>
  </si>
  <si>
    <t>AU;GLOBAL</t>
  </si>
  <si>
    <t>Ausgangsbegruendung (nicht neu live validiert): Patch-Vaccine-Delivery-Plattform mit Industriepartnerschaften.</t>
  </si>
  <si>
    <t>Enabling Technology; kein eigenstaendiger therapeutischer Lizenznehmer.</t>
  </si>
  <si>
    <t>BD-037</t>
  </si>
  <si>
    <t>Ausgangsbegruendung (nicht neu live validiert): CRISPR-Phagenplattform und klinische Programme fuer resistente Erreger.</t>
  </si>
  <si>
    <t>Eigene bakterielle Targets koennen direkte Konkurrenz sein.</t>
  </si>
  <si>
    <t>BD-038</t>
  </si>
  <si>
    <t>Ausgangsbegruendung (nicht neu live validiert): HCV-Phase-III- und HEV-Phase-I-Programme 2026.</t>
  </si>
  <si>
    <t>Begrenzter Indikationsfokus; keine generelle In-Licensing-These.</t>
  </si>
  <si>
    <t>PR-BD-038</t>
  </si>
  <si>
    <t>BD-039</t>
  </si>
  <si>
    <t>ENT-BD-039</t>
  </si>
  <si>
    <t>EQUITY_INVESTOR</t>
  </si>
  <si>
    <t>SMALL_MOLECULE;ANTIBODY;PHAGE</t>
  </si>
  <si>
    <t>COMPANY_REQUIRED</t>
  </si>
  <si>
    <t>Equity in klinische Biotechs. Akademisches praeklinisches Asset nur Future Route.</t>
  </si>
  <si>
    <t>Equity und klinische Entwicklungsphase erforderlich; kein Grantprogramm.</t>
  </si>
  <si>
    <t>PR-BD-039</t>
  </si>
  <si>
    <t>BD-040</t>
  </si>
  <si>
    <t>ENT-BD-040</t>
  </si>
  <si>
    <t>BACTERIAL;AMR;FUNGAL;VACCINE</t>
  </si>
  <si>
    <t>ANTIBODY;SMALL_MOLECULE;VACCINE</t>
  </si>
  <si>
    <t>EARLY_STAGE</t>
  </si>
  <si>
    <t>US;EU_UNCONFIRMED</t>
  </si>
  <si>
    <t>SRC-BD-040</t>
  </si>
  <si>
    <t>Ausgangsbegruendung (nicht neu live validiert): Expliziter Early-Stage-AMR-Fund inkl. Antibakteria/Antimykotika/Impfstoffe.</t>
  </si>
  <si>
    <t>Geografische Investitionsmoeglichkeit fuer DE jeweils pruefen.</t>
  </si>
  <si>
    <t>PR-BD-040</t>
  </si>
  <si>
    <t>BD-041</t>
  </si>
  <si>
    <t>ENT-BD-041</t>
  </si>
  <si>
    <t>VIRAL;BACTERIAL;PARASITIC;AMR;GLOBAL_HEALTH</t>
  </si>
  <si>
    <t>CLINICAL_POC_PREFERRED</t>
  </si>
  <si>
    <t>SRC-BD-041</t>
  </si>
  <si>
    <t>Ausgangsbegruendung (nicht neu live validiert): Fondsmandat HIV, TB, Malaria, tropische Krankheiten und AMR.</t>
  </si>
  <si>
    <t>Bevorzugt Human-PoC/Sicherheit; preclinical nur Einzelfall.</t>
  </si>
  <si>
    <t>PR-BD-041</t>
  </si>
  <si>
    <t>BD-042</t>
  </si>
  <si>
    <t>ENT-BD-042</t>
  </si>
  <si>
    <t>BACTERIAL;FUNGAL;VIRAL;BIOTECH</t>
  </si>
  <si>
    <t>MULTI_MODALITY</t>
  </si>
  <si>
    <t>SEED_TO_GROWTH</t>
  </si>
  <si>
    <t>EU;US</t>
  </si>
  <si>
    <t>SRC-BD-042</t>
  </si>
  <si>
    <t>Ausgangsbegruendung (nicht neu live validiert): Aktives F2G-Investment, ausdruecklicher Infektionskrankheitsfokus.</t>
  </si>
  <si>
    <t>Investiert in Gesellschaften, nicht unmittelbar in akademische Assets.</t>
  </si>
  <si>
    <t>PR-BD-042</t>
  </si>
  <si>
    <t>BD-043</t>
  </si>
  <si>
    <t>ENT-BD-043</t>
  </si>
  <si>
    <t>BACTERIAL;AMR;VACCINE;BIOTECH</t>
  </si>
  <si>
    <t>EU;US;ASIA</t>
  </si>
  <si>
    <t>SRC-BD-043</t>
  </si>
  <si>
    <t>Ausgangsbegruendung (nicht neu live validiert): 2026 Beteiligung an Bactolife; breite Life-Sciences-Investmentplattform.</t>
  </si>
  <si>
    <t>REPAIR Impact Fund nicht als offen fuer neue Antraege unterstellen.</t>
  </si>
  <si>
    <t>PR-BD-043</t>
  </si>
  <si>
    <t>BD-044</t>
  </si>
  <si>
    <t>ENT-BD-044</t>
  </si>
  <si>
    <t>VACCINE;BIOTECH;PLATFORM</t>
  </si>
  <si>
    <t>VACCINE;CELL_GENE_THERAPY;PLATFORM</t>
  </si>
  <si>
    <t>SRC-BD-044</t>
  </si>
  <si>
    <t>Ausgangsbegruendung (nicht neu live validiert): CVC mit ausdruecklichem Vaccines- und CGT-Fokus.</t>
  </si>
  <si>
    <t>Strategischer Fit zu Sanofi-Fokus erforderlich.</t>
  </si>
  <si>
    <t>PR-BD-044</t>
  </si>
  <si>
    <t>BD-045</t>
  </si>
  <si>
    <t>ENT-BD-045</t>
  </si>
  <si>
    <t>BIOTECH;BACTERIAL;VIRAL;PLATFORM</t>
  </si>
  <si>
    <t>SEED_EARLY</t>
  </si>
  <si>
    <t>SRC-BD-045</t>
  </si>
  <si>
    <t>Ausgangsbegruendung (nicht neu live validiert): Aktive deutsche Seed-Life-Sciences-Finanzierungen auch fuer Hochschulausgruendungen.</t>
  </si>
  <si>
    <t>Erfordert passendes Investitionsvehikel und formale Kriterien.</t>
  </si>
  <si>
    <t>PR-BD-045</t>
  </si>
  <si>
    <t>BD-046</t>
  </si>
  <si>
    <t>ENT-BD-046</t>
  </si>
  <si>
    <t>BIOTECH;VACCINE;PLATFORM</t>
  </si>
  <si>
    <t>SRC-BD-046</t>
  </si>
  <si>
    <t>Ausgangsbegruendung (nicht neu live validiert): Europaeische Company-Creation- und Fruehphasenstrategie; neuer Fund 2025.</t>
  </si>
  <si>
    <t>Infectious-Diseases-Fit muss im Einzelfall belegt werden.</t>
  </si>
  <si>
    <t>PR-BD-046</t>
  </si>
  <si>
    <t>BD-047</t>
  </si>
  <si>
    <t>ENT-BD-047</t>
  </si>
  <si>
    <t>BACTERIAL;AMR;BIOTECH</t>
  </si>
  <si>
    <t>EARLY_TO_CLINICAL</t>
  </si>
  <si>
    <t>Ausgangsbegruendung (nicht neu live validiert): 2026 Mitinvestor Trellis Bioscience (infektioeser mAb).</t>
  </si>
  <si>
    <t>Investmentgeografie und gegenwaertige Fonds pruefen.</t>
  </si>
  <si>
    <t>PR-BD-047</t>
  </si>
  <si>
    <t>BD-048</t>
  </si>
  <si>
    <t>ENT-BD-048</t>
  </si>
  <si>
    <t>ANTIBODY;MULTI_MODALITY</t>
  </si>
  <si>
    <t>Ausgangsbegruendung (nicht neu live validiert): 2026 bestehender Trellis-Bioscience-Investor.</t>
  </si>
  <si>
    <t>Mandat, aktueller Fonds und EU-Eligibility gesondert pruefen.</t>
  </si>
  <si>
    <t>PR-BD-048</t>
  </si>
  <si>
    <t>BD-049</t>
  </si>
  <si>
    <t>ENT-BD-049</t>
  </si>
  <si>
    <t>PROTEIN;SMALL_MOLECULE</t>
  </si>
  <si>
    <t>Ausgangsbegruendung (nicht neu live validiert): Bestehender Investor in Telum Therapeutics (2026).</t>
  </si>
  <si>
    <t>Schwerpunkt Spanien; DE-Eligibility offen.</t>
  </si>
  <si>
    <t>PR-BD-049</t>
  </si>
  <si>
    <t>BD-050</t>
  </si>
  <si>
    <t>ENT-BD-050</t>
  </si>
  <si>
    <t>PROTEIN;MULTI_MODALITY</t>
  </si>
  <si>
    <t>EARLY</t>
  </si>
  <si>
    <t>Ausgangsbegruendung (nicht neu live validiert): Neuer Investor in Telum-Series-A 2026.</t>
  </si>
  <si>
    <t>Portfolio-Fokus ausserhalb Spanien verifizieren.</t>
  </si>
  <si>
    <t>PR-BD-050</t>
  </si>
  <si>
    <t>BD-051</t>
  </si>
  <si>
    <t>ENT-BD-051</t>
  </si>
  <si>
    <t>BIOTECH;VIRAL;BACTERIAL</t>
  </si>
  <si>
    <t>US;UK;EU</t>
  </si>
  <si>
    <t>SRC-BD-051</t>
  </si>
  <si>
    <t>Ausgangsbegruendung (nicht neu live validiert): Transatlantischer Biotech-Investor mit historischen Antiinfektiva-Beteiligungen.</t>
  </si>
  <si>
    <t>Nicht mit GSK-Investitionsvehikel gleichsetzen; aktuelle Thesis pruefen.</t>
  </si>
  <si>
    <t>PR-BD-051</t>
  </si>
  <si>
    <t>BD-052</t>
  </si>
  <si>
    <t>ENT-BD-052</t>
  </si>
  <si>
    <t>BIOTECH;VACCINE</t>
  </si>
  <si>
    <t>VACCINE;MULTI_MODALITY</t>
  </si>
  <si>
    <t>EARLY_TO_LATE</t>
  </si>
  <si>
    <t>SRC-BD-052</t>
  </si>
  <si>
    <t>Ausgangsbegruendung (nicht neu live validiert): Breiter Biotech-Investor, u.a. Curevo-Vakzinbeteiligung.</t>
  </si>
  <si>
    <t>Kein reines Infektionsmandat; aktueller Fund Fit offen.</t>
  </si>
  <si>
    <t>PR-BD-052</t>
  </si>
  <si>
    <t>BD-053</t>
  </si>
  <si>
    <t>ENT-BD-053</t>
  </si>
  <si>
    <t>BACTERIAL;BIOTECH;PLATFORM</t>
  </si>
  <si>
    <t>SMALL_MOLECULE;MULTI_MODALITY</t>
  </si>
  <si>
    <t>EARLY_TO_GROWTH</t>
  </si>
  <si>
    <t>US;EU</t>
  </si>
  <si>
    <t>SRC-BD-053</t>
  </si>
  <si>
    <t>Ausgangsbegruendung (nicht neu live validiert): Biotech-Investor mit frueheren Antiinfektiva-Investments.</t>
  </si>
  <si>
    <t>Historische Portfoliobeispiele belegen keine gegenwaertige AMR-Thesis.</t>
  </si>
  <si>
    <t>PR-BD-053</t>
  </si>
  <si>
    <t>BD-054</t>
  </si>
  <si>
    <t>ENT-BD-054</t>
  </si>
  <si>
    <t>BACTERIAL;AMR;BIOTECH;PLATFORM</t>
  </si>
  <si>
    <t>SRC-CENTAURI-2022</t>
  </si>
  <si>
    <t>Historisches BIVF-Investment in Centauri (2022) belegt; keine neue 2026-Runde oder heutiges AMR-Mandat hier bestaetigt.</t>
  </si>
  <si>
    <t>Investment als CVC strategisch; Elternkonzern nicht automatisch Lizenznehmer.</t>
  </si>
  <si>
    <t>PR-BD-054</t>
  </si>
  <si>
    <t>BD-055</t>
  </si>
  <si>
    <t>ENT-BD-055</t>
  </si>
  <si>
    <t>BIOTECH;BACTERIAL;AMR</t>
  </si>
  <si>
    <t>CLINICAL_TO_GROWTH</t>
  </si>
  <si>
    <t>SRC-BD-055</t>
  </si>
  <si>
    <t>Ausgangsbegruendung (nicht neu live validiert): Europaeischer Life-Sciences-Fund, expliziter Bezug zu Antibiotikaresistenz.</t>
  </si>
  <si>
    <t>Angabespanne 10-60 Mio. EUR; fuer sehr fruehe Assets oft ungeeignet.</t>
  </si>
  <si>
    <t>PR-BD-055</t>
  </si>
  <si>
    <t>BD-056</t>
  </si>
  <si>
    <t>ENT-BD-056</t>
  </si>
  <si>
    <t>VACCINE;PLATFORM;BIOTECH</t>
  </si>
  <si>
    <t>SEED_TO_IPO</t>
  </si>
  <si>
    <t>SRC-PFIZER-VC</t>
  </si>
  <si>
    <t>Investorrolle bestaetigt; Seed ist Finanzierungsphase, nicht praeklinische Entwicklung.</t>
  </si>
  <si>
    <t>Eigens als Investor filtern, nicht mit Pfizer BD&amp;L vermischen.</t>
  </si>
  <si>
    <t>PR-BD-056</t>
  </si>
  <si>
    <t>BD-057</t>
  </si>
  <si>
    <t>ENT-BD-057</t>
  </si>
  <si>
    <t>BIOTECH;PLATFORM;INFECTIOUS_BROAD</t>
  </si>
  <si>
    <t>ACADEMIC_SEED</t>
  </si>
  <si>
    <t>ACADEMIC_TRANSFER_ROUTE</t>
  </si>
  <si>
    <t>EU;DE</t>
  </si>
  <si>
    <t>SRC-BD-057</t>
  </si>
  <si>
    <t>Ausgangsbegruendung (nicht neu live validiert): Akademischer Drug-Discovery-Transfer auch ohne fertig gegruendete Firma.</t>
  </si>
  <si>
    <t>Konkretes Projekt und Lizenzierungsrechte dennoch individuell pruefen.</t>
  </si>
  <si>
    <t>PR-BD-057</t>
  </si>
  <si>
    <t>BD-V2-ENT-V2-GARDP</t>
  </si>
  <si>
    <t>PDP</t>
  </si>
  <si>
    <t>Thematisch begruendeter Partnerkandidat; keine Zusage.</t>
  </si>
  <si>
    <t>Projektfit, Mandat, Zugang und regionale Rechte vor Outreach pruefen.</t>
  </si>
  <si>
    <t>PR-V2-BD-V2-ENT-V2-GARDP</t>
  </si>
  <si>
    <t>BD-V2-ENT-V2-MMV</t>
  </si>
  <si>
    <t>PR-V2-BD-V2-ENT-V2-MMV</t>
  </si>
  <si>
    <t>BD-V2-ENT-V2-TB_ALLIANCE</t>
  </si>
  <si>
    <t>PR-V2-BD-V2-ENT-V2-TB_ALLIANCE</t>
  </si>
  <si>
    <t>BD-V2-ENT-V2-FIND</t>
  </si>
  <si>
    <t>PR-V2-BD-V2-ENT-V2-FIND</t>
  </si>
  <si>
    <t>BD-V2-CMP-ac1aeb1ba3f</t>
  </si>
  <si>
    <t>PR-V2-BD-V2-CMP-ac1aeb1ba3f</t>
  </si>
  <si>
    <t>BD-V2-CMP-3150ecd5e02</t>
  </si>
  <si>
    <t>PR-V2-BD-V2-CMP-3150ecd5e02</t>
  </si>
  <si>
    <t>BD-V2-CMP-cfd0a415846</t>
  </si>
  <si>
    <t>PR-V2-BD-V2-CMP-cfd0a415846</t>
  </si>
  <si>
    <t>BD-V2-CMP-6dcf8867166</t>
  </si>
  <si>
    <t>NTD;FUNGAL;HEPATITIS;DENGUE</t>
  </si>
  <si>
    <t>PR-V2-BD-V2-CMP-6dcf8867166</t>
  </si>
  <si>
    <t>BD-V2-CMP-92fc1bf734e</t>
  </si>
  <si>
    <t>HIV;TUBERCULOSIS;EMERGING_INFECTIONS</t>
  </si>
  <si>
    <t>PR-V2-BD-V2-CMP-92fc1bf734e</t>
  </si>
  <si>
    <t>BD-V2-CMP-0c4fb4ab435</t>
  </si>
  <si>
    <t>DEVELOPMENT_PARTNER</t>
  </si>
  <si>
    <t>PR-V2-BD-V2-CMP-0c4fb4ab435</t>
  </si>
  <si>
    <t>BD-V2-CMP-8dd8f490342</t>
  </si>
  <si>
    <t>PR-V2-BD-V2-CMP-8dd8f490342</t>
  </si>
  <si>
    <t>BD-V2-ENT-V2-ABBOTT</t>
  </si>
  <si>
    <t>DIAGNOSTICS_PARTNER</t>
  </si>
  <si>
    <t>PR-V2-BD-V2-ENT-V2-ABBOTT</t>
  </si>
  <si>
    <t>BD-V2-ENT-V2-PIERRE_FABRE</t>
  </si>
  <si>
    <t>PR-V2-BD-V2-ENT-V2-PIERRE_FABRE</t>
  </si>
  <si>
    <t>BD-V21-QIAGEN</t>
  </si>
  <si>
    <t>DIAGNOSTICS;INFECTIOUS_BROAD</t>
  </si>
  <si>
    <t>SRC-V21-QIAGEN</t>
  </si>
  <si>
    <t>IVD assay/platform partnering route supported by official source.</t>
  </si>
  <si>
    <t>QIAcuityDx digital PCR platform fit required; not evidence that any AMR asset will be accepted.</t>
  </si>
  <si>
    <t>PR-V21-BD-QIAGEN</t>
  </si>
  <si>
    <t>BD-V22-SCYNEXIS</t>
  </si>
  <si>
    <t>Organisation/Technologiebezug ist kein offenes Licensing- oder Equity-Mandat. Konditionen projektspezifisch live pruefen.</t>
  </si>
  <si>
    <t>PR-V22-BD-V22-SCYNEXIS</t>
  </si>
  <si>
    <t>BD-V22-ELIGO_BIOSCIENCE</t>
  </si>
  <si>
    <t>PR-V22-BD-V22-ELIGO-BIOSCIENCE</t>
  </si>
  <si>
    <t>BD-V22-SEEGENE</t>
  </si>
  <si>
    <t>PR-V22-BD-V22-SEEGENE</t>
  </si>
  <si>
    <t>BD-V22-HOLOGIC</t>
  </si>
  <si>
    <t>PR-V22-BD-V22-HOLOGIC</t>
  </si>
  <si>
    <t>BD-V22-SABIN_VACCINE_INSTITUTE</t>
  </si>
  <si>
    <t>PR-V22-BD-V22-SABIN-VACCINE-INSTITUTE</t>
  </si>
  <si>
    <t>BD-V22-VENATORX_PHARMACEUTICALS</t>
  </si>
  <si>
    <t>PR-V22-BD-V22-VENATORX-PHARMACEUTICALS</t>
  </si>
  <si>
    <t>BD-V22-UNITAID</t>
  </si>
  <si>
    <t>ENT-V22-UNITAID</t>
  </si>
  <si>
    <t>Access, deployment, implementation partnerships; not a universal preclinical grant.</t>
  </si>
  <si>
    <t>PR-V22-BD-V22-UNITAID</t>
  </si>
  <si>
    <t>transaction_types</t>
  </si>
  <si>
    <t>M07-BD-001</t>
  </si>
  <si>
    <t>DEAL_WATCH</t>
  </si>
  <si>
    <t>LICENSING;COLLABORATION;M_AND_A;FINANCING</t>
  </si>
  <si>
    <t>Suchprofil aus BD, kein behaupteter Deal. Aktuelle News/Investments suchen; historische Einstiegsseite nicht als laufendes Ereignis behandeln.</t>
  </si>
  <si>
    <t>M07-BD-002</t>
  </si>
  <si>
    <t>M07-BD-003</t>
  </si>
  <si>
    <t>M07-BD-004</t>
  </si>
  <si>
    <t>M07-BD-005</t>
  </si>
  <si>
    <t>M07-BD-006</t>
  </si>
  <si>
    <t>M07-BD-007</t>
  </si>
  <si>
    <t>M07-BD-008</t>
  </si>
  <si>
    <t>M07-BD-009</t>
  </si>
  <si>
    <t>M07-BD-010</t>
  </si>
  <si>
    <t>M07-BD-011</t>
  </si>
  <si>
    <t>M07-BD-012</t>
  </si>
  <si>
    <t>M07-BD-013</t>
  </si>
  <si>
    <t>M07-BD-014</t>
  </si>
  <si>
    <t>M07-BD-015</t>
  </si>
  <si>
    <t>M07-BD-016</t>
  </si>
  <si>
    <t>M07-BD-017</t>
  </si>
  <si>
    <t>M07-BD-018</t>
  </si>
  <si>
    <t>M07-BD-019</t>
  </si>
  <si>
    <t>M07-BD-020</t>
  </si>
  <si>
    <t>M07-BD-021</t>
  </si>
  <si>
    <t>M07-BD-022</t>
  </si>
  <si>
    <t>M07-BD-023</t>
  </si>
  <si>
    <t>M07-BD-024</t>
  </si>
  <si>
    <t>M07-BD-025</t>
  </si>
  <si>
    <t>M07-BD-026</t>
  </si>
  <si>
    <t>M07-BD-027</t>
  </si>
  <si>
    <t>M07-BD-028</t>
  </si>
  <si>
    <t>M07-BD-029</t>
  </si>
  <si>
    <t>M07-BD-030</t>
  </si>
  <si>
    <t>M07-BD-031</t>
  </si>
  <si>
    <t>M07-BD-032</t>
  </si>
  <si>
    <t>M07-BD-033</t>
  </si>
  <si>
    <t>M07-BD-034</t>
  </si>
  <si>
    <t>M07-BD-035</t>
  </si>
  <si>
    <t>M07-BD-036</t>
  </si>
  <si>
    <t>M07-BD-037</t>
  </si>
  <si>
    <t>M07-BD-038</t>
  </si>
  <si>
    <t>M07-BD-039</t>
  </si>
  <si>
    <t>EQUITY_FINANCING;FUNDRAISING</t>
  </si>
  <si>
    <t>M07-BD-040</t>
  </si>
  <si>
    <t>M07-BD-041</t>
  </si>
  <si>
    <t>M07-BD-042</t>
  </si>
  <si>
    <t>M07-BD-043</t>
  </si>
  <si>
    <t>M07-BD-044</t>
  </si>
  <si>
    <t>M07-BD-045</t>
  </si>
  <si>
    <t>M07-BD-046</t>
  </si>
  <si>
    <t>M07-BD-047</t>
  </si>
  <si>
    <t>M07-BD-048</t>
  </si>
  <si>
    <t>M07-BD-049</t>
  </si>
  <si>
    <t>M07-BD-050</t>
  </si>
  <si>
    <t>M07-BD-051</t>
  </si>
  <si>
    <t>M07-BD-052</t>
  </si>
  <si>
    <t>M07-BD-053</t>
  </si>
  <si>
    <t>M07-BD-054</t>
  </si>
  <si>
    <t>M07-BD-055</t>
  </si>
  <si>
    <t>M07-BD-056</t>
  </si>
  <si>
    <t>M07-BD-057</t>
  </si>
  <si>
    <t>M08-ESCMID</t>
  </si>
  <si>
    <t>ESCMID Global</t>
  </si>
  <si>
    <t>EVENT_SERIES</t>
  </si>
  <si>
    <t>SRC-V2-ESCMID</t>
  </si>
  <si>
    <t>Veranstaltungsreihe; Termine und Abstract-/Partneringfristen live ermitteln.</t>
  </si>
  <si>
    <t>M08-IDWEEK</t>
  </si>
  <si>
    <t>IDWeek</t>
  </si>
  <si>
    <t>SRC-V2-IDWEEK</t>
  </si>
  <si>
    <t>Veranstaltungsreihe; bereits vergangene Ausgabe nicht als kommende Veranstaltung ausgeben.</t>
  </si>
  <si>
    <t>M08-BIO</t>
  </si>
  <si>
    <t>BIO International Convention</t>
  </si>
  <si>
    <t>SRC-V2-BIO</t>
  </si>
  <si>
    <t>BD-/Partnering-Reihe; konkrete Ausgabe und Fristen live pruefen.</t>
  </si>
  <si>
    <t>M08-BIOEUROPE</t>
  </si>
  <si>
    <t>BIO-Europe</t>
  </si>
  <si>
    <t>SRC-V2-BIOEUROPE</t>
  </si>
  <si>
    <t>BD-Partnering; Veranstaltungsreihe, keine dauerhaft gueltigen Jahresdaten.</t>
  </si>
  <si>
    <t>M08-ASGCT</t>
  </si>
  <si>
    <t>ASGCT annual meeting</t>
  </si>
  <si>
    <t>CELL_GENE_THERAPY;GENE_THERAPY;CELL_THERAPY;RNA</t>
  </si>
  <si>
    <t>SRC-V2-ASGCT</t>
  </si>
  <si>
    <t>Zell-/Gentherapieplattformen und Translational Development.</t>
  </si>
  <si>
    <t>M08-WVC</t>
  </si>
  <si>
    <t>World Vaccine Congress Europe</t>
  </si>
  <si>
    <t>SRC-V2-WVC</t>
  </si>
  <si>
    <t>Impfstoffentwicklung und Partnering; Eventtermine gesondert abrufen.</t>
  </si>
  <si>
    <t>M08-V21-CROI</t>
  </si>
  <si>
    <t>CROI</t>
  </si>
  <si>
    <t>HIV and opportunistic infections; deadlines not stored as permanent master facts.</t>
  </si>
  <si>
    <t>SRC-V21-CROI</t>
  </si>
  <si>
    <t>M09-IDSA</t>
  </si>
  <si>
    <t>IDSA guidelines</t>
  </si>
  <si>
    <t>MEDICAL_GUIDELINE_HUB</t>
  </si>
  <si>
    <t>SRC-V2-IDSA</t>
  </si>
  <si>
    <t>Standard of Care nach Indikation/Population/Jurisdiktion, aktuelle Version verifizieren.</t>
  </si>
  <si>
    <t>M09-WHO_GUIDE</t>
  </si>
  <si>
    <t>WHO guidelines</t>
  </si>
  <si>
    <t>MEDICAL_PUBLIC_HEALTH_GUIDELINES</t>
  </si>
  <si>
    <t>SRC-V2-WHO_GUIDE</t>
  </si>
  <si>
    <t>Planung und publizierte Guidelines trennen; erwartetes Datum ist keine bereits veroeffentlichte Empfehlung.</t>
  </si>
  <si>
    <t>M09-AWMF</t>
  </si>
  <si>
    <t>AWMF guidelines register</t>
  </si>
  <si>
    <t>GERMAN_GUIDELINE_REGISTER</t>
  </si>
  <si>
    <t>SRC-V2-AWMF</t>
  </si>
  <si>
    <t>Bot-Schutz blockiert Direktabruf. Manuelle/offizielle Suchroute notwendig; keine Umgehung implementiert.</t>
  </si>
  <si>
    <t>M09-ECDC</t>
  </si>
  <si>
    <t>ECDC data dashboards</t>
  </si>
  <si>
    <t>EU_EPIDEMIOLOGY</t>
  </si>
  <si>
    <t>SRC-V2-ECDC</t>
  </si>
  <si>
    <t>Datenraum, Berichtsjahr, Definitionen und Nenner dokumentieren; keine DACH-Marktgroesse direkt ableiten.</t>
  </si>
  <si>
    <t>M09-PHAGE_MEDICAL</t>
  </si>
  <si>
    <t>IDSA phage consensus guideline</t>
  </si>
  <si>
    <t>CLINICAL_CONSENSUS_GUIDELINE</t>
  </si>
  <si>
    <t>SRC-V2-PHAGE_MEDICAL</t>
  </si>
  <si>
    <t>Consensus Statement vom 21.09.2026; individualisierte klinische Phagentherapie, keine Marktzulassungsentscheidung.</t>
  </si>
  <si>
    <t>M09-V21-ESCMID_GUIDE</t>
  </si>
  <si>
    <t>ESCMID clinical guidelines</t>
  </si>
  <si>
    <t>Clinical-management source, distinct from ESCMID congress; scope, version and recommendations checked per run.</t>
  </si>
  <si>
    <t>SRC-V21-ESCMID_GUIDE</t>
  </si>
  <si>
    <t>M10-ESPACENET</t>
  </si>
  <si>
    <t>EPO Espacenet</t>
  </si>
  <si>
    <t>PATENT_SEARCH_ROUTE</t>
  </si>
  <si>
    <t>SRC-V2-ESPACENET</t>
  </si>
  <si>
    <t>Patentanmeldungen, Familien und Prioritaeten; keine Freedom-to-Operate-Freigabe.</t>
  </si>
  <si>
    <t>M10-PATENTSCOPE</t>
  </si>
  <si>
    <t>WIPO PATENTSCOPE</t>
  </si>
  <si>
    <t>SRC-V2-PATENTSCOPE</t>
  </si>
  <si>
    <t>PCT und teilnehmende Aemter; Familie/Dubletten/Status pruefen; nicht alle nationalen Rechtsstaende.</t>
  </si>
  <si>
    <t>M10-DPMA</t>
  </si>
  <si>
    <t>DPMAregister</t>
  </si>
  <si>
    <t>GERMAN_PATENT_STATUS</t>
  </si>
  <si>
    <t>SRC-V2-DPMA</t>
  </si>
  <si>
    <t>Rechts-/Verfahrensstand in Deutschland; rechtliche Bewertung durch Patentexperten.</t>
  </si>
  <si>
    <t>M11-EU_GMP</t>
  </si>
  <si>
    <t>EudraLex Volume 4</t>
  </si>
  <si>
    <t>GMP_GUIDANCE</t>
  </si>
  <si>
    <t>SRC-V2-EU_GMP</t>
  </si>
  <si>
    <t>EU GMP einschliesslich ATMP Teil IV; einschlaegige Anhaenge live pruefen.</t>
  </si>
  <si>
    <t>M11-ICH_Q</t>
  </si>
  <si>
    <t>ICH quality guidelines</t>
  </si>
  <si>
    <t>QUALITY_GUIDELINE_HUB</t>
  </si>
  <si>
    <t>SRC-V2-ICH_Q</t>
  </si>
  <si>
    <t>Dynamische Seite; ICH-Versionen, regionale Implementierung und Produktklasse beachten.</t>
  </si>
  <si>
    <t>M11-EMA_GUIDE</t>
  </si>
  <si>
    <t>M11-FDA_CGT</t>
  </si>
  <si>
    <t>M11-EMA_ATMP</t>
  </si>
  <si>
    <t>M11-EMA_PHAGE</t>
  </si>
  <si>
    <t>M11-FDA_LBP</t>
  </si>
  <si>
    <t>M12-HERA</t>
  </si>
  <si>
    <t>HERA opportunities and policy</t>
  </si>
  <si>
    <t>PREPAREDNESS_OPPORTUNITIES</t>
  </si>
  <si>
    <t>Forschung, Beschaffung und Preparedness trennen; kein einzelner universell offener Call.</t>
  </si>
  <si>
    <t>M12-GBA</t>
  </si>
  <si>
    <t>G-BA benefit assessment</t>
  </si>
  <si>
    <t>DE_ACCESS_ASSESSMENT</t>
  </si>
  <si>
    <t>SRC-V2-GBA</t>
  </si>
  <si>
    <t>Nutzenbewertungsverfahren und Vergleichstherapie; Relevanz fuer Produkt und Land pruefen.</t>
  </si>
  <si>
    <t>M12-EU_HTA</t>
  </si>
  <si>
    <t>EU Health Technology Assessment</t>
  </si>
  <si>
    <t>EU_HTA_POLICY</t>
  </si>
  <si>
    <t>SRC-V2-EU_HTA</t>
  </si>
  <si>
    <t>Gemeinsame Bewertungen/Beratungen und Umsetzung; Scope und Anwendungstermine pruefen.</t>
  </si>
  <si>
    <t>M12-UNICEF</t>
  </si>
  <si>
    <t>UNICEF immunization market dashboard</t>
  </si>
  <si>
    <t>VACCINE_MARKET_PROCUREMENT</t>
  </si>
  <si>
    <t>SRC-V2-UNICEF</t>
  </si>
  <si>
    <t>Beschaffungs- und Marktinformationen; Preis/Volumen nicht in jaehrlichem Master festschreiben.</t>
  </si>
  <si>
    <t>M12-NHS_AMR</t>
  </si>
  <si>
    <t>NHS antibiotic subscription model</t>
  </si>
  <si>
    <t>UK_AMR_PULL_ROUTE</t>
  </si>
  <si>
    <t>SRC-V2-NHS_AMR</t>
  </si>
  <si>
    <t>Bot-Schutz; Teilnahmebedingungen und aktuelles Verfahren separat pruefen.</t>
  </si>
  <si>
    <t>M12-V21-GLASS</t>
  </si>
  <si>
    <t>WHO GLASS</t>
  </si>
  <si>
    <t>AMR surveillance source; not a company pipeline or efficacy source.</t>
  </si>
  <si>
    <t>SRC-V21-GLASS</t>
  </si>
  <si>
    <t>M12-V21-EARSNET</t>
  </si>
  <si>
    <t>ECDC EARS-Net</t>
  </si>
  <si>
    <t>European AMR surveillance, primarily invasive isolates; not representative of every infection context.</t>
  </si>
  <si>
    <t>SRC-V21-EARSNET</t>
  </si>
  <si>
    <t>entity_type</t>
  </si>
  <si>
    <t>aliases</t>
  </si>
  <si>
    <t>parent_entity_id</t>
  </si>
  <si>
    <t>group_note</t>
  </si>
  <si>
    <t>homepage_url</t>
  </si>
  <si>
    <t>provenance_ids</t>
  </si>
  <si>
    <t>curator_note</t>
  </si>
  <si>
    <t>ORGANISATION_UNCLASSIFIED</t>
  </si>
  <si>
    <t>PR-RAD-CMP-1a25fe5bbff;PR-ALL-CMP-1a25fe5bbff</t>
  </si>
  <si>
    <t>ACTIVE = fuer Katalogauswahl freigegeben, nicht Bestaetigung des aktuellen Unternehmens-/Pipeline-Status.</t>
  </si>
  <si>
    <t>PR-RAD-CMP-ed793550845;PR-ALL-CMP-ed793550845</t>
  </si>
  <si>
    <t>PHARMA</t>
  </si>
  <si>
    <t>https://www.abbvie.com/science/pipeline.html</t>
  </si>
  <si>
    <t>PR-RAD-CMP-b372a79ea29;PR-ALL-CMP-b372a79ea29</t>
  </si>
  <si>
    <t>PR-RAD-CMP-5e8e018b773;PR-ALL-CMP-5e8e018b773</t>
  </si>
  <si>
    <t>PR-RAD-CMP-5e80d86ddfe;PR-ALL-CMP-5e80d86ddfe</t>
  </si>
  <si>
    <t>PR-RAD-CMP-a3444927172;PR-ALL-CMP-a3444927172</t>
  </si>
  <si>
    <t>Adjuvant Capital</t>
  </si>
  <si>
    <t>INVESTOR</t>
  </si>
  <si>
    <t>PR-RAD-CMP-b69f0599844;PR-ALL-CMP-b69f0599844</t>
  </si>
  <si>
    <t>PR-RAD-CMP-3f23dcf79de;PR-ALL-CMP-3f23dcf79de</t>
  </si>
  <si>
    <t>PR-RAD-CMP-d30edde7435;PR-ALL-CMP-d30edde7435</t>
  </si>
  <si>
    <t>BIOTECH</t>
  </si>
  <si>
    <t>https://aligos.com/science/scientific-overview/</t>
  </si>
  <si>
    <t>PR-RAD-CMP-4146497d3c7;PR-ALL-CMP-4146497d3c7</t>
  </si>
  <si>
    <t>PR-RAD-CMP-1230b627b39;PR-ALL-CMP-1230b627b39</t>
  </si>
  <si>
    <t>AMR Action Fund</t>
  </si>
  <si>
    <t>https://www.amractionfund.com/</t>
  </si>
  <si>
    <t>Investor-Rolle getrennt vom Unternehmens-/Asset-Radar.</t>
  </si>
  <si>
    <t>Antabio</t>
  </si>
  <si>
    <t>Antabio SAS</t>
  </si>
  <si>
    <t>PR-RAD-CMP-42c932e38d3;PR-BD-027;PR-ALL-CMP-42c932e38d3</t>
  </si>
  <si>
    <t>PR-RAD-CMP-a013038a1b4;PR-ALL-CMP-a013038a1b4</t>
  </si>
  <si>
    <t>PR-BD-033;PR-ALL-CMP-1a319a119c8</t>
  </si>
  <si>
    <t>PR-RAD-CMP-cdc8013144b;PR-ALL-CMP-cdc8013144b</t>
  </si>
  <si>
    <t>Aridis Pharmaceuticals Inc</t>
  </si>
  <si>
    <t>https://www.aridispharma.com/</t>
  </si>
  <si>
    <t>PR-RAD-CMP-3fd58dd38dd;PR-ALL-CMP-3fd58dd38dd</t>
  </si>
  <si>
    <t>V2.3 official programme scope review. ACTIVE means searchable catalogue row, not confirmation of company status or deal willingness.</t>
  </si>
  <si>
    <t>Armata Pharmaceuticals</t>
  </si>
  <si>
    <t>Armata Pharmaceuticals Inc</t>
  </si>
  <si>
    <t>https://www.armatapharma.com/</t>
  </si>
  <si>
    <t>PR-RAD-CMP-3a0fa1b3462;PR-ALL-CMP-3a0fa1b3462</t>
  </si>
  <si>
    <t>Organisation ist ein Rechercheanker, kein nachgewiesener Lizenznehmer oder aktuelles Asset.</t>
  </si>
  <si>
    <t>PR-RAD-CMP-a8a014d97c6;PR-ALL-CMP-a8a014d97c6</t>
  </si>
  <si>
    <t>PR-RAD-CMP-c650577a6ad;PR-ALL-CMP-c650577a6ad</t>
  </si>
  <si>
    <t>Asahi Kasei Therapeutics (group route)</t>
  </si>
  <si>
    <t>CORPORATE_ROUTE</t>
  </si>
  <si>
    <t>Asahi Kasei / Veloxis;Asahi Kasei / Veloxis (BD-Gruppeneinstieg)</t>
  </si>
  <si>
    <t>Marken-/Gruppeneinstieg, nicht einzelne juristische Einheit; keine automatische Verschmelzung mit AiCuris/Veloxis.</t>
  </si>
  <si>
    <t>https://www.aktx.com/</t>
  </si>
  <si>
    <t>PR-RAD-CMP-c5c2748c797;PR-ALL-CMP-c5c2748c797</t>
  </si>
  <si>
    <t>PR-BD-034;PR-ALL-CMP-37b3da7d795</t>
  </si>
  <si>
    <t>AstraZeneca</t>
  </si>
  <si>
    <t>AstraZeneca Plc</t>
  </si>
  <si>
    <t>PR-RAD-CMP-85e7acc8115;PR-BD-010;PR-ALL-CMP-85e7acc8115</t>
  </si>
  <si>
    <t>PR-RAD-CMP-db564be93cb;PR-ALL-CMP-db564be93cb</t>
  </si>
  <si>
    <t>Atea Pharmaceuticals</t>
  </si>
  <si>
    <t>Atea Pharmaceuticals Inc</t>
  </si>
  <si>
    <t>PR-RAD-CMP-68725fd05c9;PR-BD-038;PR-ALL-CMP-68725fd05c9</t>
  </si>
  <si>
    <t>PR-RAD-CMP-a5c7a831bb1;PR-ALL-CMP-a5c7a831bb1</t>
  </si>
  <si>
    <t>PR-RAD-CMP-6b4f0aaee02;PR-ALL-CMP-6b4f0aaee02</t>
  </si>
  <si>
    <t>PR-RAD-CMP-d048b7e58a6;PR-ALL-CMP-d048b7e58a6</t>
  </si>
  <si>
    <t>PR-RAD-CMP-0e7071bcdb5;PR-ALL-CMP-0e7071bcdb5</t>
  </si>
  <si>
    <t>PR-RAD-CMP-662744fae82;PR-ALL-CMP-662744fae82</t>
  </si>
  <si>
    <t>Basilea Pharmaceutica</t>
  </si>
  <si>
    <t>Basilea Pharmaceutica Ltd</t>
  </si>
  <si>
    <t>PR-RAD-CMP-93148ce3ea6;PR-BD-007;PR-ALL-CMP-93148ce3ea6</t>
  </si>
  <si>
    <t>Bavarian Nordic</t>
  </si>
  <si>
    <t>Bavarian Nordic AS</t>
  </si>
  <si>
    <t>PR-RAD-CMP-9a50f62c0bf;PR-BD-013;PR-ALL-CMP-9a50f62c0bf</t>
  </si>
  <si>
    <t>PR-RAD-CMP-413f8fd9f55;PR-ALL-CMP-413f8fd9f55</t>
  </si>
  <si>
    <t>Becton, Dickinson and Company</t>
  </si>
  <si>
    <t>PR-RAD-CMP-bb2003e8cb6;PR-ALL-CMP-bb2003e8cb6</t>
  </si>
  <si>
    <t>PR-RAD-CMP-ce583ab95df;PR-ALL-CMP-ce583ab95df</t>
  </si>
  <si>
    <t>PR-RAD-CMP-1441b9ac13e;PR-ALL-CMP-1441b9ac13e</t>
  </si>
  <si>
    <t>PR-RAD-CMP-feb7d44c4f0;PR-ALL-CMP-feb7d44c4f0</t>
  </si>
  <si>
    <t>PR-RAD-CMP-c34e195e985;PR-ALL-CMP-c34e195e985</t>
  </si>
  <si>
    <t>PR-RAD-CMP-b3f407f932b;PR-ALL-CMP-b3f407f932b</t>
  </si>
  <si>
    <t>https://www.bharatbiotech.com/product_overview.html</t>
  </si>
  <si>
    <t>PR-RAD-CMP-425a0205bf3;PR-ALL-CMP-425a0205bf3</t>
  </si>
  <si>
    <t>PR-RAD-CMP-9decd84757e;PR-ALL-CMP-9decd84757e</t>
  </si>
  <si>
    <t>PR-RAD-CMP-4e3acc2788c;PR-ALL-CMP-4e3acc2788c</t>
  </si>
  <si>
    <t>PR-RAD-CMP-3f2e0eccbeb;PR-ALL-CMP-3f2e0eccbeb</t>
  </si>
  <si>
    <t>PR-RAD-CMP-59cc13297d8;PR-ALL-CMP-59cc13297d8</t>
  </si>
  <si>
    <t>BioNTech</t>
  </si>
  <si>
    <t>BioNTech SE</t>
  </si>
  <si>
    <t>PR-RAD-CMP-1dc25b959ce;PR-BD-011;PR-ALL-CMP-1dc25b959ce</t>
  </si>
  <si>
    <t>PR-RAD-CMP-bded2171a7f;PR-ALL-CMP-bded2171a7f</t>
  </si>
  <si>
    <t>BioVersys</t>
  </si>
  <si>
    <t>Bioversys AG</t>
  </si>
  <si>
    <t>PR-RAD-CMP-b82e0112382;PR-BD-026;PR-ALL-CMP-b82e0112382</t>
  </si>
  <si>
    <t>PR-RAD-CMP-0c333834d33;PR-ALL-CMP-0c333834d33</t>
  </si>
  <si>
    <t>Boehringer Ingelheim Venture Fund</t>
  </si>
  <si>
    <t>CVC</t>
  </si>
  <si>
    <t>BIVF</t>
  </si>
  <si>
    <t>Eigenes Investment-Team, nicht mit Muttergesellschaft zusammenfuehren.</t>
  </si>
  <si>
    <t>https://www.boehringer-ingelheim.com/</t>
  </si>
  <si>
    <t>BIVF-Identitaet behalten; aktuell behauptetes AMR-Mandat nicht aus historischem Deal ableiten.</t>
  </si>
  <si>
    <t>PR-RAD-CMP-6d82459e523;PR-ALL-CMP-6d82459e523</t>
  </si>
  <si>
    <t>PR-RAD-CMP-c148cfc9d75;PR-ALL-CMP-c148cfc9d75</t>
  </si>
  <si>
    <t>https://briibio.com/en/media/press-release/20261029/</t>
  </si>
  <si>
    <t>PR-RAD-CMP-bebf092fda0;PR-ALL-CMP-bebf092fda0</t>
  </si>
  <si>
    <t>PR-RAD-CMP-9f2367b42ec;PR-ALL-CMP-9f2367b42ec</t>
  </si>
  <si>
    <t>PR-RAD-CMP-ea5495c6494;PR-ALL-CMP-ea5495c6494</t>
  </si>
  <si>
    <t>PR-RAD-CMP-9b3f31b82f1;PR-ALL-CMP-9b3f31b82f1</t>
  </si>
  <si>
    <t>https://www.cansinotech.com/PipelineAndStrategy</t>
  </si>
  <si>
    <t>PR-RAD-CMP-add35b11171;PR-ALL-CMP-add35b11171</t>
  </si>
  <si>
    <t>PR-RAD-CMP-33c76a2d988;PR-BD-025;PR-ALL-CMP-33c76a2d988;PR-ALL-CMP-41a54006729</t>
  </si>
  <si>
    <t>Danaher Group</t>
  </si>
  <si>
    <t>PR-RAD-CMP-36f899e5b8d;PR-ALL-CMP-36f899e5b8d</t>
  </si>
  <si>
    <t>PR-RAD-CMP-a455fe8ed3b;PR-ALL-CMP-a455fe8ed3b</t>
  </si>
  <si>
    <t>PR-RAD-CMP-dbe4abdb422;PR-ALL-CMP-dbe4abdb422</t>
  </si>
  <si>
    <t>PR-RAD-CMP-ce1905883b7;PR-ALL-CMP-ce1905883b7</t>
  </si>
  <si>
    <t>PR-RAD-CMP-895a161abc0;PR-ALL-CMP-895a161abc0</t>
  </si>
  <si>
    <t>PR-RAD-CMP-246ca48d6d7;PR-ALL-CMP-246ca48d6d7</t>
  </si>
  <si>
    <t>PR-RAD-CMP-89418911969;PR-ALL-CMP-89418911969</t>
  </si>
  <si>
    <t>PR-RAD-CMP-cc9fc6ac0ff;PR-ALL-CMP-cc9fc6ac0ff</t>
  </si>
  <si>
    <t>PR-RAD-CMP-6a58fd2de4b;PR-ALL-CMP-6a58fd2de4b</t>
  </si>
  <si>
    <t>PR-RAD-CMP-104615421c5;PR-ALL-CMP-104615421c5</t>
  </si>
  <si>
    <t>PR-RAD-CMP-108641addb6;PR-ALL-CMP-108641addb6</t>
  </si>
  <si>
    <t>Clarametyx Biosciences</t>
  </si>
  <si>
    <t>Clarametyx Biosciences Inc</t>
  </si>
  <si>
    <t>PR-RAD-CMP-410a276e6c6;PR-BD-023;PR-ALL-CMP-410a276e6c6</t>
  </si>
  <si>
    <t>PR-RAD-CMP-58ed874c974;PR-ALL-CMP-58ed874c974</t>
  </si>
  <si>
    <t>PR-RAD-CMP-561749078f8;PR-ALL-CMP-561749078f8</t>
  </si>
  <si>
    <t>PR-RAD-CMP-b226b1ca0a8;PR-ALL-CMP-b226b1ca0a8</t>
  </si>
  <si>
    <t>PR-RAD-CMP-38726f0edd0;PR-ALL-CMP-38726f0edd0</t>
  </si>
  <si>
    <t>PR-RAD-CMP-aedbc6dad69;PR-ALL-CMP-aedbc6dad69</t>
  </si>
  <si>
    <t>PR-RAD-CMP-53fd82f1af9;PR-ALL-CMP-53fd82f1af9</t>
  </si>
  <si>
    <t>CSL Seqirus</t>
  </si>
  <si>
    <t>Seqirus Ltd</t>
  </si>
  <si>
    <t>Quellfeld Gruppe;keine Aliasverschmelzung: CSL Limited;Seqirus;Separater Katalogeintrag trotz Konzernbezug;Rechte-/Teamzuordnung live pruefen.</t>
  </si>
  <si>
    <t>https://www.cslseqirus.us/</t>
  </si>
  <si>
    <t>PR-RAD-CMP-155bfcfe459;PR-BD-020;PR-ALL-CMP-155bfcfe459</t>
  </si>
  <si>
    <t>PR-RAD-CMP-c132e3a36c6;PR-ALL-CMP-c132e3a36c6</t>
  </si>
  <si>
    <t>PR-RAD-CMP-e0fa5955eec;PR-ALL-CMP-e0fa5955eec</t>
  </si>
  <si>
    <t>PR-RAD-CMP-4cdbd28fa00;PR-ALL-CMP-4cdbd28fa00</t>
  </si>
  <si>
    <t>Drugs for Neglected Diseases initiative</t>
  </si>
  <si>
    <t>NONPROFIT</t>
  </si>
  <si>
    <t>https://dndi.org/</t>
  </si>
  <si>
    <t>PR-RAD-CMP-6dcf8867166;PR-ALL-CMP-6dcf8867166;PR-V2-CMP-6dcf8867166</t>
  </si>
  <si>
    <t>PR-RAD-CMP-2297c0d2f25;PR-ALL-CMP-2297c0d2f25</t>
  </si>
  <si>
    <t>Easton Capital</t>
  </si>
  <si>
    <t>PR-RAD-CMP-3f15ddb6b50;PR-ALL-CMP-3f15ddb6b50</t>
  </si>
  <si>
    <t>Quellfeld Gruppe;keine Aliasverschmelzung: Lilly;Curevo;LimmaTech Biologics;Vaccine Company</t>
  </si>
  <si>
    <t>PR-BD-008;PR-ALL-CMP-3d4eedeeed7</t>
  </si>
  <si>
    <t>PR-BD-030;PR-ALL-CMP-ebec5cdb20c</t>
  </si>
  <si>
    <t>PR-RAD-CMP-a192e827864;PR-ALL-CMP-a192e827864</t>
  </si>
  <si>
    <t>EQT Life Sciences</t>
  </si>
  <si>
    <t>LSP;EQT Life Sciences</t>
  </si>
  <si>
    <t>PR-RAD-CMP-3f19c5bc4ac;PR-ALL-CMP-3f19c5bc4ac</t>
  </si>
  <si>
    <t>PR-RAD-CMP-c2df97c26fd;PR-ALL-CMP-c2df97c26fd</t>
  </si>
  <si>
    <t>PR-RAD-CMP-6f9f822213f;PR-ALL-CMP-6f9f822213f</t>
  </si>
  <si>
    <t>F-Prime Capital</t>
  </si>
  <si>
    <t>F2G</t>
  </si>
  <si>
    <t>F2G Ltd</t>
  </si>
  <si>
    <t>PR-RAD-CMP-b3350328f73;PR-BD-028;PR-ALL-CMP-b3350328f73</t>
  </si>
  <si>
    <t>Ferring Pharmaceuticals</t>
  </si>
  <si>
    <t>Ferring Group</t>
  </si>
  <si>
    <t>https://www.ferring.com/</t>
  </si>
  <si>
    <t>PR-RAD-CMP-1c39dd558a2;PR-ALL-CMP-1c39dd558a2</t>
  </si>
  <si>
    <t>Forbion</t>
  </si>
  <si>
    <t>PR-RAD-CMP-9b5b6eb5241;PR-ALL-CMP-9b5b6eb5241</t>
  </si>
  <si>
    <t>PR-RAD-CMP-5756f6656b7;PR-ALL-CMP-5756f6656b7</t>
  </si>
  <si>
    <t>PR-RAD-CMP-4b7ea901498;PR-ALL-CMP-4b7ea901498</t>
  </si>
  <si>
    <t>PR-RAD-CMP-994d1e3fd3b;PR-ALL-CMP-994d1e3fd3b</t>
  </si>
  <si>
    <t>PR-RAD-CMP-4b8976fa781;PR-ALL-CMP-4b8976fa781</t>
  </si>
  <si>
    <t>Gilead Sciences</t>
  </si>
  <si>
    <t>Gilead Sciences Inc</t>
  </si>
  <si>
    <t>https://www.gilead.com/</t>
  </si>
  <si>
    <t>PR-RAD-CMP-384891abbee;PR-BD-015;PR-ALL-CMP-384891abbee</t>
  </si>
  <si>
    <t>PR-RAD-CMP-e4f41a9d76c;PR-ALL-CMP-e4f41a9d76c</t>
  </si>
  <si>
    <t>PR-RAD-CMP-83aac7ecc69;PR-ALL-CMP-83aac7ecc69</t>
  </si>
  <si>
    <t>GSK</t>
  </si>
  <si>
    <t>GSK plc</t>
  </si>
  <si>
    <t>https://www.gsk.com/</t>
  </si>
  <si>
    <t>PR-RAD-CMP-579c450159e;PR-BD-001;PR-ALL-CMP-579c450159e</t>
  </si>
  <si>
    <t>PR-RAD-CMP-be25b80e3f0;PR-ALL-CMP-be25b80e3f0</t>
  </si>
  <si>
    <t>PR-RAD-CMP-c58329fede0;PR-ALL-CMP-c58329fede0</t>
  </si>
  <si>
    <t>PR-RAD-CMP-e6d28a1f43f;PR-ALL-CMP-e6d28a1f43f</t>
  </si>
  <si>
    <t>High-Tech Gruenderfonds (HTGF)</t>
  </si>
  <si>
    <t>HTGF;High-Tech Gruenderfonds</t>
  </si>
  <si>
    <t>PR-RAD-CMP-0f0e212f928;PR-ALL-CMP-0f0e212f928</t>
  </si>
  <si>
    <t>Hypharm</t>
  </si>
  <si>
    <t>https://hypharm.de/</t>
  </si>
  <si>
    <t>PR-RAD-CMP-02e13c78d23;PR-ALL-CMP-02e13c78d23</t>
  </si>
  <si>
    <t>PR-RAD-CMP-90be0717d63;PR-ALL-CMP-90be0717d63</t>
  </si>
  <si>
    <t>PR-RAD-CMP-fce0f58579d;PR-ALL-CMP-fce0f58579d</t>
  </si>
  <si>
    <t>PR-RAD-CMP-4eec897c81d;PR-ALL-CMP-4eec897c81d</t>
  </si>
  <si>
    <t>PR-RAD-CMP-e2fd1a7b36e;PR-ALL-CMP-e2fd1a7b36e</t>
  </si>
  <si>
    <t>PR-RAD-CMP-30076d157c9;PR-ALL-CMP-30076d157c9</t>
  </si>
  <si>
    <t>ACADEMIC</t>
  </si>
  <si>
    <t>PR-RAD-CMP-a8e434f18c2;PR-ALL-CMP-a8e434f18c2</t>
  </si>
  <si>
    <t>Akademische Forschungseinrichtung: als Wettbewerbs-/Assetquelle behalten, nicht als Pharma-Lizenznehmer.</t>
  </si>
  <si>
    <t>PR-RAD-CMP-455a5cf00a7;PR-ALL-CMP-455a5cf00a7</t>
  </si>
  <si>
    <t>Infex Therapeutics</t>
  </si>
  <si>
    <t>Infex Therapeutics Ltd</t>
  </si>
  <si>
    <t>https://www.infextx.com/</t>
  </si>
  <si>
    <t>PR-RAD-CMP-fa8243cafa7;PR-BD-022;PR-ALL-CMP-fa8243cafa7</t>
  </si>
  <si>
    <t>https://prod-main.inovio.com/pipeline/current-pipeline/</t>
  </si>
  <si>
    <t>PR-RAD-CMP-58902c4b7fe;PR-ALL-CMP-58902c4b7fe</t>
  </si>
  <si>
    <t>PR-RAD-CMP-e149f79216b;PR-ALL-CMP-e149f79216b</t>
  </si>
  <si>
    <t>International AIDS Vaccine Initiative</t>
  </si>
  <si>
    <t>https://www.iavi.org/</t>
  </si>
  <si>
    <t>PR-RAD-CMP-92fc1bf734e;PR-ALL-CMP-92fc1bf734e;PR-V2-CMP-92fc1bf734e</t>
  </si>
  <si>
    <t>PR-RAD-CMP-cc6f0a4140b;PR-ALL-CMP-cc6f0a4140b</t>
  </si>
  <si>
    <t>PR-RAD-CMP-01bd01edab9;PR-ALL-CMP-01bd01edab9</t>
  </si>
  <si>
    <t>Inveready</t>
  </si>
  <si>
    <t>Invivo Partners</t>
  </si>
  <si>
    <t>PR-RAD-CMP-5ecaf4c905a;PR-ALL-CMP-5ecaf4c905a</t>
  </si>
  <si>
    <t>PR-RAD-CMP-4554fe38f79;PR-ALL-CMP-4554fe38f79</t>
  </si>
  <si>
    <t>PR-RAD-CMP-078b33dd07f;PR-ALL-CMP-078b33dd07f</t>
  </si>
  <si>
    <t>PR-RAD-CMP-dda1b1eb60d;PR-ALL-CMP-dda1b1eb60d</t>
  </si>
  <si>
    <t>PR-RAD-CMP-a133809740b;PR-ALL-CMP-a133809740b</t>
  </si>
  <si>
    <t>PR-RAD-CMP-4ce16cef964;PR-ALL-CMP-4ce16cef964</t>
  </si>
  <si>
    <t>PR-RAD-CMP-e6d5184b1a1;PR-ALL-CMP-e6d5184b1a1</t>
  </si>
  <si>
    <t>KHAN Technology Transfer Fund II</t>
  </si>
  <si>
    <t>KHAN II;KHAN Technology Transfer</t>
  </si>
  <si>
    <t>Kineticos AMR Accelerator Fund</t>
  </si>
  <si>
    <t>KAMRA;Kineticos Life Sciences</t>
  </si>
  <si>
    <t>PR-RAD-CMP-08a8fbeac27;PR-ALL-CMP-08a8fbeac27</t>
  </si>
  <si>
    <t>PR-RAD-CMP-b6c031ebf37;PR-ALL-CMP-b6c031ebf37</t>
  </si>
  <si>
    <t>PR-RAD-CMP-78274050aea;PR-ALL-CMP-78274050aea</t>
  </si>
  <si>
    <t>PR-RAD-CMP-15c4ed59a02;PR-ALL-CMP-15c4ed59a02</t>
  </si>
  <si>
    <t>PR-RAD-CMP-ff43c4d38a6;PR-ALL-CMP-ff43c4d38a6</t>
  </si>
  <si>
    <t>PR-RAD-CMP-ef19cd41803;PR-ALL-CMP-ef19cd41803</t>
  </si>
  <si>
    <t>PR-BD-037;PR-ALL-CMP-c910b6e8dda</t>
  </si>
  <si>
    <t>PR-RAD-CMP-0b55c608dd1;PR-ALL-CMP-0b55c608dd1</t>
  </si>
  <si>
    <t>PR-RAD-CMP-4f8a2958e3d;PR-ALL-CMP-4f8a2958e3d</t>
  </si>
  <si>
    <t>PR-RAD-CMP-1d21555768c;PR-ALL-CMP-1d21555768c</t>
  </si>
  <si>
    <t>PR-RAD-CMP-c03b5eb46a0;PR-ALL-CMP-c03b5eb46a0</t>
  </si>
  <si>
    <t>PR-RAD-CMP-156cb401985;PR-ALL-CMP-156cb401985</t>
  </si>
  <si>
    <t>PR-RAD-CMP-7f9729c098e;PR-ALL-CMP-7f9729c098e</t>
  </si>
  <si>
    <t>PR-RAD-CMP-f08e7bb1c06;PR-ALL-CMP-f08e7bb1c06</t>
  </si>
  <si>
    <t>Merck KGaA (DE)</t>
  </si>
  <si>
    <t>PR-RAD-CMP-a407ca8cf34;PR-ALL-CMP-a407ca8cf34</t>
  </si>
  <si>
    <t>PR-RAD-CMP-d65ad545b92;PR-ALL-CMP-d65ad545b92</t>
  </si>
  <si>
    <t>PR-RAD-CMP-9c376d2b7ab;PR-ALL-CMP-9c376d2b7ab</t>
  </si>
  <si>
    <t>PR-BD-032;PR-ALL-CMP-7bddd983db2</t>
  </si>
  <si>
    <t>Moderna</t>
  </si>
  <si>
    <t>Moderna Inc</t>
  </si>
  <si>
    <t>https://www.modernatx.com/</t>
  </si>
  <si>
    <t>PR-RAD-CMP-24531a6b01f;PR-BD-012;PR-ALL-CMP-24531a6b01f</t>
  </si>
  <si>
    <t>MSD / Merck &amp; Co.</t>
  </si>
  <si>
    <t>Merck &amp; Co Inc;Merck &amp; Co.;MSD</t>
  </si>
  <si>
    <t>MSD (US)</t>
  </si>
  <si>
    <t>PR-RAD-CMP-3f134522796;PR-BD-002;PR-ALL-CMP-3f134522796</t>
  </si>
  <si>
    <t>New Science Ventures</t>
  </si>
  <si>
    <t>PR-RAD-CMP-b41888fba29;PR-ALL-CMP-b41888fba29</t>
  </si>
  <si>
    <t>PR-RAD-CMP-811101667a0;PR-ALL-CMP-811101667a0</t>
  </si>
  <si>
    <t>Novartis</t>
  </si>
  <si>
    <t>Novartis AG</t>
  </si>
  <si>
    <t>PR-RAD-CMP-c0364501a9f;PR-BD-019;PR-ALL-CMP-c0364501a9f</t>
  </si>
  <si>
    <t>https://www.novavax.com/products-pipeline/pipeline</t>
  </si>
  <si>
    <t>PR-RAD-CMP-fbe85e38ed1;PR-ALL-CMP-fbe85e38ed1</t>
  </si>
  <si>
    <t>Novo Holdings</t>
  </si>
  <si>
    <t>Quellfeld Gruppe;keine Aliasverschmelzung: Novo Holdings A/S;REPAIR ist historischer Spezialfonds</t>
  </si>
  <si>
    <t>PR-RAD-CMP-c26d0b0b2ae;PR-ALL-CMP-c26d0b0b2ae</t>
  </si>
  <si>
    <t>PR-RAD-CMP-6ebc81fa4e8;PR-ALL-CMP-6ebc81fa4e8</t>
  </si>
  <si>
    <t>PR-RAD-CMP-d4bb4737696;PR-ALL-CMP-d4bb4737696</t>
  </si>
  <si>
    <t>PR-RAD-CMP-13c8a43edd1;PR-ALL-CMP-13c8a43edd1</t>
  </si>
  <si>
    <t>Otsuka Pharmaceutical Co Ltd</t>
  </si>
  <si>
    <t>https://www.otsuka.co.jp/en/</t>
  </si>
  <si>
    <t>PR-RAD-CMP-c1c503fce47;PR-ALL-CMP-c1c503fce47</t>
  </si>
  <si>
    <t>PR-RAD-CMP-3d6b5bd3377;PR-ALL-CMP-3d6b5bd3377</t>
  </si>
  <si>
    <t>PR-RAD-CMP-b42b7fb59f0;PR-ALL-CMP-b42b7fb59f0</t>
  </si>
  <si>
    <t>PR-RAD-CMP-45b05f5c83e;PR-ALL-CMP-45b05f5c83e</t>
  </si>
  <si>
    <t>Pfizer</t>
  </si>
  <si>
    <t>Pfizer Inc</t>
  </si>
  <si>
    <t>https://www.pfizer.com/</t>
  </si>
  <si>
    <t>PR-RAD-CMP-335ff7e594c;PR-BD-004;PR-ALL-CMP-335ff7e594c</t>
  </si>
  <si>
    <t>Pfizer Ventures</t>
  </si>
  <si>
    <t>Eigenes Investment-Team;nicht mit Muttergesellschaft zusammenfuehren.;Separater Katalogeintrag trotz Konzernbezug;Rechte-/Teamzuordnung live pruefen.</t>
  </si>
  <si>
    <t>https://www.pfizer.com/about/partners/venture-investments</t>
  </si>
  <si>
    <t>PR-RAD-CMP-421dd2c5f23;PR-ALL-CMP-421dd2c5f23</t>
  </si>
  <si>
    <t>PR-RAD-CMP-9d580665cfb;PR-ALL-CMP-9d580665cfb</t>
  </si>
  <si>
    <t>PR-BD-035;PR-ALL-CMP-cb6708093dc</t>
  </si>
  <si>
    <t>PR-RAD-CMP-13b02aead78;PR-ALL-CMP-13b02aead78</t>
  </si>
  <si>
    <t>PR-RAD-CMP-bf7e57274f6;PR-ALL-CMP-bf7e57274f6</t>
  </si>
  <si>
    <t>DIAGNOSTICS_COMPANY</t>
  </si>
  <si>
    <t>https://www.qiagen.com/de/product-categories/diagnostics-and-clinical-research/infectious-disease</t>
  </si>
  <si>
    <t>PR-RAD-CMP-b67700d6c62;PR-ALL-CMP-b67700d6c62</t>
  </si>
  <si>
    <t>PR-RAD-CMP-b77ac4d5aa1;PR-ALL-CMP-b77ac4d5aa1</t>
  </si>
  <si>
    <t>PR-RAD-CMP-251613697f2;PR-ALL-CMP-251613697f2</t>
  </si>
  <si>
    <t>PR-RAD-CMP-ee9a972ce12;PR-ALL-CMP-ee9a972ce12</t>
  </si>
  <si>
    <t>RA Capital Management</t>
  </si>
  <si>
    <t>PR-RAD-CMP-2100701d612;PR-ALL-CMP-2100701d612</t>
  </si>
  <si>
    <t>PR-RAD-CMP-2e8e0dfb894;PR-ALL-CMP-2e8e0dfb894</t>
  </si>
  <si>
    <t>Regeneron</t>
  </si>
  <si>
    <t>Regeneron Pharmaceuticals Inc</t>
  </si>
  <si>
    <t>PR-RAD-CMP-4d9ee3f1716;PR-BD-017;PR-ALL-CMP-4d9ee3f1716</t>
  </si>
  <si>
    <t>PR-RAD-CMP-4e04704ecc0;PR-ALL-CMP-4e04704ecc0</t>
  </si>
  <si>
    <t>PR-RAD-CMP-c227f16eb1c;PR-ALL-CMP-c227f16eb1c</t>
  </si>
  <si>
    <t>Roche</t>
  </si>
  <si>
    <t>F. Hoffmann-La Roche Ltd</t>
  </si>
  <si>
    <t>Quellfeld Gruppe;keine Aliasverschmelzung: Genentech;Roche</t>
  </si>
  <si>
    <t>PR-RAD-CMP-578ce8097cb;PR-BD-005;PR-ALL-CMP-578ce8097cb</t>
  </si>
  <si>
    <t>Roche Group</t>
  </si>
  <si>
    <t>PR-RAD-CMP-6c2d50627b9;PR-ALL-CMP-6c2d50627b9</t>
  </si>
  <si>
    <t>PR-RAD-CMP-af44d9046cb;PR-ALL-CMP-af44d9046cb</t>
  </si>
  <si>
    <t>PR-RAD-CMP-ef3fd5062fb;PR-BD-003;PR-ALL-CMP-ef3fd5062fb</t>
  </si>
  <si>
    <t>Sanofi Ventures</t>
  </si>
  <si>
    <t>Separater Katalogeintrag trotz Konzernbezug;Rechte-/Teamzuordnung live pruefen.</t>
  </si>
  <si>
    <t>PR-RAD-CMP-e5709fc55b5;PR-ALL-CMP-e5709fc55b5</t>
  </si>
  <si>
    <t>PR-RAD-CMP-0fd9a9b02c5;PR-ALL-CMP-0fd9a9b02c5</t>
  </si>
  <si>
    <t>Serum Institute of India</t>
  </si>
  <si>
    <t>Serum Institute of India Pvt Ltd;SII</t>
  </si>
  <si>
    <t>PR-RAD-CMP-272f19fd220;PR-BD-018;PR-ALL-CMP-272f19fd220</t>
  </si>
  <si>
    <t>PR-RAD-CMP-a693719a769;PR-ALL-CMP-a693719a769</t>
  </si>
  <si>
    <t>PR-RAD-CMP-0934bdf51e6;PR-ALL-CMP-0934bdf51e6</t>
  </si>
  <si>
    <t>PR-RAD-CMP-977c15d94f6;PR-ALL-CMP-977c15d94f6</t>
  </si>
  <si>
    <t>PR-RAD-CMP-8c64c4d04de;PR-ALL-CMP-8c64c4d04de</t>
  </si>
  <si>
    <t>PR-RAD-CMP-c6b22982ad3;PR-ALL-CMP-c6b22982ad3</t>
  </si>
  <si>
    <t>PR-RAD-CMP-972583c6f34;PR-ALL-CMP-972583c6f34</t>
  </si>
  <si>
    <t>PR-RAD-CMP-0a76928b480;PR-ALL-CMP-0a76928b480</t>
  </si>
  <si>
    <t>Shionogi</t>
  </si>
  <si>
    <t>Shionogi &amp; Co Ltd</t>
  </si>
  <si>
    <t>PR-RAD-CMP-e1f2b6c9f07;PR-BD-006;PR-ALL-CMP-e1f2b6c9f07</t>
  </si>
  <si>
    <t>PR-RAD-CMP-9c1a100dc59;PR-ALL-CMP-9c1a100dc59</t>
  </si>
  <si>
    <t>PR-RAD-CMP-1c8ca8e408e;PR-ALL-CMP-1c8ca8e408e</t>
  </si>
  <si>
    <t>https://www.skbioscience.com/en/tech/rnd_01</t>
  </si>
  <si>
    <t>PR-RAD-CMP-eac17a0cae7;PR-ALL-CMP-eac17a0cae7</t>
  </si>
  <si>
    <t>PR-RAD-CMP-ad5a354e035;PR-ALL-CMP-ad5a354e035</t>
  </si>
  <si>
    <t>SNIPR Biome ApS</t>
  </si>
  <si>
    <t>https://www.sniprbiome.com/</t>
  </si>
  <si>
    <t>PR-RAD-CMP-bede831b69b;PR-ALL-CMP-bede831b69b</t>
  </si>
  <si>
    <t>Sofinnova Partners</t>
  </si>
  <si>
    <t>PR-RAD-CMP-fcc9f977944;PR-ALL-CMP-fcc9f977944</t>
  </si>
  <si>
    <t>SR One</t>
  </si>
  <si>
    <t>PR-RAD-CMP-870018ed6f8;PR-ALL-CMP-870018ed6f8</t>
  </si>
  <si>
    <t>PR-RAD-CMP-de8e4c7e849;PR-ALL-CMP-de8e4c7e849</t>
  </si>
  <si>
    <t>PR-RAD-CMP-ba04c7a5187;PR-ALL-CMP-ba04c7a5187</t>
  </si>
  <si>
    <t>PR-RAD-CMP-bba1a1ec87d;PR-ALL-CMP-bba1a1ec87d</t>
  </si>
  <si>
    <t>PR-RAD-CMP-5b18365f8f7;PR-ALL-CMP-5b18365f8f7</t>
  </si>
  <si>
    <t>PR-RAD-CMP-9307e1b3409;PR-ALL-CMP-9307e1b3409</t>
  </si>
  <si>
    <t>PR-RAD-CMP-9873271cb64;PR-ALL-CMP-9873271cb64</t>
  </si>
  <si>
    <t>Takeda</t>
  </si>
  <si>
    <t>Takeda Pharmaceutical Co Ltd</t>
  </si>
  <si>
    <t>PR-RAD-CMP-e40d855a05d;PR-BD-021;PR-ALL-CMP-e40d855a05d</t>
  </si>
  <si>
    <t>PR-RAD-CMP-6aacfbb37e0;PR-BD-029;PR-ALL-CMP-6aacfbb37e0</t>
  </si>
  <si>
    <t>PR-RAD-CMP-c1748b7ddd0;PR-ALL-CMP-c1748b7ddd0</t>
  </si>
  <si>
    <t>PR-RAD-CMP-e82f0c0e061;PR-ALL-CMP-e82f0c0e061</t>
  </si>
  <si>
    <t>PR-BD-024;PR-ALL-CMP-58b87d18792</t>
  </si>
  <si>
    <t>PR-RAD-CMP-b568334fb83;PR-ALL-CMP-b568334fb83</t>
  </si>
  <si>
    <t>Valneva</t>
  </si>
  <si>
    <t>Valneva SE</t>
  </si>
  <si>
    <t>PR-RAD-CMP-b223897f72c;PR-BD-014;PR-ALL-CMP-b223897f72c</t>
  </si>
  <si>
    <t>PR-RAD-CMP-8286c6c630d;PR-ALL-CMP-8286c6c630d</t>
  </si>
  <si>
    <t>PR-BD-031;PR-ALL-CMP-f7d41a189a8</t>
  </si>
  <si>
    <t>PR-RAD-CMP-726db97a94d;PR-ALL-CMP-726db97a94d</t>
  </si>
  <si>
    <t>PR-RAD-CMP-f2ce30354a7;PR-ALL-CMP-f2ce30354a7</t>
  </si>
  <si>
    <t>PR-BD-036;PR-ALL-CMP-bc6b7e09a69</t>
  </si>
  <si>
    <t>PR-RAD-CMP-2e66edddf5d;PR-ALL-CMP-2e66edddf5d</t>
  </si>
  <si>
    <t>ViiV Healthcare</t>
  </si>
  <si>
    <t>JOINT_VENTURE</t>
  </si>
  <si>
    <t>ViiV Healthcare UK Ltd</t>
  </si>
  <si>
    <t>GSK/Pfizer/Shionogi JV</t>
  </si>
  <si>
    <t>https://viivhealthcare.com/</t>
  </si>
  <si>
    <t>PR-RAD-CMP-5ad19a5f747;PR-BD-016;PR-ALL-CMP-5ad19a5f747</t>
  </si>
  <si>
    <t>PR-RAD-CMP-601bca434c7;PR-ALL-CMP-601bca434c7</t>
  </si>
  <si>
    <t>PR-RAD-CMP-2689ea1fbe9;PR-ALL-CMP-2689ea1fbe9</t>
  </si>
  <si>
    <t>PR-RAD-CMP-2ce03c6442a;PR-ALL-CMP-2ce03c6442a</t>
  </si>
  <si>
    <t>PR-RAD-CMP-ac2fdd1b3e6;PR-ALL-CMP-ac2fdd1b3e6</t>
  </si>
  <si>
    <t>PR-RAD-CMP-e06a0a2c903;PR-ALL-CMP-e06a0a2c903</t>
  </si>
  <si>
    <t>PR-RAD-CMP-e0ed1515d16;PR-ALL-CMP-e0ed1515d16</t>
  </si>
  <si>
    <t>PR-RAD-CMP-c6bc30af3d8;PR-ALL-CMP-c6bc30af3d8</t>
  </si>
  <si>
    <t>PR-RAD-CMP-ba0f4be8da0;PR-ALL-CMP-ba0f4be8da0</t>
  </si>
  <si>
    <t>PR-RAD-CMP-ca4713a975e;PR-ALL-CMP-ca4713a975e</t>
  </si>
  <si>
    <t>Xiamen Innovax Biotech Co Ltd</t>
  </si>
  <si>
    <t>https://www.xiameninnovax.com/</t>
  </si>
  <si>
    <t>PR-RAD-CMP-9d444f16979;PR-ALL-CMP-9d444f16979</t>
  </si>
  <si>
    <t>PR-RAD-CMP-d0dc37ee4f9;PR-ALL-CMP-d0dc37ee4f9</t>
  </si>
  <si>
    <t>PR-RAD-CMP-d4177913933;PR-ALL-CMP-d4177913933</t>
  </si>
  <si>
    <t>PR-RAD-CMP-e85454a4b35;PR-ALL-CMP-e85454a4b35</t>
  </si>
  <si>
    <t>PR-RAD-CMP-f0ace507d0a;PR-ALL-CMP-f0ace507d0a</t>
  </si>
  <si>
    <t>PR-RAD-CMP-8ee8900c31c;PR-ALL-CMP-8ee8900c31c</t>
  </si>
  <si>
    <t>Global Antibiotic Research and Development Partnership</t>
  </si>
  <si>
    <t>https://gardp.org/gardp-treatments-and-projects/</t>
  </si>
  <si>
    <t>PR-V2-ENT-V2-GARDP</t>
  </si>
  <si>
    <t>Katalogfreigabe; keine bestaetigte aktuelle Kooperationsbereitschaft.</t>
  </si>
  <si>
    <t>MMV</t>
  </si>
  <si>
    <t>https://www.mmv.org/</t>
  </si>
  <si>
    <t>PR-V2-ENT-V2-MMV</t>
  </si>
  <si>
    <t>Global Alliance for TB Drug Development</t>
  </si>
  <si>
    <t>https://www.tballiance.org/our-pipeline-portfolio/</t>
  </si>
  <si>
    <t>PR-V2-ENT-V2-TB_ALLIANCE</t>
  </si>
  <si>
    <t>Foundation for Innovative New Diagnostics</t>
  </si>
  <si>
    <t>https://www.finddx.org/about-us/donors-and-partners/calls-for-partners/</t>
  </si>
  <si>
    <t>PR-V2-ENT-V2-FIND</t>
  </si>
  <si>
    <t>Bill &amp; Melinda Gates Medical Research Institute</t>
  </si>
  <si>
    <t>https://www.gatesmri.org/research-priorities/</t>
  </si>
  <si>
    <t>PR-V2-CMP-ac1aeb1ba3f</t>
  </si>
  <si>
    <t>Program for Appropriate Technology in Health</t>
  </si>
  <si>
    <t>https://www.path.org/who-we-are/programs/center-for-vaccine-innovation-and-access/</t>
  </si>
  <si>
    <t>PR-V2-CMP-3150ecd5e02</t>
  </si>
  <si>
    <t>IVI</t>
  </si>
  <si>
    <t>https://www.ivi.int/</t>
  </si>
  <si>
    <t>PR-V2-CMP-cfd0a415846</t>
  </si>
  <si>
    <t>AiCuris</t>
  </si>
  <si>
    <t>Nach offizieller AiCuris-Seite Teil von Asahi Kasei Therapeutics; siehe SRC-V2-AICURIS_GROUP. Juristischer Parent nicht aus Gruppenmarke abgeleitet.</t>
  </si>
  <si>
    <t>https://www.aicuris.com/pipeline-products/</t>
  </si>
  <si>
    <t>PR-V2-CMP-0c4fb4ab435</t>
  </si>
  <si>
    <t>Bugworks</t>
  </si>
  <si>
    <t>https://bugworksresearch.com/</t>
  </si>
  <si>
    <t>PR-V2-CMP-8dd8f490342</t>
  </si>
  <si>
    <t>Abbott Laboratories</t>
  </si>
  <si>
    <t>https://www.molecular.abbott/us/en/offerings/products/infectious-disease</t>
  </si>
  <si>
    <t>PR-V2-ENT-V2-ABBOTT</t>
  </si>
  <si>
    <t>Pierre Fabre Medicament</t>
  </si>
  <si>
    <t>https://www.ema.europa.eu/en/medicines/human/EPAR/ebvallo</t>
  </si>
  <si>
    <t>PR-V2-ENT-V2-PIERRE_FABRE</t>
  </si>
  <si>
    <t>https://www.scynexis.com/our-pipeline/</t>
  </si>
  <si>
    <t>PR-V22-ENT-V22-SCYNEXIS</t>
  </si>
  <si>
    <t>Documented scope; active in catalog means query eligible, not verified current asset/BD interest. Invasive fungal drug research; do not reuse a specific SCY-247 phase without live check.</t>
  </si>
  <si>
    <t>https://eligo.bio/platform/</t>
  </si>
  <si>
    <t>PR-V22-ENT-V22-ELIGO-BIOSCIENCE</t>
  </si>
  <si>
    <t>Documented scope; active in catalog means query eligible, not verified current asset/BD interest. Microbiome gene editing, not automatically CDI clinical competitor.</t>
  </si>
  <si>
    <t>https://www.seegene.com/company/technology</t>
  </si>
  <si>
    <t>PR-V22-ENT-V22-SEEGENE</t>
  </si>
  <si>
    <t>Documented scope; active in catalog means query eligible, not verified current asset/BD interest. Syndromic multiplex PCR assay developer, not anti-infective drug developer.</t>
  </si>
  <si>
    <t>https://www.hologic.com/molecular-diagnostics</t>
  </si>
  <si>
    <t>PR-V22-ENT-V22-HOLOGIC</t>
  </si>
  <si>
    <t>Documented scope; active in catalog means query eligible, not verified current asset/BD interest. Molecular assay developer; clinical intended uses vary by assay.</t>
  </si>
  <si>
    <t>https://sabin.org/vaccine-research-and-development/</t>
  </si>
  <si>
    <t>PR-V22-ENT-V22-SABIN-VACCINE-INSTITUTE</t>
  </si>
  <si>
    <t>Documented scope; active in catalog means query eligible, not verified current asset/BD interest. Nonprofit developer of investigational Marburg and Sudan Ebola vaccines.</t>
  </si>
  <si>
    <t>https://venatorx.com/</t>
  </si>
  <si>
    <t>PR-V22-ENT-V22-VENATORX-PHARMACEUTICALS</t>
  </si>
  <si>
    <t>Documented scope; active in catalog means query eligible, not verified current asset/BD interest. Secondary 2026 AMR benchmark: candidate and rights/status need direct validation.</t>
  </si>
  <si>
    <t>Unitaid</t>
  </si>
  <si>
    <t>https://unitaid.org/projects/</t>
  </si>
  <si>
    <t>PR-V22-ENT-V22-UNITAID</t>
  </si>
  <si>
    <t>Documented scope; active in catalog means query eligible, not verified current asset/BD interest. Access, deployment, implementation partnerships; not a universal preclinical grant.</t>
  </si>
  <si>
    <t>University of Oxford</t>
  </si>
  <si>
    <t>Oxford University;Oxford Vaccine Group;Pandemic Sciences Institute</t>
  </si>
  <si>
    <t>https://www.ox.ac.uk/</t>
  </si>
  <si>
    <t>PR-ALL-CMP-50fc87fe9bd;PR-V23-OXFORD</t>
  </si>
  <si>
    <t>Promoted existing reserve ID for ChAdOx1 MERS scope; academic research partner, not automatically a licensing owner.</t>
  </si>
  <si>
    <t>source_name</t>
  </si>
  <si>
    <t>source_type</t>
  </si>
  <si>
    <t>module_ids</t>
  </si>
  <si>
    <t>entry_url</t>
  </si>
  <si>
    <t>access_method</t>
  </si>
  <si>
    <t>web_check_status</t>
  </si>
  <si>
    <t>checked_on</t>
  </si>
  <si>
    <t>langdock_access</t>
  </si>
  <si>
    <t>use_scope</t>
  </si>
  <si>
    <t>rights_scope</t>
  </si>
  <si>
    <t>access_note</t>
  </si>
  <si>
    <t>review_batch</t>
  </si>
  <si>
    <t>api_endpoint</t>
  </si>
  <si>
    <t>pagination_rule</t>
  </si>
  <si>
    <t>source_evidence_type</t>
  </si>
  <si>
    <t>content_validation_status</t>
  </si>
  <si>
    <t>identity_verification_status</t>
  </si>
  <si>
    <t>canonical_source_id</t>
  </si>
  <si>
    <t>OFFICIAL_WEB</t>
  </si>
  <si>
    <t>https://www.foerderdatenbank.de/FDB/DE/Foerderprogramme/foerderprogramme.html</t>
  </si>
  <si>
    <t>WEB_TEXT</t>
  </si>
  <si>
    <t>CONTENT_READ</t>
  </si>
  <si>
    <t>UNTESTED</t>
  </si>
  <si>
    <t>FUNDING_ENTRY_ONLY</t>
  </si>
  <si>
    <t>PUBLIC</t>
  </si>
  <si>
    <t>[Pilotpruefung uebernommen, nicht erneut vollvalidiert] Einstiegsquelle gelesen; keine einzelnen offenen Calls oder verbindliche Foerderfaehigkeit bestaetigt.</t>
  </si>
  <si>
    <t>INHERITED_NOT_RECHECKED</t>
  </si>
  <si>
    <t>OFFICIAL_ORGANISATION_OR_PROGRAMME_CLAIM_UNCHECKED</t>
  </si>
  <si>
    <t>NO_AUTOMATIC_MISMATCH_DETECTED_NOT_PROOF</t>
  </si>
  <si>
    <t>https://ec.europa.eu/info/funding-tenders/opportunities/portal/screen/opportunities/calls-for-proposals</t>
  </si>
  <si>
    <t>DYNAMIC_OR_IMAGE_REVIEW</t>
  </si>
  <si>
    <t>PARTIAL</t>
  </si>
  <si>
    <t>[Pilotpruefung uebernommen, nicht erneut vollvalidiert] Textabruf liefert nur Einstieg/Topic-Link, keine vollstaendige Call-Liste. Separater Connector-/Browser-/API-Test erforderlich.</t>
  </si>
  <si>
    <t>https://ekfs.de/wissenschaftliche-foerderung/Translatorik-ForTra/Foerderverfahren</t>
  </si>
  <si>
    <t>[Pilotpruefung uebernommen, nicht erneut vollvalidiert] Programmprofil gelesen; Antragstellereignung und Ausschreibungsbedingungen je Antrag erneut pruefen.</t>
  </si>
  <si>
    <t>https://carb-x.org/apply/funding-themes/</t>
  </si>
  <si>
    <t>[Pilotpruefung uebernommen, nicht erneut vollvalidiert] 2026 Funding Themes bestaetigt; Themen teilweise bildbasiert. Keine Call-Eligibility oder Deadlines geprueft.</t>
  </si>
  <si>
    <t>https://cepi.net/calls-for-proposals</t>
  </si>
  <si>
    <t>[Pilotpruefung uebernommen, nicht erneut vollvalidiert] Programmkontext: Impfstoffe und Tools gegen epidemische/pandemische Bedrohungen; keine allgemeine Impfstofffoerderung zusagen.</t>
  </si>
  <si>
    <t>https://www.in.nrw/massnahmen</t>
  </si>
  <si>
    <t>https://medfak.uni-koeln.de/forschung/service-foerderangebote/fakultaetsfoerderungen/koeln-fortune</t>
  </si>
  <si>
    <t>[Pilotpruefung uebernommen, nicht erneut vollvalidiert] Personen-/Karrierefoerderung fuer wissenschaftliche Mitarbeitende der Medizinischen Fakultaet; kein universeller CMC-Finanzierungsweg.</t>
  </si>
  <si>
    <t>https://www.helmholtz.de/transfer/innovations-und-foerderprogramme/helmholtz-enterprise/</t>
  </si>
  <si>
    <t>[Pilotpruefung uebernommen, nicht erneut vollvalidiert] Institution und Gruendungskontext gemeinsam pruefen; SPINOUT allein reicht nicht.</t>
  </si>
  <si>
    <t>GSK Pipeline</t>
  </si>
  <si>
    <t>https://www.gsk.com/en-gb/innovation/pipeline/</t>
  </si>
  <si>
    <t>WEB_PLUS_DOWNLOAD</t>
  </si>
  <si>
    <t>COMPANY_SCOPE_ONLY</t>
  </si>
  <si>
    <t>[Pilotpruefung uebernommen, nicht erneut vollvalidiert] Pipeline-Seite und XLSX-Verweis vorhanden. HTML enthaelt nicht zwingend alle Assetzeilen; keine Asset-Level-Validierung.</t>
  </si>
  <si>
    <t>Pfizer Pipeline</t>
  </si>
  <si>
    <t>https://www.pfizer.com/science/drug-product-pipeline</t>
  </si>
  <si>
    <t>[Pilotpruefung uebernommen, nicht erneut vollvalidiert] Interaktive Pipeline; keine vollstaendige Extraktion/Phase-Verifikation erfolgt.</t>
  </si>
  <si>
    <t>Infex: Pipeline- und Finanzierungsmitteilung 2026-05-12</t>
  </si>
  <si>
    <t>M01;M06;M07</t>
  </si>
  <si>
    <t>https://www.infextx.com/infex-therapeutics-secures-4-3-million-funding-to-advance-anti-infective-pipeline-targeting-drug-resistant-infections/</t>
  </si>
  <si>
    <t>COMPANY_AND_PROGRAM_SCOPE</t>
  </si>
  <si>
    <t>[Pilotpruefung uebernommen, nicht erneut vollvalidiert] Lesbarer Primaertext als Suchstart. M01 und M06 teilen denselben Abruf. Ereignisdatum 2026-05-12, kein Nachweis unveraenderten Status am 2026-10-29.</t>
  </si>
  <si>
    <t>PRESS_RELEASE</t>
  </si>
  <si>
    <t>ViiV: Pipeline-Einstieg</t>
  </si>
  <si>
    <t>https://viivhcmedinfo.com/our-pipeline/</t>
  </si>
  <si>
    <t>DYNAMIC_WEB</t>
  </si>
  <si>
    <t>NOT_VALIDATED</t>
  </si>
  <si>
    <t>[Pilotpruefung uebernommen, nicht erneut vollvalidiert] URL im Webtool nicht abrufbar. Als REVIEW-Quelle behalten; GSK-Seite bestaetigt HIV/JV-Kontext, nicht diesen technischen Zugang.</t>
  </si>
  <si>
    <t>V2_1_RISK_BASED_REVIEW</t>
  </si>
  <si>
    <t>SCOPE_READ_THIS_REVISION</t>
  </si>
  <si>
    <t>Ferring Pipeline</t>
  </si>
  <si>
    <t>https://www.ferring.com/science-innovation/research-and-development/product-pipeline/</t>
  </si>
  <si>
    <t>[Pilotpruefung uebernommen, nicht erneut vollvalidiert] Seite bestaetigt Gastroenterologie/Mikrobiom-Kontext. GD-Zero im Input ist KEIN Null-Portfolio.</t>
  </si>
  <si>
    <t>PUBLISHER_SCOPE_REVIEWED</t>
  </si>
  <si>
    <t>Armata AP-PA02</t>
  </si>
  <si>
    <t>https://www.armatapharma.com/pipeline/ap-pa02/</t>
  </si>
  <si>
    <t>PATHOGEN_AND_MODALITY_SCOPE</t>
  </si>
  <si>
    <t>[Pilotpruefung uebernommen, nicht erneut vollvalidiert] P. aeruginosa und Phagentherapie bestaetigt. Keine vollstaendige Pipeline- oder Studienregisterpruefung.</t>
  </si>
  <si>
    <t>GSK Partnering</t>
  </si>
  <si>
    <t>M06;M07;M01</t>
  </si>
  <si>
    <t>https://www.gsk.com/en-gb/innovation/partnerships/</t>
  </si>
  <si>
    <t>PARTNERING_ENTRY_ONLY</t>
  </si>
  <si>
    <t>[Pilotpruefung uebernommen, nicht erneut vollvalidiert] Partnering-Seite bestaetigt; Interesse am konkreten DZIF-Asset nicht nachgewiesen.</t>
  </si>
  <si>
    <t>Pfizer Partnering</t>
  </si>
  <si>
    <t>M06;M01;M07</t>
  </si>
  <si>
    <t>https://www.pfizer.com/about/partners/research-and-business-development-partnerships/</t>
  </si>
  <si>
    <t>[Pilotpruefung uebernommen, nicht erneut vollvalidiert] Paginierungsparameter ?page=9 entfernt. Impfstoff- und Projektfit im Live-Lauf validieren.</t>
  </si>
  <si>
    <t>AMR Action Fund: How We Invest</t>
  </si>
  <si>
    <t>https://www.amractionfund.com/investments</t>
  </si>
  <si>
    <t>INVESTMENT_ROUTE_ONLY</t>
  </si>
  <si>
    <t>[Pilotpruefung uebernommen, nicht erneut vollvalidiert] Equity, kleine/mittlere Biotech-Unternehmen und klinischer Fokus bestaetigt. Fuer rein akademisches Asset nur Future Route.</t>
  </si>
  <si>
    <t>MULTI_ENTITY_RELATION_REQUIRES_CONTEXT</t>
  </si>
  <si>
    <t>SRC-BIVF-HISTORY</t>
  </si>
  <si>
    <t>Evotec: Centauri Series A (2022)</t>
  </si>
  <si>
    <t>https://www.evotec.com/news/evotec-participates-in-centauri-therapeutics-series-a-investment-round</t>
  </si>
  <si>
    <t>HISTORICAL_PORTFOLIO_ONLY</t>
  </si>
  <si>
    <t>[Pilotpruefung uebernommen, nicht erneut vollvalidiert] Belegt BIVF/Centauri 2022; keine neue 2026-Runde oder aktuelles Mandat. Urspruenglicher TECregen-Link belegt nicht die Centauri-Aussage.</t>
  </si>
  <si>
    <t>M06;M07</t>
  </si>
  <si>
    <t>[Pilotpruefung uebernommen, nicht erneut vollvalidiert] Eigenstaendige Investor-Rolle innerhalb Pfizer; nicht als Alias des Licensing-Teams zusammenfuehren.</t>
  </si>
  <si>
    <t>SRC-INFEX-IMAGE</t>
  </si>
  <si>
    <t>Infex Pipeline (bildbasierte Alternative)</t>
  </si>
  <si>
    <t>M01;M06</t>
  </si>
  <si>
    <t>https://www.infextx.com/pipeline/</t>
  </si>
  <si>
    <t>IMAGE_REVIEW_REQUIRED</t>
  </si>
  <si>
    <t>ENTRY_ONLY</t>
  </si>
  <si>
    <t>[Pilotpruefung uebernommen, nicht erneut vollvalidiert] Textauszug hat kaum Pipelineinhalt. Nicht als erfolgreicher vollstaendiger Pipeline-Check verbuchen.</t>
  </si>
  <si>
    <t>SRC-HTGF-TECREGEN</t>
  </si>
  <si>
    <t>HTGF: TECregen Seed Financing</t>
  </si>
  <si>
    <t>https://www.htgf.de/tecregen-seed-financing/</t>
  </si>
  <si>
    <t>SEARCH_TEXT_READ</t>
  </si>
  <si>
    <t>SOURCE_MISMATCH_AUDIT</t>
  </si>
  <si>
    <t>[Pilotpruefung uebernommen, nicht erneut vollvalidiert] Primaermeldung betrifft TECregen/Thymusregeneration, nicht Centauri. Auditquelle, kein aktiver AMR-Rechercheauftrag.</t>
  </si>
  <si>
    <t>Namensbasierte Primaerquellensuche</t>
  </si>
  <si>
    <t>SEARCH_STRATEGY</t>
  </si>
  <si>
    <t>WEB_SEARCH</t>
  </si>
  <si>
    <t>NOT_CHECKED</t>
  </si>
  <si>
    <t>DISCOVER_PRIMARY_SOURCE</t>
  </si>
  <si>
    <t>Kein URL erfunden. Exakten Organisationsnamen und Kontext verwenden; jede Organisation braucht einen eigenen Suchschluessel. Suchtreffer sind noch kein fachlicher Befund.</t>
  </si>
  <si>
    <t>NAME_SEARCH_HINT</t>
  </si>
  <si>
    <t>NAME_ONLY</t>
  </si>
  <si>
    <t>SRC-GLOBALDATA-202607</t>
  </si>
  <si>
    <t>GlobalData / Nutzer-Snapshot 31.07.2026</t>
  </si>
  <si>
    <t>LICENSED_SNAPSHOT</t>
  </si>
  <si>
    <t>http://pharma.globaldata.com/</t>
  </si>
  <si>
    <t>LICENSED_DATA</t>
  </si>
  <si>
    <t>HISTORICAL_AUDIT_ONLY</t>
  </si>
  <si>
    <t>LICENSE_REVIEW_REQUIRED</t>
  </si>
  <si>
    <t>Herkunft aus gelieferten Radar-Tabellen. Keine automatische Zugriffsberechtigung, keine aktuelle Phase. Nicht als freien Live-Abruf einplanen.</t>
  </si>
  <si>
    <t>HISTORICAL_DATABASE_SNAPSHOT</t>
  </si>
  <si>
    <t>HISTORICAL_LICENSED</t>
  </si>
  <si>
    <t>https://www.gesundheitsforschung-bmftr.de/de/bekanntmachungen-5786.php</t>
  </si>
  <si>
    <t>Aus Nutzerdatei uebernommen; URL und aktueller Inhalt nicht in diesem Vollimport live verifiziert.</t>
  </si>
  <si>
    <t>https://www.dfg.de/de/foerderung/foerdermoeglichkeiten/programme</t>
  </si>
  <si>
    <t>https://www.dfg.de/de/foerderung/foerdermoeglichkeiten/programme/einzelfoerderung/klinische-studien</t>
  </si>
  <si>
    <t>https://ekfs.de/en/current-topics/funding-application-calender</t>
  </si>
  <si>
    <t>https://www.foerderdatenbank.de/FDB/Content/DE/Foerderprogramm/Bund/BMBF/go-bio-next.html</t>
  </si>
  <si>
    <t>https://www.foerderdatenbank.de/FDB/Content/DE/Foerderprogramm/Bund/BMBF/biomedizin.html</t>
  </si>
  <si>
    <t>https://www.zim.de/</t>
  </si>
  <si>
    <t>https://www.exist.de/</t>
  </si>
  <si>
    <t>https://www.volkswagenstiftung.de/de/foerderung</t>
  </si>
  <si>
    <t>https://www.dzif.de/</t>
  </si>
  <si>
    <t>PUBLIC_PLUS_INTERNAL</t>
  </si>
  <si>
    <t>Oeffentlicher Einstieg reicht fuer interne Ausschreibungen nicht aus; internen Zugriff gesondert bereitstellen.</t>
  </si>
  <si>
    <t>https://www.helmholtz.de/transfer/innovations-und-foerderprogramme</t>
  </si>
  <si>
    <t>https://www.ihi.europa.eu/apply-funding/call-documents</t>
  </si>
  <si>
    <t>https://eic.ec.europa.eu/eic-funding-opportunities_en</t>
  </si>
  <si>
    <t>https://ohamr.eu/</t>
  </si>
  <si>
    <t>https://www.eurekanetwork.org/programmes-and-calls/eurostars/</t>
  </si>
  <si>
    <t>https://www.global-health-edctp3.europa.eu/</t>
  </si>
  <si>
    <t>https://hadea.ec.europa.eu/programmes/eu4health_en</t>
  </si>
  <si>
    <t>https://eithealth.eu/get-involved/new-call-opportunities/</t>
  </si>
  <si>
    <t>https://www.cost.eu/funding/</t>
  </si>
  <si>
    <t>https://wellcome.org/research-funding/schemes</t>
  </si>
  <si>
    <t>https://www.ghitfund.org/applyforfunding/opportunities</t>
  </si>
  <si>
    <t>Partnerschaftsanforderung am 29.10.2026 primaer geprueft; kein konkreter Call bewertet.</t>
  </si>
  <si>
    <t>https://gcgh.grandchallenges.org/</t>
  </si>
  <si>
    <t>https://www.incate.net/how-we-help/</t>
  </si>
  <si>
    <t>https://novonordiskfonden.dk/en/grant/</t>
  </si>
  <si>
    <t>https://grants.nih.gov/new-to-nih/information-for/foreign-grants</t>
  </si>
  <si>
    <t>https://www.l-bank.de/</t>
  </si>
  <si>
    <t>https://www.forschung-innovation-bayern.de/service/foerderung-von-forschung-und-innovation/</t>
  </si>
  <si>
    <t>https://www.ibb.de/de/foerderungen/foerderungen.html</t>
  </si>
  <si>
    <t>https://www.ilb.de/de/existenzgruendung/existenzgruendung-foerderangebote-nach-foerderthemen/innovationen-forschung-entwicklung/</t>
  </si>
  <si>
    <t>https://www.bab-bremen.de/</t>
  </si>
  <si>
    <t>https://www.ifbhh.de/</t>
  </si>
  <si>
    <t>https://www.wibank.de/wibank/gruender-unternehmen/foerderprogramme</t>
  </si>
  <si>
    <t>https://www.lfi-mv.de/foerderfinder</t>
  </si>
  <si>
    <t>https://www.nbank.de/F%C3%B6rderprogramme/%C3%9Cbersicht/</t>
  </si>
  <si>
    <t>https://isb.rlp.de/</t>
  </si>
  <si>
    <t>https://www.sikb.de/</t>
  </si>
  <si>
    <t>https://www.sab.sachsen.de/start</t>
  </si>
  <si>
    <t>https://www.ib-sachsen-anhalt.de/</t>
  </si>
  <si>
    <t>https://www.ib-sh.de/</t>
  </si>
  <si>
    <t>https://www.aufbaubank.de/</t>
  </si>
  <si>
    <t>https://www.nrwbank.de/de/foerderung/</t>
  </si>
  <si>
    <t>SRC-REG_BY_RESEARCH</t>
  </si>
  <si>
    <t>Bayerische Forschungsstiftung / Förderung</t>
  </si>
  <si>
    <t>https://www.stmwk.bayern.de/wissenschaftler/forschung/foerderung.html</t>
  </si>
  <si>
    <t>Bayerische Transformations- und Forschungsstiftung</t>
  </si>
  <si>
    <t>https://www.forschungsstiftung.de/foerderangebot/</t>
  </si>
  <si>
    <t>Name und direkter Foerdereinstieg am 29.10.2026 geprueft; keine Call- oder Budgetvalidierung.</t>
  </si>
  <si>
    <t>MSD / Merck &amp; Co. / PARTNERING_PAGE</t>
  </si>
  <si>
    <t>https://www.msd.com/research/business-development-and-licensing/collaborate-with-us/</t>
  </si>
  <si>
    <t>PARTNERING_OR_INVESTMENT_ENTRY</t>
  </si>
  <si>
    <t>Sanofi / PARTNERING_PAGE</t>
  </si>
  <si>
    <t>https://www.sanofi.com/en/partnering/partnering-focus-areas/vaccines</t>
  </si>
  <si>
    <t>SRC-BD-004</t>
  </si>
  <si>
    <t>Pfizer / PARTNERING_PAGE</t>
  </si>
  <si>
    <t>https://www.pfizer.com/about/partners/research-and-business-development-partnerships/?page=9</t>
  </si>
  <si>
    <t>Roche / Genentech / PARTNERING_PAGE</t>
  </si>
  <si>
    <t>https://www.roche.com/innovation/partnering/areas-of-interest/infectious-diseases</t>
  </si>
  <si>
    <t>Shionogi / PARTNERING_PAGE</t>
  </si>
  <si>
    <t>https://www.shionogi.com/eu/en/innovation/strategic-partnering-in-europe/partnering-licensing-interests.html</t>
  </si>
  <si>
    <t>Basilea Pharmaceutica / OFFICIAL_ACTIVITY</t>
  </si>
  <si>
    <t>OFFICIAL_ACTIVITY</t>
  </si>
  <si>
    <t>https://www.basilea.com/news/news/basilea-informiert-ueber-stand-seines-portfolios-und-gibt-ausblick-1</t>
  </si>
  <si>
    <t>HISTORICAL_SIGNAL_ONLY</t>
  </si>
  <si>
    <t>Eli Lilly / OFFICIAL_ACTIVITY</t>
  </si>
  <si>
    <t>https://investor.lilly.com/node/54346</t>
  </si>
  <si>
    <t>SRC-BD-009</t>
  </si>
  <si>
    <t>Asahi Kasei / Veloxis / OFFICIAL_ACTIVITY</t>
  </si>
  <si>
    <t>https://www.asahi-kasei.com/news/2026/e260420-2</t>
  </si>
  <si>
    <t>AstraZeneca / PIPELINE</t>
  </si>
  <si>
    <t>https://www.astrazeneca.com/our-therapy-areas/pipeline.html</t>
  </si>
  <si>
    <t>BioNTech / FOCUS_PROFILE</t>
  </si>
  <si>
    <t>https://www.biontech.com/us/en/home/research-and-innovation/therapeutic-areas/infectious-diseases.html</t>
  </si>
  <si>
    <t>Moderna / PIPELINE</t>
  </si>
  <si>
    <t>M06;M07;M01;M02</t>
  </si>
  <si>
    <t>https://www.modernatx.com/research/product-pipeline</t>
  </si>
  <si>
    <t>OFFICIAL_SEARCH_TEXT_REVIEWED</t>
  </si>
  <si>
    <t>Preventive EBV/mononucleosis mRNA-1189 scope from official pipeline search text. Dynamic trial microsite did not render full content; no phase copied.</t>
  </si>
  <si>
    <t>V23_FLAGSHIP_SCOPE_REVIEW</t>
  </si>
  <si>
    <t>OFFICIAL_ORGANISATION_SOURCE</t>
  </si>
  <si>
    <t>OFFICIAL_SEARCH_SCOPE_CHECKED</t>
  </si>
  <si>
    <t>OFFICIAL_DOMAIN_SCOPE_CHECKED</t>
  </si>
  <si>
    <t>Bavarian Nordic / OFFICIAL_ACTIVITY</t>
  </si>
  <si>
    <t>https://www.bavarian-nordic.com/investor/news/news.aspx?news=7444</t>
  </si>
  <si>
    <t>Valneva / FOCUS_PROFILE</t>
  </si>
  <si>
    <t>https://valneva.com/faq/</t>
  </si>
  <si>
    <t>Gilead Sciences / OFFICIAL_ACTIVITY</t>
  </si>
  <si>
    <t>https://www.gilead.com/news/news-details/2026/gilead-accelerates-global-access-planning-for-investigational-once-yearly-lenacapavir-for-hiv-prevention</t>
  </si>
  <si>
    <t>ViiV Healthcare / FOCUS_PROFILE</t>
  </si>
  <si>
    <t>https://viivhealthcare.com/de-de/hiv-forschung-und-innovation/</t>
  </si>
  <si>
    <t>Regeneron / OFFICIAL_ACTIVITY</t>
  </si>
  <si>
    <t>https://newsroom.regeneron.com/news-releases/news-release-details/regeneron-extends-agreement-barda-provide-additional-supply</t>
  </si>
  <si>
    <t>Serum Institute of India / OFFICIAL_ACTIVITY</t>
  </si>
  <si>
    <t>https://www.seruminstitute.com/gates-medical-research-institute-and-the-serum-institute-of-india-reach-agreement.php</t>
  </si>
  <si>
    <t>Novartis / FOCUS_PROFILE</t>
  </si>
  <si>
    <t>https://www.novartis.com/diseases/malaria</t>
  </si>
  <si>
    <t>Takeda / FOCUS_PROFILE</t>
  </si>
  <si>
    <t>https://www.takeda.com/science/research-and-development/partnerships/iir/</t>
  </si>
  <si>
    <t>Clarametyx Biosciences / PIPELINE</t>
  </si>
  <si>
    <t>https://clarametyx.com/pipeline-publications/</t>
  </si>
  <si>
    <t>Trellis Bioscience / INVESTOR_ACTIVITY</t>
  </si>
  <si>
    <t>https://www.newscienceventures.com/trellis-bioscience-raises-9-million-to-advance-clinical-development-of-calpurbatug-trl1068/</t>
  </si>
  <si>
    <t>BioVersys / OFFICIAL_ACTIVITY</t>
  </si>
  <si>
    <t>https://ir.bioversys.com/news/bioversys-reports-half-year-2026-results-bv100-pivotal-riv-target-trial-actively-recruiting-alpibectir-phase-2bc-underway/b1979958-6896-4f23-aed5-0fb65e3d4b76</t>
  </si>
  <si>
    <t>Antabio / FOCUS_PROFILE</t>
  </si>
  <si>
    <t>https://antabio.com/</t>
  </si>
  <si>
    <t>F2G / INVESTOR_PORTFOLIO</t>
  </si>
  <si>
    <t>https://forbion.com/portfolio/f2g/</t>
  </si>
  <si>
    <t>Telum Therapeutics / OFFICIAL_ACTIVITY</t>
  </si>
  <si>
    <t>https://telumtherapeutics.com/telum-therapeutics-secures-e18-million-series-a-financing-to-advance-lead-antimicrobial-program-into-clinical-development/</t>
  </si>
  <si>
    <t>Vaxcyte / PIPELINE</t>
  </si>
  <si>
    <t>https://vaxcyte.com/pipeline/</t>
  </si>
  <si>
    <t>MinervaX / PIPELINE</t>
  </si>
  <si>
    <t>https://minervax.com/innovation/clinical-trials/</t>
  </si>
  <si>
    <t>Arcturus Therapeutics / OFFICIAL_ACTIVITY</t>
  </si>
  <si>
    <t>https://ir.arcturusrx.com/news-releases/news-release-details/arcturus-therapeutics-announces-second-quarter-2026-financial</t>
  </si>
  <si>
    <t>Assembly Biosciences / PIPELINE</t>
  </si>
  <si>
    <t>https://www.assemblybio.com/pipeline/</t>
  </si>
  <si>
    <t>Precision BioSciences / OFFICIAL_ACTIVITY</t>
  </si>
  <si>
    <t>https://investor.precisionbiosciences.com/news-releases/news-release-details/precision-biosciences-reports-second-quarter-2026-financial</t>
  </si>
  <si>
    <t>Vaxxas / PARTNERING_PAGE</t>
  </si>
  <si>
    <t>https://vaxxas.com/about-vaxxas/</t>
  </si>
  <si>
    <t>Locus Biosciences / PIPELINE</t>
  </si>
  <si>
    <t>https://www.locus-bio.com/pipeline/</t>
  </si>
  <si>
    <t>Atea Pharmaceuticals / OFFICIAL_ACTIVITY</t>
  </si>
  <si>
    <t>https://ir.ateapharma.com/news-releases/news-release-details/atea-pharmaceuticals-reports-second-quarter-2026-financial</t>
  </si>
  <si>
    <t>Kineticos AMR Accelerator Fund / INVESTMENT_MANDATE</t>
  </si>
  <si>
    <t>https://www.kineticos.com/antimicrobial-resistance-accelerator-fund/</t>
  </si>
  <si>
    <t>Adjuvant Capital / INVESTMENT_MANDATE</t>
  </si>
  <si>
    <t>https://adjuvantcapital.com/</t>
  </si>
  <si>
    <t>Forbion / INVESTMENT_MANDATE</t>
  </si>
  <si>
    <t>https://forbion.com/strategies/</t>
  </si>
  <si>
    <t>Novo Holdings / OFFICIAL_ACTIVITY</t>
  </si>
  <si>
    <t>https://novoholdings.dk/news/novo-holdings-backs-bactolife-s-euro30-million-series-b-alongside-new-and-existing-investors-</t>
  </si>
  <si>
    <t>Sanofi Ventures / INVESTMENT_MANDATE</t>
  </si>
  <si>
    <t>https://www.sanofiventures.com/approach/</t>
  </si>
  <si>
    <t>High-Tech Gruenderfonds (HTGF) / OFFICIAL_ACTIVITY</t>
  </si>
  <si>
    <t>https://www.htgf.de/en/revier-therapeutics-seed/</t>
  </si>
  <si>
    <t>Sofinnova Partners / INVESTMENT_MANDATE</t>
  </si>
  <si>
    <t>https://sofinnovapartners.com/strategy/capital</t>
  </si>
  <si>
    <t>SR One / INVESTOR_PORTFOLIO</t>
  </si>
  <si>
    <t>https://www.srone.com/portfolio</t>
  </si>
  <si>
    <t>RA Capital Management / INVESTOR_PORTFOLIO</t>
  </si>
  <si>
    <t>https://www.racap.com/portfolio</t>
  </si>
  <si>
    <t>F-Prime Capital / INVESTOR_PORTFOLIO</t>
  </si>
  <si>
    <t>https://www.fprimecapital.com/portfolio/life-sciences/</t>
  </si>
  <si>
    <t>Centauri / Series A 2022</t>
  </si>
  <si>
    <t>https://www.centauritherapeutics.com/centauri-therapeutics-closes-24m-series-a-investment-round/</t>
  </si>
  <si>
    <t>Artikeltext nennt 16.02.2022; Seitenkopf weicht ab. Historischer Beteiligungsnachweis, kein aktuelles Investmentmandat.</t>
  </si>
  <si>
    <t>EQT Life Sciences / INVESTMENT_MANDATE</t>
  </si>
  <si>
    <t>https://eqtgroup.com/private-capital/eqt-life-sciences</t>
  </si>
  <si>
    <t>KHAN Technology Transfer Fund II / INVESTMENT_MANDATE</t>
  </si>
  <si>
    <t>https://khanu.de/</t>
  </si>
  <si>
    <t>BEAM Alliance | Cross-company RX/DX pipeline</t>
  </si>
  <si>
    <t>INDUSTRY_DIRECTORY</t>
  </si>
  <si>
    <t>M01;M03;M06</t>
  </si>
  <si>
    <t>https://beam-alliance.eu/pipeline/</t>
  </si>
  <si>
    <t>SECTOR_ASSOCIATION_ONLY</t>
  </si>
  <si>
    <t>Industry consortium directory across many developers; NOT Bioversys-specific primary evidence. Verify each asset at developer or study-register level.</t>
  </si>
  <si>
    <t>MULTI_ENTITY_DIRECTORY</t>
  </si>
  <si>
    <t>SRC-RAD-b7ad624d28</t>
  </si>
  <si>
    <t>Armata Pharmaceuticals Inc / Referenzquelle</t>
  </si>
  <si>
    <t>https://www.armata.com/</t>
  </si>
  <si>
    <t>Seres Therapeutics Inc / Referenzquelle</t>
  </si>
  <si>
    <t>https://www.serestherapeutics.com/our-programs/</t>
  </si>
  <si>
    <t>Clarametyx Biosciences Inc / Referenzquelle</t>
  </si>
  <si>
    <t>https://clarametyx.com/</t>
  </si>
  <si>
    <t>Vedanta Biosciences Inc / Referenzquelle</t>
  </si>
  <si>
    <t>https://www.vedantabio.com/pipeline-programs/pipeline/</t>
  </si>
  <si>
    <t>SRC-RAD-d614ffa198</t>
  </si>
  <si>
    <t>QIAGEN / Referenzquelle</t>
  </si>
  <si>
    <t>https://www.qiagen.com/de/products/diagnostics-and-clinical-research/infectious-disease/qiastat-dx-syndromic-testing/qiastat-dx</t>
  </si>
  <si>
    <t>Roche Diagnostics / Referenzquelle</t>
  </si>
  <si>
    <t>https://diagnostics.roche.com/global/en/products/product-category/health-topic/infectious-diseases.html</t>
  </si>
  <si>
    <t>Becton, Dickinson and Company / Referenzquelle</t>
  </si>
  <si>
    <t>https://emea.bd.com/advancing-diagnostics/for-clinicians/</t>
  </si>
  <si>
    <t>Cepheid / Referenzquelle</t>
  </si>
  <si>
    <t>https://www.cepheid.com/</t>
  </si>
  <si>
    <t>bioMerieux / Referenzquelle</t>
  </si>
  <si>
    <t>https://www.biomerieux.com/</t>
  </si>
  <si>
    <t>Atara Biotherapeutics / Referenzquelle</t>
  </si>
  <si>
    <t>https://investors.atarabio.com/news-events/press-releases</t>
  </si>
  <si>
    <t>https://www.centauritherapeutics.com/</t>
  </si>
  <si>
    <t>COMPANY_AND_TECHNOLOGY_SCOPE</t>
  </si>
  <si>
    <t>Alphamer-Technologie nutzt vorhandene Antikoerper; nicht pauschal als verabreichter mAb klassifizieren. Identitaet Centauri Therapeutics / Limited abgeglichen.</t>
  </si>
  <si>
    <t>MaaT Pharma / Referenzquelle</t>
  </si>
  <si>
    <t>https://www.maatpharma.com/pipeline/</t>
  </si>
  <si>
    <t>Excision BioTherapeutics / Referenzquelle</t>
  </si>
  <si>
    <t>https://excisionbiotherapeutics.com/pipeline</t>
  </si>
  <si>
    <t>BEAM Alliance | Member directory</t>
  </si>
  <si>
    <t>https://beam-alliance.eu/members/</t>
  </si>
  <si>
    <t>SRC-INPUT-DZIF_RA</t>
  </si>
  <si>
    <t>PUBLIC_REFERENCE</t>
  </si>
  <si>
    <t>https://www.dzif.de/en/research-areas</t>
  </si>
  <si>
    <t>DISCOVERY_REFERENCE</t>
  </si>
  <si>
    <t>Confirms names of DZIF research units.</t>
  </si>
  <si>
    <t>SRC-INPUT-DZIF_BT</t>
  </si>
  <si>
    <t>https://www.dzif.de/en/bridging-topics</t>
  </si>
  <si>
    <t>Confirms transverse themes and their definitions.</t>
  </si>
  <si>
    <t>SRC-INPUT-WHO_2025</t>
  </si>
  <si>
    <t>WHO</t>
  </si>
  <si>
    <t>https://www.who.int/publications/i/item/9789240113091</t>
  </si>
  <si>
    <t>Supplemental AMR list; does not cover vaccines or entire infection therapy landscape.</t>
  </si>
  <si>
    <t>OFFICIAL_AUTHORITY_OR_PROGRAMME</t>
  </si>
  <si>
    <t>SRC-INPUT-ANTABIO</t>
  </si>
  <si>
    <t>https://antabio.com/pipeline/</t>
  </si>
  <si>
    <t>Clinical stage must be checked against latest company/registry data.</t>
  </si>
  <si>
    <t>GARDP portfolio</t>
  </si>
  <si>
    <t>PUBLIC_PORTFOLIO_AND_PARTNER_SCOPE</t>
  </si>
  <si>
    <t>PUBLIC_SOURCE_TERMS_APPLY</t>
  </si>
  <si>
    <t>Antibiotika-Entwicklung und Access; PDP, nicht pauschaler offener Foerdergeber.</t>
  </si>
  <si>
    <t>V2_RESEARCH</t>
  </si>
  <si>
    <t>SRC-V2-PDP_ALLIANCE</t>
  </si>
  <si>
    <t>DNDi / GARDP / MMV cooperation</t>
  </si>
  <si>
    <t>https://gardp.org/dndi-gardp-and-mmv-join-forces-to-accelerate-drug-development-for-patients-in-greatest-need/</t>
  </si>
  <si>
    <t>PARTNERSHIP_SCOPE</t>
  </si>
  <si>
    <t>Kooperation 08.06.2026; keine Fusion. MMV-Mandat hier primaer belegt; direkte MMV-Seite im Abruf 403.</t>
  </si>
  <si>
    <t>TB Alliance portfolio</t>
  </si>
  <si>
    <t>PUBLIC_PORTFOLIO</t>
  </si>
  <si>
    <t>Tuberkulose-Medikamentenentwicklung; Phasen im jeweiligen Lauf pruefen.</t>
  </si>
  <si>
    <t>M05;M06</t>
  </si>
  <si>
    <t>PARTNER_CALL_ROUTE</t>
  </si>
  <si>
    <t>Diagnostikentwicklung; Partnerschaftsaufrufe sind nicht automatisch unbeschraenkte Grants.</t>
  </si>
  <si>
    <t>Gates MRI research priorities</t>
  </si>
  <si>
    <t>OFFICIAL_SEARCH_RESULT</t>
  </si>
  <si>
    <t>PUBLIC_RESEARCH_SCOPE</t>
  </si>
  <si>
    <t>TB und Malaria; Impfstoffe, Arzneimittel und Biologika. Kein pauschaler Grantgeber.</t>
  </si>
  <si>
    <t>PATH vaccine innovation and access</t>
  </si>
  <si>
    <t>PUBLIC_DEVELOPMENT_SCOPE</t>
  </si>
  <si>
    <t>Impfstoffentwicklung und Access, bakterielle/virale/parasitische Erkrankungen.</t>
  </si>
  <si>
    <t>PUBLIC_INSTITUTION_SCOPE</t>
  </si>
  <si>
    <t>Internationale Nonprofit-Impfstoffentwicklung. Fehlerhafte COMMERCIAL-Klassifikation aus Reserve nicht uebernehmen.</t>
  </si>
  <si>
    <t>DNDi partnering</t>
  </si>
  <si>
    <t>https://dndi.org/partnerships/partnering-with-us/</t>
  </si>
  <si>
    <t>PUBLIC_PARTNER_SCOPE</t>
  </si>
  <si>
    <t>NTD, ausgewaehlte Virus- und Pilzerkrankungen; bereits als Organisation vorhanden.</t>
  </si>
  <si>
    <t>IAVI research and partnerships</t>
  </si>
  <si>
    <t>Impfstoffe und Antikoerper fuer HIV, TB und Emerging Infections.</t>
  </si>
  <si>
    <t>AiCuris pipeline</t>
  </si>
  <si>
    <t>Antivirale Small Molecules und ASO; keine Phasen aus historischen Erwartungen ableiten.</t>
  </si>
  <si>
    <t>SRC-V2-AICURIS_GROUP</t>
  </si>
  <si>
    <t>AiCuris corporate update</t>
  </si>
  <si>
    <t>https://www.aicuris.com/</t>
  </si>
  <si>
    <t>PUBLIC_CORPORATE_SCOPE</t>
  </si>
  <si>
    <t>Website nennt Zugehoerigkeit zu Asahi Kasei Therapeutics. Kein juristischer Rechtstraeger aus Markenname abgeleitet.</t>
  </si>
  <si>
    <t>Asahi Kasei Therapeutics partnering</t>
  </si>
  <si>
    <t>GROUP_PARTNER_ROUTE</t>
  </si>
  <si>
    <t>Globaler Geschaefts-/Markeneinstieg; juristische Einheit vor Kontakt verifizieren.</t>
  </si>
  <si>
    <t>Bugworks portfolio</t>
  </si>
  <si>
    <t>Antibakterielle Small Molecules gegen AMR; Onkologie nicht in Infektions-Scoring uebernehmen.</t>
  </si>
  <si>
    <t>Abbott infectious disease diagnostics</t>
  </si>
  <si>
    <t>PUBLIC_DIAGNOSTICS_PORTFOLIO</t>
  </si>
  <si>
    <t>Infektionsdiagnostik, u.a. HIV/HBV/HCV/CMV/EBV. Kein Nachweis einer allgemeinen In-Licensing-Zusage.</t>
  </si>
  <si>
    <t>EMA Ebvallo EPAR</t>
  </si>
  <si>
    <t>M01;M04;M06</t>
  </si>
  <si>
    <t>PUBLIC_PRODUCT_AND_MAH</t>
  </si>
  <si>
    <t>Tabelecleucel, EBV-spezifische T-Zelltherapie. EBV+ PTLD ist virusassoziierte Onkologie, nicht allgemeine antiinfektive Indikation.</t>
  </si>
  <si>
    <t>OFFICIAL_SEARCH_EXCERPT_REVIEWED</t>
  </si>
  <si>
    <t>SRC-V2-VENATORX</t>
  </si>
  <si>
    <t>Venatorx website status</t>
  </si>
  <si>
    <t>MAINTENANCE_PAGE</t>
  </si>
  <si>
    <t>WEBSITE_AVAILABILITY_ONLY</t>
  </si>
  <si>
    <t>Nur Wartungsseite vorgefunden. Aktueller Betriebs-/Assetstatus nicht bestaetigt; Reserve nicht automatisch aktivieren.</t>
  </si>
  <si>
    <t>https://www.foerderdatenbank.de/FDB/Content/DE/Foerderprogramm/Bund/BMBF/gesundheitsforschung-go-bio-initial2.html</t>
  </si>
  <si>
    <t>PROGRAM_SCOPE</t>
  </si>
  <si>
    <t>Fruehe Verwertungsideen aus Life Sciences; getrennt von GO-Bio next.</t>
  </si>
  <si>
    <t>https://eic.ec.europa.eu/eic-funding-opportunities/eic-pathfinder_en</t>
  </si>
  <si>
    <t>Fruehe Deep-Tech-Forschung; Open-/Challenge-spezifische Konsortialregeln pruefen.</t>
  </si>
  <si>
    <t>https://eic.ec.europa.eu/eic-funding-opportunities/eic-transition_en</t>
  </si>
  <si>
    <t>Qualifizierendes Ergebnis eines zugelassenen EU-Vorprojekts erforderlich; konkrete Fristen/TRL live pruefen.</t>
  </si>
  <si>
    <t>https://eic.ec.europa.eu/eic-funding-opportunities/eic-accelerator_en</t>
  </si>
  <si>
    <t>Startup/SME-Route; Reifegrad und Antragskonstellation pro Instrument pruefen, klinische Phase nicht mit TRL gleichsetzen.</t>
  </si>
  <si>
    <t>https://erc.europa.eu/apply-grant/proof-concept</t>
  </si>
  <si>
    <t>Foerderfaehige ERC-Vorfoerderung und PI-Konstellation erforderlich.</t>
  </si>
  <si>
    <t>BARDA Broad Agency Announcement</t>
  </si>
  <si>
    <t>https://www.medicalcountermeasures.gov/barda/barda-baa</t>
  </si>
  <si>
    <t>SOLICITATION_ROUTE</t>
  </si>
  <si>
    <t>Medical Countermeasures fuer US-Mission; meist Vertrags-/Beschaffungslogik, aktive AOI und internationale Teilnahme live pruefen.</t>
  </si>
  <si>
    <t>https://www.drive.hhs.gov/partner.html</t>
  </si>
  <si>
    <t>OPPORTUNITIES_ROUTE</t>
  </si>
  <si>
    <t>Kein Always-open-Grant. DRIVe und jeweilige Herausforderung/Vertragsroute live pruefen.</t>
  </si>
  <si>
    <t>SRC-V2-BARDA_EZ_STATUS</t>
  </si>
  <si>
    <t>BARDA EZ-BAA status</t>
  </si>
  <si>
    <t>https://bdr.hhs.gov/</t>
  </si>
  <si>
    <t>STATUS_CHECK</t>
  </si>
  <si>
    <t>Offizielle Seite meldete alle EZ-BAA AOIs geschlossen; keine offene EZ-BAA behaupten.</t>
  </si>
  <si>
    <t>OFFICIAL_API</t>
  </si>
  <si>
    <t>M02;M01</t>
  </si>
  <si>
    <t>https://clinicaltrials.gov/data-api/api</t>
  </si>
  <si>
    <t>API_DOCS</t>
  </si>
  <si>
    <t>https://clinicaltrials.gov/api/v2/studies</t>
  </si>
  <si>
    <t>pageToken / nextPageToken; totalCount when requested; stop only at end or log truncation.</t>
  </si>
  <si>
    <t>OFFICIAL_STUDY_REGISTRY</t>
  </si>
  <si>
    <t>https://euclinicaltrials.eu/</t>
  </si>
  <si>
    <t>https://trialsearch.who.int/</t>
  </si>
  <si>
    <t>Search portal and XML export; crawling service unavailable per portal. Adapter/access terms must be validated; no unrestricted crawler assumption.</t>
  </si>
  <si>
    <t>OFFICIAL_REGISTRY_AGGREGATOR</t>
  </si>
  <si>
    <t>M03;M01</t>
  </si>
  <si>
    <t>https://pubmed.ncbi.nlm.nih.gov/</t>
  </si>
  <si>
    <t>https://eutils.ncbi.nlm.nih.gov/entrez/eutils/esearch.fcgi</t>
  </si>
  <si>
    <t>ESearch retstart/retmax, then ESummary/EFetch; API limits and PubMed retrieval limits separately implement.</t>
  </si>
  <si>
    <t>LITERATURE_INDEX</t>
  </si>
  <si>
    <t>https://europepmc.org/RestfulWebService</t>
  </si>
  <si>
    <t>https://www.ebi.ac.uk/europepmc/webservices/rest/search</t>
  </si>
  <si>
    <t>cursorMark / nextCursorMark; DOI/PMID dedup; preprints labelled separately.</t>
  </si>
  <si>
    <t>ACCESS_BLOCKED_CONTENT_UNVERIFIED</t>
  </si>
  <si>
    <t>M04;M11</t>
  </si>
  <si>
    <t>https://www.ema.europa.eu/en/human-regulatory-overview/research-development/scientific-guidelines-human-medicines</t>
  </si>
  <si>
    <t>https://www.ema.europa.eu/en/scientific-guidelines/guideline-quality-non-clinical-clinical-requirements-investigational-advanced-therapy-medicinal-products-clinical-trials</t>
  </si>
  <si>
    <t>https://www.fda.gov/regulatory-information/search-fda-guidance-documents</t>
  </si>
  <si>
    <t>https://www.fda.gov/vaccines-blood-biologics/biologics-guidances/cellular-gene-therapy-guidances</t>
  </si>
  <si>
    <t>https://www.pei.de/EN/regulation/regulation-node.html</t>
  </si>
  <si>
    <t>ACCESS_BLOCKED</t>
  </si>
  <si>
    <t>Quelle relevant; Abruf in dieser Umgebung 403. Kein erfolgreicher automatischer Zugriff behauptet.</t>
  </si>
  <si>
    <t>https://www.ema.europa.eu/en/medicines</t>
  </si>
  <si>
    <t>https://www.idsociety.org/practice-guideline/practice-guidelines/</t>
  </si>
  <si>
    <t>https://www.who.int/publications/who-guidelines</t>
  </si>
  <si>
    <t>https://register.awmf.org/de/leitlinien/aktuelle-leitlinien</t>
  </si>
  <si>
    <t>https://www.ecdc.europa.eu/en/data-dashboards-and-databases</t>
  </si>
  <si>
    <t>https://www.epo.org/en/searching-for-patents/technical/espacenet</t>
  </si>
  <si>
    <t>https://www.wipo.int/en/web/patentscope</t>
  </si>
  <si>
    <t>https://www.dpma.de/recherche/dpmaregister/index.html</t>
  </si>
  <si>
    <t>https://health.ec.europa.eu/medicinal-products/eudralex/eudralex-volume-4_en</t>
  </si>
  <si>
    <t>https://www.ich.org/page/quality-guidelines</t>
  </si>
  <si>
    <t>M05;M12</t>
  </si>
  <si>
    <t>https://health.ec.europa.eu/health-emergency-preparedness-and-response-hera_en</t>
  </si>
  <si>
    <t>https://www.g-ba.de/bewertungsverfahren/nutzenbewertung/</t>
  </si>
  <si>
    <t>https://health.ec.europa.eu/health-technology-assessment_en</t>
  </si>
  <si>
    <t>https://www.unicef.org/supply/immunization-market-dashboard</t>
  </si>
  <si>
    <t>https://www.england.nhs.uk/medicines-2/antimicrobial-products-subscription-model/</t>
  </si>
  <si>
    <t>https://www.escmid.org/congress-events/escmid-global/</t>
  </si>
  <si>
    <t>https://www.idweek.org/</t>
  </si>
  <si>
    <t>https://convention.bio.org/</t>
  </si>
  <si>
    <t>https://informaconnect.com/bioeurope/</t>
  </si>
  <si>
    <t>https://annualmeeting.asgct.org/</t>
  </si>
  <si>
    <t>https://www.terrapinn.com/conference/world-vaccine-congress-europe/</t>
  </si>
  <si>
    <t>SRC-V2-GITHUB</t>
  </si>
  <si>
    <t>GitHub contents API</t>
  </si>
  <si>
    <t>TECH</t>
  </si>
  <si>
    <t>https://docs.github.com/en/rest/repos/contents</t>
  </si>
  <si>
    <t>RUNTIME_ACCESS_DOCS</t>
  </si>
  <si>
    <t>Contents read, raw media type, commit ref; private repo und Rechtepruefung erforderlich.</t>
  </si>
  <si>
    <t>SRC-V2-LANGDOCK</t>
  </si>
  <si>
    <t>Langdock product changelog</t>
  </si>
  <si>
    <t>https://langdock.com/changelog</t>
  </si>
  <si>
    <t>WORKFLOW_FEATURE_DOCS</t>
  </si>
  <si>
    <t>Workflows mit Code, Dateiweitergabe und Environment-Variablen dokumentiert. Konkreter Workspace ungetestet.</t>
  </si>
  <si>
    <t>https://health.ec.europa.eu/medical-devices-new-regulations_en</t>
  </si>
  <si>
    <t>https://www.ema.europa.eu/en/scientific-guidelines/quality-aspects-phage-therapy-medicinal-products</t>
  </si>
  <si>
    <t>https://www.idsociety.org/practice-guideline/personalized-bacteriophage-therapy/</t>
  </si>
  <si>
    <t>https://www.fda.gov/regulatory-information/search-fda-guidance-documents/early-clinical-trials-live-biotherapeutic-products-chemistry-manufacturing-and-control-information</t>
  </si>
  <si>
    <t>Shionogi / F2G olorofim update</t>
  </si>
  <si>
    <t>https://www.shionogi.com/global/en/news/2026/10/e20261021_3.html</t>
  </si>
  <si>
    <t>DATED_COMPANY_PRIMARY_UPDATE</t>
  </si>
  <si>
    <t>Primaermeldung 21.10.2026 belegt laufende Zusammenarbeit und antifungales Programm; kein dauerhaft aktueller Phasenwert im Master.</t>
  </si>
  <si>
    <t>CSL Seqirus | Partnering</t>
  </si>
  <si>
    <t>https://www.cslseqirus.us/partnering</t>
  </si>
  <si>
    <t>WEB</t>
  </si>
  <si>
    <t>REFERENCE_AND_ROUTING_ONLY</t>
  </si>
  <si>
    <t>CHECK_TERMS_BEFORE_AUTOMATION</t>
  </si>
  <si>
    <t>Own organisational source replaces unrelated Valneva source for CSL Seqirus. Scope: influenza vaccines, licensing and collaborations. No transaction-readiness claim.</t>
  </si>
  <si>
    <t>OFFICIAL_ORGANISATION</t>
  </si>
  <si>
    <t>CONFIRMED_CORRECTION</t>
  </si>
  <si>
    <t>DRKS | German Clinical Trials Register</t>
  </si>
  <si>
    <t>M01;M02</t>
  </si>
  <si>
    <t>https://drks.de/search/de</t>
  </si>
  <si>
    <t>DZIF Data &amp; Tools Hub | CTU register entry</t>
  </si>
  <si>
    <t>M01;M02;M03</t>
  </si>
  <si>
    <t>https://dt-hub.dzif.de/anwendungsfaelle</t>
  </si>
  <si>
    <t>OFFICIAL_INSTITUTIONAL_DIRECTORY</t>
  </si>
  <si>
    <t>CORDIS | Projects and results</t>
  </si>
  <si>
    <t>https://cordis.europa.eu/projects</t>
  </si>
  <si>
    <t>OFFICIAL_PROJECT_DIRECTORY</t>
  </si>
  <si>
    <t>ESCMID | Published guidelines</t>
  </si>
  <si>
    <t>https://www.escmid.org/guidelines-journals/guidelines/published-guidelines/</t>
  </si>
  <si>
    <t>OFFICIAL_SOCIETY_GUIDELINES</t>
  </si>
  <si>
    <t>CROI | Official congress entry</t>
  </si>
  <si>
    <t>M03;M08</t>
  </si>
  <si>
    <t>https://www.croiconference.org/</t>
  </si>
  <si>
    <t>OFFICIAL_EVENT_ORGANISER</t>
  </si>
  <si>
    <t>WHO | GLASS</t>
  </si>
  <si>
    <t>M09;M12</t>
  </si>
  <si>
    <t>https://www.who.int/initiatives/glass</t>
  </si>
  <si>
    <t>OFFICIAL_SURVEILLANCE</t>
  </si>
  <si>
    <t>ECDC | EARS-Net</t>
  </si>
  <si>
    <t>https://www.ecdc.europa.eu/en/about-us/networks/disease-networks-and-laboratory-networks/ears-net-data</t>
  </si>
  <si>
    <t>MMV | Official organisation entry</t>
  </si>
  <si>
    <t>FETCH_FAILED</t>
  </si>
  <si>
    <t>Own domain identified; fetch returned 403. Portfolio not read. No current asset-status inference.</t>
  </si>
  <si>
    <t>SRC-V21-DNDI_PORTFOLIO</t>
  </si>
  <si>
    <t>DNDi | R&amp;D portfolio</t>
  </si>
  <si>
    <t>https://dndi.org/research-development/portfolio/</t>
  </si>
  <si>
    <t>Portfolio covers NTD, paediatric HIV, HCV and fungal disease; nonprofit development partner, not automatically commercial competition.</t>
  </si>
  <si>
    <t>SRC-V21-WHO_VACCINE</t>
  </si>
  <si>
    <t>WHO | Vaccine and mAb development by disease</t>
  </si>
  <si>
    <t>M01;M03;M09</t>
  </si>
  <si>
    <t>https://www.who.int/teams/immunization-vaccines-and-biologicals/diseases</t>
  </si>
  <si>
    <t>Disease-specific vaccine/mAb development anchors; selected disease pages needed, not a complete global pipeline.</t>
  </si>
  <si>
    <t>SRC-V21-AVAC_PREVENTION</t>
  </si>
  <si>
    <t>AVAC | HIV prevention pipeline tracker</t>
  </si>
  <si>
    <t>https://avac.org/resource/pra-pipeline-tracker/</t>
  </si>
  <si>
    <t>Prevention only; must not be used as a comprehensive HIV treatment or cure pipeline.</t>
  </si>
  <si>
    <t>CURATED_NONPROFIT_TRACKER</t>
  </si>
  <si>
    <t>SRC-V21-AVAC_TREATMENT</t>
  </si>
  <si>
    <t>AVAC | Long-acting HIV treatment pipeline</t>
  </si>
  <si>
    <t>M01;M03</t>
  </si>
  <si>
    <t>https://avac.org/resource/infographic/long-acting-hiv-treatment-pipeline/</t>
  </si>
  <si>
    <t>Long-acting treatment scope; distinct from prevention tracker; individual programmes require primary-source verification.</t>
  </si>
  <si>
    <t>Vir Biotechnology | Pipeline</t>
  </si>
  <si>
    <t>https://www.vir.bio/pipeline/</t>
  </si>
  <si>
    <t>Hepatitis delta and HIV-cure research scope reviewed. Current phase and commercial rights remain live-research tasks.</t>
  </si>
  <si>
    <t>SRC-V21-GREAT2</t>
  </si>
  <si>
    <t>UK HRA | GREAT-2 research summary</t>
  </si>
  <si>
    <t>https://www.hra.nhs.uk/planning-and-improving-research/application-summaries/research-summaries/gremubamab-eradication-trial-great-2/</t>
  </si>
  <si>
    <t>Gremubamab, bronchiectasis/P. aeruginosa; University of Dundee sponsor; AstraZeneca provided drug. No current pipeline-stage inference.</t>
  </si>
  <si>
    <t>OFFICIAL_STUDY_REGISTER_RECORD</t>
  </si>
  <si>
    <t>SRC-V21-AREXVY</t>
  </si>
  <si>
    <t>EMA | Arexvy EPAR</t>
  </si>
  <si>
    <t>M01;M04</t>
  </si>
  <si>
    <t>https://www.ema.europa.eu/en/medicines/human/EPAR/arexvy</t>
  </si>
  <si>
    <t>Audit counterexample: EU authorisation 2023-06-06. Historical Pre-Registration seed is not a current stage.</t>
  </si>
  <si>
    <t>OFFICIAL_REGULATORY_RECORD</t>
  </si>
  <si>
    <t>QIAGEN | QIAcuityDx IVD assay partnering</t>
  </si>
  <si>
    <t>https://www.qiagen.com/us/applications/digital-pcr-mdx/partnering</t>
  </si>
  <si>
    <t>Official platform-specific partnering route for company-developed IVD assays including infectious disease; licensing, supply and development support. Not universal AMR diagnostic programme fit.</t>
  </si>
  <si>
    <t>SCYNEXIS pipeline | SCY-247</t>
  </si>
  <si>
    <t>PUBLIC_WEB_CHECK_TERMS</t>
  </si>
  <si>
    <t>Specific invasive fungal research scope. Actual phase/rights must be checked at run time.</t>
  </si>
  <si>
    <t>V2_2_TARGETED_GAP_REVIEW</t>
  </si>
  <si>
    <t>Eligo | microbiome gene editing</t>
  </si>
  <si>
    <t>CRISPR microbial editing precision antimicrobials; do not infer C. difficile indication.</t>
  </si>
  <si>
    <t>Seegene | Multiplex molecular diagnostics</t>
  </si>
  <si>
    <t>Infectious disease syndromic PCR technology and technology-sharing; not confirmed specific partnering readiness.</t>
  </si>
  <si>
    <t>Hologic | Molecular diagnostics</t>
  </si>
  <si>
    <t>Infectious/HAI, respiratory and transplant molecular testing products; not an anti-infective drug developer.</t>
  </si>
  <si>
    <t>Sabin Vaccine Institute R&amp;D</t>
  </si>
  <si>
    <t>Marburg and Sudan ebolavirus vaccine R&amp;D; nonprofit clinical R&amp;D partner.</t>
  </si>
  <si>
    <t>Venatorx | independent 2026 AMR benchmark</t>
  </si>
  <si>
    <t>THIRD_PARTY_PUBLIC</t>
  </si>
  <si>
    <t>https://accesstomedicinefoundation.org/company/venatorx-pharmaceuticals-inc/amrb</t>
  </si>
  <si>
    <t>Secondary independent directory; research only. Product rights/regulatory status require company and agency primary check.</t>
  </si>
  <si>
    <t>Unitaid | global health projects</t>
  </si>
  <si>
    <t>Implementation and access projects, not universal clinical-stage grant or licensing route.</t>
  </si>
  <si>
    <t>Aridis | Anti-infective mAb pipeline</t>
  </si>
  <si>
    <t>https://www.aridispharma.com/product-overview-2/</t>
  </si>
  <si>
    <t>Official portfolio includes P. aeruginosa mAbs AR-105/AR-101 in HAP/VAP. Current operational status live verify.</t>
  </si>
  <si>
    <t>Novavax | Vaccines and Matrix-M pipeline</t>
  </si>
  <si>
    <t>Official R21 malaria vaccine and bacterial CDI, respiratory vaccine programmes. Avoid treating approved vaccine as pipeline stage.</t>
  </si>
  <si>
    <t>CanSinoBIO | Vaccine Pipeline</t>
  </si>
  <si>
    <t>Official TB, meningococcal, pneumococcal, influenza vaccine pipeline.</t>
  </si>
  <si>
    <t>SK bioscience | Vaccine Pipeline</t>
  </si>
  <si>
    <t>Official vaccine pipeline includes RSV mAb, pneumococcal and emerging infection programmes.</t>
  </si>
  <si>
    <t>Aligos | Hepatitis pipeline</t>
  </si>
  <si>
    <t>Official pipeline HBV small molecules and RNA ASO, earlier HDV research.</t>
  </si>
  <si>
    <t>Brii Bio | HBV programme release</t>
  </si>
  <si>
    <t>Dated 2026-10-29 press release on BRII-179 HBV trial. Search anchor; verify beyond this date.</t>
  </si>
  <si>
    <t>Bharat Biotech | Vaccine product overview</t>
  </si>
  <si>
    <t>Official portfolio includes vaccines for endemic infections and emerging diseases.</t>
  </si>
  <si>
    <t>INOVIO | DNA medicines pipeline</t>
  </si>
  <si>
    <t>HPV DNA immunotherapy. Do not classify HPV-associated disease as HIV therapeutic.</t>
  </si>
  <si>
    <t>AbbVie | Pipeline</t>
  </si>
  <si>
    <t>Very broad pipeline. Not proof of infectious disease activity; discovery-only context.</t>
  </si>
  <si>
    <t>QIAGEN | infectious disease assays</t>
  </si>
  <si>
    <t>Diagnostic platform portfolio includes HBV and multiple infectious diseases. Not a drug competitor.</t>
  </si>
  <si>
    <t>Universitaet Bonn Medizin | BONFOR</t>
  </si>
  <si>
    <t>https://www.medfak.uni-bonn.de/de/forschung/forschungsfoerderung/bonfor/bonfor-forschungsfoerderprogramm</t>
  </si>
  <si>
    <t>Intramural BONFOR; individual lines have distinct eligibility and dates.</t>
  </si>
  <si>
    <t>Uni Tuebingen Medizin | fortuene</t>
  </si>
  <si>
    <t>https://www.medizin.uni-tuebingen.de/de/medizinische-fakultaet/forschung/forschungsfoerderung</t>
  </si>
  <si>
    <t>Internal medical faculty programme; faculty-only / employment prerequisites apply.</t>
  </si>
  <si>
    <t>MHH | Hochschulinterne Leistungsfoerderung</t>
  </si>
  <si>
    <t>https://www.mhh.de/forschung/hochschulinterne-leistungsfoerderung</t>
  </si>
  <si>
    <t>HiLF internal MHH. Detailed documents in MHH intranet; no guaranteed access/eligibility.</t>
  </si>
  <si>
    <t>Medizin Heidelberg | Collaborative Seed Grant</t>
  </si>
  <si>
    <t>https://www.medizinische-fakultaet-hd.uni-heidelberg.de/forschung/forschungsfoerderung/foerderprogramme-der-fakultaet/collaborative-seed-grant-funding/</t>
  </si>
  <si>
    <t>Faculty-only collaborative seed funding, not all Heidelberg/HZI or DZIF applicants.</t>
  </si>
  <si>
    <t>Hessen | LOEWE Foerderprogramm</t>
  </si>
  <si>
    <t>https://wissenschaft.hessen.de/forschen/forschungsfoerderprogramm-loewe</t>
  </si>
  <si>
    <t>Hessian research programme; different lines for university and SME consortia.</t>
  </si>
  <si>
    <t>SRC-V22-SEC-BIOMX</t>
  </si>
  <si>
    <t>SEC | BiomX pivot disclosure</t>
  </si>
  <si>
    <t>https://www.sec.gov/Archives/edgar/data/1739174/000121390026091780/ea0302351-10q_biomxinc.htm</t>
  </si>
  <si>
    <t>Discontinued former phage operations. Do not add as active antibacterial competitor.</t>
  </si>
  <si>
    <t>SRC-V22-PULMOCIDE</t>
  </si>
  <si>
    <t>Pulmocide | opelconazole Phase 3 termination</t>
  </si>
  <si>
    <t>https://pulmocide.com/press-release/pulmocide-announces-termination-of-opera-t-phase-3-study-with-opelconazole/</t>
  </si>
  <si>
    <t>Study stopped Jan 2026. Never label as current ongoing Phase 3.</t>
  </si>
  <si>
    <t>Otsuka - official pipeline</t>
  </si>
  <si>
    <t>ORGANISATION</t>
  </si>
  <si>
    <t>https://www.otsuka.co.jp/en/research-and-development/pipeline/</t>
  </si>
  <si>
    <t>REFERENCE_SCOPE_NOT_CURRENT_OUTCOME</t>
  </si>
  <si>
    <t>Quabodepistat / OPC-167832 DprE1 and delamanid TB programmes. Current phases intentionally not copied.</t>
  </si>
  <si>
    <t>HYpharm HY-133 endolysin</t>
  </si>
  <si>
    <t>https://hypharm.de/phagenlysin-wirkstoff-hy-133-start-der-klinischen-phase-i-first-in-human-studie-zur-eliminierung-von-staphylococcus-aureus-im-nasenmikrobiom/</t>
  </si>
  <si>
    <t>Recombinant endolysin for nasal S. aureus decolonization; NOT whole-phage therapy. Own project flag is intake-dependent.</t>
  </si>
  <si>
    <t>SRC-V23-AR301</t>
  </si>
  <si>
    <t>Aridis AR-301</t>
  </si>
  <si>
    <t>https://www.aridispharma.com/ar-301/</t>
  </si>
  <si>
    <t>Alpha-toxin monoclonal antibody in S. aureus pneumonia. Current company solvency, development continuation and efficacy need independent verification.</t>
  </si>
  <si>
    <t>Xiamen Innovax - products</t>
  </si>
  <si>
    <t>https://www.xiameninnovax.com/products/</t>
  </si>
  <si>
    <t>Hecolin is a preventive HEV vaccine, not treatment for chronic HEV. Regulatory status is country-specific.</t>
  </si>
  <si>
    <t>Oxford ChAdOx1 MERS development announcement</t>
  </si>
  <si>
    <t>https://www.ox.ac.uk/news/2023-09-18-oxford-and-liverpool-scientists-launch-new-vaccine-trial-middle-east-respiratory</t>
  </si>
  <si>
    <t>Programme scope supported by official 2023 announcement. Not proof of 2026 trial activity, phase or current commercialisation rights.</t>
  </si>
  <si>
    <t>OFFICIAL_PRESS_RELEASE</t>
  </si>
  <si>
    <t>SRC-V23-DNDI_FILARIA</t>
  </si>
  <si>
    <t>DNDi emodepside programme</t>
  </si>
  <si>
    <t>https://dndi.org/research-development/portfolio/emodepside/</t>
  </si>
  <si>
    <t>Onchocerciasis macrofilaricidal drug programme, different MoA from anti-Wolbachia CorA. DNDi is also a CorA partner; portfolio roles are asset-specific.</t>
  </si>
  <si>
    <t>SNIPR Biome - official pipeline</t>
  </si>
  <si>
    <t>https://www.sniprbiome.com/pipeline</t>
  </si>
  <si>
    <t>SNIPR001-Oral E. coli/haematological cancer; other programmes have different pathogens and settings. Not direct evidence of E. faecium targeting.</t>
  </si>
  <si>
    <t>SRC-V23-HEPCLUDEX</t>
  </si>
  <si>
    <t>EMA Hepcludex product assessment</t>
  </si>
  <si>
    <t>REGULATOR</t>
  </si>
  <si>
    <t>https://www.ema.europa.eu/en/medicines/human/EPAR/hepcludex</t>
  </si>
  <si>
    <t>Bulevirtide/NTCP/HDV approved reference product; do not treat the benchmark project itself as a competing asset.</t>
  </si>
  <si>
    <t>OFFICIAL_REGULATOR_PRODUCT_RECORD</t>
  </si>
  <si>
    <t>IBT Lower Saxony - research translation</t>
  </si>
  <si>
    <t>https://niedersachsen-next.de/themen/life-science/ibt-lower-saxony/</t>
  </si>
  <si>
    <t>State-wide Lower Saxony research translation route. EXPLORE and PRE-SEED have distinct conditions; no currently open deadline inferred.</t>
  </si>
  <si>
    <t>OFFICIAL_FUNDING_ORGANISATION</t>
  </si>
  <si>
    <t>BfArM - clinical trials</t>
  </si>
  <si>
    <t>https://www.bfarm.de/DE/Arzneimittel/Klinische-Pruefung/_node.html</t>
  </si>
  <si>
    <t>HTTP_403</t>
  </si>
  <si>
    <t>Official BfArM route; page returned HTTP 403 in this environment. Relevance to phage programme supported by DZIF EVREA page; no successful Langdock access.</t>
  </si>
  <si>
    <t>OFFICIAL_REGULATOR_HUB</t>
  </si>
  <si>
    <t>OFFICIAL_DOMAIN_CONTENT_NOT_READ</t>
  </si>
  <si>
    <t>SRC-V23-DZIF_FLAGSHIP</t>
  </si>
  <si>
    <t>DZIF - successful translation / flagships</t>
  </si>
  <si>
    <t>https://www.dzif.de/de/erfolgreiche-translation</t>
  </si>
  <si>
    <t>Eleven project examples, including approved Hepcludex. Overview dates can be stale; use project detail pages for scope, live registers for current status.</t>
  </si>
  <si>
    <t>OFFICIAL_RESEARCH_INSTITUTION</t>
  </si>
  <si>
    <t>anchor_id</t>
  </si>
  <si>
    <t>entity_ids</t>
  </si>
  <si>
    <t>asset_id</t>
  </si>
  <si>
    <t>asset_name</t>
  </si>
  <si>
    <t>anchor_scope</t>
  </si>
  <si>
    <t>target_tags</t>
  </si>
  <si>
    <t>moa_tags</t>
  </si>
  <si>
    <t>population_tags</t>
  </si>
  <si>
    <t>purpose_tags</t>
  </si>
  <si>
    <t>evidence_url</t>
  </si>
  <si>
    <t>scope_reviewed_on</t>
  </si>
  <si>
    <t>verification_status</t>
  </si>
  <si>
    <t>caution</t>
  </si>
  <si>
    <t>ANCH-RESPX</t>
  </si>
  <si>
    <t>AST-RESPX-INFEX702</t>
  </si>
  <si>
    <t>RESP-X / INFEX702</t>
  </si>
  <si>
    <t>ASSET_SCOPE</t>
  </si>
  <si>
    <t>PCRV</t>
  </si>
  <si>
    <t>ANTIVIRULENCE</t>
  </si>
  <si>
    <t>TREATMENT</t>
  </si>
  <si>
    <t>https://www.infextx.com/infex-therapeutics-presents-new-phase-iia-data-for-resp-x-at-ers-congress-2026-providing-further-evidence-on-exploratory-efficacy-endpoints-supporting-progression-to-later-stage-development/</t>
  </si>
  <si>
    <t>SCOPE_REVIEWED_NOT_CURRENT_STATUS</t>
  </si>
  <si>
    <t>Same pathogen/target as PANTIPA; NCFB is not acute HAP/VAP. No current clinical-stage claim in master.</t>
  </si>
  <si>
    <t>ANCH-GREMUBAMAB</t>
  </si>
  <si>
    <t>AST-GREMUBAMAB-MEDI3902</t>
  </si>
  <si>
    <t>gremubamab / MEDI3902</t>
  </si>
  <si>
    <t>BISPECIFIC</t>
  </si>
  <si>
    <t>PCRV;PSL</t>
  </si>
  <si>
    <t>Target/MoA identity additionally supported by PMID 30107283 (2018/2019), https://pubmed.ncbi.nlm.nih.gov/30107283/ . GREAT-2: academic sponsor, not automatically a currently active AZ corporate phase.</t>
  </si>
  <si>
    <t>ANCH-APPA02</t>
  </si>
  <si>
    <t>AST-APPA02</t>
  </si>
  <si>
    <t>AP-PA02</t>
  </si>
  <si>
    <t>NCFB;CF</t>
  </si>
  <si>
    <t>BACTERIAL_LYSIS</t>
  </si>
  <si>
    <t>Pathogen-related alternative; NCFB/CF does not establish HAP/VAP efficacy.</t>
  </si>
  <si>
    <t>ANCH-VIIV</t>
  </si>
  <si>
    <t>PORTFOLIO_SCOPE</t>
  </si>
  <si>
    <t>HIV_TREATMENT;HIV_PREVENTION</t>
  </si>
  <si>
    <t>TREATMENT;PREVENTION</t>
  </si>
  <si>
    <t>Identity/routing evidence only. Phase, current activity, clinical equivalence and rights require live verification.</t>
  </si>
  <si>
    <t>ANCH-ASSEMBLY</t>
  </si>
  <si>
    <t>ANCH-VIR</t>
  </si>
  <si>
    <t>ANCH-TB</t>
  </si>
  <si>
    <t>ANCH-DNDI</t>
  </si>
  <si>
    <t>LEISHMANIA;T_CRUZI;T_BRUCEI;HCV;HIV;CRYPTOCOCCUS</t>
  </si>
  <si>
    <t>LEISHMANIASIS;CHAGAS;SLEEPING_SICKNESS;CHRONIC_HCV;HIV_TREATMENT;CRYPTOCOCCAL_MENINGITIS</t>
  </si>
  <si>
    <t>ANCH-MMV</t>
  </si>
  <si>
    <t>Malaria organisational mission corroborated by existing PDP alliance source, not own portfolio contents; MMV site access blocked. Specific projects remain unverified.</t>
  </si>
  <si>
    <t>ANCH-FERRING</t>
  </si>
  <si>
    <t>MICROBIOTA_RESTORATION</t>
  </si>
  <si>
    <t>PREVENTION;TREATMENT</t>
  </si>
  <si>
    <t>ANCH-EXCISION</t>
  </si>
  <si>
    <t>AST-EBT101</t>
  </si>
  <si>
    <t>EBT-101</t>
  </si>
  <si>
    <t>GENE_EDITING</t>
  </si>
  <si>
    <t>VIRAL_GENOME</t>
  </si>
  <si>
    <t>ANCH-AICURIS</t>
  </si>
  <si>
    <t>AST-PRITELIVIR</t>
  </si>
  <si>
    <t>pritelivir</t>
  </si>
  <si>
    <t>HSV</t>
  </si>
  <si>
    <t>HELICASE_PRIMASE</t>
  </si>
  <si>
    <t>ANTIVIRAL</t>
  </si>
  <si>
    <t>ANCH-OLOROFIM</t>
  </si>
  <si>
    <t>CMP-b3350328f73;CMP-e1f2b6c9f07</t>
  </si>
  <si>
    <t>AST-OLOROFIM</t>
  </si>
  <si>
    <t>olorofim</t>
  </si>
  <si>
    <t>ANCH-EBVALLO</t>
  </si>
  <si>
    <t>AST-TABELECLEUCEL</t>
  </si>
  <si>
    <t>tabelecleucel / Ebvallo</t>
  </si>
  <si>
    <t>EBV_ANTIGENS</t>
  </si>
  <si>
    <t>T_CELL_CYTOTOXICITY</t>
  </si>
  <si>
    <t>HSCT;SOLID_ORGAN_TRANSPLANT;IMMUNOCOMPROMISED</t>
  </si>
  <si>
    <t>https://www.ema.europa.eu/de/medicines/human/EPAR/ebvallo</t>
  </si>
  <si>
    <t>ANCH-SEQIRUS</t>
  </si>
  <si>
    <t>PREVENTION</t>
  </si>
  <si>
    <t>ANCH-V22-AR105</t>
  </si>
  <si>
    <t>AST-AR105</t>
  </si>
  <si>
    <t>AR-105 / Aerucin</t>
  </si>
  <si>
    <t>HAP;VAP</t>
  </si>
  <si>
    <t>Anti-alginate mAb; not anti-PcrV. Live rights/availability check needed.</t>
  </si>
  <si>
    <t>ANCH-V22-AR101</t>
  </si>
  <si>
    <t>AST-AR101</t>
  </si>
  <si>
    <t>AR-101 / Aerumab</t>
  </si>
  <si>
    <t>Anti-LPS mAb; same pathogen/indication but not anti-PcrV.</t>
  </si>
  <si>
    <t>ANCH-V22-SCY247</t>
  </si>
  <si>
    <t>AST-SCY247</t>
  </si>
  <si>
    <t>SCY-247</t>
  </si>
  <si>
    <t>CANDIDA;ASPERGILLUS;C_AURIS</t>
  </si>
  <si>
    <t>Invasive fungal infection programme; clinical/indication scope needs live check.</t>
  </si>
  <si>
    <t>ANCH-V22-R21</t>
  </si>
  <si>
    <t>AST-R21-MATRIXM</t>
  </si>
  <si>
    <t>R21 / Matrix-M</t>
  </si>
  <si>
    <t>P_FALCIPARUM</t>
  </si>
  <si>
    <t>Partnered product with Serum Institute; approved/prequalified in territories. Not an early pipeline candidate.</t>
  </si>
  <si>
    <t>ANCH-V22-CANSINO-TB</t>
  </si>
  <si>
    <t>Inhaled TB vaccine</t>
  </si>
  <si>
    <t>Portfolio search anchor, phase cannot be inferred.</t>
  </si>
  <si>
    <t>ANCH-V22-ALIGOS-HBV</t>
  </si>
  <si>
    <t>AST-PEVIFOSCORVIR</t>
  </si>
  <si>
    <t>pevifoscorvir sodium</t>
  </si>
  <si>
    <t>CAM-E HBV drug; trials and current phase live verified separately.</t>
  </si>
  <si>
    <t>ANCH-V22-BRII-HBV</t>
  </si>
  <si>
    <t>AST-BRII179</t>
  </si>
  <si>
    <t>BRII-179</t>
  </si>
  <si>
    <t>Therapeutic priming/immunotherapy; not prophylactic hepatitis vaccine.</t>
  </si>
  <si>
    <t>ANCH-V22-MARBURG</t>
  </si>
  <si>
    <t>AST-SABIN-MARBURG</t>
  </si>
  <si>
    <t>Sabin cAd3 Marburg vaccine</t>
  </si>
  <si>
    <t>MARBURG</t>
  </si>
  <si>
    <t>Nonprofit vaccine developer; current study registration must be refreshed.</t>
  </si>
  <si>
    <t>ANCH-V22-SUDAN</t>
  </si>
  <si>
    <t>AST-SABIN-SUDAN</t>
  </si>
  <si>
    <t>Sabin cAd3 Sudan Ebola vaccine</t>
  </si>
  <si>
    <t>SUDAN_EBOLA</t>
  </si>
  <si>
    <t>Sudan species distinct from Zaire Ebola vaccine.</t>
  </si>
  <si>
    <t>ANCH-V22-VENATORX</t>
  </si>
  <si>
    <t>AST-CEFEPIME-TANIBORBACTAM</t>
  </si>
  <si>
    <t>cefepime-taniborbactam</t>
  </si>
  <si>
    <t>Evidence is independent 2026 benchmark rather than developer primary; status, rights and regulator need verification.</t>
  </si>
  <si>
    <t>ANCH-V23-OPC167832</t>
  </si>
  <si>
    <t>AST-OPC167832</t>
  </si>
  <si>
    <t>Quabodepistat / OPC-167832</t>
  </si>
  <si>
    <t>DPRE1</t>
  </si>
  <si>
    <t>CELL_WALL_INHIBITION</t>
  </si>
  <si>
    <t>Scope only; current status, rights and clinical comparability require a fresh check.</t>
  </si>
  <si>
    <t>ANCH-V23-HY133</t>
  </si>
  <si>
    <t>AST-HY133</t>
  </si>
  <si>
    <t>ENDOLYSIN</t>
  </si>
  <si>
    <t>PEPTIDOGLYCAN</t>
  </si>
  <si>
    <t>DECOLONIZATION</t>
  </si>
  <si>
    <t>DZIF own project in HY-133 benchmark. Recombinant endolysin, not live phage; exclude own asset from competitor ranking when identified in intake.</t>
  </si>
  <si>
    <t>ANCH-V23-MRNA1189</t>
  </si>
  <si>
    <t>AST-MRNA1189</t>
  </si>
  <si>
    <t>mRNA-1189</t>
  </si>
  <si>
    <t>MRNA_VACCINE</t>
  </si>
  <si>
    <t>IMMUNIZATION</t>
  </si>
  <si>
    <t>Preventive EBV vaccine programme, not treatment of EBV-positive PTLD. Clinical registry follow-up required.</t>
  </si>
  <si>
    <t>ANCH-V23-AR301</t>
  </si>
  <si>
    <t>AST-AR301</t>
  </si>
  <si>
    <t>AR-301</t>
  </si>
  <si>
    <t>VAP;HAP</t>
  </si>
  <si>
    <t>ALPHA_TOXIN</t>
  </si>
  <si>
    <t>ICU</t>
  </si>
  <si>
    <t>ANCH-V23-HECOLIN</t>
  </si>
  <si>
    <t>AST-HECOLIN</t>
  </si>
  <si>
    <t>Hecolin</t>
  </si>
  <si>
    <t>HEV</t>
  </si>
  <si>
    <t>ACUTE_HEV</t>
  </si>
  <si>
    <t>HEV_ORF2</t>
  </si>
  <si>
    <t>HEV prevention vaccine, not a therapeutic antibody or treatment of chronic HEV. Authorization is jurisdiction-specific.</t>
  </si>
  <si>
    <t>ANCH-V23-CHADOXMERS</t>
  </si>
  <si>
    <t>AST-CHADOX1-MERS</t>
  </si>
  <si>
    <t>ChAdOx1 MERS</t>
  </si>
  <si>
    <t>MERS_SPIKE</t>
  </si>
  <si>
    <t>Official 2023 programme scope. Current trial activity and rights not verified by this reference.</t>
  </si>
  <si>
    <t>ANCH-V23-EMODEPSIDE</t>
  </si>
  <si>
    <t>AST-EMODEPSIDE</t>
  </si>
  <si>
    <t>Emodepside</t>
  </si>
  <si>
    <t>O_VOLVULUS</t>
  </si>
  <si>
    <t>ONCHOCERCIASIS</t>
  </si>
  <si>
    <t>ANTHELMINTHIC</t>
  </si>
  <si>
    <t>Clinical alternative for onchocerciasis, distinct from anti-Wolbachia mechanism of CorA. DNDi also collaborates with CorA; asset and organization roles differ.</t>
  </si>
  <si>
    <t>ANCH-V23-SNIPR001</t>
  </si>
  <si>
    <t>AST-SNIPR001-ORAL</t>
  </si>
  <si>
    <t>SNIPR001-Oral</t>
  </si>
  <si>
    <t>E_COLI</t>
  </si>
  <si>
    <t>INTESTINAL_DECOLONIZATION;BSI</t>
  </si>
  <si>
    <t>HAEMATOLOGIC_MALIGNANCY</t>
  </si>
  <si>
    <t>PREVENTION;DECOLONIZATION</t>
  </si>
  <si>
    <t>E. coli programme is an adjacent intestinal high-risk-host comparison, NOT an E. faecium-targeting competitor.</t>
  </si>
  <si>
    <t>ANCH-V23-BULEVIRTIDE</t>
  </si>
  <si>
    <t>AST-BULEVIRTIDE</t>
  </si>
  <si>
    <t>Bulevirtide / Hepcludex</t>
  </si>
  <si>
    <t>HDV</t>
  </si>
  <si>
    <t>CHRONIC_HDV</t>
  </si>
  <si>
    <t>PEPTIDE</t>
  </si>
  <si>
    <t>NTCP</t>
  </si>
  <si>
    <t>ENTRY_INHIBITION</t>
  </si>
  <si>
    <t>Approved reference and own project for Hepcludex benchmark. Exclude this asset, not all other Gilead programmes, from self-comparison.</t>
  </si>
  <si>
    <t>query_id</t>
  </si>
  <si>
    <t>query_type</t>
  </si>
  <si>
    <t>template</t>
  </si>
  <si>
    <t>required_inputs</t>
  </si>
  <si>
    <t>source_strategy</t>
  </si>
  <si>
    <t>max_results</t>
  </si>
  <si>
    <t>adapter_status</t>
  </si>
  <si>
    <t>quality_rule</t>
  </si>
  <si>
    <t>source_ids</t>
  </si>
  <si>
    <t>topic_gate</t>
  </si>
  <si>
    <t>purpose_gate</t>
  </si>
  <si>
    <t>ENTITY</t>
  </si>
  <si>
    <t>"{entity_name}" ({pathogen_query} OR {indication_query}) (pipeline OR trial OR discontinued OR licensing)</t>
  </si>
  <si>
    <t>entity_name;pathogen_query|indication_query</t>
  </si>
  <si>
    <t>PRIMARY_SOURCE_FIRST</t>
  </si>
  <si>
    <t>PLANNING_TEMPLATE_NOT_LIVE_TESTED</t>
  </si>
  <si>
    <t>Entwicklerseite zuerst; keine Modalitaets-UND-Schranke bei identischem Pathogen.</t>
  </si>
  <si>
    <t>M01_DISCOVERY</t>
  </si>
  <si>
    <t>({pathogen_query} OR {indication_query}) (therapeutic OR vaccine OR phage OR endolysin OR antibody OR microbiome) (pipeline OR clinical trial OR research)</t>
  </si>
  <si>
    <t>pathogen_query|indication_query</t>
  </si>
  <si>
    <t>Open discovery independent of all company names and match anchors. Query is a research plan, not a completed search.</t>
  </si>
  <si>
    <t>M01_ACADEMIC_DISCOVERY</t>
  </si>
  <si>
    <t>({pathogen_query} OR {indication_query}) (preclinical OR academic OR university OR investigator initiated OR consortium) (therapy OR vaccine OR diagnostic)</t>
  </si>
  <si>
    <t>INDEPENDENT_ACADEMIC_DISCOVERY</t>
  </si>
  <si>
    <t>Independent academic/early discovery; no company whitelist, no benchmark expectations loaded; distinguish own projects and clinical purposes.</t>
  </si>
  <si>
    <t>SRC-V2-PUBMED;SRC-V2-EPMC;SRC-V21-CORDIS;SRC-V21-DRKS;SRC-V21-DZIF_CTU;SRC-V23-DZIF_FLAGSHIP</t>
  </si>
  <si>
    <t>REGISTRY</t>
  </si>
  <si>
    <t>({pathogen_query} OR {indication_query})</t>
  </si>
  <si>
    <t>Erste Suche modalitaetsbreit; zweite Detailabfrage nach Asset/Aliases. Alle Seiten/totalCount pruefen.</t>
  </si>
  <si>
    <t>M02_ASSET</t>
  </si>
  <si>
    <t>"{asset_name}"</t>
  </si>
  <si>
    <t>Bekannte Register-ID direkt nachladen; sonst exakter Assetname plus Aliases.</t>
  </si>
  <si>
    <t>LITERATURE</t>
  </si>
  <si>
    <t>({pathogen_query} OR {indication_query}) AND ({target_query} OR {modality_query})</t>
  </si>
  <si>
    <t>pathogen_query|indication_query;target_query|modality_query</t>
  </si>
  <si>
    <t>Zeitraum separat; PubMed/EuropePMC Syntaxadapter. Fehlende OR-Gruppe nicht als leeren Query senden.</t>
  </si>
  <si>
    <t>M03_DISCOVERY</t>
  </si>
  <si>
    <t>({pathogen_query} OR {indication_query}) (novel target OR mechanism OR preclinical OR platform)</t>
  </si>
  <si>
    <t>Discovery unabhaengig vom bekannten Target; Review/Originalarbeit/Preprint trennen.</t>
  </si>
  <si>
    <t>GUIDANCE</t>
  </si>
  <si>
    <t>({modality_query} OR {indication_query}) (guideline OR guidance OR assessment) {jurisdiction_query}</t>
  </si>
  <si>
    <t>modality_query|indication_query</t>
  </si>
  <si>
    <t>Draft/Final, Version, effective date und Arzneimittel/IVD-Klassifikation speichern.</t>
  </si>
  <si>
    <t>FUNDING</t>
  </si>
  <si>
    <t>"{record_name}" ({pathogen_query} OR {modality_query} OR {topic_query}) call funding</t>
  </si>
  <si>
    <t>record_name;pathogen_query|modality_query|topic_query</t>
  </si>
  <si>
    <t>Programmroute zuerst; offener Call erst nach primaer belegter Frist/Eligibility.</t>
  </si>
  <si>
    <t>M05_DISCOVERY</t>
  </si>
  <si>
    <t>({pathogen_query} OR {modality_query}) (call for proposals OR funding opportunity) {applicant_query}</t>
  </si>
  <si>
    <t>pathogen_query|modality_query</t>
  </si>
  <si>
    <t>Neue Foerderinstrumente separat suchen; Rechts-/Institutionskontext nicht raten.</t>
  </si>
  <si>
    <t>"{entity_name}" ({pathogen_query} OR {modality_query}) (partnering OR collaboration OR licensing)</t>
  </si>
  <si>
    <t>entity_name;pathogen_query|modality_query</t>
  </si>
  <si>
    <t>Partnerrolle pruefen: Lizenznehmer, PDP, Investor und CDMO nicht gleichsetzen.</t>
  </si>
  <si>
    <t>M06_DISCOVERY</t>
  </si>
  <si>
    <t>({pathogen_query} OR {modality_query}) (licensing OR development partnership OR diagnostics partner)</t>
  </si>
  <si>
    <t>Wichtigste neue Partner; Investoren getrennt von Industriepartnern priorisieren.</t>
  </si>
  <si>
    <t>"{entity_name}" (licensing OR acquisition OR financing OR collaboration) {pathogen_query}</t>
  </si>
  <si>
    <t>Pressemitteilung beider Parteien abgleichen; upfront/milestones/total deal value strikt trennen.</t>
  </si>
  <si>
    <t>EVENT</t>
  </si>
  <si>
    <t>"{record_name}" (next edition OR abstract deadline OR partnering OR registration)</t>
  </si>
  <si>
    <t>Konkrete Ausgabe, Zeitzone und Fristen live abrufen; veraltete Ausgabe ausschliessen.</t>
  </si>
  <si>
    <t>MEDICAL</t>
  </si>
  <si>
    <t>({pathogen_query} OR {indication_query}) (guideline OR standard of care OR epidemiology)</t>
  </si>
  <si>
    <t>Population/Setting und Jurisdiktion; Empfehlungen nicht als regulatorische Anforderungen behandeln.</t>
  </si>
  <si>
    <t>PATENT</t>
  </si>
  <si>
    <t>({target_query} OR {asset_name} OR {pathogen_query}) ({modality_query})</t>
  </si>
  <si>
    <t>target_query|asset_name|pathogen_query</t>
  </si>
  <si>
    <t>Patentfamilien und Assignees pruefen. Keine FTO-/Rechtsbestaendigkeit aus automatischer Suche ableiten.</t>
  </si>
  <si>
    <t>{modality_query} (manufacturing OR potency OR comparability OR stability OR GMP)</t>
  </si>
  <si>
    <t>modality_query</t>
  </si>
  <si>
    <t>Produktklasse/Herstellungsschritt erforderlich. Unternehmensspezifische Verfahren sind oft nicht oeffentlich.</t>
  </si>
  <si>
    <t>POLICY</t>
  </si>
  <si>
    <t>({pathogen_query} OR {modality_query} OR {topic_query}) (procurement OR reimbursement OR access OR assessment)</t>
  </si>
  <si>
    <t>pathogen_query|modality_query|topic_query</t>
  </si>
  <si>
    <t>Land, Produktklasse und Entwicklungsphase; Planung nicht mit verabschiedeter Regel gleichsetzen.</t>
  </si>
  <si>
    <t>M02_DISCOVERY</t>
  </si>
  <si>
    <t>({pathogen_query} OR {modality_query} OR {indication_query}) clinical trial study registry</t>
  </si>
  <si>
    <t>pathogen_query|modality_query|indication_query</t>
  </si>
  <si>
    <t>PRIMARY_SOURCE_DISCOVERY</t>
  </si>
  <si>
    <t>Nicht auf bekannte Entitaeten begrenzen; neue wichtige Primarquelle als Review-Vorschlag aufnehmen.</t>
  </si>
  <si>
    <t>M04_DISCOVERY</t>
  </si>
  <si>
    <t>({pathogen_query} OR {modality_query} OR {indication_query}) regulatory guidance draft final</t>
  </si>
  <si>
    <t>M07_DISCOVERY</t>
  </si>
  <si>
    <t>({pathogen_query} OR {modality_query} OR {indication_query}) licensing acquisition financing partnership</t>
  </si>
  <si>
    <t>M08_DISCOVERY</t>
  </si>
  <si>
    <t>({pathogen_query} OR {modality_query} OR {indication_query}) conference congress partnering event</t>
  </si>
  <si>
    <t>M09_DISCOVERY</t>
  </si>
  <si>
    <t>({pathogen_query} OR {modality_query} OR {indication_query}) clinical guideline epidemiology standard of care</t>
  </si>
  <si>
    <t>M10_DISCOVERY</t>
  </si>
  <si>
    <t>({pathogen_query} OR {modality_query} OR {indication_query}) patent application assignee</t>
  </si>
  <si>
    <t>M11_DISCOVERY</t>
  </si>
  <si>
    <t>({pathogen_query} OR {modality_query} OR {indication_query}) manufacturing potency comparability GMP</t>
  </si>
  <si>
    <t>M12_DISCOVERY</t>
  </si>
  <si>
    <t>({pathogen_query} OR {modality_query} OR {indication_query}) policy procurement reimbursement health technology assessment</t>
  </si>
  <si>
    <t>M02_DISCOVERY_2</t>
  </si>
  <si>
    <t>({pathogen_query} OR {indication_query}) (clinical trial OR trial results) ({modality_query})</t>
  </si>
  <si>
    <t>pathogen_query|indication_query;modality_query</t>
  </si>
  <si>
    <t>Alternative Suchperspektive innerhalb des Modulbudgets; Quellen und Datumsfilter im Live-Adapter pruefen.</t>
  </si>
  <si>
    <t>M03_DISCOVERY_2</t>
  </si>
  <si>
    <t>({pathogen_query} OR {indication_query}) (novel target OR mechanism OR preclinical) -review</t>
  </si>
  <si>
    <t>M04_DISCOVERY_2</t>
  </si>
  <si>
    <t>({modality_query}) (guideline OR guidance OR scientific advice) (EMA OR FDA OR PEI)</t>
  </si>
  <si>
    <t>M05_DISCOVERY_2</t>
  </si>
  <si>
    <t>({pathogen_query} OR {topic_query}) ({modality_query}) (grant OR funding call) ({jurisdiction_query})</t>
  </si>
  <si>
    <t>pathogen_query|topic_query;modality_query</t>
  </si>
  <si>
    <t>M06_DISCOVERY_2</t>
  </si>
  <si>
    <t>({pathogen_query} OR {indication_query}) ({modality_query}) (development partnership OR licensing OR nonprofit)</t>
  </si>
  <si>
    <t>M07_DISCOVERY_2</t>
  </si>
  <si>
    <t>({pathogen_query} OR {topic_query}) ({modality_query}) (venture financing OR acquisition OR partnership announcement)</t>
  </si>
  <si>
    <t>M08_DISCOVERY_2</t>
  </si>
  <si>
    <t>({topic_query}) ({modality_query}) (partnering OR conference OR abstract deadline)</t>
  </si>
  <si>
    <t>M09_DISCOVERY_2</t>
  </si>
  <si>
    <t>({pathogen_query} OR {indication_query}) (surveillance OR epidemiology OR unmet need) (WHO OR ECDC)</t>
  </si>
  <si>
    <t>M10_DISCOVERY_2</t>
  </si>
  <si>
    <t>({target_query} OR {pathogen_query}) ({modality_query}) (patent OR patent family)</t>
  </si>
  <si>
    <t>target_query|pathogen_query;modality_query</t>
  </si>
  <si>
    <t>M11_DISCOVERY_2</t>
  </si>
  <si>
    <t>({modality_query}) (manufacturing OR potency assay OR comparability OR GMP) (guideline OR guidance)</t>
  </si>
  <si>
    <t>M12_DISCOVERY_2</t>
  </si>
  <si>
    <t>({topic_query}) ({modality_query}) (reimbursement OR public procurement OR health technology assessment)</t>
  </si>
  <si>
    <t>M03_DISCOVERY_3</t>
  </si>
  <si>
    <t>({pathogen_query} OR {indication_query}) ({modality_query}) (platform OR translational OR proof of concept)</t>
  </si>
  <si>
    <t>Technologieperspektive; keine reine Review-Suche.</t>
  </si>
  <si>
    <t>coverage_id</t>
  </si>
  <si>
    <t>coverage_type</t>
  </si>
  <si>
    <t>official_name</t>
  </si>
  <si>
    <t>routing_tags</t>
  </si>
  <si>
    <t>coverage_assessment</t>
  </si>
  <si>
    <t>priority</t>
  </si>
  <si>
    <t>official_reference</t>
  </si>
  <si>
    <t>reviewed_on</t>
  </si>
  <si>
    <t>RA_MUCOSAL</t>
  </si>
  <si>
    <t>RESEARCH_AREA</t>
  </si>
  <si>
    <t>Ambulant erworbene Infektionen an mukosalen Grenzflaechen</t>
  </si>
  <si>
    <t>SRC-V2-PUBMED;SRC-V2-CTG;SRC-V21-CORDIS</t>
  </si>
  <si>
    <t>SEARCH_ANCHORS_PRESENT_NOT_COMPLETE_PROGRAMME_COVERAGE</t>
  </si>
  <si>
    <t>Early academic enteric, respiratory and mucosal programmes not exhaustively mapped.</t>
  </si>
  <si>
    <t>https://www.dzif.de/de/forschungsbereiche</t>
  </si>
  <si>
    <t>RA_HEPATITIS</t>
  </si>
  <si>
    <t>Hepatitis</t>
  </si>
  <si>
    <t>SRC-BD-034;SRC-V21-VIR;SRC-V2-PUBMED;SRC-V23-INNOVAX</t>
  </si>
  <si>
    <t>CMP-37b3da7d795;CMP-601bca434c7</t>
  </si>
  <si>
    <t>HEV treatment/antibody competitor coverage remains open; preventive Hecolin is only adjacent. No complete clinical pipeline claim.</t>
  </si>
  <si>
    <t>RA_HIV</t>
  </si>
  <si>
    <t>SRC-VIIV;SRC-V21-AVAC_PREVENTION;SRC-V21-AVAC_TREATMENT;SRC-RAD-9142305dd4</t>
  </si>
  <si>
    <t>CMP-5ad19a5f747;CMP-c2df97c26fd</t>
  </si>
  <si>
    <t>Prevention/treatment/cure separated; no comprehensive current asset census.</t>
  </si>
  <si>
    <t>RA_IICH</t>
  </si>
  <si>
    <t>Infektionen im immungeschwaechten Wirt</t>
  </si>
  <si>
    <t>SRC-V2-AICURIS;SRC-V2-EBVALLO;SRC-V2-F2G_SHIONOGI;SRC-V2-IDSA</t>
  </si>
  <si>
    <t>CMP-0c4fb4ab435;CMP-b3350328f73;ENT-V2-PIERRE_FABRE</t>
  </si>
  <si>
    <t>Opportunistic fungi and viral disease represented; population-specific programme coverage incomplete.</t>
  </si>
  <si>
    <t>RA_HAI</t>
  </si>
  <si>
    <t>Gesundheitssystem-assoziierte Infektionen</t>
  </si>
  <si>
    <t>SRC-INFEX-IMAGE;SRC-ARMATA;SRC-V21-GREAT2;SRC-INPUT-WHO_2025</t>
  </si>
  <si>
    <t>CMP-fa8243cafa7;CMP-3a0fa1b3462;CMP-85e7acc8115</t>
  </si>
  <si>
    <t>NCFB/CF findings are not acute HAP/VAP efficacy; true clinical alternatives require live verification.</t>
  </si>
  <si>
    <t>RA_MALARIA_NTD</t>
  </si>
  <si>
    <t>Malaria und vernachlaessigte Tropenkrankheiten</t>
  </si>
  <si>
    <t>MALARIA;NTD</t>
  </si>
  <si>
    <t>SRC-V21-MMV;SRC-V21-DNDI_PORTFOLIO</t>
  </si>
  <si>
    <t>ENT-V2-MMV;CMP-6dcf8867166</t>
  </si>
  <si>
    <t>MMV own site blocked; disease-specific NTD coverage and academic assets remain incomplete.</t>
  </si>
  <si>
    <t>RA_EMERGING</t>
  </si>
  <si>
    <t>Neu auftretende Infektionskrankheiten</t>
  </si>
  <si>
    <t>EMERGING_INFECTIONS;PANDEMIC</t>
  </si>
  <si>
    <t>SRC-GL_CEPI;SRC-V21-WHO_VACCINE;SRC-V21-CORDIS</t>
  </si>
  <si>
    <t>Pipeline breadth depends on target pathogen and latest public data.</t>
  </si>
  <si>
    <t>RA_NEW_ANTIBIOTICS</t>
  </si>
  <si>
    <t>Neue Antibiotika</t>
  </si>
  <si>
    <t>ANTIBACTERIAL;AMR</t>
  </si>
  <si>
    <t>SRC-INPUT-WHO_2025;SRC-RAD-1fb244a155;SRC-V2-GARDP</t>
  </si>
  <si>
    <t>ENT-V2-GARDP;CMP-b82e0112382</t>
  </si>
  <si>
    <t>WHO snapshot and industry directory need asset-level primary confirmation.</t>
  </si>
  <si>
    <t>RA_TB</t>
  </si>
  <si>
    <t>Tuberkulose</t>
  </si>
  <si>
    <t>TUBERCULOSIS</t>
  </si>
  <si>
    <t>SRC-V2-TB_ALLIANCE;SRC-V2-CTG;SRC-V2-PUBMED</t>
  </si>
  <si>
    <t>Clinical regimens, academic compounds and diagnostics need live asset/study mapping.</t>
  </si>
  <si>
    <t>BT_ANTIBODY</t>
  </si>
  <si>
    <t>BRIDGING_TOPIC</t>
  </si>
  <si>
    <t>Antikoerper-basierte Therapien</t>
  </si>
  <si>
    <t>SRC-INFEX-IMAGE;SRC-VIIV;SRC-V21-VIR</t>
  </si>
  <si>
    <t>CMP-fa8243cafa7;CMP-5ad19a5f747;CMP-601bca434c7</t>
  </si>
  <si>
    <t>Subtype and target resolution needed per asset, no generic antibody equivalence.</t>
  </si>
  <si>
    <t>https://www.dzif.de/de/brueckenthemen</t>
  </si>
  <si>
    <t>BT_DIAGNOSTICS</t>
  </si>
  <si>
    <t>Diagnostik</t>
  </si>
  <si>
    <t>SRC-V2-FIND;SRC-V2-ABBOTT;SRC-RAD-d614ffa198;SRC-RAD-1786dd6b66</t>
  </si>
  <si>
    <t>ENT-V2-FIND;ENT-V2-ABBOTT;CMP-b67700d6c62;CMP-6c2d50627b9</t>
  </si>
  <si>
    <t>Assay, intended use, analytes and specimen context not yet complete.</t>
  </si>
  <si>
    <t>BT_GLOBAL_CLIMATE</t>
  </si>
  <si>
    <t>Globale Gesundheit und Klimawandel</t>
  </si>
  <si>
    <t>GLOBAL_HEALTH</t>
  </si>
  <si>
    <t>SRC-V21-GLASS;SRC-V21-EARSNET;SRC-V2-WHO_GUIDE;SRC-V21-DNDI_PORTFOLIO</t>
  </si>
  <si>
    <t>CMP-6dcf8867166;ENT-V2-MMV</t>
  </si>
  <si>
    <t>Climate-driven disease modelling and LMIC implementation evidence remain a gap; no additional generic sources added.</t>
  </si>
  <si>
    <t>BT_MICROBIOME</t>
  </si>
  <si>
    <t>Mikrobiom</t>
  </si>
  <si>
    <t>SRC-FERRING;SRC-V2-FDA_LBP;SRC-RAD-d19726318a</t>
  </si>
  <si>
    <t>CMP-1c39dd558a2;CMP-2e66edddf5d</t>
  </si>
  <si>
    <t>Recurrent CDI is represented; wider infection-modifying consortia and prevention programmes are not exhaustive.</t>
  </si>
  <si>
    <t>BT_SMALL_MOLECULE</t>
  </si>
  <si>
    <t>Niedermolekulare Wirkstoffe</t>
  </si>
  <si>
    <t>SRC-V2-TB_ALLIANCE;SRC-V21-DNDI_PORTFOLIO;SRC-BD-034;SRC-INPUT-WHO_2025</t>
  </si>
  <si>
    <t>ENT-V2-TB_ALLIANCE;CMP-37b3da7d795</t>
  </si>
  <si>
    <t>No imposed company-count parity; project-specific target evidence needed.</t>
  </si>
  <si>
    <t>BT_VACCINES</t>
  </si>
  <si>
    <t>Vakzine</t>
  </si>
  <si>
    <t>SRC-V21-WHO_VACCINE;SRC-GL_CEPI;SRC-BD-020</t>
  </si>
  <si>
    <t>CMP-155bfcfe459;CMP-1dc25b959ce;CMP-24531a6b01f</t>
  </si>
  <si>
    <t>Existing catalogue strong; delivery/platform academic coverage still needs discovery.</t>
  </si>
  <si>
    <t>BT_CELL_GENE</t>
  </si>
  <si>
    <t>Zell- und Gentherapien fuer Infektionskrankheiten</t>
  </si>
  <si>
    <t>SRC-RAD-9142305dd4;SRC-V2-EBVALLO;SRC-V2-EMA_ATMP;SRC-V2-FDA_CGT</t>
  </si>
  <si>
    <t>CMP-c2df97c26fd;ENT-V2-PIERRE_FABRE</t>
  </si>
  <si>
    <t>Clinical/academic viral-specific cellular programmes require live studies/literature mapping.</t>
  </si>
  <si>
    <t>issue_id</t>
  </si>
  <si>
    <t>category</t>
  </si>
  <si>
    <t>severity</t>
  </si>
  <si>
    <t>description</t>
  </si>
  <si>
    <t>required_action</t>
  </si>
  <si>
    <t>Q-0001</t>
  </si>
  <si>
    <t>GROUP_ROUTE</t>
  </si>
  <si>
    <t>MEDIUM</t>
  </si>
  <si>
    <t>Asahi Kasei / Veloxis ist ein gruppierter BD-Einstieg, keine geklaerte einzelne juristische Identitaet.</t>
  </si>
  <si>
    <t>Vor Kontakt Rechtstraeger und aktuelles BD-Team klaeren.</t>
  </si>
  <si>
    <t>OPEN</t>
  </si>
  <si>
    <t>Q-0156</t>
  </si>
  <si>
    <t>FUNDING_SCOPE_REVIEW</t>
  </si>
  <si>
    <t>Quelle im Ursprung als TO_VALIDATE oder intern gekennzeichnet.</t>
  </si>
  <si>
    <t>Programm-/Zugangsprofil vor Eignungsaussage pruefen.</t>
  </si>
  <si>
    <t>Q-0157</t>
  </si>
  <si>
    <t>Q-0158</t>
  </si>
  <si>
    <t>Q-0159</t>
  </si>
  <si>
    <t>Q-0160</t>
  </si>
  <si>
    <t>Q-0161</t>
  </si>
  <si>
    <t>PRIOR_CORRECTION</t>
  </si>
  <si>
    <t>Urspruenglicher TECregen-Link belegt keine Centauri-Beteiligung 2026. Historischer Nachweis 2022 ersetzt die Aussage.</t>
  </si>
  <si>
    <t>Aktuelles Investmentmandat vor Kontakt erneut pruefen.</t>
  </si>
  <si>
    <t>Q-0162</t>
  </si>
  <si>
    <t>GROUP_ALIAS</t>
  </si>
  <si>
    <t>BD-005;BD-008;BD-009;BD-020;BD-043</t>
  </si>
  <si>
    <t>Im Input vermischte Gruppen-/Akquisitionshinweise wurden nicht zu Identitaetsaliasen.</t>
  </si>
  <si>
    <t>Gruppenzuordnungen bei konkretem BD-Fall primaer verifizieren.</t>
  </si>
  <si>
    <t>Q-0163</t>
  </si>
  <si>
    <t>SCOPE_LIMIT</t>
  </si>
  <si>
    <t>ASSET_SEEDS</t>
  </si>
  <si>
    <t>Der Radar-Katalog liefert Beispielnamen, aber keine vollstaendige Asset-Tabelle.</t>
  </si>
  <si>
    <t>Assets im Live-Lauf mit eindeutigen IDs, Rechten, Phasen und Studien nachweisen.</t>
  </si>
  <si>
    <t>Q-0164</t>
  </si>
  <si>
    <t>ACCESS_TEST</t>
  </si>
  <si>
    <t>HIGH</t>
  </si>
  <si>
    <t>Langdock-Zugriff und persistente Ergebnisablage sind noch ungetestet.</t>
  </si>
  <si>
    <t>Datei-Leseweg separat mit vollstaendigem Tabellenexport testen.</t>
  </si>
  <si>
    <t>Q-0165</t>
  </si>
  <si>
    <t>LICENSE</t>
  </si>
  <si>
    <t>GLOBALDATA</t>
  </si>
  <si>
    <t>Nutzungs- und Weitergaberechte der gelieferten GlobalData-abgeleiteten Daten nicht geklaert.</t>
  </si>
  <si>
    <t>Zugriff intern beschraenken; vor externem Hosting/Agentenprovider Nutzungsrahmen klaeren.</t>
  </si>
  <si>
    <t>Q-V2-VENATORX</t>
  </si>
  <si>
    <t>ENTITY_STATUS_UNCLEAR</t>
  </si>
  <si>
    <t>CMP-cfb6a005592</t>
  </si>
  <si>
    <t>Venatorx Webseite nur Wartungsseite; kein aktueller Betriebsstatus ableitbar.</t>
  </si>
  <si>
    <t>Vor Promotion Rechtstraeger/Assetrechte ueber belastbare Primaerquellen klaeren.</t>
  </si>
  <si>
    <t>V2</t>
  </si>
  <si>
    <t>Q-V21-MMV-ACCESS</t>
  </si>
  <si>
    <t>MMV official source returned HTTP 403 in browser research; correct thematic route but access not demonstrated.</t>
  </si>
  <si>
    <t>Approved access/export route or alternative primary source required before live findings. No proxy content claims.</t>
  </si>
  <si>
    <t>V2_1</t>
  </si>
  <si>
    <t>Q-0002</t>
  </si>
  <si>
    <t>PRIMARY_SOURCE_MISSING</t>
  </si>
  <si>
    <t>LOW</t>
  </si>
  <si>
    <t>Kein bestaetigter organisationsspezifischer URL; gezielte Namenssuche ist hinterlegt.</t>
  </si>
  <si>
    <t>Only enrich after independent discovery or explicit promotion. Not a mandatory recurring manual review of all reserve companies.</t>
  </si>
  <si>
    <t>Q-0003</t>
  </si>
  <si>
    <t>Q-0005</t>
  </si>
  <si>
    <t>Q-0006</t>
  </si>
  <si>
    <t>Q-0007</t>
  </si>
  <si>
    <t>Q-0010</t>
  </si>
  <si>
    <t>Q-0012</t>
  </si>
  <si>
    <t>Q-0014</t>
  </si>
  <si>
    <t>Q-0015</t>
  </si>
  <si>
    <t>Q-0017</t>
  </si>
  <si>
    <t>Q-0019</t>
  </si>
  <si>
    <t>Q-0021</t>
  </si>
  <si>
    <t>Q-0022</t>
  </si>
  <si>
    <t>Q-0023</t>
  </si>
  <si>
    <t>Q-0024</t>
  </si>
  <si>
    <t>Q-0025</t>
  </si>
  <si>
    <t>Q-0026</t>
  </si>
  <si>
    <t>Q-0027</t>
  </si>
  <si>
    <t>Q-0028</t>
  </si>
  <si>
    <t>Q-0029</t>
  </si>
  <si>
    <t>Q-0030</t>
  </si>
  <si>
    <t>Q-0031</t>
  </si>
  <si>
    <t>Q-0032</t>
  </si>
  <si>
    <t>Q-0034</t>
  </si>
  <si>
    <t>Q-0035</t>
  </si>
  <si>
    <t>Q-0036</t>
  </si>
  <si>
    <t>Q-0038</t>
  </si>
  <si>
    <t>Q-0039</t>
  </si>
  <si>
    <t>Q-0040</t>
  </si>
  <si>
    <t>Q-0042</t>
  </si>
  <si>
    <t>Q-0043</t>
  </si>
  <si>
    <t>Q-0044</t>
  </si>
  <si>
    <t>Q-0045</t>
  </si>
  <si>
    <t>Q-0046</t>
  </si>
  <si>
    <t>Q-0047</t>
  </si>
  <si>
    <t>Q-0048</t>
  </si>
  <si>
    <t>Q-0049</t>
  </si>
  <si>
    <t>Q-0050</t>
  </si>
  <si>
    <t>Q-0051</t>
  </si>
  <si>
    <t>Q-0052</t>
  </si>
  <si>
    <t>Q-0053</t>
  </si>
  <si>
    <t>Q-0054</t>
  </si>
  <si>
    <t>Q-0055</t>
  </si>
  <si>
    <t>Q-0056</t>
  </si>
  <si>
    <t>Q-0057</t>
  </si>
  <si>
    <t>Q-0058</t>
  </si>
  <si>
    <t>Q-0059</t>
  </si>
  <si>
    <t>Q-0060</t>
  </si>
  <si>
    <t>Q-0061</t>
  </si>
  <si>
    <t>Q-0062</t>
  </si>
  <si>
    <t>Q-0064</t>
  </si>
  <si>
    <t>Q-0066</t>
  </si>
  <si>
    <t>Q-0067</t>
  </si>
  <si>
    <t>Q-0068</t>
  </si>
  <si>
    <t>Q-0069</t>
  </si>
  <si>
    <t>Q-0070</t>
  </si>
  <si>
    <t>Q-0071</t>
  </si>
  <si>
    <t>Q-0072</t>
  </si>
  <si>
    <t>Q-0073</t>
  </si>
  <si>
    <t>Q-0074</t>
  </si>
  <si>
    <t>Q-0075</t>
  </si>
  <si>
    <t>Q-0076</t>
  </si>
  <si>
    <t>Q-0077</t>
  </si>
  <si>
    <t>Q-0078</t>
  </si>
  <si>
    <t>Q-0079</t>
  </si>
  <si>
    <t>Q-0080</t>
  </si>
  <si>
    <t>Q-0081</t>
  </si>
  <si>
    <t>Q-0082</t>
  </si>
  <si>
    <t>Q-0083</t>
  </si>
  <si>
    <t>Q-0084</t>
  </si>
  <si>
    <t>Q-0085</t>
  </si>
  <si>
    <t>Q-0086</t>
  </si>
  <si>
    <t>Q-0087</t>
  </si>
  <si>
    <t>Q-0088</t>
  </si>
  <si>
    <t>Q-0089</t>
  </si>
  <si>
    <t>Q-0090</t>
  </si>
  <si>
    <t>Q-0091</t>
  </si>
  <si>
    <t>Q-0092</t>
  </si>
  <si>
    <t>Q-0093</t>
  </si>
  <si>
    <t>Q-0094</t>
  </si>
  <si>
    <t>Q-0095</t>
  </si>
  <si>
    <t>Q-0096</t>
  </si>
  <si>
    <t>Q-0097</t>
  </si>
  <si>
    <t>Q-0098</t>
  </si>
  <si>
    <t>Q-0099</t>
  </si>
  <si>
    <t>Q-0100</t>
  </si>
  <si>
    <t>Q-0101</t>
  </si>
  <si>
    <t>Q-0102</t>
  </si>
  <si>
    <t>Q-0103</t>
  </si>
  <si>
    <t>Q-0104</t>
  </si>
  <si>
    <t>Q-0105</t>
  </si>
  <si>
    <t>Q-0106</t>
  </si>
  <si>
    <t>Q-0107</t>
  </si>
  <si>
    <t>Q-0108</t>
  </si>
  <si>
    <t>Q-0109</t>
  </si>
  <si>
    <t>Q-0110</t>
  </si>
  <si>
    <t>Q-0111</t>
  </si>
  <si>
    <t>Q-0112</t>
  </si>
  <si>
    <t>Q-0113</t>
  </si>
  <si>
    <t>Q-0114</t>
  </si>
  <si>
    <t>Q-0115</t>
  </si>
  <si>
    <t>Q-0116</t>
  </si>
  <si>
    <t>Q-0117</t>
  </si>
  <si>
    <t>Q-0118</t>
  </si>
  <si>
    <t>Q-0119</t>
  </si>
  <si>
    <t>Q-0120</t>
  </si>
  <si>
    <t>Q-0121</t>
  </si>
  <si>
    <t>Q-0122</t>
  </si>
  <si>
    <t>Q-0123</t>
  </si>
  <si>
    <t>Q-0124</t>
  </si>
  <si>
    <t>Q-0125</t>
  </si>
  <si>
    <t>Q-0126</t>
  </si>
  <si>
    <t>Q-0127</t>
  </si>
  <si>
    <t>Q-0128</t>
  </si>
  <si>
    <t>Q-0129</t>
  </si>
  <si>
    <t>Q-0130</t>
  </si>
  <si>
    <t>Q-0132</t>
  </si>
  <si>
    <t>Q-0133</t>
  </si>
  <si>
    <t>Q-0134</t>
  </si>
  <si>
    <t>Q-0135</t>
  </si>
  <si>
    <t>Q-0136</t>
  </si>
  <si>
    <t>Q-0137</t>
  </si>
  <si>
    <t>Q-0138</t>
  </si>
  <si>
    <t>Q-0139</t>
  </si>
  <si>
    <t>Q-0140</t>
  </si>
  <si>
    <t>Q-0141</t>
  </si>
  <si>
    <t>Q-0142</t>
  </si>
  <si>
    <t>Q-0143</t>
  </si>
  <si>
    <t>Q-0144</t>
  </si>
  <si>
    <t>Q-0145</t>
  </si>
  <si>
    <t>Q-0146</t>
  </si>
  <si>
    <t>Q-0147</t>
  </si>
  <si>
    <t>Q-0148</t>
  </si>
  <si>
    <t>Q-0149</t>
  </si>
  <si>
    <t>Q-0150</t>
  </si>
  <si>
    <t>Q-0151</t>
  </si>
  <si>
    <t>Q-0152</t>
  </si>
  <si>
    <t>Q-0153</t>
  </si>
  <si>
    <t>Q-0154</t>
  </si>
  <si>
    <t>Q-0155</t>
  </si>
  <si>
    <t>Q-0004</t>
  </si>
  <si>
    <t>Read current source verification status. Do not repeat a missing-URL task that has already been resolved.</t>
  </si>
  <si>
    <t>CATALOG_LINK_PRESENT_CONTENT_STATUS_SEPARATE</t>
  </si>
  <si>
    <t>Q-0008</t>
  </si>
  <si>
    <t>Q-0009</t>
  </si>
  <si>
    <t>Q-0011</t>
  </si>
  <si>
    <t>Q-0013</t>
  </si>
  <si>
    <t>Q-0016</t>
  </si>
  <si>
    <t>Q-0018</t>
  </si>
  <si>
    <t>Q-0020</t>
  </si>
  <si>
    <t>Q-0033</t>
  </si>
  <si>
    <t>V23</t>
  </si>
  <si>
    <t>Q-0037</t>
  </si>
  <si>
    <t>Q-0041</t>
  </si>
  <si>
    <t>Q-0063</t>
  </si>
  <si>
    <t>Q-0065</t>
  </si>
  <si>
    <t>Q-0131</t>
  </si>
  <si>
    <t>change_id</t>
  </si>
  <si>
    <t>change_date</t>
  </si>
  <si>
    <t>reason</t>
  </si>
  <si>
    <t>verified_source_url</t>
  </si>
  <si>
    <t>editor</t>
  </si>
  <si>
    <t>CHG-001</t>
  </si>
  <si>
    <t>SCHEMA_V0_2</t>
  </si>
  <si>
    <t>PILOT_REFACTOR</t>
  </si>
  <si>
    <t>20 Quellenzeilen aus 3 Katalogen; 9 eindeutige Organisationen; struktureller Review ohne Vollimport.</t>
  </si>
  <si>
    <t>ASSISTANT_REVIEW</t>
  </si>
  <si>
    <t>CHG-002</t>
  </si>
  <si>
    <t>SOURCE_CORRECTION</t>
  </si>
  <si>
    <t>TECregen-Link nicht als Centauri-Beleg genutzt; historischer Beleg und REVIEW.</t>
  </si>
  <si>
    <t>VERSION_1_0</t>
  </si>
  <si>
    <t>Vollimport aller drei Eingangskataloge; Reserve und Snapshot-Evidenz getrennt.</t>
  </si>
  <si>
    <t>CHG-V2-001</t>
  </si>
  <si>
    <t>STRUCTURE_AND_PRIORITY_GAPS</t>
  </si>
  <si>
    <t>Schema 2.0; M01-M12 sortiert, wichtige Luecken ergaenzt, Runtime/Archiv getrennt. Lokale Tests separat; Live-Integration offen.</t>
  </si>
  <si>
    <t>Research / data review</t>
  </si>
  <si>
    <t>CH-V21-001</t>
  </si>
  <si>
    <t>SOURCE_REGISTRY</t>
  </si>
  <si>
    <t>ADD_SOURCE_ANCHOR</t>
  </si>
  <si>
    <t>ASSISTED_REVIEW_V2_1</t>
  </si>
  <si>
    <t>CH-V21-002</t>
  </si>
  <si>
    <t>SOURCE_ENTITY_MISMATCH_FIXED</t>
  </si>
  <si>
    <t>SRC-BD-014 -&gt; SRC-BD-020; Valneva source kept for Valneva.</t>
  </si>
  <si>
    <t>CH-V21-003</t>
  </si>
  <si>
    <t>CH-V21-004</t>
  </si>
  <si>
    <t>CH-V21-005</t>
  </si>
  <si>
    <t>ENTITY_MASTER</t>
  </si>
  <si>
    <t>CORRECT_OR_ENRICH</t>
  </si>
  <si>
    <t>{"before": {"homepage_url": null}, "after": {"homepage_url": "https://www.cslseqirus.us/"}}</t>
  </si>
  <si>
    <t>CH-V21-006</t>
  </si>
  <si>
    <t>{"before": {"constraints": "saRNA-Kollaboration mit Arcturus 2026 beendet; aktuelle Rechte pruefen.", "fit_note": "Ausgangsbegruendung (nicht neu live validiert): Influenza-Vakzine und dokumentierte Impfstoff-Vermarktungspartnerschaften."}, "after": {"constraints": "Current partnering scope and rights must be checked live. Historical relationship statements retained in original provenance, not used as current restrictions.", "fit_note": "Official CSL Seqirus partnering page supports influenza-vaccine collaboration scope; not evidence of willingness to transact on any particular asset."}}</t>
  </si>
  <si>
    <t>CH-V21-007</t>
  </si>
  <si>
    <t>{"before": {"source_name": "Bioversys AG / Referenzquelle", "source_evidence_type": "INDUSTRY_DIRECTORY", "module_ids": "M01", "access_note": "Aus Nutzerdatei uebernommen; URL und aktueller Inhalt nicht in diesem Vollimport live verifiziert."}, "after": {"source_name": "BEAM Alliance | Cross-company RX/DX pipeline", "source_evidence_type": "INDUSTRY_DIRECTORY", "module_ids": "M01;M03;M06", "access_note": "Industry consortium directory across many developers; NOT Bioversys-specific primary evidence. Verify each asset at developer or study-register level."}}</t>
  </si>
  <si>
    <t>CH-V21-008</t>
  </si>
  <si>
    <t>{"before": {"source_name": "Profionics / Referenzquelle", "source_evidence_type": "INDUSTRY_DIRECTORY", "module_ids": "M01"}, "after": {"source_name": "BEAM Alliance | Member directory", "source_evidence_type": "INDUSTRY_DIRECTORY", "module_ids": "M01;M06"}}</t>
  </si>
  <si>
    <t>CH-V21-009</t>
  </si>
  <si>
    <t>ALIAS_RETAINED</t>
  </si>
  <si>
    <t>Pagination variant of Pfizer partnering; resolve through canonical source SRC-PFIZER-BD. Original URL retained.</t>
  </si>
  <si>
    <t>CH-V21-010</t>
  </si>
  <si>
    <t>CH-V21-011</t>
  </si>
  <si>
    <t>CH-V21-012</t>
  </si>
  <si>
    <t>CH-V21-013</t>
  </si>
  <si>
    <t>CH-V21-014</t>
  </si>
  <si>
    <t>CH-V21-015</t>
  </si>
  <si>
    <t>CH-V21-016</t>
  </si>
  <si>
    <t>CH-V21-017</t>
  </si>
  <si>
    <t>CH-V21-018</t>
  </si>
  <si>
    <t>{"before": {"homepage_url": "https://gardp.org/dndi-gardp-and-mmv-join-forces-to-accelerate-drug-development-for-patients-in-greatest-need/"}, "after": {"homepage_url": "https://www.mmv.org/"}}</t>
  </si>
  <si>
    <t>CH-V21-019</t>
  </si>
  <si>
    <t>SOURCE_OWNER_CORRECTED</t>
  </si>
  <si>
    <t>MMV own entry replaces GARDP alliance announcement as portfolio entry. Alliance source retained as secondary evidence.</t>
  </si>
  <si>
    <t>CH-V21-020</t>
  </si>
  <si>
    <t>CH-V21-021</t>
  </si>
  <si>
    <t>CH-V21-022</t>
  </si>
  <si>
    <t>CH-V21-023</t>
  </si>
  <si>
    <t>CH-V21-024</t>
  </si>
  <si>
    <t>CH-V21-025</t>
  </si>
  <si>
    <t>CH-V21-026</t>
  </si>
  <si>
    <t>CH-V21-027</t>
  </si>
  <si>
    <t>CH-V21-028</t>
  </si>
  <si>
    <t>DIRECT_ENTRY_URL</t>
  </si>
  <si>
    <t>https://www.ema.europa.eu/de/node/70294 -&gt; https://euclinicaltrials.eu/; previous documentation URL retained in audit.</t>
  </si>
  <si>
    <t>CH-V21-029</t>
  </si>
  <si>
    <t>https://www.who.int/tools/clinical-trials-registry-platform -&gt; https://trialsearch.who.int/; previous documentation URL retained in audit.</t>
  </si>
  <si>
    <t>CH-V21-030</t>
  </si>
  <si>
    <t>https://www.ncbi.nlm.nih.gov/home/develop/api/ -&gt; https://pubmed.ncbi.nlm.nih.gov/; previous documentation URL retained in audit.</t>
  </si>
  <si>
    <t>CH-V21-031</t>
  </si>
  <si>
    <t>{"before": {"entry_url": "https://viivhealthcare.com/hiv-research-and-development/our-pipeline/", "web_check_status": "FETCH_FAILED", "access_method": "ACCESS_TEST_REQUIRED", "checked_on": "2026-10-29"}, "after": {"entry_url": "https://viivhcmedinfo.com/our-pipeline/", "web_check_status": "SEARCH_TEXT_READ", "access_method": "DYNAMIC_WEB", "checked_on": "2026-10-29"}}</t>
  </si>
  <si>
    <t>CH-V21-032</t>
  </si>
  <si>
    <t>ADD_MISSING_ANCHOR</t>
  </si>
  <si>
    <t>CH-V21-033</t>
  </si>
  <si>
    <t>CH-V21-034</t>
  </si>
  <si>
    <t>CH-V21-035</t>
  </si>
  <si>
    <t>CH-V21-036</t>
  </si>
  <si>
    <t>CH-V21-037</t>
  </si>
  <si>
    <t>CH-V21-038</t>
  </si>
  <si>
    <t>CH-V21-039</t>
  </si>
  <si>
    <t>MODALITY_ALIAS</t>
  </si>
  <si>
    <t>MAB normalised to ANTIBODY; raw wording preserved in provenance.</t>
  </si>
  <si>
    <t>CH-V21-040</t>
  </si>
  <si>
    <t>CH-V21-041</t>
  </si>
  <si>
    <t>CH-V21-042</t>
  </si>
  <si>
    <t>CH-V21-043</t>
  </si>
  <si>
    <t>CH-V21-044</t>
  </si>
  <si>
    <t>CH-V21-045</t>
  </si>
  <si>
    <t>CH-V21-046</t>
  </si>
  <si>
    <t>CH-V21-047</t>
  </si>
  <si>
    <t>CH-V21-048</t>
  </si>
  <si>
    <t>CH-V21-049</t>
  </si>
  <si>
    <t>CH-V21-050</t>
  </si>
  <si>
    <t>CH-V21-051</t>
  </si>
  <si>
    <t>CH-V21-052</t>
  </si>
  <si>
    <t>CH-V21-053</t>
  </si>
  <si>
    <t>CH-V21-054</t>
  </si>
  <si>
    <t>CH-V21-055</t>
  </si>
  <si>
    <t>CH-V21-056</t>
  </si>
  <si>
    <t>CH-V21-057</t>
  </si>
  <si>
    <t>CH-V21-058</t>
  </si>
  <si>
    <t>CH-V21-059</t>
  </si>
  <si>
    <t>PRIORITY_PRIMARY_URL</t>
  </si>
  <si>
    <t>Own Vir pipeline replaces name-only query. HDV/HIV scope reviewed.</t>
  </si>
  <si>
    <t>CH-V21-060</t>
  </si>
  <si>
    <t>DISCOVERY_ONLY</t>
  </si>
  <si>
    <t>151 profiles kept, not represented as verified competitors. Open discovery is not restricted to this list.</t>
  </si>
  <si>
    <t>CH-V21-061</t>
  </si>
  <si>
    <t>SEED-091ed106a1</t>
  </si>
  <si>
    <t>HISTORICAL_PHASE_QUARANTINED</t>
  </si>
  <si>
    <t>KNOWN_SNAPSHOT_CONFLICT: raw Pre-Registration preserved for audit only; EMA records initial EU authorisation 2023-06-06. Do not use as current stage or export in routine JSON. https://www.ema.europa.eu/en/medicines/human/EPAR/arexvy</t>
  </si>
  <si>
    <t>CH-V21-062</t>
  </si>
  <si>
    <t>CH-V21-063</t>
  </si>
  <si>
    <t>ADD_EXISTING_ENTITY_ROLE</t>
  </si>
  <si>
    <t>Benchmark found missing diagnostics partner role; existing entity ID retained.</t>
  </si>
  <si>
    <t>CH-V21-064</t>
  </si>
  <si>
    <t>{"before": {"topic_tags": "HIV;HEPATITIS;HAI;TUBERCULOSIS;MUCOSAL_INFECTIONS"}, "after": {"topic_tags": "HIV;HEPATITIS;HAI;TUBERCULOSIS;MUCOSAL_INFECTIONS;DIAGNOSTICS"}}</t>
  </si>
  <si>
    <t>CH-V21-065</t>
  </si>
  <si>
    <t>{"before": {"status": "REVIEW", "cautions": "Keine konkrete Konkurrenzklassifikation oder aktuelle Phase ableiten; andere Modalitaeten nicht pauschal ausschliessen."}, "after": {"status": "ACTIVE", "cautions": "Official HIV scope rechecked; programme phase/status must be verified live. Primary source is ViiV Medical Information, not a licensing mandate."}}</t>
  </si>
  <si>
    <t>CHG-V22-ORG-01</t>
  </si>
  <si>
    <t>CURATED_SCOPE_AND_SOURCE</t>
  </si>
  <si>
    <t>Official pipeline includes AR-105/AR-101 Pseudomonas mAbs and separate staphylococcal programmes.</t>
  </si>
  <si>
    <t>CURATED_WEB_REVIEW</t>
  </si>
  <si>
    <t>CHG-V22-ORG-02</t>
  </si>
  <si>
    <t>CHG-V22-ORG-03</t>
  </si>
  <si>
    <t>CHG-V22-ORG-04</t>
  </si>
  <si>
    <t>CHG-V22-ORG-05</t>
  </si>
  <si>
    <t>CHG-V22-ORG-06</t>
  </si>
  <si>
    <t>CHG-V22-ORG-07</t>
  </si>
  <si>
    <t>CHG-V22-ORG-08</t>
  </si>
  <si>
    <t>CHG-V22-ORG-09</t>
  </si>
  <si>
    <t>CHG-V22-ORG-10</t>
  </si>
  <si>
    <t>CHG-V22-MAJOR-1</t>
  </si>
  <si>
    <t>V22-1</t>
  </si>
  <si>
    <t>CURATED_TARGETED_IMPROVEMENT</t>
  </si>
  <si>
    <t>Seven source-grounded entities and their role-specific M01/M06 records</t>
  </si>
  <si>
    <t>CHG-V22-MAJOR-2</t>
  </si>
  <si>
    <t>V22-2</t>
  </si>
  <si>
    <t>Ten existing key company scopes replaced with official pages; historical stage not copied</t>
  </si>
  <si>
    <t>CHG-V22-MAJOR-3</t>
  </si>
  <si>
    <t>V22-3</t>
  </si>
  <si>
    <t>Five institutional/regional programmes plus global health project route</t>
  </si>
  <si>
    <t>CHG-V22-MAJOR-4</t>
  </si>
  <si>
    <t>MATCH_ANCHORS</t>
  </si>
  <si>
    <t>V22-4</t>
  </si>
  <si>
    <t>Ten project-specific portfolio/asset research anchors, no living stage data</t>
  </si>
  <si>
    <t>CHG-V22-MAJOR-5</t>
  </si>
  <si>
    <t>V22-5</t>
  </si>
  <si>
    <t>24 source objects added with scope verification and Langdock UNTESTED status</t>
  </si>
  <si>
    <t>CHG-V22-MAJOR-6</t>
  </si>
  <si>
    <t>GEO_AUDIT</t>
  </si>
  <si>
    <t>V22-6</t>
  </si>
  <si>
    <t>16 federal state routes retained; non-DE country coverage incomplete</t>
  </si>
  <si>
    <t>CHG-V22-MAJOR-7</t>
  </si>
  <si>
    <t>V22-7</t>
  </si>
  <si>
    <t>Auditable optional country fields; no synthetic HQ values</t>
  </si>
  <si>
    <t>CHG-V22-FINAL-QA</t>
  </si>
  <si>
    <t>DATA_COMPLETENESS</t>
  </si>
  <si>
    <t>DQ-01:17</t>
  </si>
  <si>
    <t>AUDIT_AND_BENCHMARK_REFRESH</t>
  </si>
  <si>
    <t>Snapshot of mandatory fields, UNKNOWN and name-search gaps; preserved intentional blanks; 50 structural and 28 selector tests; 13 profile benchmarks.</t>
  </si>
  <si>
    <t>CHG-V23-001</t>
  </si>
  <si>
    <t>ADD</t>
  </si>
  <si>
    <t>Official scope anchor for flagship validation; no status/phase copied.</t>
  </si>
  <si>
    <t>ASSISTANT_SOURCE_BASED_REVIEW</t>
  </si>
  <si>
    <t>CHG-V23-002</t>
  </si>
  <si>
    <t>CHG-V23-003</t>
  </si>
  <si>
    <t>UPDATE</t>
  </si>
  <si>
    <t>CHG-V23-004</t>
  </si>
  <si>
    <t>CHG-V23-005</t>
  </si>
  <si>
    <t>CHG-V23-006</t>
  </si>
  <si>
    <t>CHG-V23-007</t>
  </si>
  <si>
    <t>CHG-V23-008</t>
  </si>
  <si>
    <t>CHG-V23-009</t>
  </si>
  <si>
    <t>CHG-V23-010</t>
  </si>
  <si>
    <t>CHG-V23-011</t>
  </si>
  <si>
    <t>CHG-V23-012</t>
  </si>
  <si>
    <t>CHG-V23-013</t>
  </si>
  <si>
    <t>Fill official identity/source and project-relevant scope; preserve original broad catalogue evidence.</t>
  </si>
  <si>
    <t>CHG-V23-014</t>
  </si>
  <si>
    <t>CHG-V23-015</t>
  </si>
  <si>
    <t>CHG-V23-016</t>
  </si>
  <si>
    <t>CHG-V23-017</t>
  </si>
  <si>
    <t>CHG-V23-018</t>
  </si>
  <si>
    <t>CHG-V23-019</t>
  </si>
  <si>
    <t>CHG-V23-020</t>
  </si>
  <si>
    <t>CHG-V23-021</t>
  </si>
  <si>
    <t>PROMOTE</t>
  </si>
  <si>
    <t>Existing reserve academic programme promoted, not a newly invented ID.</t>
  </si>
  <si>
    <t>CHG-V23-022</t>
  </si>
  <si>
    <t>COVERAGE</t>
  </si>
  <si>
    <t>SHEET</t>
  </si>
  <si>
    <t>Redundant history, reserve or prior validation is kept in supplementary audit archive, not routine maintenance.</t>
  </si>
  <si>
    <t>CHG-V23-023</t>
  </si>
  <si>
    <t>GAP_ANALYSIS</t>
  </si>
  <si>
    <t>CHG-V23-024</t>
  </si>
  <si>
    <t>CHG-V23-025</t>
  </si>
  <si>
    <t>CHG-V23-026</t>
  </si>
  <si>
    <t>CHG-V23-027</t>
  </si>
  <si>
    <t>RESEARCH_LOG</t>
  </si>
  <si>
    <t>CHG-V23-028</t>
  </si>
  <si>
    <t>INTEGRATION</t>
  </si>
  <si>
    <t>CHG-V23-029</t>
  </si>
  <si>
    <t>QA_TESTS</t>
  </si>
  <si>
    <t>CHG-V23-030</t>
  </si>
  <si>
    <t>DISCOVERY_POOL</t>
  </si>
  <si>
    <t>CHG-V23-031</t>
  </si>
  <si>
    <t>ENTITY_MAP</t>
  </si>
  <si>
    <t>CHG-V23-032</t>
  </si>
  <si>
    <t>TAG_MAP</t>
  </si>
  <si>
    <t>CHG-V23-033</t>
  </si>
  <si>
    <t>IMPORT_SUMMARY</t>
  </si>
  <si>
    <t>CHG-V23-034</t>
  </si>
  <si>
    <t>REVIEW_V1_ARCHIVE</t>
  </si>
  <si>
    <t>CHG-V23-035</t>
  </si>
  <si>
    <t>TESTS_V1_ARCHIVE</t>
  </si>
  <si>
    <t>CHG-V23-036</t>
  </si>
  <si>
    <t>TEST_PROFILES</t>
  </si>
  <si>
    <t>CHG-V23-037</t>
  </si>
  <si>
    <t>SELECTION_DEMO</t>
  </si>
  <si>
    <t>CHG-V23-038</t>
  </si>
  <si>
    <t>SOURCE_AUDIT</t>
  </si>
  <si>
    <t>CHG-V23-039</t>
  </si>
  <si>
    <t>RESERVE_PROMOTIONS</t>
  </si>
  <si>
    <t>CHG-V23-040</t>
  </si>
  <si>
    <t>hq_country_iso2;hq_subregion_iso;hq_evidence_url</t>
  </si>
  <si>
    <t>ARCHIVE_FIELDS</t>
  </si>
  <si>
    <t>Not consumed by selector; unverified HQ geography is not applicant geography. Funding geographic gates retained.</t>
  </si>
  <si>
    <t>CHG-V23-041</t>
  </si>
  <si>
    <t>MATCH_RULES</t>
  </si>
  <si>
    <t>rule_id</t>
  </si>
  <si>
    <t>REMOVE_UNUSED_FIELD</t>
  </si>
  <si>
    <t>Empty and unused; rules identified by group plus token.</t>
  </si>
  <si>
    <t>CHG-V23-042</t>
  </si>
  <si>
    <t>QUERY_TEMPLATES</t>
  </si>
  <si>
    <t>M01_DISCOVERY_2</t>
  </si>
  <si>
    <t>ARCHIVE_UNREACHABLE</t>
  </si>
  <si>
    <t>With two configured discovery slots this third generic query never ran; retain two complementary open/academic queries.</t>
  </si>
  <si>
    <t>CHG-V23-043</t>
  </si>
  <si>
    <t>SELECTION_POLICY</t>
  </si>
  <si>
    <t>asset_seed_cap_per_entity;historical_seeds_in_routine</t>
  </si>
  <si>
    <t>REMOVE_UNUSED_CONTROLS</t>
  </si>
  <si>
    <t>Unused duplicate switches; exclusion controlled by master config and exporter.</t>
  </si>
  <si>
    <t>CHG-V23-FINAL-RUNTIME_EXPORT</t>
  </si>
  <si>
    <t>RUNTIME_EXPORT</t>
  </si>
  <si>
    <t>Filter existing DISCOVERY/PAUSED/INACTIVE policy before export; prune unreferenced entity/source graph.</t>
  </si>
  <si>
    <t>LOCAL_REVIEW</t>
  </si>
  <si>
    <t>CHG-V23-FINAL-SELECTION_POLICY</t>
  </si>
  <si>
    <t>General-company cap 5; own-asset and purpose guards; complete EU geographic expansion.</t>
  </si>
  <si>
    <t>CHG-V23-FINAL-FLAGSHIP_CHECK</t>
  </si>
  <si>
    <t>FLAGSHIP_CHECK</t>
  </si>
  <si>
    <t>Eleven source-based real-project scenarios tested, not forced production outputs.</t>
  </si>
  <si>
    <t>CHG-V23-FINAL-REVIEW_QUEUE</t>
  </si>
  <si>
    <t>REVIEW_QUEUE</t>
  </si>
  <si>
    <t>Already supplied primary URLs distinguished from genuine missing-source reserve cases.</t>
  </si>
  <si>
    <t>taxonomy_group</t>
  </si>
  <si>
    <t>value</t>
  </si>
  <si>
    <t>display_label</t>
  </si>
  <si>
    <t>definition</t>
  </si>
  <si>
    <t>raw_aliases</t>
  </si>
  <si>
    <t>PRIORITY</t>
  </si>
  <si>
    <t>Nur kuratierte hohe Basisprioritaet; kein globaler Zwangsabruf.</t>
  </si>
  <si>
    <t>Hohe Basisprioritaet nach Projektfit.</t>
  </si>
  <si>
    <t>Selektiver Kandidat nach Projektfit.</t>
  </si>
  <si>
    <t>P3</t>
  </si>
  <si>
    <t>Nachrangiger Katalogeintrag.</t>
  </si>
  <si>
    <t>STATUS</t>
  </si>
  <si>
    <t>Katalogzustand, nicht Unternehmens- oder Programmstatus.</t>
  </si>
  <si>
    <t>INACTIVE</t>
  </si>
  <si>
    <t>ROUTING_MODE</t>
  </si>
  <si>
    <t>ENTITY_TYPE</t>
  </si>
  <si>
    <t>SERVICE_PROVIDER</t>
  </si>
  <si>
    <t>PARTNER_ROLE</t>
  </si>
  <si>
    <t>APPLICANT</t>
  </si>
  <si>
    <t>PUBLIC_BODY</t>
  </si>
  <si>
    <t>INDUSTRY</t>
  </si>
  <si>
    <t>COMPANY</t>
  </si>
  <si>
    <t>SPINOUT</t>
  </si>
  <si>
    <t>DEVELOPMENT_STAGE</t>
  </si>
  <si>
    <t>LEAD</t>
  </si>
  <si>
    <t>PHASE_1</t>
  </si>
  <si>
    <t>FIH</t>
  </si>
  <si>
    <t>PHASE_2</t>
  </si>
  <si>
    <t>PHASE_3</t>
  </si>
  <si>
    <t>APPROVED</t>
  </si>
  <si>
    <t>ACTIVITY</t>
  </si>
  <si>
    <t>Querschnittsaktivitaet, keine exklusive Entwicklungsphase.</t>
  </si>
  <si>
    <t>COMMERCIALIZATION</t>
  </si>
  <si>
    <t>TRANSLATION</t>
  </si>
  <si>
    <t>MODALITY</t>
  </si>
  <si>
    <t>Oberbegriff; nicht ohne Beleg zu MAB verengen.</t>
  </si>
  <si>
    <t>MAB</t>
  </si>
  <si>
    <t>Deprecated input alias of ANTIBODY; retained for compatibility only. BISPECIFIC must not be flattened.</t>
  </si>
  <si>
    <t>mAb;monoclonal antibody</t>
  </si>
  <si>
    <t>VAC|VACCINES</t>
  </si>
  <si>
    <t>SMD</t>
  </si>
  <si>
    <t>RNA</t>
  </si>
  <si>
    <t>GENE_THERAPY</t>
  </si>
  <si>
    <t>MIC</t>
  </si>
  <si>
    <t>PLATFORM</t>
  </si>
  <si>
    <t>Breiter Portfoliohinweis, nicht Nachweis jeder Einzelmodalitaet.</t>
  </si>
  <si>
    <t>PATHOGEN</t>
  </si>
  <si>
    <t>Pseudomonas aeruginosa</t>
  </si>
  <si>
    <t>Staphylococcus aureus</t>
  </si>
  <si>
    <t>Mycobacterium tuberculosis</t>
  </si>
  <si>
    <t>hepatitis B virus</t>
  </si>
  <si>
    <t>HCV</t>
  </si>
  <si>
    <t>hepatitis C virus</t>
  </si>
  <si>
    <t>SARS_COV_2</t>
  </si>
  <si>
    <t>SARS-CoV-2</t>
  </si>
  <si>
    <t>INDICATION</t>
  </si>
  <si>
    <t>HAP</t>
  </si>
  <si>
    <t>hospital-acquired pneumonia</t>
  </si>
  <si>
    <t>VAP</t>
  </si>
  <si>
    <t>ventilator-associated pneumonia</t>
  </si>
  <si>
    <t>BSI</t>
  </si>
  <si>
    <t>SEPSIS</t>
  </si>
  <si>
    <t>non-cystic fibrosis bronchiectasis</t>
  </si>
  <si>
    <t>CF</t>
  </si>
  <si>
    <t>cystic fibrosis</t>
  </si>
  <si>
    <t>HEP</t>
  </si>
  <si>
    <t>tuberculosis</t>
  </si>
  <si>
    <t>TRANSPLANT</t>
  </si>
  <si>
    <t>healthcare-associated infection</t>
  </si>
  <si>
    <t>TOPIC</t>
  </si>
  <si>
    <t>BACTERIAL</t>
  </si>
  <si>
    <t>VIRAL</t>
  </si>
  <si>
    <t>FUNGAL</t>
  </si>
  <si>
    <t>AMR</t>
  </si>
  <si>
    <t>Querschnittsthema, kein Pathogen.</t>
  </si>
  <si>
    <t>ANTIBACTERIAL</t>
  </si>
  <si>
    <t>ABX</t>
  </si>
  <si>
    <t>EMG</t>
  </si>
  <si>
    <t>MUC</t>
  </si>
  <si>
    <t>ICH</t>
  </si>
  <si>
    <t>RESPIRATORY</t>
  </si>
  <si>
    <t>PANDEMIC</t>
  </si>
  <si>
    <t>PREPAREDNESS</t>
  </si>
  <si>
    <t>THERAPEUTICS</t>
  </si>
  <si>
    <t>MEDTECH</t>
  </si>
  <si>
    <t>REGIONAL</t>
  </si>
  <si>
    <t>INNOVATION</t>
  </si>
  <si>
    <t>HEALTH</t>
  </si>
  <si>
    <t>BASIC</t>
  </si>
  <si>
    <t>GEOGRAPHY</t>
  </si>
  <si>
    <t>Germany</t>
  </si>
  <si>
    <t>INVESTMENT_STAGE</t>
  </si>
  <si>
    <t>APPLICANT_ROUTE</t>
  </si>
  <si>
    <t>ACCESS_STATUS</t>
  </si>
  <si>
    <t>UNIVERSAL</t>
  </si>
  <si>
    <t>Bewusst breit / keine Einschraenkung im Suchindex, keine Eligibility-Zusage.</t>
  </si>
  <si>
    <t>Nicht bekannt. Nie als negatives Ausschlusskriterium verwenden.</t>
  </si>
  <si>
    <t>BIOFILM</t>
  </si>
  <si>
    <t>Kontrollierter Suchbegriff; keine verifizierte Produkteigenschaft. Semikolon trennt Mehrfachwerte.</t>
  </si>
  <si>
    <t>PARASITIC</t>
  </si>
  <si>
    <t>DENGUE</t>
  </si>
  <si>
    <t>INFECTIOUS_BROAD</t>
  </si>
  <si>
    <t>INDUSTRY_PARTNERSHIP</t>
  </si>
  <si>
    <t>PUBLIC_HEALTH</t>
  </si>
  <si>
    <t>NETWORKING</t>
  </si>
  <si>
    <t>RESEARCH_NETWORK</t>
  </si>
  <si>
    <t>EARLY_INNOVATION</t>
  </si>
  <si>
    <t>PROTEIN</t>
  </si>
  <si>
    <t>DELIVERY_PLATFORM</t>
  </si>
  <si>
    <t>LMIC</t>
  </si>
  <si>
    <t>CH</t>
  </si>
  <si>
    <t>FR</t>
  </si>
  <si>
    <t>France</t>
  </si>
  <si>
    <t>ES</t>
  </si>
  <si>
    <t>Spain</t>
  </si>
  <si>
    <t>DK</t>
  </si>
  <si>
    <t>Denmark</t>
  </si>
  <si>
    <t>AU</t>
  </si>
  <si>
    <t>EU_UNCONFIRMED</t>
  </si>
  <si>
    <t>ASIA</t>
  </si>
  <si>
    <t>Herpes simplex virus</t>
  </si>
  <si>
    <t>V2 canonical selection token; unknown remains UNKNOWN.</t>
  </si>
  <si>
    <t>BK_POLYOMAVIRUS</t>
  </si>
  <si>
    <t>BK polyomavirus</t>
  </si>
  <si>
    <t>CMV</t>
  </si>
  <si>
    <t>Cytomegalovirus</t>
  </si>
  <si>
    <t>Epstein-Barr virus</t>
  </si>
  <si>
    <t>Plasmodium falciparum</t>
  </si>
  <si>
    <t>Clostridioides difficile</t>
  </si>
  <si>
    <t>CANDIDA</t>
  </si>
  <si>
    <t>Candida spp.</t>
  </si>
  <si>
    <t>Aspergillus spp.</t>
  </si>
  <si>
    <t>RSV</t>
  </si>
  <si>
    <t>Respiratory syncytial virus</t>
  </si>
  <si>
    <t>Influenza virus</t>
  </si>
  <si>
    <t>Dengue virus</t>
  </si>
  <si>
    <t>K_PNEUMONIAE</t>
  </si>
  <si>
    <t>Klebsiella pneumoniae</t>
  </si>
  <si>
    <t>A_BAUMANNII</t>
  </si>
  <si>
    <t>Acinetobacter baumannii</t>
  </si>
  <si>
    <t>Escherichia coli</t>
  </si>
  <si>
    <t>N_GONORRHOEAE</t>
  </si>
  <si>
    <t>Neisseria gonorrhoeae</t>
  </si>
  <si>
    <t>CONTEXT</t>
  </si>
  <si>
    <t>Qualifying prior ERC grant</t>
  </si>
  <si>
    <t>Eligible EU predecessor project result</t>
  </si>
  <si>
    <t>Documented fit to US medical countermeasure mission</t>
  </si>
  <si>
    <t>Diagnostics developer</t>
  </si>
  <si>
    <t>Product development partnership</t>
  </si>
  <si>
    <t>Diagnostics partner</t>
  </si>
  <si>
    <t>Development / co-development partner</t>
  </si>
  <si>
    <t>WATCH_POLICY</t>
  </si>
  <si>
    <t>Core route within enabled module and matching scope</t>
  </si>
  <si>
    <t>Only with project fit</t>
  </si>
  <si>
    <t>Reserve budget / fallback only</t>
  </si>
  <si>
    <t>PAUSED</t>
  </si>
  <si>
    <t>Do not route</t>
  </si>
  <si>
    <t>Official DZIF research area; separate from pathogen and modality.</t>
  </si>
  <si>
    <t>Official DZIF bridging topic; not a research-area quota.</t>
  </si>
  <si>
    <t>hepatitis D virus</t>
  </si>
  <si>
    <t>Controlled routing token; does not establish an active programme or eligibility.</t>
  </si>
  <si>
    <t>hepatitis E virus</t>
  </si>
  <si>
    <t>HAV</t>
  </si>
  <si>
    <t>Hepatitis A virus</t>
  </si>
  <si>
    <t>P_VIVAX</t>
  </si>
  <si>
    <t>Plasmodium vivax</t>
  </si>
  <si>
    <t>LEISHMANIA</t>
  </si>
  <si>
    <t>Leishmania spp.</t>
  </si>
  <si>
    <t>T_CRUZI</t>
  </si>
  <si>
    <t>Trypanosoma cruzi</t>
  </si>
  <si>
    <t>T_BRUCEI</t>
  </si>
  <si>
    <t>Trypanosoma brucei</t>
  </si>
  <si>
    <t>SCHISTOSOMA</t>
  </si>
  <si>
    <t>Schistosoma spp.</t>
  </si>
  <si>
    <t>CRYPTOCOCCUS</t>
  </si>
  <si>
    <t>Cryptococcus spp.</t>
  </si>
  <si>
    <t>C_AURIS</t>
  </si>
  <si>
    <t>Candida auris</t>
  </si>
  <si>
    <t>H_PYLORI</t>
  </si>
  <si>
    <t>Helicobacter pylori</t>
  </si>
  <si>
    <t>S_PNEUMONIAE</t>
  </si>
  <si>
    <t>Streptococcus pneumoniae</t>
  </si>
  <si>
    <t>ENTEROCOCCUS</t>
  </si>
  <si>
    <t>Enterococcus spp.</t>
  </si>
  <si>
    <t>SALMONELLA</t>
  </si>
  <si>
    <t>Salmonella spp.</t>
  </si>
  <si>
    <t>SHIGELLA</t>
  </si>
  <si>
    <t>Shigella spp.</t>
  </si>
  <si>
    <t>MERS-CoV</t>
  </si>
  <si>
    <t>EBOLA</t>
  </si>
  <si>
    <t>Ebolavirus</t>
  </si>
  <si>
    <t>NIPAH</t>
  </si>
  <si>
    <t>Nipah virus</t>
  </si>
  <si>
    <t>LEISHMANIASIS</t>
  </si>
  <si>
    <t>CHAGAS</t>
  </si>
  <si>
    <t>SLEEPING_SICKNESS</t>
  </si>
  <si>
    <t>SLEEPING SICKNESS</t>
  </si>
  <si>
    <t>SCHISTOSOMIASIS</t>
  </si>
  <si>
    <t>RECURRENT CDI</t>
  </si>
  <si>
    <t>INVASIVE ASPERGILLOSIS</t>
  </si>
  <si>
    <t>INVASIVE_CANDIDIASIS</t>
  </si>
  <si>
    <t>INVASIVE CANDIDIASIS</t>
  </si>
  <si>
    <t>CRYPTOCOCCAL_MENINGITIS</t>
  </si>
  <si>
    <t>CRYPTOCOCCAL MENINGITIS</t>
  </si>
  <si>
    <t>EBV post-transplant lymphoproliferative disorder</t>
  </si>
  <si>
    <t>chronic hepatitis B</t>
  </si>
  <si>
    <t>CHRONIC_HCV</t>
  </si>
  <si>
    <t>CHRONIC HCV</t>
  </si>
  <si>
    <t>chronic hepatitis D</t>
  </si>
  <si>
    <t>HSV INFECTION</t>
  </si>
  <si>
    <t>HIV_PREVENTION</t>
  </si>
  <si>
    <t>HIV PREVENTION</t>
  </si>
  <si>
    <t>HIV_TREATMENT</t>
  </si>
  <si>
    <t>HIV TREATMENT</t>
  </si>
  <si>
    <t>HIV CURE</t>
  </si>
  <si>
    <t>UTI</t>
  </si>
  <si>
    <t>ENTERIC_INFECTION</t>
  </si>
  <si>
    <t>ENTERIC INFECTION</t>
  </si>
  <si>
    <t>COMMUNITY_PNEUMONIA</t>
  </si>
  <si>
    <t>COMMUNITY PNEUMONIA</t>
  </si>
  <si>
    <t>PANDEMIC PREVENTION</t>
  </si>
  <si>
    <t>POPULATION</t>
  </si>
  <si>
    <t>HSCT</t>
  </si>
  <si>
    <t>SOLID_ORGAN_TRANSPLANT</t>
  </si>
  <si>
    <t>SOLID ORGAN TRANSPLANT</t>
  </si>
  <si>
    <t>HAEMATOLOGIC MALIGNANCY</t>
  </si>
  <si>
    <t>NEUTROPENIA</t>
  </si>
  <si>
    <t>PAEDIATRIC</t>
  </si>
  <si>
    <t>ADULT</t>
  </si>
  <si>
    <t>OLDER_ADULT</t>
  </si>
  <si>
    <t>OLDER ADULT</t>
  </si>
  <si>
    <t>GENERAL</t>
  </si>
  <si>
    <t>DIAGNOSIS</t>
  </si>
  <si>
    <t>TARGET</t>
  </si>
  <si>
    <t>PcrV</t>
  </si>
  <si>
    <t>PSL</t>
  </si>
  <si>
    <t>Psl</t>
  </si>
  <si>
    <t>HELICASE PRIMASE</t>
  </si>
  <si>
    <t>VIRAL GENOME</t>
  </si>
  <si>
    <t>EBV ANTIGENS</t>
  </si>
  <si>
    <t>MICROBIOTA</t>
  </si>
  <si>
    <t>MOA</t>
  </si>
  <si>
    <t>BACTERIAL LYSIS</t>
  </si>
  <si>
    <t>MICROBIOTA RESTORATION</t>
  </si>
  <si>
    <t>GENE EDITING</t>
  </si>
  <si>
    <t>T CELL CYTOTOXICITY</t>
  </si>
  <si>
    <t>Marburg virus</t>
  </si>
  <si>
    <t>Filovirus infection</t>
  </si>
  <si>
    <t>Sudan ebolavirus</t>
  </si>
  <si>
    <t>Sudan Ebola virus, not generic Zaire ebolavirus</t>
  </si>
  <si>
    <t>Human papillomavirus</t>
  </si>
  <si>
    <t>HPV-driven infections</t>
  </si>
  <si>
    <t>University of Bonn Medical Faculty</t>
  </si>
  <si>
    <t>Site-specific intramural eligibility</t>
  </si>
  <si>
    <t>Tuebingen Medical Faculty</t>
  </si>
  <si>
    <t>Hannover Medical School</t>
  </si>
  <si>
    <t>MHH employment/affiliation specific</t>
  </si>
  <si>
    <t>Heidelberg Medical Faculty</t>
  </si>
  <si>
    <t>Heidelberg Medical Faculty eligibility</t>
  </si>
  <si>
    <t>E_FAECIUM</t>
  </si>
  <si>
    <t>Enterococcus faecium</t>
  </si>
  <si>
    <t>WOLBACHIA</t>
  </si>
  <si>
    <t>Wolbachia</t>
  </si>
  <si>
    <t>Onchocerca volvulus</t>
  </si>
  <si>
    <t>acute hepatitis E</t>
  </si>
  <si>
    <t>CHRONIC_HEV</t>
  </si>
  <si>
    <t>chronic hepatitis E</t>
  </si>
  <si>
    <t>INTESTINAL_DECOLONIZATION</t>
  </si>
  <si>
    <t>intestinal decolonization</t>
  </si>
  <si>
    <t>nasal decolonization</t>
  </si>
  <si>
    <t>onchocerciasis</t>
  </si>
  <si>
    <t>LYMPHATIC_FILARIASIS</t>
  </si>
  <si>
    <t>lymphatic filariasis</t>
  </si>
  <si>
    <t>infectious mononucleosis</t>
  </si>
  <si>
    <t>Middle East respiratory syndrome</t>
  </si>
  <si>
    <t>endolysin</t>
  </si>
  <si>
    <t>peptide</t>
  </si>
  <si>
    <t>THERAPEUTIC_VACCINE</t>
  </si>
  <si>
    <t>therapeutic vaccine</t>
  </si>
  <si>
    <t>viral vector vaccine</t>
  </si>
  <si>
    <t>mRNA vaccine</t>
  </si>
  <si>
    <t>VLP_VACCINE</t>
  </si>
  <si>
    <t>virus-like particle vaccine</t>
  </si>
  <si>
    <t>hepatitis E capsid ORF2</t>
  </si>
  <si>
    <t>alpha toxin</t>
  </si>
  <si>
    <t>DprE1</t>
  </si>
  <si>
    <t>RNA_POLYMERASE</t>
  </si>
  <si>
    <t>RNA polymerase</t>
  </si>
  <si>
    <t>peptidoglycan</t>
  </si>
  <si>
    <t>HBV_ANTIGENS</t>
  </si>
  <si>
    <t>hepatitis B antigens</t>
  </si>
  <si>
    <t>MERS spike</t>
  </si>
  <si>
    <t>decolonization</t>
  </si>
  <si>
    <t>viral entry inhibition</t>
  </si>
  <si>
    <t>anthelmintic</t>
  </si>
  <si>
    <t>immunization</t>
  </si>
  <si>
    <t>cell wall synthesis inhibition</t>
  </si>
  <si>
    <t>AT</t>
  </si>
  <si>
    <t>Austria</t>
  </si>
  <si>
    <t>BE</t>
  </si>
  <si>
    <t>Belgium</t>
  </si>
  <si>
    <t>BG</t>
  </si>
  <si>
    <t>Bulgaria</t>
  </si>
  <si>
    <t>HR</t>
  </si>
  <si>
    <t>Croatia</t>
  </si>
  <si>
    <t>CY</t>
  </si>
  <si>
    <t>Cyprus</t>
  </si>
  <si>
    <t>CZ</t>
  </si>
  <si>
    <t>Czechia</t>
  </si>
  <si>
    <t>EE</t>
  </si>
  <si>
    <t>Estonia</t>
  </si>
  <si>
    <t>FI</t>
  </si>
  <si>
    <t>Finland</t>
  </si>
  <si>
    <t>GR</t>
  </si>
  <si>
    <t>Greece</t>
  </si>
  <si>
    <t>HU</t>
  </si>
  <si>
    <t>Hungary</t>
  </si>
  <si>
    <t>IE</t>
  </si>
  <si>
    <t>Ireland</t>
  </si>
  <si>
    <t>IT</t>
  </si>
  <si>
    <t>Italy</t>
  </si>
  <si>
    <t>LV</t>
  </si>
  <si>
    <t>Latvia</t>
  </si>
  <si>
    <t>LT</t>
  </si>
  <si>
    <t>Lithuania</t>
  </si>
  <si>
    <t>LU</t>
  </si>
  <si>
    <t>Luxembourg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</si>
  <si>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</si>
  <si>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</si>
  <si>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</si>
  <si>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</si>
  <si>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</si>
  <si>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</si>
  <si>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</si>
  <si>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</si>
  <si>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</si>
  <si>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</si>
  <si>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SK</t>
  </si>
  <si>
    <t>Slovakia</t>
  </si>
  <si>
    <t>SI</t>
  </si>
  <si>
    <t>Slovenia</t>
  </si>
  <si>
    <t>SE</t>
  </si>
  <si>
    <t>Sweden</t>
  </si>
  <si>
    <t>config_key</t>
  </si>
  <si>
    <t>config_value</t>
  </si>
  <si>
    <t>catalog_version</t>
  </si>
  <si>
    <t>2.3.0</t>
  </si>
  <si>
    <t>Efficiency revision and eleven real DZIF flagship scope benchmarks.</t>
  </si>
  <si>
    <t>catalog_review_date</t>
  </si>
  <si>
    <t>Datum dieser Struktur-/Prioritaetenpruefung. Nicht alle historischen Unternehmensdaten sind neu verifiziert.</t>
  </si>
  <si>
    <t>PRIVATE_INTERNAL_USE_SOURCE_RIGHTS_REVIEW_REQUIRED</t>
  </si>
  <si>
    <t>GlobalData-abgeleitete Inhalte: vor Hosting/Weitergabe Nutzungsrechte klaeren; privat allein schafft keine Lizenz.</t>
  </si>
  <si>
    <t>excel_source_of_truth</t>
  </si>
  <si>
    <t>In Excel pflegen, Export deterministisch neu erstellen. Keine unabhaengige manuelle JSON-Pflege.</t>
  </si>
  <si>
    <t>workflow_live_tested</t>
  </si>
  <si>
    <t>Lokale Daten-/Selektortests, kein Live-Lauf im Langdock-Workspace.</t>
  </si>
  <si>
    <t>catalog_owner</t>
  </si>
  <si>
    <t>DZIF TPMO - zu benennen</t>
  </si>
  <si>
    <t>Human owner not supplied; release remains a governance decision, not an invented person.</t>
  </si>
  <si>
    <t>Annual curated review; additional changes only for material acquisition/closure, mandate, source/programme changes or critical errors.</t>
  </si>
  <si>
    <t>results_storage</t>
  </si>
  <si>
    <t>EXTERNAL_PERSISTENT_STORE_REQUIRED</t>
  </si>
  <si>
    <t>Live-Befunde, Fristen, Statusdeltas und Cache gehoeren nicht in den jaehrlichen Master.</t>
  </si>
  <si>
    <t>github_ref_policy</t>
  </si>
  <si>
    <t>PIN_COMMIT_SHA_OR_VERSION_TAG</t>
  </si>
  <si>
    <t>Reproduzierbare Version je Lauf protokollieren; Update nach Validierung freigeben.</t>
  </si>
  <si>
    <t>schema_version</t>
  </si>
  <si>
    <t>2.1.0</t>
  </si>
  <si>
    <t>Runtime envelope 2.1.0. Use selector 2.3.0 for new subtype and own-asset logic.</t>
  </si>
  <si>
    <t>historical_seeds_in_runtime</t>
  </si>
  <si>
    <t>Seeds and discovery pool retained in audit archive, excluded from working workbook and runtime JSON.</t>
  </si>
  <si>
    <t>parameter</t>
  </si>
  <si>
    <t>meaning</t>
  </si>
  <si>
    <t>pathogen_exact</t>
  </si>
  <si>
    <t>Exakter Pathogentreffer; andere Modalitaeten nicht pauschal ausschliessen.</t>
  </si>
  <si>
    <t>indication_exact</t>
  </si>
  <si>
    <t>Exakter Indikationskontext.</t>
  </si>
  <si>
    <t>topic_match</t>
  </si>
  <si>
    <t>Fachlicher Match nach kontrollierter Erweiterung.</t>
  </si>
  <si>
    <t>modality_match</t>
  </si>
  <si>
    <t>Modalitaetsmatch; bei Competitor nicht einziges hartes Ausschlusskriterium.</t>
  </si>
  <si>
    <t>core_route</t>
  </si>
  <si>
    <t>Modulbezogene Basisquelle innerhalb ihres passenden Scopes.</t>
  </si>
  <si>
    <t>broad_scope</t>
  </si>
  <si>
    <t>Bewusst breit kuratierter Eintrag.</t>
  </si>
  <si>
    <t>stage_match</t>
  </si>
  <si>
    <t>Entwicklungsphase ist Soft-Match, kein generischer Eligibility-Nachweis.</t>
  </si>
  <si>
    <t>priority_p0</t>
  </si>
  <si>
    <t>Globale Grundprioritaet, kein Zwangsabruf aller P0.</t>
  </si>
  <si>
    <t>priority_p1</t>
  </si>
  <si>
    <t>Hohe Grundprioritaet nach Projektfit.</t>
  </si>
  <si>
    <t>priority_p2</t>
  </si>
  <si>
    <t>Ergaenzende Grundprioritaet.</t>
  </si>
  <si>
    <t>priority_p3</t>
  </si>
  <si>
    <t>Reserve-Grundprioritaet.</t>
  </si>
  <si>
    <t>target_exact</t>
  </si>
  <si>
    <t>Exact target identity from reviewed scope anchor; not a current clinical claim.</t>
  </si>
  <si>
    <t>moa_match</t>
  </si>
  <si>
    <t>MoA follows pathogen/indication fit.</t>
  </si>
  <si>
    <t>population_match</t>
  </si>
  <si>
    <t>Patient population supports clinical context match.</t>
  </si>
  <si>
    <t>broad_topic_match</t>
  </si>
  <si>
    <t>BACTERIAL/VIRAL/HEALTH etc never outrank specific asset evidence.</t>
  </si>
  <si>
    <t>portfolio_scope_match</t>
  </si>
  <si>
    <t>Source-backed portfolio fit, distinct from asset evidence.</t>
  </si>
  <si>
    <t>anchor_max_age_days</t>
  </si>
  <si>
    <t>Older scope evidence is stale for protected priority, retained as search hint.</t>
  </si>
  <si>
    <t>source_unverified_penalty</t>
  </si>
  <si>
    <t>Unverified/third-party-only source has lower priority; missing data is not proof of absence.</t>
  </si>
  <si>
    <t>diagnostic_technology_fit</t>
  </si>
  <si>
    <t>For diagnosis-intent projects, prioritize verified diagnostic technologies, not therapeutic developers of the same pathogen.</t>
  </si>
  <si>
    <t>diagnostic_vs_therapy_penalty</t>
  </si>
  <si>
    <t>Cross-domain therapeutic watches remain discoverable but must not crowd out diagnostic developers.</t>
  </si>
  <si>
    <t>microbiome_prophylaxis_downrank</t>
  </si>
  <si>
    <t>For microbiome treatment projects, pathogen-matched preventive vaccine work is clinically adjacent, not a direct treatment competitor.</t>
  </si>
  <si>
    <t>general_company_cap</t>
  </si>
  <si>
    <t>At most five general M01 portfolio watches per run; scoped evidence and explicit must-watch unaffected; overflow disclosed.</t>
  </si>
  <si>
    <t>purpose_mismatch_penalty</t>
  </si>
  <si>
    <t>Known prevention vs treatment mismatch stays adjacent, never direct solely by pathogen.</t>
  </si>
  <si>
    <t>group</t>
  </si>
  <si>
    <t>token</t>
  </si>
  <si>
    <t>expands_to</t>
  </si>
  <si>
    <t>note</t>
  </si>
  <si>
    <t>One-way semantic expansion; do not require same modality for exact pathogen competitor.</t>
  </si>
  <si>
    <t>GENE_THERAPY;CELL_GENE_THERAPY</t>
  </si>
  <si>
    <t>Broader selection family; not automatically clinical equivalence.</t>
  </si>
  <si>
    <t>PARASITIC;NTD</t>
  </si>
  <si>
    <t>PATHOGEN_TO_TOPIC</t>
  </si>
  <si>
    <t>BACTERIAL;ANTIBACTERIAL</t>
  </si>
  <si>
    <t>For project normalization only; no unsupported inference of company pathogen assets.</t>
  </si>
  <si>
    <t>TUBERCULOSIS;BACTERIAL</t>
  </si>
  <si>
    <t>HIV;VIRAL</t>
  </si>
  <si>
    <t>HSV;VIRAL</t>
  </si>
  <si>
    <t>BACTERIAL;MICROBIOME</t>
  </si>
  <si>
    <t>VIRAL;RESPIRATORY</t>
  </si>
  <si>
    <t>Input canonicalisation; no inference of subtype from parent.</t>
  </si>
  <si>
    <t>MONOCLONAL_ANTIBODY</t>
  </si>
  <si>
    <t>BISPECIFIC_ANTIBODY</t>
  </si>
  <si>
    <t>PHAGE_THERAPY</t>
  </si>
  <si>
    <t>CELL_AND_GENE_THERAPY</t>
  </si>
  <si>
    <t>Project normalization only, never infer company portfolio.</t>
  </si>
  <si>
    <t>MALARIA;NTD;PARASITIC</t>
  </si>
  <si>
    <t>NTD;PARASITIC</t>
  </si>
  <si>
    <t>EMERGING_INFECTIONS;VIRAL;PANDEMIC;RESPIRATORY</t>
  </si>
  <si>
    <t>EMERGING_INFECTIONS;VIRAL</t>
  </si>
  <si>
    <t>HAP_VAP</t>
  </si>
  <si>
    <t>Intake alias only. No current programme/status inference.</t>
  </si>
  <si>
    <t>HIV_INFECTION</t>
  </si>
  <si>
    <t>HEPATITIS_D</t>
  </si>
  <si>
    <t>Subtype expansion; endolysins are not intact phages; vaccine vectors are not automatically human gene therapy.</t>
  </si>
  <si>
    <t>VACCINE;RNA</t>
  </si>
  <si>
    <t>Search topic expansion, not proof of competitor relation or eligibility.</t>
  </si>
  <si>
    <t>NTD;ANTIBACTERIAL;GLOBAL_HEALTH</t>
  </si>
  <si>
    <t>NTD;PARASITIC;GLOBAL_HEALTH</t>
  </si>
  <si>
    <t>Broad hepatitis fallback; specific virus remains distinct.</t>
  </si>
  <si>
    <t>Geographic membership expands discovery scope only; no grant eligibility inferred.</t>
  </si>
  <si>
    <t>field_name</t>
  </si>
  <si>
    <t>data_type</t>
  </si>
  <si>
    <t>required</t>
  </si>
  <si>
    <t>description_de</t>
  </si>
  <si>
    <t>allowed_values</t>
  </si>
  <si>
    <t>update_policy</t>
  </si>
  <si>
    <t>agent_usage</t>
  </si>
  <si>
    <t>DZIF_COVERAGE</t>
  </si>
  <si>
    <t>text</t>
  </si>
  <si>
    <t>Structured field in DZIF_COVERAGE; routing/audit only, not current live evidence.</t>
  </si>
  <si>
    <t>See TAXONOMY / schema / row context</t>
  </si>
  <si>
    <t>CATALOG_ANNUAL_PLUS_EVENT</t>
  </si>
  <si>
    <t>DO_NOT_EXPORT_TO_AGENT</t>
  </si>
  <si>
    <t>list</t>
  </si>
  <si>
    <t>OPTIONAL</t>
  </si>
  <si>
    <t>Semicolon-separated associated organisations; not automatic ownership/licensing attribution.</t>
  </si>
  <si>
    <t>MODULE_CONFIG</t>
  </si>
  <si>
    <t>REQUIRED</t>
  </si>
  <si>
    <t>Feld des dokumentierten Datenvertrags; kein unbestaetigter Live-Fakt.</t>
  </si>
  <si>
    <t>RUNTIME_OR_DISPLAY_CONTRACT</t>
  </si>
  <si>
    <t>YES startet dieses Modul im Standardplan; NO ist optional, nicht fehlend.</t>
  </si>
  <si>
    <t>number</t>
  </si>
  <si>
    <t>Lokales Kandidatenlimit nach Bewertung aller Zeilen.</t>
  </si>
  <si>
    <t>Obergrenze geplanter Live-Abfragen inklusive reservierter Discovery.</t>
  </si>
  <si>
    <t>TTL-Annahme fuer extern gespeicherten Quellinhalt. Kein Cache wird durch Excel selbst angelegt.</t>
  </si>
  <si>
    <t>Stabile ID des Suchprofils; nie aus der aktuellen Zeilennummer erzeugen.</t>
  </si>
  <si>
    <t>Verweis auf zentrale Organisation; nicht mit Asset-ID verwechseln.</t>
  </si>
  <si>
    <t>DERIVED</t>
  </si>
  <si>
    <t>Abgeleitete Anzeige aus ENTITY_MASTER, ausser im zentralen Entity-Verzeichnis.</t>
  </si>
  <si>
    <t>Suchquelle/Programmfamilie/Entity-Watch, nicht automatisch Live-Asset, Call oder Deal.</t>
  </si>
  <si>
    <t>array_as_semicolon</t>
  </si>
  <si>
    <t>Semikolon-getrennte kanonische TOPIC-Werte; ANY bewusst breit, UNKNOWN unbekannt.</t>
  </si>
  <si>
    <t>TAXONOMY / Felddefinition</t>
  </si>
  <si>
    <t>Kanonische PATHOGEN-Tags. Keine nicht belegten Unternehmens-Pathogene erfinden.</t>
  </si>
  <si>
    <t>Kontrollierte Modalitaeten; in JSON Arrays. Cross-Modality-Wettbewerb nicht pauschal ausschliessen.</t>
  </si>
  <si>
    <t>Verweis auf SOURCE_REGISTRY; gleiche Quelle darf von mehreren Modulen genutzt werden.</t>
  </si>
  <si>
    <t>Globale Grundprioritaet P0-P3; Auswahl erst nach Projektfit.</t>
  </si>
  <si>
    <t>Katalogstatus fuer Auswahl; ACTIVE bedeutet nicht aktuell aktives Unternehmen/Asset.</t>
  </si>
  <si>
    <t>Herkunftsnachweis im lokalen Archiv; keine Rohdaten im Runtime-Prompt.</t>
  </si>
  <si>
    <t>Wichtige Evidenz- und Geltungsgrenzen; an Agenten mitgeben.</t>
  </si>
  <si>
    <t>Abgeleitete Anzeige aus SOURCE_REGISTRY; nur bei Namens-Discovery leer zulaessig.</t>
  </si>
  <si>
    <t>CORE innerhalb passenden Modul-Scopes; CONDITIONAL nach Fit; DISCOVERY nur Reserve; PAUSED inaktiv.</t>
  </si>
  <si>
    <t>Name des Programms/Portals/Quellenprofils, nicht Behauptung eines aktuellen Calls.</t>
  </si>
  <si>
    <t>Rechts-/Marktraum der Quelle; projektbezogenen Scope pruefen.</t>
  </si>
  <si>
    <t>Verweis auf QUERY_TEMPLATES fuer reproduzierbaren Suchauftrag.</t>
  </si>
  <si>
    <t>Review des Quellen-Suchankers, nicht Datum aller darin enthaltenen Fakten.</t>
  </si>
  <si>
    <t>Notwendiger Projektkontext; unbekannt erzeugt NEEDS_INPUT, nicht eine Eligibility-Zusage.</t>
  </si>
  <si>
    <t>Soft-Routing nach Entwicklungsphase. Keine automatische Uebersetzung zu TRL.</t>
  </si>
  <si>
    <t>Quellenbegruendete Einschraenkungen; kein Ersatz fuer Call-spezifische Pruefung.</t>
  </si>
  <si>
    <t>Programm-/Portalhierarchie; erleichtert konsistente Auswahl, beweist keine Foerderfaehigkeit.</t>
  </si>
  <si>
    <t>ANY = mindestens einer dieser Tags; ALL = alle. Zwischen Antragsteller/Region/Institution/Kontext gilt UND.</t>
  </si>
  <si>
    <t>Lizenzpartner, Investor, PDP, Diagnostik- oder Entwicklungspartner als verschiedene Rollen.</t>
  </si>
  <si>
    <t>Finanzierungsphase, getrennt von Wirkstoffentwicklungsphase.</t>
  </si>
  <si>
    <t>CONTROL_OR_AUDIT</t>
  </si>
  <si>
    <t>Organisationstyp; kommerziell, Nonprofit, Investor und Gruppenroute getrennt halten.</t>
  </si>
  <si>
    <t>Optionale belegte Namensvarianten; leer ist zulaessig, wenn keine bekannt sind.</t>
  </si>
  <si>
    <t>Optionale belegte Konzernbeziehung. Nicht fuer jede Organisation erforderlich; keine Eltern-ID erfinden.</t>
  </si>
  <si>
    <t>Offizielle Organisations-Homepage, soweit belegt; fehlend ist ein Review-Hinweis, kein erfundener URL.</t>
  </si>
  <si>
    <t>Quellenanker; nur explizite Namens-Suchstrategie ohne URL zulaessig.</t>
  </si>
  <si>
    <t>Beobachtete Zugriffs-/Prueftiefe. PARTIAL/BLOCKED ist nicht null Treffer.</t>
  </si>
  <si>
    <t>Datum der angegebenen Quellenpruefung; review_batch trennt neue und geerbte Pruefungen.</t>
  </si>
  <si>
    <t>Pruefkontext/Version; inhaltliche und technische Verifikation bleiben getrennt.</t>
  </si>
  <si>
    <t>Nur fuer dokumentierte API-Adapter; Webquellen koennen dieses Feld leer lassen.</t>
  </si>
  <si>
    <t>Nur bei mehrseitigen strukturierten API-Abfragen erforderlich; kein universelles Pflichtfeld.</t>
  </si>
  <si>
    <t>Publisher/source class distinct from content and technical access checks.</t>
  </si>
  <si>
    <t>Exact scope of content review; no inference of live Langdock reachability.</t>
  </si>
  <si>
    <t>Structured field in SOURCE_REGISTRY; routing/audit only, not current live evidence.</t>
  </si>
  <si>
    <t>Canonical source ID; self-reference means canonical; aliases retain original IDs.</t>
  </si>
  <si>
    <t>Structured field in MATCH_ANCHORS; routing/audit only, not current live evidence.</t>
  </si>
  <si>
    <t>Bei ASSET_SCOPE erforderlich; Portfolio-Suchanker besitzen keine erfundene Asset-ID.</t>
  </si>
  <si>
    <t>Controlled molecular/antigen target tokens; UNKNOWN is not a negative fact.</t>
  </si>
  <si>
    <t>Controlled host/patient-context tokens; complements indication.</t>
  </si>
  <si>
    <t>TREATMENT, PREVENTION or DIAGNOSIS; not interchangeable.</t>
  </si>
  <si>
    <t>Date of scope review for annual expiry checks.</t>
  </si>
  <si>
    <t>Only source-backed programme/scope identity reviewed; not current development phase.</t>
  </si>
  <si>
    <t>Structured field in QUERY_TEMPLATES; routing/audit only, not current live evidence.</t>
  </si>
  <si>
    <t>STRUCTURAL_TESTS</t>
  </si>
  <si>
    <t>test_id</t>
  </si>
  <si>
    <t>TEXT</t>
  </si>
  <si>
    <t>Feld test_id im Kontext STRUCTURAL_TESTS; Definition durch zugehoerigen Datensatz.</t>
  </si>
  <si>
    <t>EXECUTED_TEST_ONLY</t>
  </si>
  <si>
    <t>test_group</t>
  </si>
  <si>
    <t>Feld test_group im Kontext STRUCTURAL_TESTS; Definition durch zugehoerigen Datensatz.</t>
  </si>
  <si>
    <t>test_name</t>
  </si>
  <si>
    <t>Feld test_name im Kontext STRUCTURAL_TESTS; Definition durch zugehoerigen Datensatz.</t>
  </si>
  <si>
    <t>observed</t>
  </si>
  <si>
    <t>Feld observed im Kontext STRUCTURAL_TESTS; Definition durch zugehoerigen Datensatz.</t>
  </si>
  <si>
    <t>limit</t>
  </si>
  <si>
    <t>Feld limit im Kontext STRUCTURAL_TESTS; Definition durch zugehoerigen Datensatz.</t>
  </si>
  <si>
    <t>tested_on</t>
  </si>
  <si>
    <t>Feld tested_on im Kontext STRUCTURAL_TESTS; Definition durch zugehoerigen Datensatz.</t>
  </si>
  <si>
    <t>PROJECT_RELEVANCE_TESTS</t>
  </si>
  <si>
    <t>profile_id</t>
  </si>
  <si>
    <t>Feld profile_id im Kontext PROJECT_RELEVANCE_TESTS; Definition durch zugehoerigen Datensatz.</t>
  </si>
  <si>
    <t>profile_name</t>
  </si>
  <si>
    <t>Feld profile_name im Kontext PROJECT_RELEVANCE_TESTS; Definition durch zugehoerigen Datensatz.</t>
  </si>
  <si>
    <t>expected_entities</t>
  </si>
  <si>
    <t>Feld expected_entities im Kontext PROJECT_RELEVANCE_TESTS; Definition durch zugehoerigen Datensatz.</t>
  </si>
  <si>
    <t>considered_entities</t>
  </si>
  <si>
    <t>Feld considered_entities im Kontext PROJECT_RELEVANCE_TESTS; Definition durch zugehoerigen Datensatz.</t>
  </si>
  <si>
    <t>planned_entities</t>
  </si>
  <si>
    <t>Feld planned_entities im Kontext PROJECT_RELEVANCE_TESTS; Definition durch zugehoerigen Datensatz.</t>
  </si>
  <si>
    <t>budget_gaps</t>
  </si>
  <si>
    <t>Feld budget_gaps im Kontext PROJECT_RELEVANCE_TESTS; Definition durch zugehoerigen Datensatz.</t>
  </si>
  <si>
    <t>negative_controls</t>
  </si>
  <si>
    <t>Feld negative_controls im Kontext PROJECT_RELEVANCE_TESTS; Definition durch zugehoerigen Datensatz.</t>
  </si>
  <si>
    <t>local_result</t>
  </si>
  <si>
    <t>Feld local_result im Kontext PROJECT_RELEVANCE_TESTS; Definition durch zugehoerigen Datensatz.</t>
  </si>
  <si>
    <t>content_acceptance</t>
  </si>
  <si>
    <t>Feld content_acceptance im Kontext PROJECT_RELEVANCE_TESTS; Definition durch zugehoerigen Datensatz.</t>
  </si>
  <si>
    <t>langdock_test</t>
  </si>
  <si>
    <t>Feld langdock_test im Kontext PROJECT_RELEVANCE_TESTS; Definition durch zugehoerigen Datensatz.</t>
  </si>
  <si>
    <t>Feld scope_note im Kontext PROJECT_RELEVANCE_TESTS; Definition durch zugehoerigen Datensatz.</t>
  </si>
  <si>
    <t>CHANGELOG</t>
  </si>
  <si>
    <t>TAXONOMY</t>
  </si>
  <si>
    <t>Feld issue_id im Kontext REVIEW_QUEUE; Definition durch zugehoerigen Datensatz.</t>
  </si>
  <si>
    <t>ANNUAL_OR_MATERIAL_CHANGE</t>
  </si>
  <si>
    <t>Feld category im Kontext REVIEW_QUEUE; Definition durch zugehoerigen Datensatz.</t>
  </si>
  <si>
    <t>Feld record_id im Kontext REVIEW_QUEUE; Definition durch zugehoerigen Datensatz.</t>
  </si>
  <si>
    <t>Feld severity im Kontext REVIEW_QUEUE; Definition durch zugehoerigen Datensatz.</t>
  </si>
  <si>
    <t>Feld description im Kontext REVIEW_QUEUE; Definition durch zugehoerigen Datensatz.</t>
  </si>
  <si>
    <t>Feld required_action im Kontext REVIEW_QUEUE; Definition durch zugehoerigen Datensatz.</t>
  </si>
  <si>
    <t>Feld reviewed_on im Kontext REVIEW_QUEUE; Definition durch zugehoerigen Datensatz.</t>
  </si>
  <si>
    <t>MASTER_CONFIG</t>
  </si>
  <si>
    <t>OUTPUT_SCHEMA</t>
  </si>
  <si>
    <t>example</t>
  </si>
  <si>
    <t>belongs_to</t>
  </si>
  <si>
    <t>storage</t>
  </si>
  <si>
    <t>PROVENANCE</t>
  </si>
  <si>
    <t>Feld provenance_id im Kontext PROVENANCE; Definition durch zugehoerigen Datensatz.</t>
  </si>
  <si>
    <t>source_file</t>
  </si>
  <si>
    <t>Feld source_file im Kontext PROVENANCE; Definition durch zugehoerigen Datensatz.</t>
  </si>
  <si>
    <t>source_sheet</t>
  </si>
  <si>
    <t>Feld source_sheet im Kontext PROVENANCE; Definition durch zugehoerigen Datensatz.</t>
  </si>
  <si>
    <t>source_row</t>
  </si>
  <si>
    <t>Feld source_row im Kontext PROVENANCE; Definition durch zugehoerigen Datensatz.</t>
  </si>
  <si>
    <t>original_id</t>
  </si>
  <si>
    <t>Feld original_id im Kontext PROVENANCE; Definition durch zugehoerigen Datensatz.</t>
  </si>
  <si>
    <t>original_name</t>
  </si>
  <si>
    <t>Feld original_name im Kontext PROVENANCE; Definition durch zugehoerigen Datensatz.</t>
  </si>
  <si>
    <t>target_sheet</t>
  </si>
  <si>
    <t>Feld target_sheet im Kontext PROVENANCE; Definition durch zugehoerigen Datensatz.</t>
  </si>
  <si>
    <t>target_id</t>
  </si>
  <si>
    <t>Feld target_id im Kontext PROVENANCE; Definition durch zugehoerigen Datensatz.</t>
  </si>
  <si>
    <t>Feld entity_id im Kontext PROVENANCE; Definition durch zugehoerigen Datensatz.</t>
  </si>
  <si>
    <t>source_as_of</t>
  </si>
  <si>
    <t>Feld source_as_of im Kontext PROVENANCE; Definition durch zugehoerigen Datensatz.</t>
  </si>
  <si>
    <t>upstream_checked_on</t>
  </si>
  <si>
    <t>Feld upstream_checked_on im Kontext PROVENANCE; Definition durch zugehoerigen Datensatz.</t>
  </si>
  <si>
    <t>imported_on</t>
  </si>
  <si>
    <t>Feld imported_on im Kontext PROVENANCE; Definition durch zugehoerigen Datensatz.</t>
  </si>
  <si>
    <t>review_level</t>
  </si>
  <si>
    <t>Feld review_level im Kontext PROVENANCE; Definition durch zugehoerigen Datensatz.</t>
  </si>
  <si>
    <t>primary_reviewed_on</t>
  </si>
  <si>
    <t>Feld primary_reviewed_on im Kontext PROVENANCE; Definition durch zugehoerigen Datensatz.</t>
  </si>
  <si>
    <t>review_scope</t>
  </si>
  <si>
    <t>Feld review_scope im Kontext PROVENANCE; Definition durch zugehoerigen Datensatz.</t>
  </si>
  <si>
    <t>original_source_url</t>
  </si>
  <si>
    <t>Feld original_source_url im Kontext PROVENANCE; Definition durch zugehoerigen Datensatz.</t>
  </si>
  <si>
    <t>snapshot_note</t>
  </si>
  <si>
    <t>Feld snapshot_note im Kontext PROVENANCE; Definition durch zugehoerigen Datensatz.</t>
  </si>
  <si>
    <t>transformation_note</t>
  </si>
  <si>
    <t>Feld transformation_note im Kontext PROVENANCE; Definition durch zugehoerigen Datensatz.</t>
  </si>
  <si>
    <t>raw_record_json</t>
  </si>
  <si>
    <t>Feld raw_record_json im Kontext PROVENANCE; Definition durch zugehoerigen Datensatz.</t>
  </si>
  <si>
    <t>Feld project_id im Kontext FLAGSHIP_CHECK; Definition durch zugehoerigen Datensatz.</t>
  </si>
  <si>
    <t>Feld project_name im Kontext FLAGSHIP_CHECK; Definition durch zugehoerigen Datensatz.</t>
  </si>
  <si>
    <t>Belegter Projektumfang fuer den Benchmark; keine bestaetigte aktuelle Phase.</t>
  </si>
  <si>
    <t>Feld change im Kontext FLAGSHIP_CHECK; Definition durch zugehoerigen Datensatz.</t>
  </si>
  <si>
    <t>Feld official_url im Kontext FLAGSHIP_CHECK; Definition durch zugehoerigen Datensatz.</t>
  </si>
  <si>
    <t>Offengelegte Antragsteller-/Phasenannahmen des Testprofils.</t>
  </si>
  <si>
    <t>Feld m01_profiles_before im Kontext FLAGSHIP_CHECK; Definition durch zugehoerigen Datensatz.</t>
  </si>
  <si>
    <t>Feld m01_profiles_after im Kontext FLAGSHIP_CHECK; Definition durch zugehoerigen Datensatz.</t>
  </si>
  <si>
    <t>Feld m01_planned_live_requests im Kontext FLAGSHIP_CHECK; Definition durch zugehoerigen Datensatz.</t>
  </si>
  <si>
    <t>Im Test beobachtete Suchanker, keine gemessene Vollstaendigkeit der Marktrecherche.</t>
  </si>
  <si>
    <t>Feld remaining_gap im Kontext FLAGSHIP_CHECK; Definition durch zugehoerigen Datensatz.</t>
  </si>
  <si>
    <t>Lokale Routingbeobachtung getrennt von fachlicher und Live-Connector-Abnahme.</t>
  </si>
  <si>
    <t>EFFICIENCY_REVIEW</t>
  </si>
  <si>
    <t>Feld review_id im Kontext EFFICIENCY_REVIEW; Definition durch zugehoerigen Datensatz.</t>
  </si>
  <si>
    <t>Feld area im Kontext EFFICIENCY_REVIEW; Definition durch zugehoerigen Datensatz.</t>
  </si>
  <si>
    <t>Feld decision im Kontext EFFICIENCY_REVIEW; Definition durch zugehoerigen Datensatz.</t>
  </si>
  <si>
    <t>Feld action im Kontext EFFICIENCY_REVIEW; Definition durch zugehoerigen Datensatz.</t>
  </si>
  <si>
    <t>Feld remaining_validation im Kontext EFFICIENCY_REVIEW; Definition durch zugehoerigen Datensatz.</t>
  </si>
  <si>
    <t>run_id</t>
  </si>
  <si>
    <t>ID</t>
  </si>
  <si>
    <t>Pflicht</t>
  </si>
  <si>
    <t>Eindeutiger Workflow-Lauf für Rückverfolgbarkeit.</t>
  </si>
  <si>
    <t>RUN-2026-001</t>
  </si>
  <si>
    <t>ALL_MODULES</t>
  </si>
  <si>
    <t>SEPARATE_RESULTS_STORE</t>
  </si>
  <si>
    <t>Kennung des analysierten Projekts.</t>
  </si>
  <si>
    <t>PRJ-001</t>
  </si>
  <si>
    <t>Enum</t>
  </si>
  <si>
    <t>Erzeugendes Modul, M01 bis M12.</t>
  </si>
  <si>
    <t>finding_id</t>
  </si>
  <si>
    <t>Stabile ID des Befunds; Datensatz kann in Folgeläufen fortgeschrieben werden.</t>
  </si>
  <si>
    <t>FND-0001</t>
  </si>
  <si>
    <t>entity_key</t>
  </si>
  <si>
    <t>Referenz auf Asset/Studie/Firma/Programm, wo möglich unveränderlich.</t>
  </si>
  <si>
    <t>NCT00000000</t>
  </si>
  <si>
    <t>watch_record_id</t>
  </si>
  <si>
    <t>Optional</t>
  </si>
  <si>
    <t>Optionale ID des Mastereintrags, der den Fund ausgelöst hat.</t>
  </si>
  <si>
    <t>M02-0001</t>
  </si>
  <si>
    <t>finding_type</t>
  </si>
  <si>
    <t>Kontrollierte Klasse, z. B. TRIAL_UPDATE, NEW_CALL, PARTNER_SIGNAL.</t>
  </si>
  <si>
    <t>NEW_CALL</t>
  </si>
  <si>
    <t>title</t>
  </si>
  <si>
    <t>Text</t>
  </si>
  <si>
    <t>Kurztitel des Ergebnisses.</t>
  </si>
  <si>
    <t>Neuer Call identifiziert</t>
  </si>
  <si>
    <t>summary</t>
  </si>
  <si>
    <t>Belegbare inhaltliche Zusammenfassung des neuen Sachverhalts.</t>
  </si>
  <si>
    <t>Kurzbefund</t>
  </si>
  <si>
    <t>event_date</t>
  </si>
  <si>
    <t>Datum</t>
  </si>
  <si>
    <t>Datum der Entwicklung, falls bekannt; sonst leer.</t>
  </si>
  <si>
    <t>2026-10-15</t>
  </si>
  <si>
    <t>retrieved_at</t>
  </si>
  <si>
    <t>Datetime</t>
  </si>
  <si>
    <t>Zeitpunkt des technischen Abrufs (ISO 8601 mit Zeitzone).</t>
  </si>
  <si>
    <t>2026-10-29T08:00:00+01:00</t>
  </si>
  <si>
    <t>Optional verknüpfte Quelle aus SOURCE_REGISTRY.</t>
  </si>
  <si>
    <t>SRC-0001</t>
  </si>
  <si>
    <t>URL</t>
  </si>
  <si>
    <t>Direkter Primärbeleg für den Befund, nicht nur Startseite.</t>
  </si>
  <si>
    <t>https://example.org/record</t>
  </si>
  <si>
    <t>source_published_at</t>
  </si>
  <si>
    <t>Veröffentlichungs-/Aktualisierungsdatum der Quelle, falls ausgewiesen.</t>
  </si>
  <si>
    <t>2026-10-27</t>
  </si>
  <si>
    <t>evidence_note</t>
  </si>
  <si>
    <t>Empfohlen</t>
  </si>
  <si>
    <t>Kurzes konkretes Belegdetail; Zitate nur angemessen und quellengetreu.</t>
  </si>
  <si>
    <t>Registry-Feld: status = RECRUITING</t>
  </si>
  <si>
    <t>VERIFIED, PARTIAL, UNVERIFIED, CONFLICTED.</t>
  </si>
  <si>
    <t>VERIFIED</t>
  </si>
  <si>
    <t>change_type</t>
  </si>
  <si>
    <t>NEW, UPDATED, UNCHANGED, RESOLVED, NOT_APPLICABLE.</t>
  </si>
  <si>
    <t>NEW</t>
  </si>
  <si>
    <t>project_fit_score</t>
  </si>
  <si>
    <t>Number</t>
  </si>
  <si>
    <t>Optionaler projektbezogener Fit 0-100; vom globalen base_priority getrennt.</t>
  </si>
  <si>
    <t>85</t>
  </si>
  <si>
    <t>strategic_impact</t>
  </si>
  <si>
    <t>HIGH, MEDIUM, LOW, UNKNOWN + kurze Begründung im Report.</t>
  </si>
  <si>
    <t>recommended_action</t>
  </si>
  <si>
    <t>Konkreter nächster Schritt; ggf. REVIEW_REQUIRED.</t>
  </si>
  <si>
    <t>Call-Voraussetzungen validieren</t>
  </si>
  <si>
    <t>review_status</t>
  </si>
  <si>
    <t>PENDING, APPROVED, REJECTED für Human-in-the-Loop.</t>
  </si>
  <si>
    <t>PENDING</t>
  </si>
  <si>
    <t>dedup_key</t>
  </si>
  <si>
    <t>Reproduzierbarer Schlüssel für Update-/Dubletten-Erkennung.</t>
  </si>
  <si>
    <t>module|entity|fact-type</t>
  </si>
  <si>
    <t>asset_name;development_stage;target_moa;milestone_date</t>
  </si>
  <si>
    <t>MODULE_SPECIFIC</t>
  </si>
  <si>
    <t>Produkt-/Wettbewerbslage als dynamische Fakten.</t>
  </si>
  <si>
    <t>registry_id;study_status;phase;enrollment;primary_endpoint</t>
  </si>
  <si>
    <t>Studienregisterwerte jeweils aus dem aktuellen Register.</t>
  </si>
  <si>
    <t>doi;pmid;publication_date;study_type</t>
  </si>
  <si>
    <t>Publikationsidentität und wissenschaftliche Einordnung.</t>
  </si>
  <si>
    <t>authority;guideline_id;version;effective_date</t>
  </si>
  <si>
    <t>Behördenentscheidung und Versionsänderung.</t>
  </si>
  <si>
    <t>call_id;deadline;funding_amount;eligibility;funder</t>
  </si>
  <si>
    <t>Konkrete Calls, Zeitpunkte und Förderfähigkeit.</t>
  </si>
  <si>
    <t>partner_company_id;strategic_signal;partner_fit;contact_route</t>
  </si>
  <si>
    <t>BD-Kandidat und aktuelle Evidenz für strategischen Fit.</t>
  </si>
  <si>
    <t>deal_id;deal_date;deal_type;deal_value;counterparties</t>
  </si>
  <si>
    <t>Deal-Fakten inkl. unbelegter/undisclosed Werte als leer.</t>
  </si>
  <si>
    <t>event_date;location;abstract_deadline;partnering_deadline</t>
  </si>
  <si>
    <t>Editionstermine und aktive Fristen.</t>
  </si>
  <si>
    <t>guideline_version;soc_change;population;evidence_grade</t>
  </si>
  <si>
    <t>Klinische Praxis und Versorgungslage.</t>
  </si>
  <si>
    <t>publication_no;family_id;priority_date;claim_focus</t>
  </si>
  <si>
    <t>Patente als Screening, nicht als FTO-Rechtsgutachten.</t>
  </si>
  <si>
    <t>process_topic;modality;quality_requirement;technology_milestone</t>
  </si>
  <si>
    <t>Aktuelle Herstell-, Quality- oder Zulieferentwicklungen.</t>
  </si>
  <si>
    <t>jurisdiction;policy_status;policy_date;access_impact</t>
  </si>
  <si>
    <t>Regelungs-/HTA-/Access-Veränderung.</t>
  </si>
  <si>
    <t>retrieval_status</t>
  </si>
  <si>
    <t>ENUM</t>
  </si>
  <si>
    <t>SUCCESS / PARTIAL / FAILED / NOT_ATTEMPTED, nicht mit no_change verwechseln.</t>
  </si>
  <si>
    <t>selection_reason</t>
  </si>
  <si>
    <t>Warum ausgewaehlt; Relevanzklasse, Basisprioritaet und ggf. Budgetueberlauf.</t>
  </si>
  <si>
    <t>EXACT_PATHOGEN</t>
  </si>
  <si>
    <t>eligibility_status</t>
  </si>
  <si>
    <t>Bedingt</t>
  </si>
  <si>
    <t>UNKNOWN / TO_VERIFY / ELIGIBLE / INELIGIBLE; ELIGIBLE nur mit aktuellen Call-Belegen.</t>
  </si>
  <si>
    <t>TO_VERIFY</t>
  </si>
  <si>
    <t>coverage_gaps</t>
  </si>
  <si>
    <t>Liste</t>
  </si>
  <si>
    <t>Nicht gepruefte, technisch fehlgeschlagene oder budgetbedingt verschobene Quellen.</t>
  </si>
  <si>
    <t>STRING</t>
  </si>
  <si>
    <t>Version of reference index; not date of all underlying facts.</t>
  </si>
  <si>
    <t>catalog_sha256</t>
  </si>
  <si>
    <t>Canonical runtime content checksum.</t>
  </si>
  <si>
    <t>source_checked_at</t>
  </si>
  <si>
    <t>ISO_DATETIME</t>
  </si>
  <si>
    <t>Time of actual source access.</t>
  </si>
  <si>
    <t>verification_level</t>
  </si>
  <si>
    <t>FACT_VERIFIED / SOURCE_ONLY / NEEDS_REVIEW.</t>
  </si>
  <si>
    <t>budget_overflow</t>
  </si>
  <si>
    <t>ARRAY</t>
  </si>
  <si>
    <t>Relevant records not checked because caps were reached.</t>
  </si>
  <si>
    <t>document_status</t>
  </si>
  <si>
    <t>ENUM_OR_NULL</t>
  </si>
  <si>
    <t>DRAFT / FINAL / SUPERSEDED for regulatory sources.</t>
  </si>
  <si>
    <t>publication_status</t>
  </si>
  <si>
    <t>PREPRINT / PEER_REVIEWED / RETRACTED / UNKNOWN.</t>
  </si>
  <si>
    <t>transaction_values</t>
  </si>
  <si>
    <t>OBJECT_OR_NULL</t>
  </si>
  <si>
    <t>Separate upfront, contingent milestones, total potential, currency.</t>
  </si>
  <si>
    <t>registry_ids</t>
  </si>
  <si>
    <t>Cross-registry IDs for deduplication.</t>
  </si>
  <si>
    <t>patent_family_id</t>
  </si>
  <si>
    <t>STRING_OR_NULL</t>
  </si>
  <si>
    <t>Family ID; legal state checked separately; no FTO inference.</t>
  </si>
  <si>
    <t>array[string]</t>
  </si>
  <si>
    <t>Stable organisational IDs; multiple developers/partners possible.</t>
  </si>
  <si>
    <t>EXTERNAL_RESULTS_STORE</t>
  </si>
  <si>
    <t>string</t>
  </si>
  <si>
    <t>Stable asset identifier, independent of company and trade name; resolver required.</t>
  </si>
  <si>
    <t>study_ids</t>
  </si>
  <si>
    <t>Namespaced original registry IDs, e.g. NCT:, EUCT:, DRKS:, ISRCTN:; never invent.</t>
  </si>
  <si>
    <t>asset_entity_roles</t>
  </si>
  <si>
    <t>array[object]</t>
  </si>
  <si>
    <t>asset_id, entity_id, role, jurisdiction, effective_date, source_url; sourced many-to-many relation.</t>
  </si>
  <si>
    <t>competition_relation</t>
  </si>
  <si>
    <t>DIRECT_ASSET / CLINICAL_ALTERNATIVE / PATHOGEN_RELATED / GENERAL_SCOPE / UNVERIFIED.</t>
  </si>
  <si>
    <t>source_access_status</t>
  </si>
  <si>
    <t>Fetch result independent from content verification.</t>
  </si>
  <si>
    <t>deal_validation_status</t>
  </si>
  <si>
    <t>Verified event requires date, counterparties, deal type and original source; BD watch is not event.</t>
  </si>
  <si>
    <t>relation_to_project</t>
  </si>
  <si>
    <t>OWN_PROJECT;DIRECT_CANDIDATE;CLINICAL_ALTERNATIVE;ADJACENT_CONTEXT;UNKNOWN. In live evidence require asset-specific source.</t>
  </si>
  <si>
    <t>ADJACENT_CONTEXT</t>
  </si>
  <si>
    <t>clinical_purpose</t>
  </si>
  <si>
    <t>PREVENTION;TREATMENT;DECOLONIZATION;DIAGNOSIS;UNKNOWN</t>
  </si>
  <si>
    <t>DZIF_Funding_Source_Registry_v1(1).xlsx</t>
  </si>
  <si>
    <t>Quellenregister</t>
  </si>
  <si>
    <t>PILOT_REVIEW_CARRIED</t>
  </si>
  <si>
    <t>Suchindex und strukturelle Migration; keine vollstaendige Aktualitaets- oder Eligibility-Pruefung.</t>
  </si>
  <si>
    <t>OFFICIAL_PAGE_FOUND</t>
  </si>
  <si>
    <t>Alle 50 Referenzen erhalten. Kontrollierte Tags; Institution, Kontext und Antragstellertyp getrennt. CMC als Aktivitaet.</t>
  </si>
  <si>
    <t>{"ID":"DE_FDB","Foerderquelle / Programmfamilie":"Förderdatenbank Bund / Länder / EU","Gebiet":"DE","Quellentyp":"PORTAL","Antragsteller (Routing)":"ANY","Themen / Trigger":"ALL","Entwicklungsphasen":"ALL","Routing":"CORE","Offizielle Einstiegs-URL":"https://www.foerderdatenbank.de/FDB/DE/Foerderprogramme/foerderprogramme.html","Pruefstatus":"OFFICIAL_PAGE_FOUND"}</t>
  </si>
  <si>
    <t>IMPORTED_NOT_REVALIDATED</t>
  </si>
  <si>
    <t>{"ID":"DE_BMFTR_HEALTH","Foerderquelle / Programmfamilie":"BMFTR Gesundheitsforschung - Bekanntmachungen","Gebiet":"DE","Quellentyp":"PORTAL","Antragsteller (Routing)":"ACADEMIC|PUBLIC|CONSORTIUM","Themen / Trigger":"HEALTH|ALL","Entwicklungsphasen":"ALL","Routing":"CORE","Offizielle Einstiegs-URL":"https://www.gesundheitsforschung-bmftr.de/de/bekanntmachungen-5786.php","Pruefstatus":"OFFICIAL_PAGE_FOUND"}</t>
  </si>
  <si>
    <t>{"ID":"DE_DFG","Foerderquelle / Programmfamilie":"DFG Förderprogramme","Gebiet":"DE","Quellentyp":"PORTAL","Antragsteller (Routing)":"ACADEMIC","Themen / Trigger":"BASIC|CLINICAL|HEALTH","Entwicklungsphasen":"DISCOVERY|PRECLINICAL|CLINICAL","Routing":"CONDITIONAL","Offizielle Einstiegs-URL":"https://www.dfg.de/de/foerderung/foerdermoeglichkeiten/programme","Pruefstatus":"OFFICIAL_PAGE_FOUND"}</t>
  </si>
  <si>
    <t>{"ID":"DE_DFG_CLINICAL","Foerderquelle / Programmfamilie":"DFG Klinische Studien","Gebiet":"DE","Quellentyp":"PROGRAMME","Antragsteller (Routing)":"ACADEMIC","Themen / Trigger":"CLINICAL","Entwicklungsphasen":"CLINICAL","Routing":"CONDITIONAL","Offizielle Einstiegs-URL":"https://www.dfg.de/de/foerderung/foerdermoeglichkeiten/programme/einzelfoerderung/klinische-studien","Pruefstatus":"OFFICIAL_PAGE_FOUND"}</t>
  </si>
  <si>
    <t>{"ID":"DE_FORTRA","Foerderquelle / Programmfamilie":"EKFS / ForTra Translatorik","Gebiet":"DE","Quellentyp":"PROGRAMME","Antragsteller (Routing)":"ACADEMIC|PUBLIC","Themen / Trigger":"TRANSLATION|THERAPEUTICS|DIAGNOSTICS|MEDTECH","Entwicklungsphasen":"PRECLINICAL|CMC|FIH","Routing":"CONDITIONAL","Offizielle Einstiegs-URL":"https://ekfs.de/wissenschaftliche-foerderung/Translatorik-ForTra/Foerderverfahren","Pruefstatus":"OFFICIAL_PAGE_FOUND"}</t>
  </si>
  <si>
    <t>{"ID":"DE_EKFS_CALLS","Foerderquelle / Programmfamilie":"EKFS Ausschreibungskalender","Gebiet":"DE","Quellentyp":"PORTAL","Antragsteller (Routing)":"ACADEMIC|PUBLIC","Themen / Trigger":"HEALTH|CLINICAL|TRANSLATION","Entwicklungsphasen":"ALL","Routing":"CONDITIONAL","Offizielle Einstiegs-URL":"https://ekfs.de/en/current-topics/funding-application-calender","Pruefstatus":"OFFICIAL_PAGE_FOUND"}</t>
  </si>
  <si>
    <t>{"ID":"DE_GO_BIO","Foerderquelle / Programmfamilie":"GO-Bio next","Gebiet":"DE","Quellentyp":"PROGRAMME","Antragsteller (Routing)":"ACADEMIC|SPINOUT","Themen / Trigger":"TRANSLATION|COMMERCIALIZATION","Entwicklungsphasen":"PRECLINICAL|CMC|EARLY","Routing":"CONDITIONAL","Offizielle Einstiegs-URL":"https://www.foerderdatenbank.de/FDB/Content/DE/Foerderprogramm/Bund/BMBF/go-bio-next.html","Pruefstatus":"OFFICIAL_PAGE_FOUND"}</t>
  </si>
  <si>
    <t>{"ID":"DE_KMU_BIOMED","Foerderquelle / Programmfamilie":"KMU-innovativ Biomedizin","Gebiet":"DE","Quellentyp":"PROGRAMME","Antragsteller (Routing)":"SME|CONSORTIUM","Themen / Trigger":"HEALTH|THERAPEUTICS|DIAGNOSTICS|MEDTECH","Entwicklungsphasen":"PRECLINICAL|CMC|CLINICAL","Routing":"CONDITIONAL","Offizielle Einstiegs-URL":"https://www.foerderdatenbank.de/FDB/Content/DE/Foerderprogramm/Bund/BMBF/biomedizin.html","Pruefstatus":"OFFICIAL_PAGE_FOUND"}</t>
  </si>
  <si>
    <t>{"ID":"DE_ZIM","Foerderquelle / Programmfamilie":"ZIM - Zentrales Innovationsprogramm Mittelstand","Gebiet":"DE","Quellentyp":"PROGRAMME","Antragsteller (Routing)":"SME|CONSORTIUM","Themen / Trigger":"INNOVATION|COMMERCIALIZATION","Entwicklungsphasen":"EARLY|PRECLINICAL|CMC","Routing":"CONDITIONAL","Offizielle Einstiegs-URL":"https://www.zim.de/","Pruefstatus":"OFFICIAL_PAGE_FOUND"}</t>
  </si>
  <si>
    <t>TO_VALIDATE</t>
  </si>
  <si>
    <t>{"ID":"DE_EXIST","Foerderquelle / Programmfamilie":"EXIST","Gebiet":"DE","Quellentyp":"PROGRAMME","Antragsteller (Routing)":"ACADEMIC|SPINOUT","Themen / Trigger":"SPINOUT|COMMERCIALIZATION","Entwicklungsphasen":"EARLY|PRECLINICAL","Routing":"CONDITIONAL","Offizielle Einstiegs-URL":"https://www.exist.de/","Pruefstatus":"TO_VALIDATE"}</t>
  </si>
  <si>
    <t>{"ID":"DE_VW_STIFTUNG","Foerderquelle / Programmfamilie":"VolkswagenStiftung - Förderangebote","Gebiet":"DE","Quellentyp":"FOUNDATION","Antragsteller (Routing)":"ACADEMIC","Themen / Trigger":"BASIC|HEALTH|INNOVATION","Entwicklungsphasen":"DISCOVERY|PRECLINICAL","Routing":"CONDITIONAL","Offizielle Einstiegs-URL":"https://www.volkswagenstiftung.de/de/foerderung","Pruefstatus":"TO_VALIDATE"}</t>
  </si>
  <si>
    <t>{"ID":"DE_DZIF_INTERNAL","Foerderquelle / Programmfamilie":"DZIF interne Projekt- und Transferförderung","Gebiet":"DE","Quellentyp":"INSTITUTION","Antragsteller (Routing)":"DZIF","Themen / Trigger":"INSTITUTION|TRANSLATION|HEALTH","Entwicklungsphasen":"ALL","Routing":"INSTITUTION","Offizielle Einstiegs-URL":"https://www.dzif.de/","Pruefstatus":"TO_VALIDATE"}</t>
  </si>
  <si>
    <t>{"ID":"DE_HELMHOLTZ_ENTERPRISE","Foerderquelle / Programmfamilie":"Helmholtz Enterprise","Gebiet":"DE","Quellentyp":"PROGRAMME","Antragsteller (Routing)":"HELMHOLTZ|SPINOUT","Themen / Trigger":"SPINOUT|COMMERCIALIZATION","Entwicklungsphasen":"EARLY|PRECLINICAL","Routing":"CONDITIONAL","Offizielle Einstiegs-URL":"https://www.helmholtz.de/transfer/innovations-und-foerderprogramme/helmholtz-enterprise/","Pruefstatus":"OFFICIAL_PAGE_FOUND"}</t>
  </si>
  <si>
    <t>{"ID":"DE_HELMHOLTZ_TRANSFER","Foerderquelle / Programmfamilie":"Helmholtz Innovations- und Transferprogramme","Gebiet":"DE","Quellentyp":"PORTAL","Antragsteller (Routing)":"HELMHOLTZ","Themen / Trigger":"TRANSLATION|COMMERCIALIZATION","Entwicklungsphasen":"ALL","Routing":"CONDITIONAL","Offizielle Einstiegs-URL":"https://www.helmholtz.de/transfer/innovations-und-foerderprogramme","Pruefstatus":"OFFICIAL_PAGE_FOUND"}</t>
  </si>
  <si>
    <t>{"ID":"EU_FT","Foerderquelle / Programmfamilie":"EU Funding &amp; Tenders - Calls for Proposals","Gebiet":"EU","Quellentyp":"PORTAL","Antragsteller (Routing)":"ANY","Themen / Trigger":"ALL","Entwicklungsphasen":"ALL","Routing":"CORE","Offizielle Einstiegs-URL":"https://ec.europa.eu/info/funding-tenders/opportunities/portal/screen/opportunities/calls-for-proposals","Pruefstatus":"OFFICIAL_PAGE_FOUND"}</t>
  </si>
  <si>
    <t>{"ID":"EU_IHI","Foerderquelle / Programmfamilie":"Innovative Health Initiative (IHI)","Gebiet":"EU","Quellentyp":"PORTAL","Antragsteller (Routing)":"CONSORTIUM|ACADEMIC|COMPANY","Themen / Trigger":"HEALTH|TRANSLATION|INDUSTRY_PARTNERSHIP","Entwicklungsphasen":"PRECLINICAL|CMC|CLINICAL","Routing":"CONDITIONAL","Offizielle Einstiegs-URL":"https://www.ihi.europa.eu/apply-funding/call-documents","Pruefstatus":"OFFICIAL_PAGE_FOUND"}</t>
  </si>
  <si>
    <t>{"ID":"EU_EIC","Foerderquelle / Programmfamilie":"European Innovation Council (EIC)","Gebiet":"EU","Quellentyp":"PORTAL","Antragsteller (Routing)":"SPINOUT|SME|CONSORTIUM","Themen / Trigger":"COMMERCIALIZATION|INNOVATION|SPINOUT","Entwicklungsphasen":"EARLY|PRECLINICAL|CMC|CLINICAL","Routing":"CONDITIONAL","Offizielle Einstiegs-URL":"https://eic.ec.europa.eu/eic-funding-opportunities_en","Pruefstatus":"OFFICIAL_PAGE_FOUND"}</t>
  </si>
  <si>
    <t>{"ID":"EU_OHAMR","Foerderquelle / Programmfamilie":"European Partnership on One Health AMR","Gebiet":"EU","Quellentyp":"PORTAL","Antragsteller (Routing)":"CONSORTIUM|ACADEMIC","Themen / Trigger":"AMR|GLOBAL_HEALTH","Entwicklungsphasen":"DISCOVERY|PRECLINICAL|CLINICAL","Routing":"CONDITIONAL","Offizielle Einstiegs-URL":"https://ohamr.eu/","Pruefstatus":"TO_VALIDATE"}</t>
  </si>
  <si>
    <t>{"ID":"EU_EUROSTARS","Foerderquelle / Programmfamilie":"Eureka Eurostars","Gebiet":"EU","Quellentyp":"PROGRAMME","Antragsteller (Routing)":"SME|CONSORTIUM","Themen / Trigger":"INNOVATION|COMMERCIALIZATION","Entwicklungsphasen":"PRECLINICAL|CMC|CLINICAL","Routing":"CONDITIONAL","Offizielle Einstiegs-URL":"https://www.eurekanetwork.org/programmes-and-calls/eurostars/","Pruefstatus":"OFFICIAL_PAGE_FOUND"}</t>
  </si>
  <si>
    <t>{"ID":"EU_EDCTP3","Foerderquelle / Programmfamilie":"Global Health EDCTP3","Gebiet":"EU","Quellentyp":"PORTAL","Antragsteller (Routing)":"CONSORTIUM|ACADEMIC","Themen / Trigger":"GLOBAL_HEALTH|AFRICA|CLINICAL","Entwicklungsphasen":"PRECLINICAL|CLINICAL","Routing":"CONDITIONAL","Offizielle Einstiegs-URL":"https://www.global-health-edctp3.europa.eu/","Pruefstatus":"OFFICIAL_PAGE_FOUND"}</t>
  </si>
  <si>
    <t>{"ID":"EU_EU4HEALTH","Foerderquelle / Programmfamilie":"EU4Health (HaDEA)","Gebiet":"EU","Quellentyp":"PORTAL","Antragsteller (Routing)":"CONSORTIUM|PUBLIC|ACADEMIC","Themen / Trigger":"PUBLIC_HEALTH|HEALTH|PREPAREDNESS","Entwicklungsphasen":"ALL","Routing":"CONDITIONAL","Offizielle Einstiegs-URL":"https://hadea.ec.europa.eu/programmes/eu4health_en","Pruefstatus":"OFFICIAL_PAGE_FOUND"}</t>
  </si>
  <si>
    <t>{"ID":"EU_EIT_HEALTH","Foerderquelle / Programmfamilie":"EIT Health - Calls","Gebiet":"EU","Quellentyp":"PORTAL","Antragsteller (Routing)":"CONSORTIUM|SME|ACADEMIC","Themen / Trigger":"HEALTH|INNOVATION|COMMERCIALIZATION","Entwicklungsphasen":"EARLY|PRECLINICAL|CLINICAL","Routing":"CONDITIONAL","Offizielle Einstiegs-URL":"https://eithealth.eu/get-involved/new-call-opportunities/","Pruefstatus":"OFFICIAL_PAGE_FOUND"}</t>
  </si>
  <si>
    <t>{"ID":"EU_COST","Foerderquelle / Programmfamilie":"COST Actions - Networking","Gebiet":"EU","Quellentyp":"PORTAL","Antragsteller (Routing)":"ACADEMIC|CONSORTIUM","Themen / Trigger":"NETWORKING|RESEARCH_NETWORK","Entwicklungsphasen":"ALL","Routing":"CONDITIONAL","Offizielle Einstiegs-URL":"https://www.cost.eu/funding/","Pruefstatus":"OFFICIAL_PAGE_FOUND"}</t>
  </si>
  <si>
    <t>{"ID":"GL_CARBX","Foerderquelle / Programmfamilie":"CARB-X","Gebiet":"GLOBAL","Quellentyp":"PROGRAMME","Antragsteller (Routing)":"ACADEMIC|SME|COMPANY","Themen / Trigger":"AMR|ANTIBACTERIAL|DIAGNOSTICS","Entwicklungsphasen":"PRECLINICAL|CMC|CLINICAL","Routing":"CONDITIONAL","Offizielle Einstiegs-URL":"https://carb-x.org/apply/funding-themes/","Pruefstatus":"OFFICIAL_PAGE_FOUND"}</t>
  </si>
  <si>
    <t>{"ID":"GL_CEPI","Foerderquelle / Programmfamilie":"CEPI Calls for Proposals","Gebiet":"GLOBAL","Quellentyp":"PORTAL","Antragsteller (Routing)":"ACADEMIC|COMPANY|CONSORTIUM","Themen / Trigger":"VACCINE|PANDEMIC|PREPAREDNESS","Entwicklungsphasen":"PRECLINICAL|CMC|CLINICAL","Routing":"CONDITIONAL","Offizielle Einstiegs-URL":"https://cepi.net/calls-for-proposals","Pruefstatus":"OFFICIAL_PAGE_FOUND"}</t>
  </si>
  <si>
    <t>{"ID":"GL_WELLCOME","Foerderquelle / Programmfamilie":"Wellcome Funding Schemes","Gebiet":"GLOBAL","Quellentyp":"FOUNDATION","Antragsteller (Routing)":"ACADEMIC|CONSORTIUM","Themen / Trigger":"HEALTH|BASIC|GLOBAL_HEALTH","Entwicklungsphasen":"DISCOVERY|PRECLINICAL|CLINICAL","Routing":"CONDITIONAL","Offizielle Einstiegs-URL":"https://wellcome.org/research-funding/schemes","Pruefstatus":"OFFICIAL_PAGE_FOUND"}</t>
  </si>
  <si>
    <t>PARTIAL_SCOPE_CHECK</t>
  </si>
  <si>
    <t>{"ID":"GL_GHIT","Foerderquelle / Programmfamilie":"Global Health Innovative Technology Fund (GHIT)","Gebiet":"GLOBAL","Quellentyp":"FOUNDATION","Antragsteller (Routing)":"CONSORTIUM","Themen / Trigger":"NTD|GLOBAL_HEALTH|JAPAN_PARTNER","Entwicklungsphasen":"DISCOVERY|PRECLINICAL|CLINICAL","Routing":"CONDITIONAL","Offizielle Einstiegs-URL":"https://www.ghitfund.org/applyforfunding/opportunities","Pruefstatus":"OFFICIAL_PAGE_FOUND"}</t>
  </si>
  <si>
    <t>{"ID":"GL_GRANDCHALLENGES","Foerderquelle / Programmfamilie":"Grand Challenges - Funding","Gebiet":"GLOBAL","Quellentyp":"PORTAL","Antragsteller (Routing)":"ACADEMIC|SME|CONSORTIUM","Themen / Trigger":"GLOBAL_HEALTH|INNOVATION","Entwicklungsphasen":"ALL","Routing":"CONDITIONAL","Offizielle Einstiegs-URL":"https://gcgh.grandchallenges.org/","Pruefstatus":"OFFICIAL_PAGE_FOUND"}</t>
  </si>
  <si>
    <t>{"ID":"GL_INCATE","Foerderquelle / Programmfamilie":"INCATE - Early Antibacterial Innovation","Gebiet":"GLOBAL","Quellentyp":"PROGRAMME","Antragsteller (Routing)":"ACADEMIC|SPINOUT|SME","Themen / Trigger":"AMR|ANTIBACTERIAL|EARLY_INNOVATION","Entwicklungsphasen":"DISCOVERY|PRECLINICAL","Routing":"CONDITIONAL","Offizielle Einstiegs-URL":"https://www.incate.net/how-we-help/","Pruefstatus":"OFFICIAL_PAGE_FOUND"}</t>
  </si>
  <si>
    <t>{"ID":"GL_NOVO","Foerderquelle / Programmfamilie":"Novo Nordisk Foundation - Grant Calls","Gebiet":"GLOBAL","Quellentyp":"FOUNDATION","Antragsteller (Routing)":"ACADEMIC|CONSORTIUM","Themen / Trigger":"HEALTH|BASIC|INNOVATION","Entwicklungsphasen":"DISCOVERY|PRECLINICAL|CLINICAL","Routing":"CONDITIONAL","Offizielle Einstiegs-URL":"https://novonordiskfonden.dk/en/grant/","Pruefstatus":"OFFICIAL_PAGE_FOUND"}</t>
  </si>
  <si>
    <t>{"ID":"GL_NIH_FOREIGN","Foerderquelle / Programmfamilie":"NIH - Foreign Grants / Eligibility","Gebiet":"GLOBAL","Quellentyp":"PORTAL","Antragsteller (Routing)":"ACADEMIC|PUBLIC","Themen / Trigger":"BASIC|GLOBAL_HEALTH|HEALTH","Entwicklungsphasen":"DISCOVERY|PRECLINICAL|CLINICAL","Routing":"CONDITIONAL","Offizielle Einstiegs-URL":"https://grants.nih.gov/new-to-nih/information-for/foreign-grants","Pruefstatus":"OFFICIAL_PAGE_FOUND"}</t>
  </si>
  <si>
    <t>{"ID":"REG_BW","Foerderquelle / Programmfamilie":"L-Bank Baden-Württemberg","Gebiet":"DE-BW","Quellentyp":"PORTAL","Antragsteller (Routing)":"ANY","Themen / Trigger":"REGIONAL|INNOVATION|HEALTH","Entwicklungsphasen":"ALL","Routing":"REGION","Offizielle Einstiegs-URL":"https://www.l-bank.de/","Pruefstatus":"OFFICIAL_PAGE_FOUND"}</t>
  </si>
  <si>
    <t>{"ID":"REG_BY","Foerderquelle / Programmfamilie":"Bayerische Forschungs- und Innovationsagentur","Gebiet":"DE-BY","Quellentyp":"PORTAL","Antragsteller (Routing)":"ANY","Themen / Trigger":"REGIONAL|INNOVATION|HEALTH","Entwicklungsphasen":"ALL","Routing":"REGION","Offizielle Einstiegs-URL":"https://www.forschung-innovation-bayern.de/service/foerderung-von-forschung-und-innovation/","Pruefstatus":"OFFICIAL_PAGE_FOUND"}</t>
  </si>
  <si>
    <t>{"ID":"REG_BE","Foerderquelle / Programmfamilie":"IBB Berlin - Förderungen","Gebiet":"DE-BE","Quellentyp":"PORTAL","Antragsteller (Routing)":"ANY","Themen / Trigger":"REGIONAL|INNOVATION|HEALTH","Entwicklungsphasen":"ALL","Routing":"REGION","Offizielle Einstiegs-URL":"https://www.ibb.de/de/foerderungen/foerderungen.html","Pruefstatus":"OFFICIAL_PAGE_FOUND"}</t>
  </si>
  <si>
    <t>{"ID":"REG_BB","Foerderquelle / Programmfamilie":"ILB Brandenburg - Innovation / FuE","Gebiet":"DE-BB","Quellentyp":"PORTAL","Antragsteller (Routing)":"ANY","Themen / Trigger":"REGIONAL|INNOVATION|HEALTH","Entwicklungsphasen":"ALL","Routing":"REGION","Offizielle Einstiegs-URL":"https://www.ilb.de/de/existenzgruendung/existenzgruendung-foerderangebote-nach-foerderthemen/innovationen-forschung-entwicklung/","Pruefstatus":"OFFICIAL_PAGE_FOUND"}</t>
  </si>
  <si>
    <t>{"ID":"REG_HB","Foerderquelle / Programmfamilie":"Bremer Aufbau-Bank (BAB)","Gebiet":"DE-HB","Quellentyp":"PORTAL","Antragsteller (Routing)":"ANY","Themen / Trigger":"REGIONAL|INNOVATION|HEALTH","Entwicklungsphasen":"ALL","Routing":"REGION","Offizielle Einstiegs-URL":"https://www.bab-bremen.de/","Pruefstatus":"OFFICIAL_PAGE_FOUND"}</t>
  </si>
  <si>
    <t>{"ID":"REG_HH","Foerderquelle / Programmfamilie":"IFB Hamburg - Förderprogramme","Gebiet":"DE-HH","Quellentyp":"PORTAL","Antragsteller (Routing)":"ANY","Themen / Trigger":"REGIONAL|INNOVATION|HEALTH","Entwicklungsphasen":"ALL","Routing":"REGION","Offizielle Einstiegs-URL":"https://www.ifbhh.de/","Pruefstatus":"OFFICIAL_PAGE_FOUND"}</t>
  </si>
  <si>
    <t>{"ID":"REG_HE","Foerderquelle / Programmfamilie":"WIBank Hessen - Förderprogramme","Gebiet":"DE-HE","Quellentyp":"PORTAL","Antragsteller (Routing)":"ANY","Themen / Trigger":"REGIONAL|INNOVATION|HEALTH","Entwicklungsphasen":"ALL","Routing":"REGION","Offizielle Einstiegs-URL":"https://www.wibank.de/wibank/gruender-unternehmen/foerderprogramme","Pruefstatus":"OFFICIAL_PAGE_FOUND"}</t>
  </si>
  <si>
    <t>{"ID":"REG_MV","Foerderquelle / Programmfamilie":"LFI M-V - Förderfinder","Gebiet":"DE-MV","Quellentyp":"PORTAL","Antragsteller (Routing)":"ANY","Themen / Trigger":"REGIONAL|INNOVATION|HEALTH","Entwicklungsphasen":"ALL","Routing":"REGION","Offizielle Einstiegs-URL":"https://www.lfi-mv.de/foerderfinder","Pruefstatus":"OFFICIAL_PAGE_FOUND"}</t>
  </si>
  <si>
    <t>{"ID":"REG_NI","Foerderquelle / Programmfamilie":"NBank Niedersachsen - Förderübersicht","Gebiet":"DE-NI","Quellentyp":"PORTAL","Antragsteller (Routing)":"ANY","Themen / Trigger":"REGIONAL|INNOVATION|HEALTH","Entwicklungsphasen":"ALL","Routing":"REGION","Offizielle Einstiegs-URL":"https://www.nbank.de/F%C3%B6rderprogramme/%C3%9Cbersicht/","Pruefstatus":"OFFICIAL_PAGE_FOUND"}</t>
  </si>
  <si>
    <t>{"ID":"REG_NW","Foerderquelle / Programmfamilie":"Innovationsförderagentur NRW - Maßnahmen","Gebiet":"DE-NW","Quellentyp":"PORTAL","Antragsteller (Routing)":"ANY","Themen / Trigger":"REGIONAL|INNOVATION|HEALTH","Entwicklungsphasen":"ALL","Routing":"REGION","Offizielle Einstiegs-URL":"https://www.in.nrw/massnahmen","Pruefstatus":"OFFICIAL_PAGE_FOUND"}</t>
  </si>
  <si>
    <t>{"ID":"REG_RP","Foerderquelle / Programmfamilie":"ISB Rheinland-Pfalz","Gebiet":"DE-RP","Quellentyp":"PORTAL","Antragsteller (Routing)":"ANY","Themen / Trigger":"REGIONAL|INNOVATION|HEALTH","Entwicklungsphasen":"ALL","Routing":"REGION","Offizielle Einstiegs-URL":"https://isb.rlp.de/","Pruefstatus":"OFFICIAL_PAGE_FOUND"}</t>
  </si>
  <si>
    <t>{"ID":"REG_SL","Foerderquelle / Programmfamilie":"SIKB Saarland","Gebiet":"DE-SL","Quellentyp":"PORTAL","Antragsteller (Routing)":"ANY","Themen / Trigger":"REGIONAL|INNOVATION|HEALTH","Entwicklungsphasen":"ALL","Routing":"REGION","Offizielle Einstiegs-URL":"https://www.sikb.de/","Pruefstatus":"OFFICIAL_PAGE_FOUND"}</t>
  </si>
  <si>
    <t>{"ID":"REG_SN","Foerderquelle / Programmfamilie":"Sächsische Aufbaubank (SAB)","Gebiet":"DE-SN","Quellentyp":"PORTAL","Antragsteller (Routing)":"ANY","Themen / Trigger":"REGIONAL|INNOVATION|HEALTH","Entwicklungsphasen":"ALL","Routing":"REGION","Offizielle Einstiegs-URL":"https://www.sab.sachsen.de/start","Pruefstatus":"OFFICIAL_PAGE_FOUND"}</t>
  </si>
  <si>
    <t>{"ID":"REG_ST","Foerderquelle / Programmfamilie":"Investitionsbank Sachsen-Anhalt","Gebiet":"DE-ST","Quellentyp":"PORTAL","Antragsteller (Routing)":"ANY","Themen / Trigger":"REGIONAL|INNOVATION|HEALTH","Entwicklungsphasen":"ALL","Routing":"REGION","Offizielle Einstiegs-URL":"https://www.ib-sachsen-anhalt.de/","Pruefstatus":"OFFICIAL_PAGE_FOUND"}</t>
  </si>
  <si>
    <t>{"ID":"REG_SH","Foerderquelle / Programmfamilie":"Investitionsbank Schleswig-Holstein (IB.SH)","Gebiet":"DE-SH","Quellentyp":"PORTAL","Antragsteller (Routing)":"ANY","Themen / Trigger":"REGIONAL|INNOVATION|HEALTH","Entwicklungsphasen":"ALL","Routing":"REGION","Offizielle Einstiegs-URL":"https://www.ib-sh.de/","Pruefstatus":"OFFICIAL_PAGE_FOUND"}</t>
  </si>
  <si>
    <t>{"ID":"REG_TH","Foerderquelle / Programmfamilie":"Thüringer Aufbaubank","Gebiet":"DE-TH","Quellentyp":"PORTAL","Antragsteller (Routing)":"ANY","Themen / Trigger":"REGIONAL|INNOVATION|HEALTH","Entwicklungsphasen":"ALL","Routing":"REGION","Offizielle Einstiegs-URL":"https://www.aufbaubank.de/","Pruefstatus":"OFFICIAL_PAGE_FOUND"}</t>
  </si>
  <si>
    <t>{"ID":"REG_NW_NRW_BANK","Foerderquelle / Programmfamilie":"NRW.BANK - Förderprodukte","Gebiet":"DE-NW","Quellentyp":"PORTAL","Antragsteller (Routing)":"SME|COMPANY|ACADEMIC","Themen / Trigger":"REGIONAL|INNOVATION|SPINOUT","Entwicklungsphasen":"ALL","Routing":"CONDITIONAL","Offizielle Einstiegs-URL":"https://www.nrwbank.de/de/foerderung/","Pruefstatus":"TO_VALIDATE"}</t>
  </si>
  <si>
    <t>{"ID":"REG_BY_RESEARCH","Foerderquelle / Programmfamilie":"Bayerische Forschungsstiftung / Förderung","Gebiet":"DE-BY","Quellentyp":"PROGRAMME","Antragsteller (Routing)":"ACADEMIC|CONSORTIUM|COMPANY","Themen / Trigger":"REGIONAL|INNOVATION|RESEARCH_NETWORK","Entwicklungsphasen":"PRECLINICAL|CMC","Routing":"CONDITIONAL","Offizielle Einstiegs-URL":"https://www.stmwk.bayern.de/wissenschaftler/forschung/foerderung.html","Pruefstatus":"OFFICIAL_PAGE_FOUND"}</t>
  </si>
  <si>
    <t>{"ID":"INST_KOELN_FORTUNE","Foerderquelle / Programmfamilie":"Köln Fortune (Medizinische Fakultät)","Gebiet":"DE-NW:UNI-KOELN","Quellentyp":"INSTITUTION","Antragsteller (Routing)":"ACADEMIC","Themen / Trigger":"INSTITUTION|CLINICAL|BASIC","Entwicklungsphasen":"DISCOVERY|PRECLINICAL|CLINICAL","Routing":"INSTITUTION","Offizielle Einstiegs-URL":"https://medfak.uni-koeln.de/forschung/service-foerderangebote/fakultaetsfoerderungen/koeln-fortune","Pruefstatus":"OFFICIAL_PAGE_FOUND"}</t>
  </si>
  <si>
    <t>DZIF_BD_Entity_Registry_v1_2026-10-29(1).xlsx</t>
  </si>
  <si>
    <t>Entity Registry</t>
  </si>
  <si>
    <t>Rolle, Produktphase und Investmentphase getrennt. Tier A/B -&gt; P1/P2. Gruppenhinweise nicht als Unternehmensalias verschmolzen.</t>
  </si>
  <si>
    <t>{"Entity ID":"BD-001","Organisation":"GSK","Alias / Gruppe":null,"Entity Type":"PHARMA","BD-Rolle":"LICENSING_PARTNER","Disease Tags":"VIRAL | BACTERIAL | VACCINES | HIV","Modality Tags":"VACCINE | ANTIBODY | SMALL_MOLECULE","Stage Fit":"DISCOVERY_TO_COMMERCIAL","Geography / Restriction":"GLOBAL","Tier":"A","Warum aufgenommen?":"Offizielle Kontakt- und Partneringstruktur fuer Impfstoffe und Medikamente.","Wichtige Einschraenkung":"Aktuelle therapeutische Schwerpunkte je Projekt abgleichen.","Primaerquelle (URL)":"https://www.gsk.com/en-gb/innovation/partnerships/","Quellentyp":"PARTNERING_PAGE","Checked On":"2026-10-29 00:00:00","Next Annual Review":"=EDATE(O6,12)","Review Flag":"=IF(O6=\"\",\"UNKNOWN\",IF(TODAY()&gt;=P6,\"DUE\",\"CURRENT\"))"}</t>
  </si>
  <si>
    <t>{"Entity ID":"BD-002","Organisation":"MSD / Merck &amp; Co.","Alias / Gruppe":"Merck &amp; Co.; MSD","Entity Type":"PHARMA","BD-Rolle":"LICENSING_PARTNER","Disease Tags":"VIRAL | BACTERIAL | VACCINES","Modality Tags":"VACCINE | ANTIBODY | SMALL_MOLECULE | CGT","Stage Fit":"PRECLINICAL_TO_COMMERCIAL","Geography / Restriction":"GLOBAL","Tier":"A","Warum aufgenommen?":"Offizielles BD&amp;L-Formular erfasst Infectious Diseases, Vaccines und Pre-PoC.","Wichtige Einschraenkung":"Merck &amp; Co. (MSD) nicht mit Merck KGaA verwechseln.","Primaerquelle (URL)":"https://www.msd.com/research/business-development-and-licensing/collaborate-with-us/","Quellentyp":"PARTNERING_PAGE","Checked On":"2026-10-29 00:00:00","Next Annual Review":"=EDATE(O7,12)","Review Flag":"=IF(O7=\"\",\"UNKNOWN\",IF(TODAY()&gt;=P7,\"DUE\",\"CURRENT\"))"}</t>
  </si>
  <si>
    <t>{"Entity ID":"BD-003","Organisation":"Sanofi","Alias / Gruppe":null,"Entity Type":"PHARMA","BD-Rolle":"LICENSING_PARTNER","Disease Tags":"VIRAL | BACTERIAL | VACCINES | RESPIRATORY","Modality Tags":"VACCINE | ANTIBODY | RNA | PLATFORM","Stage Fit":"DISCOVERY_TO_COMMERCIAL","Geography / Restriction":"GLOBAL","Tier":"A","Warum aufgenommen?":"Ausdrueckliches Vaccines-Partnering inkl. externer Innovationsprogramme.","Wichtige Einschraenkung":"Konkreter Indikationsfit und IP-Rechte projektbezogen pruefen.","Primaerquelle (URL)":"https://www.sanofi.com/en/partnering/partnering-focus-areas/vaccines","Quellentyp":"PARTNERING_PAGE","Checked On":"2026-10-29 00:00:00","Next Annual Review":"=EDATE(O8,12)","Review Flag":"=IF(O8=\"\",\"UNKNOWN\",IF(TODAY()&gt;=P8,\"DUE\",\"CURRENT\"))"}</t>
  </si>
  <si>
    <t>{"Entity ID":"BD-004","Organisation":"Pfizer","Alias / Gruppe":null,"Entity Type":"PHARMA","BD-Rolle":"LICENSING_PARTNER","Disease Tags":"VIRAL | BACTERIAL | VACCINES","Modality Tags":"VACCINE | RNA | ANTIBODY | PLATFORM","Stage Fit":"DISCOVERY_TO_COMMERCIAL","Geography / Restriction":"GLOBAL","Tier":"A","Warum aufgenommen?":"Offizielles Partnering mit Licensing- und Acquisition-Optionen, Vaccines-Fokus.","Wichtige Einschraenkung":"Pfizer Ventures als eigene Investment-Einheit separat erfassen.","Primaerquelle (URL)":"https://www.pfizer.com/about/partners/research-and-business-development-partnerships/?page=9","Quellentyp":"PARTNERING_PAGE","Checked On":"2026-10-29 00:00:00","Next Annual Review":"=EDATE(O9,12)","Review Flag":"=IF(O9=\"\",\"UNKNOWN\",IF(TODAY()&gt;=P9,\"DUE\",\"CURRENT\"))"}</t>
  </si>
  <si>
    <t>Roche / Genentech</t>
  </si>
  <si>
    <t>{"Entity ID":"BD-005","Organisation":"Roche / Genentech","Alias / Gruppe":"Genentech; Roche","Entity Type":"PHARMA","BD-Rolle":"LICENSING_PARTNER","Disease Tags":"VIRAL | BACTERIAL | AMR","Modality Tags":"ANTIBODY | SMALL_MOLECULE | PLATFORM","Stage Fit":"DISCOVERY_TO_COMMERCIAL","Geography / Restriction":"GLOBAL","Tier":"A","Warum aufgenommen?":"Offizielle Pharma-Partnering-Schwerpunkte HBV und MDR-Gramnegative.","Wichtige Einschraenkung":"Interesse an anderem Pathogen/Target nicht unterstellen.","Primaerquelle (URL)":"https://www.roche.com/innovation/partnering/areas-of-interest/infectious-diseases","Quellentyp":"PARTNERING_PAGE","Checked On":"2026-10-29 00:00:00","Next Annual Review":"=EDATE(O10,12)","Review Flag":"=IF(O10=\"\",\"UNKNOWN\",IF(TODAY()&gt;=P10,\"DUE\",\"CURRENT\"))"}</t>
  </si>
  <si>
    <t>{"Entity ID":"BD-006","Organisation":"Shionogi","Alias / Gruppe":null,"Entity Type":"PHARMA","BD-Rolle":"LICENSING_PARTNER","Disease Tags":"BACTERIAL | AMR | VIRAL | HIV | FUNGAL","Modality Tags":"SMALL_MOLECULE | ANTIBODY | VACCINE","Stage Fit":"CLINICAL_TO_COMMERCIAL","Geography / Restriction":"GLOBAL|EU","Tier":"A","Warum aufgenommen?":"Aktive europaeische In-Licensing-Interessen fuer Infektionskrankheiten.","Wichtige Einschraenkung":"Bestehende Target- und Gebietsrechte pruefen.","Primaerquelle (URL)":"https://www.shionogi.com/eu/en/innovation/strategic-partnering-in-europe/partnering-licensing-interests.html","Quellentyp":"PARTNERING_PAGE","Checked On":"2026-10-29 00:00:00","Next Annual Review":"=EDATE(O11,12)","Review Flag":"=IF(O11=\"\",\"UNKNOWN\",IF(TODAY()&gt;=P11,\"DUE\",\"CURRENT\"))"}</t>
  </si>
  <si>
    <t>{"Entity ID":"BD-007","Organisation":"Basilea Pharmaceutica","Alias / Gruppe":null,"Entity Type":"PHARMA","BD-Rolle":"LICENSING_PARTNER","Disease Tags":"BACTERIAL | AMR | FUNGAL","Modality Tags":"SMALL_MOLECULE | ANTIFUNGAL","Stage Fit":"PRECLINICAL_TO_COMMERCIAL","Geography / Restriction":"GLOBAL","Tier":"A","Warum aufgenommen?":"Nachgewiesene externe Antiinfektiva-Einlizenzierungen und Portfolioaufbau.","Wichtige Einschraenkung":"Modalitaetsfit fuer Impfstoffe/Antikoerper nicht automatisch gegeben.","Primaerquelle (URL)":"https://www.basilea.com/news/news/basilea-informiert-ueber-stand-seines-portfolios-und-gibt-ausblick-1","Quellentyp":"OFFICIAL_ACTIVITY","Checked On":"2026-10-29 00:00:00","Next Annual Review":"=EDATE(O12,12)","Review Flag":"=IF(O12=\"\",\"UNKNOWN\",IF(TODAY()&gt;=P12,\"DUE\",\"CURRENT\"))"}</t>
  </si>
  <si>
    <t>{"Entity ID":"BD-008","Organisation":"Eli Lilly","Alias / Gruppe":"Lilly; Curevo; LimmaTech Biologics; Vaccine Company","Entity Type":"PHARMA","BD-Rolle":"ACQUIRER","Disease Tags":"VIRAL | BACTERIAL | VACCINES","Modality Tags":"VACCINE | PLATFORM | CGT","Stage Fit":"PRECLINICAL_TO_COMMERCIAL","Geography / Restriction":"GLOBAL","Tier":"A","Warum aufgenommen?":"2026 Erwerb von drei Impfstoff-/Infektionsentwicklern.","Wichtige Einschraenkung":"Neue Infectious-Diseases-Strategie erst 2026 aufgebaut.","Primaerquelle (URL)":"https://investor.lilly.com/node/54346","Quellentyp":"OFFICIAL_ACTIVITY","Checked On":"2026-10-29 00:00:00","Next Annual Review":"=EDATE(O13,12)","Review Flag":"=IF(O13=\"\",\"UNKNOWN\",IF(TODAY()&gt;=P13,\"DUE\",\"CURRENT\"))"}</t>
  </si>
  <si>
    <t>Asahi Kasei / Veloxis</t>
  </si>
  <si>
    <t>{"Entity ID":"BD-009","Organisation":"Asahi Kasei / Veloxis","Alias / Gruppe":"AiCuris; Veloxis Pharmaceuticals","Entity Type":"PHARMA","BD-Rolle":"ACQUIRER","Disease Tags":"VIRAL | TRANSPLANT_INFECTIONS","Modality Tags":"SMALL_MOLECULE | ANTIVIRAL","Stage Fit":"CLINICAL_TO_COMMERCIAL","Geography / Restriction":"GLOBAL","Tier":"A","Warum aufgenommen?":"2026 abgeschlossene Uebernahme von AiCuris fuer schwere Virusinfektionen.","Wichtige Einschraenkung":"AiCuris kein unabhaengiger Uebernahmekandidat mehr.","Primaerquelle (URL)":"https://www.asahi-kasei.com/news/2026/e260420-2","Quellentyp":"OFFICIAL_ACTIVITY","Checked On":"2026-10-29 00:00:00","Next Annual Review":"=EDATE(O14,12)","Review Flag":"=IF(O14=\"\",\"UNKNOWN\",IF(TODAY()&gt;=P14,\"DUE\",\"CURRENT\"))"}</t>
  </si>
  <si>
    <t>{"Entity ID":"BD-010","Organisation":"AstraZeneca","Alias / Gruppe":null,"Entity Type":"PHARMA","BD-Rolle":"STRATEGIC_PARTNER","Disease Tags":"BACTERIAL | VIRAL | RESPIRATORY","Modality Tags":"ANTIBODY | VACCINE","Stage Fit":"PRECLINICAL_TO_COMMERCIAL","Geography / Restriction":"GLOBAL","Tier":"B","Warum aufgenommen?":"Aktive Infectious-Disease- und Antikoerperprogramme laut Pipeline.","Wichtige Einschraenkung":"Eigene konkurrierende Assets und aktuelle BD-Interessen pruefen.","Primaerquelle (URL)":"https://www.astrazeneca.com/our-therapy-areas/pipeline.html","Quellentyp":"PIPELINE","Checked On":"2026-10-29 00:00:00","Next Annual Review":"=EDATE(O15,12)","Review Flag":"=IF(O15=\"\",\"UNKNOWN\",IF(TODAY()&gt;=P15,\"DUE\",\"CURRENT\"))"}</t>
  </si>
  <si>
    <t>{"Entity ID":"BD-011","Organisation":"BioNTech","Alias / Gruppe":null,"Entity Type":"PHARMA","BD-Rolle":"STRATEGIC_PARTNER","Disease Tags":"VIRAL | BACTERIAL | PARASITIC | VACCINES","Modality Tags":"RNA | VACCINE | CGT | ANTIBODY","Stage Fit":"PRECLINICAL_TO_COMMERCIAL","Geography / Restriction":"GLOBAL","Tier":"A","Warum aufgenommen?":"mRNA-Impfstoffprogramme gegen TB, Malaria, HIV, Mpox; aktive Partnerschaften.","Wichtige Einschraenkung":"Aktuelles Investment-/Lizenzinteresse nicht aus Pipeline ableiten.","Primaerquelle (URL)":"https://www.biontech.com/us/en/home/research-and-innovation/therapeutic-areas/infectious-diseases.html","Quellentyp":"FOCUS_PROFILE","Checked On":"2026-10-29 00:00:00","Next Annual Review":"=EDATE(O16,12)","Review Flag":"=IF(O16=\"\",\"UNKNOWN\",IF(TODAY()&gt;=P16,\"DUE\",\"CURRENT\"))"}</t>
  </si>
  <si>
    <t>{"Entity ID":"BD-012","Organisation":"Moderna","Alias / Gruppe":null,"Entity Type":"PHARMA","BD-Rolle":"STRATEGIC_PARTNER","Disease Tags":"VIRAL | BACTERIAL | VACCINES | PANDEMIC","Modality Tags":"RNA | VACCINE","Stage Fit":"PRECLINICAL_TO_COMMERCIAL","Geography / Restriction":"GLOBAL","Tier":"A","Warum aufgenommen?":"Breites klinisches mRNA-Vakzinportfolio inkl. viraler und bakterieller Targets.","Wichtige Einschraenkung":"Partnering-Fit und aktuelle Programme separat pruefen.","Primaerquelle (URL)":"https://www.modernatx.com/research/product-pipeline","Quellentyp":"PIPELINE","Checked On":"2026-10-29 00:00:00","Next Annual Review":"=EDATE(O17,12)","Review Flag":"=IF(O17=\"\",\"UNKNOWN\",IF(TODAY()&gt;=P17,\"DUE\",\"CURRENT\"))"}</t>
  </si>
  <si>
    <t>{"Entity ID":"BD-013","Organisation":"Bavarian Nordic","Alias / Gruppe":null,"Entity Type":"PHARMA","BD-Rolle":"STRATEGIC_PARTNER","Disease Tags":"VIRAL | VACCINES | PANDEMIC","Modality Tags":"VACCINE | PLATFORM","Stage Fit":"CLINICAL_TO_COMMERCIAL","Geography / Restriction":"GLOBAL","Tier":"A","Warum aufgenommen?":"2026 Impfstoff-Technologietransfer und Co-Development-Optionen mit SII.","Wichtige Einschraenkung":"Bevorzugte Modalitaeten und Herstellungsinteresse projektbezogen pruefen.","Primaerquelle (URL)":"https://www.bavarian-nordic.com/investor/news/news.aspx?news=7444","Quellentyp":"OFFICIAL_ACTIVITY","Checked On":"2026-10-29 00:00:00","Next Annual Review":"=EDATE(O18,12)","Review Flag":"=IF(O18=\"\",\"UNKNOWN\",IF(TODAY()&gt;=P18,\"DUE\",\"CURRENT\"))"}</t>
  </si>
  <si>
    <t>{"Entity ID":"BD-014","Organisation":"Valneva","Alias / Gruppe":null,"Entity Type":"PHARMA","BD-Rolle":"STRATEGIC_PARTNER","Disease Tags":"BACTERIAL | VIRAL | VACCINES","Modality Tags":"VACCINE","Stage Fit":"PRECLINICAL_TO_COMMERCIAL","Geography / Restriction":"GLOBAL","Tier":"A","Warum aufgenommen?":"Partnerschaften mit Pfizer und LimmaTech sowie Travel-Vaccine-Vermarktung.","Wichtige Einschraenkung":"Produkt- und Regulatory-Risiken vor Ansprache aktuell pruefen.","Primaerquelle (URL)":"https://valneva.com/faq/","Quellentyp":"FOCUS_PROFILE","Checked On":"2026-10-29 00:00:00","Next Annual Review":"=EDATE(O19,12)","Review Flag":"=IF(O19=\"\",\"UNKNOWN\",IF(TODAY()&gt;=P19,\"DUE\",\"CURRENT\"))"}</t>
  </si>
  <si>
    <t>{"Entity ID":"BD-015","Organisation":"Gilead Sciences","Alias / Gruppe":null,"Entity Type":"PHARMA","BD-Rolle":"STRATEGIC_PARTNER","Disease Tags":"VIRAL | HIV | HEPATITIS","Modality Tags":"SMALL_MOLECULE | ANTIVIRAL | CGT","Stage Fit":"CLINICAL_TO_COMMERCIAL","Geography / Restriction":"GLOBAL","Tier":"A","Warum aufgenommen?":"Globale HIV/Hepatitis-Lizenzierungen und Partnerschaftsstrukturen.","Wichtige Einschraenkung":"Die angefuehrte Lizenz ist Out-Licensing; kein Beleg fuer In-Licensing.","Primaerquelle (URL)":"https://www.gilead.com/news/news-details/2026/gilead-accelerates-global-access-planning-for-investigational-once-yearly-lenacapavir-for-hiv-prevention","Quellentyp":"OFFICIAL_ACTIVITY","Checked On":"2026-10-29 00:00:00","Next Annual Review":"=EDATE(O20,12)","Review Flag":"=IF(O20=\"\",\"UNKNOWN\",IF(TODAY()&gt;=P20,\"DUE\",\"CURRENT\"))"}</t>
  </si>
  <si>
    <t>{"Entity ID":"BD-016","Organisation":"ViiV Healthcare","Alias / Gruppe":null,"Entity Type":"PHARMA","BD-Rolle":"STRATEGIC_PARTNER","Disease Tags":"VIRAL | HIV","Modality Tags":"SMALL_MOLECULE | ANTIVIRAL | ANTIBODY","Stage Fit":"PRECLINICAL_TO_COMMERCIAL","Geography / Restriction":"GLOBAL","Tier":"A","Warum aufgenommen?":"Spezialunternehmen fuer HIV mit dokumentierten Forschungspartnerschaften.","Wichtige Einschraenkung":"GSK/Pfizer/Shionogi-Beteiligungen beachten; kein eigenstaendiger VC-Fonds.","Primaerquelle (URL)":"https://viivhealthcare.com/de-de/hiv-forschung-und-innovation/","Quellentyp":"FOCUS_PROFILE","Checked On":"2026-10-29 00:00:00","Next Annual Review":"=EDATE(O21,12)","Review Flag":"=IF(O21=\"\",\"UNKNOWN\",IF(TODAY()&gt;=P21,\"DUE\",\"CURRENT\"))"}</t>
  </si>
  <si>
    <t>{"Entity ID":"BD-017","Organisation":"Regeneron","Alias / Gruppe":null,"Entity Type":"PHARMA","BD-Rolle":"STRATEGIC_PARTNER","Disease Tags":"VIRAL | PANDEMIC | ANTIBODIES","Modality Tags":"ANTIBODY | PLATFORM","Stage Fit":"PRECLINICAL_TO_COMMERCIAL","Geography / Restriction":"GLOBAL","Tier":"B","Warum aufgenommen?":"Ebola-Antikoerperplattform und nachgewiesene externe Kooperationen.","Wichtige Einschraenkung":"Fokus auf proprietaere Antikoerper; externer In-Licensing-Bedarf ungeprueft.","Primaerquelle (URL)":"https://newsroom.regeneron.com/news-releases/news-release-details/regeneron-extends-agreement-barda-provide-additional-supply","Quellentyp":"OFFICIAL_ACTIVITY","Checked On":"2026-10-29 00:00:00","Next Annual Review":"=EDATE(O22,12)","Review Flag":"=IF(O22=\"\",\"UNKNOWN\",IF(TODAY()&gt;=P22,\"DUE\",\"CURRENT\"))"}</t>
  </si>
  <si>
    <t>{"Entity ID":"BD-018","Organisation":"Serum Institute of India","Alias / Gruppe":"SII","Entity Type":"PHARMA","BD-Rolle":"STRATEGIC_PARTNER","Disease Tags":"BACTERIAL | VIRAL | VACCINES | TB","Modality Tags":"VACCINE | PLATFORM","Stage Fit":"CLINICAL_TO_COMMERCIAL","Geography / Restriction":"GLOBAL|LMIC","Tier":"A","Warum aufgenommen?":"2026 TB-Vakzin-Herstellpartnerschaft und Technologietransfer.","Wichtige Einschraenkung":"Rolle eher Co-Development/Manufacturing als Equity-Investor.","Primaerquelle (URL)":"https://www.seruminstitute.com/gates-medical-research-institute-and-the-serum-institute-of-india-reach-agreement.php","Quellentyp":"OFFICIAL_ACTIVITY","Checked On":"2026-10-29 00:00:00","Next Annual Review":"=EDATE(O23,12)","Review Flag":"=IF(O23=\"\",\"UNKNOWN\",IF(TODAY()&gt;=P23,\"DUE\",\"CURRENT\"))"}</t>
  </si>
  <si>
    <t>{"Entity ID":"BD-019","Organisation":"Novartis","Alias / Gruppe":null,"Entity Type":"PHARMA","BD-Rolle":"STRATEGIC_PARTNER","Disease Tags":"PARASITIC | MALARIA","Modality Tags":"SMALL_MOLECULE | ANTIMALARIAL","Stage Fit":"PRECLINICAL_TO_COMMERCIAL","Geography / Restriction":"GLOBAL|LMIC","Tier":"B","Warum aufgenommen?":"Aktives Antimalaria-Portfolio und Partnerschaften mit MMV.","Wichtige Einschraenkung":"Nicht pauschal als Partner fuer alle Antiinfektiva behandeln.","Primaerquelle (URL)":"https://www.novartis.com/diseases/malaria","Quellentyp":"FOCUS_PROFILE","Checked On":"2026-10-29 00:00:00","Next Annual Review":"=EDATE(O24,12)","Review Flag":"=IF(O24=\"\",\"UNKNOWN\",IF(TODAY()&gt;=P24,\"DUE\",\"CURRENT\"))"}</t>
  </si>
  <si>
    <t>{"Entity ID":"BD-020","Organisation":"CSL Seqirus","Alias / Gruppe":"CSL Limited; Seqirus","Entity Type":"PHARMA","BD-Rolle":"STRATEGIC_PARTNER","Disease Tags":"VIRAL | INFLUENZA | VACCINES","Modality Tags":"VACCINE | PLATFORM","Stage Fit":"CLINICAL_TO_COMMERCIAL","Geography / Restriction":"GLOBAL","Tier":"B","Warum aufgenommen?":"Influenza-Vakzine und dokumentierte Impfstoff-Vermarktungspartnerschaften.","Wichtige Einschraenkung":"saRNA-Kollaboration mit Arcturus 2026 beendet; aktuelle Rechte pruefen.","Primaerquelle (URL)":"https://valneva.com/faq/","Quellentyp":"PARTNER_EVIDENCE","Checked On":"2026-10-29 00:00:00","Next Annual Review":"=EDATE(O25,12)","Review Flag":"=IF(O25=\"\",\"UNKNOWN\",IF(TODAY()&gt;=P25,\"DUE\",\"CURRENT\"))"}</t>
  </si>
  <si>
    <t>{"Entity ID":"BD-021","Organisation":"Takeda","Alias / Gruppe":null,"Entity Type":"PHARMA","BD-Rolle":"STRATEGIC_PARTNER","Disease Tags":"VIRAL | DENGUE | VACCINES","Modality Tags":"VACCINE","Stage Fit":"CLINICAL_TO_COMMERCIAL","Geography / Restriction":"GLOBAL|LMIC","Tier":"B","Warum aufgenommen?":"Aktive Dengue-Impfstoffentwicklung und internationale Impfstoffpartnerschaften.","Wichtige Einschraenkung":"Kein generelles In-Licensing-Mandat fuer Infektionsprojekte belegt.","Primaerquelle (URL)":"https://www.takeda.com/science/research-and-development/partnerships/iir/","Quellentyp":"FOCUS_PROFILE","Checked On":"2026-10-29 00:00:00","Next Annual Review":"=EDATE(O26,12)","Review Flag":"=IF(O26=\"\",\"UNKNOWN\",IF(TODAY()&gt;=P26,\"DUE\",\"CURRENT\"))"}</t>
  </si>
  <si>
    <t>{"Entity ID":"BD-022","Organisation":"Infex Therapeutics","Alias / Gruppe":null,"Entity Type":"SPECIALIST_BIOTECH","BD-Rolle":"DEVELOPER_SIGNAL","Disease Tags":"BACTERIAL | AMR | RESPIRATORY","Modality Tags":"ANTIBODY | SMALL_MOLECULE","Stage Fit":"PRECLINICAL_TO_PHASE2","Geography / Restriction":"UK|GLOBAL","Tier":"A","Warum aufgenommen?":"Antiinfektiva-BD-Aktivitaet und 2026 RESP-X-Finanzierung.","Wichtige Einschraenkung":"Direktes PcrV-Portfolio-Overlap moeglich; keine automatische Lizenznehmerqualifikation.","Primaerquelle (URL)":"https://www.infextx.com/infex-therapeutics-secures-4-3-million-funding-to-advance-anti-infective-pipeline-targeting-drug-resistant-infections/","Quellentyp":"OFFICIAL_ACTIVITY","Checked On":"2026-10-29 00:00:00","Next Annual Review":"=EDATE(O27,12)","Review Flag":"=IF(O27=\"\",\"UNKNOWN\",IF(TODAY()&gt;=P27,\"DUE\",\"CURRENT\"))"}</t>
  </si>
  <si>
    <t>{"Entity ID":"BD-023","Organisation":"Clarametyx Biosciences","Alias / Gruppe":null,"Entity Type":"SPECIALIST_BIOTECH","BD-Rolle":"DEVELOPER_SIGNAL","Disease Tags":"BACTERIAL | AMR | RESPIRATORY","Modality Tags":"ANTIBODY | VACCINE","Stage Fit":"CLINICAL","Geography / Restriction":"US","Tier":"A","Warum aufgenommen?":"Anti-Biofilm-mAb und nachgewiesene AMR-Investorenbeziehungen.","Wichtige Einschraenkung":"Vorrangig Entwicklungs- und Deal-Netzwerk, keine belegte Erwerbskapazitaet.","Primaerquelle (URL)":"https://clarametyx.com/pipeline-publications/","Quellentyp":"PIPELINE","Checked On":"2026-10-29 00:00:00","Next Annual Review":"=EDATE(O28,12)","Review Flag":"=IF(O28=\"\",\"UNKNOWN\",IF(TODAY()&gt;=P28,\"DUE\",\"CURRENT\"))"}</t>
  </si>
  <si>
    <t>{"Entity ID":"BD-024","Organisation":"Trellis Bioscience","Alias / Gruppe":null,"Entity Type":"SPECIALIST_BIOTECH","BD-Rolle":"DEVELOPER_SIGNAL","Disease Tags":"BACTERIAL | AMR | BIOFILM","Modality Tags":"ANTIBODY","Stage Fit":"CLINICAL","Geography / Restriction":"US","Tier":"A","Warum aufgenommen?":"2026 Finanzierung fuer humanen antiinfektiven mAb; relevante Investorensyndikate.","Wichtige Einschraenkung":"Als Wettbewerber/Co-Dev-Kontext screenen; keine Annahme zum Deal Appetite.","Primaerquelle (URL)":"https://www.newscienceventures.com/trellis-bioscience-raises-9-million-to-advance-clinical-development-of-calpurbatug-trl1068/","Quellentyp":"INVESTOR_ACTIVITY","Checked On":"2026-10-29 00:00:00","Next Annual Review":"=EDATE(O29,12)","Review Flag":"=IF(O29=\"\",\"UNKNOWN\",IF(TODAY()&gt;=P29,\"DUE\",\"CURRENT\"))"}</t>
  </si>
  <si>
    <t>{"Entity ID":"BD-025","Organisation":"Centauri Therapeutics","Alias / Gruppe":null,"Entity Type":"SPECIALIST_BIOTECH","BD-Rolle":"DEVELOPER_SIGNAL","Disease Tags":"BACTERIAL | AMR","Modality Tags":"ANTIBODY | IMMUNOTHERAPY","Stage Fit":"CLINICAL","Geography / Restriction":"UK","Tier":"B","Warum aufgenommen?":"2026 Finanzierung und immunotherapeutischer Gramnegativ-Fokus.","Wichtige Einschraenkung":"Eigene Assets und Rechtekonflikte pruefen.","Primaerquelle (URL)":"https://www.amractionfund.com/investments","Quellentyp":"INVESTOR_PORTFOLIO","Checked On":"2026-10-29 00:00:00","Next Annual Review":"=EDATE(O30,12)","Review Flag":"=IF(O30=\"\",\"UNKNOWN\",IF(TODAY()&gt;=P30,\"DUE\",\"CURRENT\"))"}</t>
  </si>
  <si>
    <t>{"Entity ID":"BD-026","Organisation":"BioVersys","Alias / Gruppe":null,"Entity Type":"SPECIALIST_BIOTECH","BD-Rolle":"DEVELOPER_SIGNAL","Disease Tags":"BACTERIAL | AMR | TB","Modality Tags":"SMALL_MOLECULE","Stage Fit":"CLINICAL","Geography / Restriction":"CH|EU|GLOBAL","Tier":"A","Warum aufgenommen?":"Aktive klinische AMR-Pipeline und dokumentierter Finanzierungsmarkt.","Wichtige Einschraenkung":"Primaer Developer/Partner und Benchmark; nicht automatisch Acquirer.","Primaerquelle (URL)":"https://ir.bioversys.com/news/bioversys-reports-half-year-2026-results-bv100-pivotal-riv-target-trial-actively-recruiting-alpibectir-phase-2bc-underway/b1979958-6896-4f23-aed5-0fb65e3d4b76","Quellentyp":"OFFICIAL_ACTIVITY","Checked On":"2026-10-29 00:00:00","Next Annual Review":"=EDATE(O31,12)","Review Flag":"=IF(O31=\"\",\"UNKNOWN\",IF(TODAY()&gt;=P31,\"DUE\",\"CURRENT\"))"}</t>
  </si>
  <si>
    <t>{"Entity ID":"BD-027","Organisation":"Antabio","Alias / Gruppe":null,"Entity Type":"SPECIALIST_BIOTECH","BD-Rolle":"DEVELOPER_SIGNAL","Disease Tags":"BACTERIAL | AMR | HAP_VAP","Modality Tags":"SMALL_MOLECULE","Stage Fit":"CLINICAL","Geography / Restriction":"FR|GLOBAL","Tier":"B","Warum aufgenommen?":"Klinische Gramnegativ-Antibiotika und Investoren aus AMR-Spezialfonds.","Wichtige Einschraenkung":"Kein Nachweis, dass weitere mAb-Programme einlizenziert werden.","Primaerquelle (URL)":"https://antabio.com/","Quellentyp":"FOCUS_PROFILE","Checked On":"2026-10-29 00:00:00","Next Annual Review":"=EDATE(O32,12)","Review Flag":"=IF(O32=\"\",\"UNKNOWN\",IF(TODAY()&gt;=P32,\"DUE\",\"CURRENT\"))"}</t>
  </si>
  <si>
    <t>{"Entity ID":"BD-028","Organisation":"F2G","Alias / Gruppe":null,"Entity Type":"SPECIALIST_BIOTECH","BD-Rolle":"DEVELOPER_SIGNAL","Disease Tags":"FUNGAL | AMR","Modality Tags":"SMALL_MOLECULE | ANTIFUNGAL","Stage Fit":"CLINICAL","Geography / Restriction":"UK|US|EU","Tier":"A","Warum aufgenommen?":"Invasive Mykosen und Investment-/Lizenzierungsnetzwerk.","Wichtige Einschraenkung":"Asset-Rechte und regionale Lizenzvertraege beachten.","Primaerquelle (URL)":"https://forbion.com/portfolio/f2g/","Quellentyp":"INVESTOR_PORTFOLIO","Checked On":"2026-10-29 00:00:00","Next Annual Review":"=EDATE(O33,12)","Review Flag":"=IF(O33=\"\",\"UNKNOWN\",IF(TODAY()&gt;=P33,\"DUE\",\"CURRENT\"))"}</t>
  </si>
  <si>
    <t>{"Entity ID":"BD-029","Organisation":"Telum Therapeutics","Alias / Gruppe":null,"Entity Type":"SPECIALIST_BIOTECH","BD-Rolle":"DEVELOPER_SIGNAL","Disease Tags":"BACTERIAL | AMR | HAP_VAP","Modality Tags":"PROTEIN | PLATFORM","Stage Fit":"PRECLINICAL_TO_CLINICAL","Geography / Restriction":"ES|EU","Tier":"B","Warum aufgenommen?":"2026 Series A unter Beteiligung mehrerer AMR-Investoren.","Wichtige Einschraenkung":"Investorennetzwerk nutzen; Finanzierungsrunde nicht Einzelinvestor zuschreiben.","Primaerquelle (URL)":"https://telumtherapeutics.com/telum-therapeutics-secures-e18-million-series-a-financing-to-advance-lead-antimicrobial-program-into-clinical-development/","Quellentyp":"OFFICIAL_ACTIVITY","Checked On":"2026-10-29 00:00:00","Next Annual Review":"=EDATE(O34,12)","Review Flag":"=IF(O34=\"\",\"UNKNOWN\",IF(TODAY()&gt;=P34,\"DUE\",\"CURRENT\"))"}</t>
  </si>
  <si>
    <t>{"Entity ID":"BD-030","Organisation":"Elion Therapeutics","Alias / Gruppe":null,"Entity Type":"SPECIALIST_BIOTECH","BD-Rolle":"DEVELOPER_SIGNAL","Disease Tags":"FUNGAL | AMR","Modality Tags":"SMALL_MOLECULE | ANTIFUNGAL","Stage Fit":"PRECLINICAL_TO_CLINICAL","Geography / Restriction":"US","Tier":"B","Warum aufgenommen?":"AMR Action Fund nennt Entwickler antifungaler Wirkstoffe.","Wichtige Einschraenkung":"BD-Kapazitaet und gegenwaertige Stufe neu verifizieren.","Primaerquelle (URL)":"https://www.amractionfund.com/investments","Quellentyp":"INVESTOR_PORTFOLIO","Checked On":"2026-10-29 00:00:00","Next Annual Review":"=EDATE(O35,12)","Review Flag":"=IF(O35=\"\",\"UNKNOWN\",IF(TODAY()&gt;=P35,\"DUE\",\"CURRENT\"))"}</t>
  </si>
  <si>
    <t>{"Entity ID":"BD-031","Organisation":"Vaxcyte","Alias / Gruppe":null,"Entity Type":"SPECIALIST_BIOTECH","BD-Rolle":"DEVELOPER_SIGNAL","Disease Tags":"BACTERIAL | VACCINES","Modality Tags":"VACCINE | PROTEIN | PLATFORM","Stage Fit":"CLINICAL","Geography / Restriction":"US|GLOBAL","Tier":"A","Warum aufgenommen?":"Pneumokokken-, Strep-A- und Shigella-Impfstoffprogramme.","Wichtige Einschraenkung":"Primaer Vaccine Developer und potenzieller Partner, nicht Investor.","Primaerquelle (URL)":"https://vaxcyte.com/pipeline/","Quellentyp":"PIPELINE","Checked On":"2026-10-29 00:00:00","Next Annual Review":"=EDATE(O36,12)","Review Flag":"=IF(O36=\"\",\"UNKNOWN\",IF(TODAY()&gt;=P36,\"DUE\",\"CURRENT\"))"}</t>
  </si>
  <si>
    <t>{"Entity ID":"BD-032","Organisation":"MinervaX","Alias / Gruppe":null,"Entity Type":"SPECIALIST_BIOTECH","BD-Rolle":"DEVELOPER_SIGNAL","Disease Tags":"BACTERIAL | VACCINES","Modality Tags":"VACCINE | PROTEIN","Stage Fit":"CLINICAL","Geography / Restriction":"DK|EU","Tier":"B","Warum aufgenommen?":"GBS-Impfstoffentwicklung mit klinischen Studien und CVC-Investoren.","Wichtige Einschraenkung":"Maternal-Vaccine-Spezialisierung; fremde Targets projektbezogen pruefen.","Primaerquelle (URL)":"https://minervax.com/innovation/clinical-trials/","Quellentyp":"PIPELINE","Checked On":"2026-10-29 00:00:00","Next Annual Review":"=EDATE(O37,12)","Review Flag":"=IF(O37=\"\",\"UNKNOWN\",IF(TODAY()&gt;=P37,\"DUE\",\"CURRENT\"))"}</t>
  </si>
  <si>
    <t>{"Entity ID":"BD-033","Organisation":"Arcturus Therapeutics","Alias / Gruppe":null,"Entity Type":"SPECIALIST_BIOTECH","BD-Rolle":"STRATEGIC_PARTNER","Disease Tags":"VIRAL | VACCINES | PANDEMIC | RESPIRATORY","Modality Tags":"RNA | VACCINE | PLATFORM","Stage Fit":"PRECLINICAL_TO_COMMERCIAL","Geography / Restriction":"US|GLOBAL","Tier":"A","Warum aufgenommen?":"2026 Rueckerhalt von saRNA-Impfstoffrechten und explizite Partnering-Option.","Wichtige Einschraenkung":"Fruehere CSL-Seqirus-Zusammenarbeit wurde beendet.","Primaerquelle (URL)":"https://ir.arcturusrx.com/news-releases/news-release-details/arcturus-therapeutics-announces-second-quarter-2026-financial","Quellentyp":"OFFICIAL_ACTIVITY","Checked On":"2026-10-29 00:00:00","Next Annual Review":"=EDATE(O38,12)","Review Flag":"=IF(O38=\"\",\"UNKNOWN\",IF(TODAY()&gt;=P38,\"DUE\",\"CURRENT\"))"}</t>
  </si>
  <si>
    <t>{"Entity ID":"BD-034","Organisation":"Assembly Biosciences","Alias / Gruppe":null,"Entity Type":"SPECIALIST_BIOTECH","BD-Rolle":"DEVELOPER_SIGNAL","Disease Tags":"VIRAL | HEPATITIS | HSV","Modality Tags":"SMALL_MOLECULE | ANTIVIRAL","Stage Fit":"CLINICAL","Geography / Restriction":"US|GLOBAL","Tier":"B","Warum aufgenommen?":"Klinische HBV/HDV/HSV-Pipeline und Gilead-Partnerprogramme.","Wichtige Einschraenkung":"Nicht als diversifizierten Finanzinvestor klassifizieren.","Primaerquelle (URL)":"https://www.assemblybio.com/pipeline/","Quellentyp":"PIPELINE","Checked On":"2026-10-29 00:00:00","Next Annual Review":"=EDATE(O39,12)","Review Flag":"=IF(O39=\"\",\"UNKNOWN\",IF(TODAY()&gt;=P39,\"DUE\",\"CURRENT\"))"}</t>
  </si>
  <si>
    <t>{"Entity ID":"BD-035","Organisation":"Precision BioSciences","Alias / Gruppe":null,"Entity Type":"SPECIALIST_BIOTECH","BD-Rolle":"STRATEGIC_PARTNER","Disease Tags":"VIRAL | HEPATITIS","Modality Tags":"GENE_EDITING | CGT | PLATFORM","Stage Fit":"CLINICAL","Geography / Restriction":"US|GLOBAL","Tier":"B","Warum aufgenommen?":"HBV-in-vivo-Gene-Editing-Programm und nachgewiesene Plattformlizenzierung.","Wichtige Einschraenkung":"HBV-Targeting nicht allgemein auf andere Infektionen uebertragen.","Primaerquelle (URL)":"https://investor.precisionbiosciences.com/news-releases/news-release-details/precision-biosciences-reports-second-quarter-2026-financial","Quellentyp":"OFFICIAL_ACTIVITY","Checked On":"2026-10-29 00:00:00","Next Annual Review":"=EDATE(O40,12)","Review Flag":"=IF(O40=\"\",\"UNKNOWN\",IF(TODAY()&gt;=P40,\"DUE\",\"CURRENT\"))"}</t>
  </si>
  <si>
    <t>{"Entity ID":"BD-036","Organisation":"Vaxxas","Alias / Gruppe":null,"Entity Type":"SPECIALIST_BIOTECH","BD-Rolle":"STRATEGIC_PARTNER","Disease Tags":"VIRAL | VACCINES | PANDEMIC","Modality Tags":"VACCINE | DELIVERY_PLATFORM","Stage Fit":"PRECLINICAL_TO_CLINICAL","Geography / Restriction":"AU|GLOBAL","Tier":"B","Warum aufgenommen?":"Patch-Vaccine-Delivery-Plattform mit Industriepartnerschaften.","Wichtige Einschraenkung":"Enabling Technology; kein eigenstaendiger therapeutischer Lizenznehmer.","Primaerquelle (URL)":"https://vaxxas.com/about-vaxxas/","Quellentyp":"PARTNERING_PAGE","Checked On":"2026-10-29 00:00:00","Next Annual Review":"=EDATE(O41,12)","Review Flag":"=IF(O41=\"\",\"UNKNOWN\",IF(TODAY()&gt;=P41,\"DUE\",\"CURRENT\"))"}</t>
  </si>
  <si>
    <t>{"Entity ID":"BD-037","Organisation":"Locus Biosciences","Alias / Gruppe":null,"Entity Type":"SPECIALIST_BIOTECH","BD-Rolle":"DEVELOPER_SIGNAL","Disease Tags":"BACTERIAL | AMR | HAP_VAP","Modality Tags":"PHAGE | GENE_EDITING | PLATFORM","Stage Fit":"PRECLINICAL_TO_CLINICAL","Geography / Restriction":"US|GLOBAL","Tier":"B","Warum aufgenommen?":"CRISPR-Phagenplattform und klinische Programme fuer resistente Erreger.","Wichtige Einschraenkung":"Eigene bakterielle Targets koennen direkte Konkurrenz sein.","Primaerquelle (URL)":"https://www.locus-bio.com/pipeline/","Quellentyp":"PIPELINE","Checked On":"2026-10-29 00:00:00","Next Annual Review":"=EDATE(O42,12)","Review Flag":"=IF(O42=\"\",\"UNKNOWN\",IF(TODAY()&gt;=P42,\"DUE\",\"CURRENT\"))"}</t>
  </si>
  <si>
    <t>{"Entity ID":"BD-038","Organisation":"Atea Pharmaceuticals","Alias / Gruppe":null,"Entity Type":"SPECIALIST_BIOTECH","BD-Rolle":"DEVELOPER_SIGNAL","Disease Tags":"VIRAL | HEPATITIS","Modality Tags":"SMALL_MOLECULE | ANTIVIRAL","Stage Fit":"CLINICAL","Geography / Restriction":"US|GLOBAL","Tier":"B","Warum aufgenommen?":"HCV-Phase-III- und HEV-Phase-I-Programme 2026.","Wichtige Einschraenkung":"Begrenzter Indikationsfokus; keine generelle In-Licensing-These.","Primaerquelle (URL)":"https://ir.ateapharma.com/news-releases/news-release-details/atea-pharmaceuticals-reports-second-quarter-2026-financial","Quellentyp":"OFFICIAL_ACTIVITY","Checked On":"2026-10-29 00:00:00","Next Annual Review":"=EDATE(O43,12)","Review Flag":"=IF(O43=\"\",\"UNKNOWN\",IF(TODAY()&gt;=P43,\"DUE\",\"CURRENT\"))"}</t>
  </si>
  <si>
    <t>{"Entity ID":"BD-039","Organisation":"AMR Action Fund","Alias / Gruppe":null,"Entity Type":"INVESTOR","BD-Rolle":"EQUITY_INVESTOR","Disease Tags":"BACTERIAL | AMR | FUNGAL","Modality Tags":"SMALL_MOLECULE | ANTIBODY | PHAGE","Stage Fit":"CLINICAL","Geography / Restriction":"GLOBAL","Tier":"A","Warum aufgenommen?":"Explizit klinische AMR-Unternehmen; Portfoliobelege u.a. F2G/Trellis.","Wichtige Einschraenkung":"Equity und klinische Entwicklungsphase erforderlich; kein Grantprogramm.","Primaerquelle (URL)":"https://www.amractionfund.com/investments","Quellentyp":"INVESTMENT_MANDATE","Checked On":"2026-10-29 00:00:00","Next Annual Review":"=EDATE(O44,12)","Review Flag":"=IF(O44=\"\",\"UNKNOWN\",IF(TODAY()&gt;=P44,\"DUE\",\"CURRENT\"))"}</t>
  </si>
  <si>
    <t>{"Entity ID":"BD-040","Organisation":"Kineticos AMR Accelerator Fund","Alias / Gruppe":"KAMRA; Kineticos Life Sciences","Entity Type":"INVESTOR","BD-Rolle":"EQUITY_INVESTOR","Disease Tags":"BACTERIAL | AMR | FUNGAL | VACCINES","Modality Tags":"ANTIBODY | SMALL_MOLECULE | VACCINE","Stage Fit":"EARLY_STAGE","Geography / Restriction":"US|CHECK_EU","Tier":"A","Warum aufgenommen?":"Expliziter Early-Stage-AMR-Fund inkl. Antibakteria/Antimykotika/Impfstoffe.","Wichtige Einschraenkung":"Geografische Investitionsmoeglichkeit fuer DE jeweils pruefen.","Primaerquelle (URL)":"https://www.kineticos.com/antimicrobial-resistance-accelerator-fund/","Quellentyp":"INVESTMENT_MANDATE","Checked On":"2026-10-29 00:00:00","Next Annual Review":"=EDATE(O45,12)","Review Flag":"=IF(O45=\"\",\"UNKNOWN\",IF(TODAY()&gt;=P45,\"DUE\",\"CURRENT\"))"}</t>
  </si>
  <si>
    <t>{"Entity ID":"BD-041","Organisation":"Adjuvant Capital","Alias / Gruppe":null,"Entity Type":"INVESTOR","BD-Rolle":"EQUITY_INVESTOR","Disease Tags":"VIRAL | BACTERIAL | PARASITIC | AMR | GLOBAL_HEALTH","Modality Tags":"VACCINE | SMALL_MOLECULE | ANTIBODY","Stage Fit":"CLINICAL_PROOF_PREFERRED","Geography / Restriction":"GLOBAL","Tier":"A","Warum aufgenommen?":"Fondsmandat HIV, TB, Malaria, tropische Krankheiten und AMR.","Wichtige Einschraenkung":"Bevorzugt Human-PoC/Sicherheit; preclinical nur Einzelfall.","Primaerquelle (URL)":"https://adjuvantcapital.com/","Quellentyp":"INVESTMENT_MANDATE","Checked On":"2026-10-29 00:00:00","Next Annual Review":"=EDATE(O46,12)","Review Flag":"=IF(O46=\"\",\"UNKNOWN\",IF(TODAY()&gt;=P46,\"DUE\",\"CURRENT\"))"}</t>
  </si>
  <si>
    <t>{"Entity ID":"BD-042","Organisation":"Forbion","Alias / Gruppe":null,"Entity Type":"INVESTOR","BD-Rolle":"EQUITY_INVESTOR","Disease Tags":"BACTERIAL | FUNGAL | VIRAL | BIOTECH","Modality Tags":"MULTI_MODALITY","Stage Fit":"SEED_TO_GROWTH","Geography / Restriction":"EU|US","Tier":"A","Warum aufgenommen?":"Aktives F2G-Investment, ausdruecklicher Infektionskrankheitsfokus.","Wichtige Einschraenkung":"Investiert in Gesellschaften, nicht unmittelbar in akademische Assets.","Primaerquelle (URL)":"https://forbion.com/strategies/","Quellentyp":"INVESTMENT_MANDATE","Checked On":"2026-10-29 00:00:00","Next Annual Review":"=EDATE(O47,12)","Review Flag":"=IF(O47=\"\",\"UNKNOWN\",IF(TODAY()&gt;=P47,\"DUE\",\"CURRENT\"))"}</t>
  </si>
  <si>
    <t>{"Entity ID":"BD-043","Organisation":"Novo Holdings","Alias / Gruppe":"Novo Holdings A/S; REPAIR ist historischer Spezialfonds","Entity Type":"INVESTOR","BD-Rolle":"EQUITY_INVESTOR","Disease Tags":"BACTERIAL | AMR | VACCINES | BIOTECH","Modality Tags":"VACCINE | ANTIBODY | SMALL_MOLECULE","Stage Fit":"SEED_TO_GROWTH","Geography / Restriction":"EU|US|ASIA","Tier":"A","Warum aufgenommen?":"2026 Beteiligung an Bactolife; breite Life-Sciences-Investmentplattform.","Wichtige Einschraenkung":"REPAIR Impact Fund nicht als offen fuer neue Antraege unterstellen.","Primaerquelle (URL)":"https://novoholdings.dk/news/novo-holdings-backs-bactolife-s-euro30-million-series-b-alongside-new-and-existing-investors-","Quellentyp":"OFFICIAL_ACTIVITY","Checked On":"2026-10-29 00:00:00","Next Annual Review":"=EDATE(O48,12)","Review Flag":"=IF(O48=\"\",\"UNKNOWN\",IF(TODAY()&gt;=P48,\"DUE\",\"CURRENT\"))"}</t>
  </si>
  <si>
    <t>{"Entity ID":"BD-044","Organisation":"Sanofi Ventures","Alias / Gruppe":null,"Entity Type":"INVESTOR","BD-Rolle":"EQUITY_INVESTOR","Disease Tags":"VACCINES | BIOTECH | PLATFORM","Modality Tags":"VACCINE | CGT | PLATFORM","Stage Fit":"SEED_TO_GROWTH","Geography / Restriction":"GLOBAL","Tier":"A","Warum aufgenommen?":"CVC mit ausdruecklichem Vaccines- und CGT-Fokus.","Wichtige Einschraenkung":"Strategischer Fit zu Sanofi-Fokus erforderlich.","Primaerquelle (URL)":"https://www.sanofiventures.com/approach/","Quellentyp":"INVESTMENT_MANDATE","Checked On":"2026-10-29 00:00:00","Next Annual Review":"=EDATE(O49,12)","Review Flag":"=IF(O49=\"\",\"UNKNOWN\",IF(TODAY()&gt;=P49,\"DUE\",\"CURRENT\"))"}</t>
  </si>
  <si>
    <t>{"Entity ID":"BD-045","Organisation":"High-Tech Gruenderfonds (HTGF)","Alias / Gruppe":"HTGF; High-Tech Gruenderfonds","Entity Type":"INVESTOR","BD-Rolle":"EQUITY_INVESTOR","Disease Tags":"BIOTECH | BACTERIAL | VIRAL | PLATFORM","Modality Tags":"MULTI_MODALITY","Stage Fit":"SEED_EARLY","Geography / Restriction":"DE","Tier":"A","Warum aufgenommen?":"Aktive deutsche Seed-Life-Sciences-Finanzierungen auch fuer Hochschulausgruendungen.","Wichtige Einschraenkung":"Erfordert passendes Investitionsvehikel und formale Kriterien.","Primaerquelle (URL)":"https://www.htgf.de/en/revier-therapeutics-seed/","Quellentyp":"OFFICIAL_ACTIVITY","Checked On":"2026-10-29 00:00:00","Next Annual Review":"=EDATE(O50,12)","Review Flag":"=IF(O50=\"\",\"UNKNOWN\",IF(TODAY()&gt;=P50,\"DUE\",\"CURRENT\"))"}</t>
  </si>
  <si>
    <t>{"Entity ID":"BD-046","Organisation":"Sofinnova Partners","Alias / Gruppe":null,"Entity Type":"INVESTOR","BD-Rolle":"EQUITY_INVESTOR","Disease Tags":"BIOTECH | VACCINES | PLATFORM","Modality Tags":"MULTI_MODALITY","Stage Fit":"SEED_EARLY","Geography / Restriction":"EU","Tier":"A","Warum aufgenommen?":"Europaeische Company-Creation- und Fruehphasenstrategie; neuer Fund 2025.","Wichtige Einschraenkung":"Infectious-Diseases-Fit muss im Einzelfall belegt werden.","Primaerquelle (URL)":"https://sofinnovapartners.com/strategy/capital","Quellentyp":"INVESTMENT_MANDATE","Checked On":"2026-10-29 00:00:00","Next Annual Review":"=EDATE(O51,12)","Review Flag":"=IF(O51=\"\",\"UNKNOWN\",IF(TODAY()&gt;=P51,\"DUE\",\"CURRENT\"))"}</t>
  </si>
  <si>
    <t>{"Entity ID":"BD-047","Organisation":"New Science Ventures","Alias / Gruppe":null,"Entity Type":"INVESTOR","BD-Rolle":"EQUITY_INVESTOR","Disease Tags":"BACTERIAL | AMR | BIOTECH","Modality Tags":"ANTIBODY | PLATFORM","Stage Fit":"EARLY_TO_CLINICAL","Geography / Restriction":"US|CHECK_EU","Tier":"B","Warum aufgenommen?":"2026 Mitinvestor Trellis Bioscience (infektioeser mAb).","Wichtige Einschraenkung":"Investmentgeografie und gegenwaertige Fonds pruefen.","Primaerquelle (URL)":"https://www.newscienceventures.com/trellis-bioscience-raises-9-million-to-advance-clinical-development-of-calpurbatug-trl1068/","Quellentyp":"OFFICIAL_ACTIVITY","Checked On":"2026-10-29 00:00:00","Next Annual Review":"=EDATE(O52,12)","Review Flag":"=IF(O52=\"\",\"UNKNOWN\",IF(TODAY()&gt;=P52,\"DUE\",\"CURRENT\"))"}</t>
  </si>
  <si>
    <t>{"Entity ID":"BD-048","Organisation":"Easton Capital","Alias / Gruppe":null,"Entity Type":"INVESTOR","BD-Rolle":"EQUITY_INVESTOR","Disease Tags":"BACTERIAL | AMR | BIOTECH","Modality Tags":"ANTIBODY | MULTI_MODALITY","Stage Fit":"CHECK","Geography / Restriction":"US|CHECK_EU","Tier":"B","Warum aufgenommen?":"2026 bestehender Trellis-Bioscience-Investor.","Wichtige Einschraenkung":"Mandat, aktueller Fonds und EU-Eligibility gesondert pruefen.","Primaerquelle (URL)":"https://www.newscienceventures.com/trellis-bioscience-raises-9-million-to-advance-clinical-development-of-calpurbatug-trl1068/","Quellentyp":"PORTFOLIO_EVIDENCE","Checked On":"2026-10-29 00:00:00","Next Annual Review":"=EDATE(O53,12)","Review Flag":"=IF(O53=\"\",\"UNKNOWN\",IF(TODAY()&gt;=P53,\"DUE\",\"CURRENT\"))"}</t>
  </si>
  <si>
    <t>{"Entity ID":"BD-049","Organisation":"Invivo Partners","Alias / Gruppe":null,"Entity Type":"INVESTOR","BD-Rolle":"EQUITY_INVESTOR","Disease Tags":"BACTERIAL | AMR | BIOTECH","Modality Tags":"PROTEIN | SMALL_MOLECULE","Stage Fit":"SEED_EARLY","Geography / Restriction":"ES|EU","Tier":"B","Warum aufgenommen?":"Bestehender Investor in Telum Therapeutics (2026).","Wichtige Einschraenkung":"Schwerpunkt Spanien; DE-Eligibility offen.","Primaerquelle (URL)":"https://telumtherapeutics.com/telum-therapeutics-secures-e18-million-series-a-financing-to-advance-lead-antimicrobial-program-into-clinical-development/","Quellentyp":"PORTFOLIO_EVIDENCE","Checked On":"2026-10-29 00:00:00","Next Annual Review":"=EDATE(O54,12)","Review Flag":"=IF(O54=\"\",\"UNKNOWN\",IF(TODAY()&gt;=P54,\"DUE\",\"CURRENT\"))"}</t>
  </si>
  <si>
    <t>{"Entity ID":"BD-050","Organisation":"Inveready","Alias / Gruppe":null,"Entity Type":"INVESTOR","BD-Rolle":"EQUITY_INVESTOR","Disease Tags":"BACTERIAL | AMR | BIOTECH","Modality Tags":"PROTEIN | MULTI_MODALITY","Stage Fit":"EARLY","Geography / Restriction":"ES|EU","Tier":"B","Warum aufgenommen?":"Neuer Investor in Telum-Series-A 2026.","Wichtige Einschraenkung":"Portfolio-Fokus ausserhalb Spanien verifizieren.","Primaerquelle (URL)":"https://telumtherapeutics.com/telum-therapeutics-secures-e18-million-series-a-financing-to-advance-lead-antimicrobial-program-into-clinical-development/","Quellentyp":"PORTFOLIO_EVIDENCE","Checked On":"2026-10-29 00:00:00","Next Annual Review":"=EDATE(O55,12)","Review Flag":"=IF(O55=\"\",\"UNKNOWN\",IF(TODAY()&gt;=P55,\"DUE\",\"CURRENT\"))"}</t>
  </si>
  <si>
    <t>{"Entity ID":"BD-051","Organisation":"SR One","Alias / Gruppe":null,"Entity Type":"INVESTOR","BD-Rolle":"EQUITY_INVESTOR","Disease Tags":"BIOTECH | VIRAL | BACTERIAL","Modality Tags":"MULTI_MODALITY","Stage Fit":"EARLY_TO_CLINICAL","Geography / Restriction":"US|UK|EU","Tier":"B","Warum aufgenommen?":"Transatlantischer Biotech-Investor mit historischen Antiinfektiva-Beteiligungen.","Wichtige Einschraenkung":"Nicht mit GSK-Investitionsvehikel gleichsetzen; aktuelle Thesis pruefen.","Primaerquelle (URL)":"https://www.srone.com/portfolio","Quellentyp":"INVESTOR_PORTFOLIO","Checked On":"2026-10-29 00:00:00","Next Annual Review":"=EDATE(O56,12)","Review Flag":"=IF(O56=\"\",\"UNKNOWN\",IF(TODAY()&gt;=P56,\"DUE\",\"CURRENT\"))"}</t>
  </si>
  <si>
    <t>{"Entity ID":"BD-052","Organisation":"RA Capital Management","Alias / Gruppe":null,"Entity Type":"INVESTOR","BD-Rolle":"EQUITY_INVESTOR","Disease Tags":"BIOTECH | VACCINES","Modality Tags":"VACCINE | MULTI_MODALITY","Stage Fit":"EARLY_TO_LATE","Geography / Restriction":"US|EU_CHECK","Tier":"B","Warum aufgenommen?":"Breiter Biotech-Investor, u.a. Curevo-Vakzinbeteiligung.","Wichtige Einschraenkung":"Kein reines Infektionsmandat; aktueller Fund Fit offen.","Primaerquelle (URL)":"https://www.racap.com/portfolio","Quellentyp":"INVESTOR_PORTFOLIO","Checked On":"2026-10-29 00:00:00","Next Annual Review":"=EDATE(O57,12)","Review Flag":"=IF(O57=\"\",\"UNKNOWN\",IF(TODAY()&gt;=P57,\"DUE\",\"CURRENT\"))"}</t>
  </si>
  <si>
    <t>{"Entity ID":"BD-053","Organisation":"F-Prime Capital","Alias / Gruppe":null,"Entity Type":"INVESTOR","BD-Rolle":"EQUITY_INVESTOR","Disease Tags":"BACTERIAL | BIOTECH | PLATFORM","Modality Tags":"SMALL_MOLECULE | MULTI_MODALITY","Stage Fit":"EARLY_TO_GROWTH","Geography / Restriction":"US|EU","Tier":"B","Warum aufgenommen?":"Biotech-Investor mit frueheren Antiinfektiva-Investments.","Wichtige Einschraenkung":"Historische Portfoliobeispiele belegen keine gegenwaertige AMR-Thesis.","Primaerquelle (URL)":"https://www.fprimecapital.com/portfolio/life-sciences/","Quellentyp":"INVESTOR_PORTFOLIO","Checked On":"2026-10-29 00:00:00","Next Annual Review":"=EDATE(O58,12)","Review Flag":"=IF(O58=\"\",\"UNKNOWN\",IF(TODAY()&gt;=P58,\"DUE\",\"CURRENT\"))"}</t>
  </si>
  <si>
    <t>CORRECTED_PARTIAL_SCOPE_CHECK</t>
  </si>
  <si>
    <t>{"Entity ID":"BD-054","Organisation":"Boehringer Ingelheim Venture Fund","Alias / Gruppe":"BIVF","Entity Type":"INVESTOR","BD-Rolle":"EQUITY_INVESTOR","Disease Tags":"BACTERIAL | AMR | BIOTECH | PLATFORM","Modality Tags":"MULTI_MODALITY","Stage Fit":"SEED_EARLY","Geography / Restriction":"EU|US","Tier":"A","Warum aufgenommen?":"Deutscher CVC mit 2026 Beteiligung an Centauri bzw. AMR-Startups.","Wichtige Einschraenkung":"Investment als CVC strategisch; Elternkonzern nicht automatisch Lizenznehmer.","Primaerquelle (URL)":"https://www.htgf.de/tecregen-seed-financing/","Quellentyp":"PORTFOLIO_EVIDENCE","Checked On":"2026-10-29 00:00:00","Next Annual Review":"=EDATE(O59,12)","Review Flag":"=IF(O59=\"\",\"UNKNOWN\",IF(TODAY()&gt;=P59,\"DUE\",\"CURRENT\"))"}</t>
  </si>
  <si>
    <t>{"Entity ID":"BD-055","Organisation":"EQT Life Sciences","Alias / Gruppe":"LSP; EQT Life Sciences","Entity Type":"INVESTOR","BD-Rolle":"EQUITY_INVESTOR","Disease Tags":"BIOTECH | BACTERIAL | AMR","Modality Tags":"MULTI_MODALITY","Stage Fit":"CLINICAL_TO_GROWTH","Geography / Restriction":"EU|US","Tier":"B","Warum aufgenommen?":"Europaeischer Life-Sciences-Fund, expliziter Bezug zu Antibiotikaresistenz.","Wichtige Einschraenkung":"Angabespanne 10-60 Mio. EUR; fuer sehr fruehe Assets oft ungeeignet.","Primaerquelle (URL)":"https://eqtgroup.com/private-capital/eqt-life-sciences","Quellentyp":"INVESTMENT_MANDATE","Checked On":"2026-10-29 00:00:00","Next Annual Review":"=EDATE(O60,12)","Review Flag":"=IF(O60=\"\",\"UNKNOWN\",IF(TODAY()&gt;=P60,\"DUE\",\"CURRENT\"))"}</t>
  </si>
  <si>
    <t>{"Entity ID":"BD-056","Organisation":"Pfizer Ventures","Alias / Gruppe":null,"Entity Type":"INVESTOR","BD-Rolle":"EQUITY_INVESTOR","Disease Tags":"VACCINES | PLATFORM | BIOTECH","Modality Tags":"VACCINE | MULTI_MODALITY","Stage Fit":"SEED_TO_IPO","Geography / Restriction":"GLOBAL","Tier":"A","Warum aufgenommen?":"Offizieller Pfizer-CVC: Impfstoffe, 5-20 Mio. USD typische Ersteinlage.","Wichtige Einschraenkung":"Eigens als Investor filtern, nicht mit Pfizer BD&amp;L vermischen.","Primaerquelle (URL)":"https://www.pfizer.com/about/partners/venture-investments","Quellentyp":"INVESTMENT_MANDATE","Checked On":"2026-10-29 00:00:00","Next Annual Review":"=EDATE(O61,12)","Review Flag":"=IF(O61=\"\",\"UNKNOWN\",IF(TODAY()&gt;=P61,\"DUE\",\"CURRENT\"))"}</t>
  </si>
  <si>
    <t>{"Entity ID":"BD-057","Organisation":"KHAN Technology Transfer Fund II","Alias / Gruppe":"KHAN II; KHAN Technology Transfer","Entity Type":"INVESTOR","BD-Rolle":"EQUITY_INVESTOR","Disease Tags":"BIOTECH | PLATFORM | INFECTIOUS_BROAD","Modality Tags":"MULTI_MODALITY","Stage Fit":"ACADEMIC_SEED","Geography / Restriction":"EU|DE","Tier":"A","Warum aufgenommen?":"Akademischer Drug-Discovery-Transfer auch ohne fertig gegruendete Firma.","Wichtige Einschraenkung":"Konkretes Projekt und Lizenzierungsrechte dennoch individuell pruefen.","Primaerquelle (URL)":"https://khanu.de/","Quellentyp":"INVESTMENT_MANDATE","Checked On":"2026-10-29 00:00:00","Next Annual Review":"=EDATE(O62,12)","Review Flag":"=IF(O62=\"\",\"UNKNOWN\",IF(TODAY()&gt;=P62,\"DUE\",\"CURRENT\"))"}</t>
  </si>
  <si>
    <t>DZIF_Company_Radar_Katalog_2026-10-29(1).xlsx</t>
  </si>
  <si>
    <t>01_WATCHLIST</t>
  </si>
  <si>
    <t>2026-07-31</t>
  </si>
  <si>
    <t>GlobalData snapshot only; validate current asset status</t>
  </si>
  <si>
    <t>Suchfelder normiert; GD-Counts, Phasen und Score nur historisch im raw_record_json. Keine Quellen-URL erfunden.</t>
  </si>
  <si>
    <t>{"Tier":"CORE","Company":"GSK plc","Parent / Corporate Group":null,"Role":"Therapeutics","Active Assets (GD)":34,"Phase II+ (GD)":25,"Max Stage (GD)":"Pre-Registration","DZIF Research Areas":"HIV, HEP, HAI, ABX, EMG, TB, NTD, MUC, ICH","Bridging Topics":"VAC, MAB","Research Areas N":9,"Manual Core":"No","Indicative Score":"=ROUND(MIN(22,7*LN(1+E4))+MIN(12,4*LN(1+F4))+MIN(12,2.8*J4)+IF(O4=\"\",0,5)+IF(K4=\"Yes\",3,0),1)","Example Assets (GD)":"Arexvy (Pre-Registration) | bepirovirsen sodium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ID":"CMP-579c450159e"}</t>
  </si>
  <si>
    <t>Merck &amp; Co Inc</t>
  </si>
  <si>
    <t>{"Tier":"CORE","Company":"Merck &amp; Co Inc","Parent / Corporate Group":"MSD (US)","Role":"Therapeutics","Active Assets (GD)":28,"Phase II+ (GD)":16,"Max Stage (GD)":"Pre-Registration","DZIF Research Areas":"HIV, HEP, HAI, ABX, EMG, NTD, MUC, ICH","Bridging Topics":"VAC","Research Areas N":8,"Manual Core":"No","Indicative Score":"=ROUND(MIN(22,7*LN(1+E5))+MIN(12,4*LN(1+F5))+MIN(12,2.8*J5)+IF(O5=\"\",0,5)+IF(K5=\"Yes\",3,0),1)","Example Assets (GD)":"posaconazole (Pre-Registration) | (cilastatin sodium + imipenem + relebactam) (Phase III)","Topic Evidence Basis":"GlobalData indication/asset-name proxy","Source URL":null,"GlobalData As-of":"2026-07-31","Asset Status Caution":"GlobalData snapshot only; validate current asset status","Selection Basis":"Stratified company selection","Company ID":"CMP-3f134522796"}</t>
  </si>
  <si>
    <t>{"Tier":"CORE","Company":"Sanofi","Parent / Corporate Group":null,"Role":"Therapeutics","Active Assets (GD)":20,"Phase II+ (GD)":17,"Max Stage (GD)":"Pre-Registration","DZIF Research Areas":"HAI, ABX, EMG, TB, NTD, MUC, ICH","Bridging Topics":"VAC","Research Areas N":7,"Manual Core":"No","Indicative Score":"=ROUND(MIN(22,7*LN(1+E6))+MIN(12,4*LN(1+F6))+MIN(12,2.8*J6)+IF(O6=\"\",0,5)+IF(K6=\"Yes\",3,0),1)","Example Assets (GD)":"VerorabVax (Pre-Registration) | fexinidazole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ID":"CMP-ef3fd5062fb"}</t>
  </si>
  <si>
    <t>{"Tier":"CORE","Company":"Chongqing Zhifei Biological Products Co Ltd","Parent / Corporate Group":null,"Role":"Therapeutics","Active Assets (GD)":25,"Phase II+ (GD)":14,"Max Stage (GD)":"Pre-Registration","DZIF Research Areas":"HAI, ABX, EMG, TB, MUC, ICH","Bridging Topics":"VAC","Research Areas N":6,"Manual Core":"No","Indicative Score":"=ROUND(MIN(22,7*LN(1+E7))+MIN(12,4*LN(1+F7))+MIN(12,2.8*J7)+IF(O7=\"\",0,5)+IF(K7=\"Yes\",3,0),1)","Example Assets (GD)":"influenza (split virion) vaccine (Pre-Registration) | rabies vaccine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ID":"CMP-cc9fc6ac0ff"}</t>
  </si>
  <si>
    <t>{"Tier":"CORE","Company":"Moderna Inc","Parent / Corporate Group":null,"Role":"Therapeutics","Active Assets (GD)":24,"Phase II+ (GD)":15,"Max Stage (GD)":"Pre-Registration","DZIF Research Areas":"HIV, EMG, MUC, ICH","Bridging Topics":"VAC","Research Areas N":4,"Manual Core":"No","Indicative Score":"=ROUND(MIN(22,7*LN(1+E8))+MIN(12,4*LN(1+F8))+MIN(12,2.8*J8)+IF(O8=\"\",0,5)+IF(K8=\"Yes\",3,0),1)","Example Assets (GD)":"coronavirus disease 2019 (SARS-CoV-2) mRNA vaccine + influenza (Pre-Registration) | elasomeran + imelasomeran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ID":"CMP-24531a6b01f"}</t>
  </si>
  <si>
    <t>{"Tier":"CORE","Company":"Gilead Sciences Inc","Parent / Corporate Group":null,"Role":"Therapeutics","Active Assets (GD)":19,"Phase II+ (GD)":13,"Max Stage (GD)":"Pre-Registration","DZIF Research Areas":"HIV, HEP, HAI, EMG, MUC, ICH","Bridging Topics":"SMD","Research Areas N":6,"Manual Core":"No","Indicative Score":"=ROUND(MIN(22,7*LN(1+E9))+MIN(12,4*LN(1+F9))+MIN(12,2.8*J9)+IF(O9=\"\",0,5)+IF(K9=\"Yes\",3,0),1)","Example Assets (GD)":"(bictegravir + lenacapavir) (Pre-Registration) | bulevirtide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ID":"CMP-384891abbee"}</t>
  </si>
  <si>
    <t>{"Tier":"CORE","Company":"Pfizer Inc","Parent / Corporate Group":null,"Role":"Therapeutics","Active Assets (GD)":22,"Phase II+ (GD)":11,"Max Stage (GD)":"Pre-Registration","DZIF Research Areas":"HAI, ABX, EMG, MUC","Bridging Topics":"VAC","Research Areas N":4,"Manual Core":"No","Indicative Score":"=ROUND(MIN(22,7*LN(1+E10))+MIN(12,4*LN(1+F10))+MIN(12,2.8*J10)+IF(O10=\"\",0,5)+IF(K10=\"Yes\",3,0),1)","Example Assets (GD)":"nirmatrelvir + ritonavir (Pre-Registration) | (avibactam sodium + aztreonam) (Phase III)","Topic Evidence Basis":"GlobalData indication/asset-name proxy","Source URL":null,"GlobalData As-of":"2026-07-31","Asset Status Caution":"GlobalData snapshot only; validate current asset status","Selection Basis":"Stratified company selection","Company ID":"CMP-335ff7e594c"}</t>
  </si>
  <si>
    <t>{"Tier":"CORE","Company":"AstraZeneca Plc","Parent / Corporate Group":null,"Role":"Therapeutics","Active Assets (GD)":14,"Phase II+ (GD)":11,"Max Stage (GD)":"Phase III","DZIF Research Areas":"HAI, ABX, EMG, TB, MUC, ICH","Bridging Topics":"VAC, MAB","Research Areas N":6,"Manual Core":"No","Indicative Score":"=ROUND(MIN(22,7*LN(1+E11))+MIN(12,4*LN(1+F11))+MIN(12,2.8*J11)+IF(O11=\"\",0,5)+IF(K11=\"Yes\",3,0),1)","Example Assets (GD)":"AZD-3152 + cilgavimab (Phase III) | sipavibart LA (Phase III)","Topic Evidence Basis":"GlobalData indication/asset-name proxy","Source URL":null,"GlobalData As-of":"2026-07-31","Asset Status Caution":"GlobalData snapshot only; validate current asset status","Selection Basis":"Stratified company selection","Company ID":"CMP-85e7acc8115"}</t>
  </si>
  <si>
    <t>{"Tier":"CORE","Company":"Sinovac Biotech Ltd","Parent / Corporate Group":null,"Role":"Therapeutics","Active Assets (GD)":16,"Phase II+ (GD)":10,"Max Stage (GD)":"Pre-Registration","DZIF Research Areas":"ABX, EMG, MUC, ICH","Bridging Topics":"VAC, MAB","Research Areas N":4,"Manual Core":"No","Indicative Score":"=ROUND(MIN(22,7*LN(1+E12))+MIN(12,4*LN(1+F12))+MIN(12,2.8*J12)+IF(O12=\"\",0,5)+IF(K12=\"Yes\",3,0),1)","Example Assets (GD)":"rabies vaccine (Pre-Registration) | Coronavirus Disease 2019 (COVID-19)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ID":"CMP-1c8ca8e408e"}</t>
  </si>
  <si>
    <t>{"Tier":"CORE","Company":"CanSino Biologics Inc","Parent / Corporate Group":null,"Role":"Therapeutics","Active Assets (GD)":16,"Phase II+ (GD)":7,"Max Stage (GD)":"Pre-Registration","DZIF Research Areas":"ABX, EMG, TB, MUC, ICH","Bridging Topics":"VAC","Research Areas N":5,"Manual Core":"No","Indicative Score":"=ROUND(MIN(22,7*LN(1+E13))+MIN(12,4*LN(1+F13))+MIN(12,2.8*J13)+IF(O13=\"\",0,5)+IF(K13=\"Yes\",3,0),1)","Example Assets (GD)":"(diphtheria + pertussis + tetanus) vaccine (Pre-Registration) | CS-2047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ID":"CMP-add35b11171"}</t>
  </si>
  <si>
    <t>{"Tier":"CORE","Company":"AIM Vaccine Co Ltd","Parent / Corporate Group":null,"Role":"Therapeutics","Active Assets (GD)":19,"Phase II+ (GD)":5,"Max Stage (GD)":"Pre-Registration","DZIF Research Areas":"HAI, ABX, EMG, MUC, ICH","Bridging Topics":"VAC","Research Areas N":5,"Manual Core":"No","Indicative Score":"=ROUND(MIN(22,7*LN(1+E14))+MIN(12,4*LN(1+F14))+MIN(12,2.8*J14)+IF(O14=\"\",0,5)+IF(K14=\"Yes\",3,0),1)","Example Assets (GD)":"rabies vaccine 2 (Pre-Registration) | LVRNA-012 (Phase III)","Topic Evidence Basis":"GlobalData indication/asset-name proxy","Source URL":null,"GlobalData As-of":"2026-07-31","Asset Status Caution":"GlobalData snapshot only; validate current asset status","Selection Basis":"Stratified company selection","Company ID":"CMP-b69f0599844"}</t>
  </si>
  <si>
    <t>{"Tier":"CORE","Company":"Johnson &amp; Johnson","Parent / Corporate Group":null,"Role":"Therapeutics","Active Assets (GD)":11,"Phase II+ (GD)":8,"Max Stage (GD)":"Pre-Registration","DZIF Research Areas":"HIV, HEP, HAI, ABX, EMG, TB, NTD, MUC","Bridging Topics":"VAC, SMD","Research Areas N":8,"Manual Core":"No","Indicative Score":"=ROUND(MIN(22,7*LN(1+E15))+MIN(12,4*LN(1+F15))+MIN(12,2.8*J15)+IF(O15=\"\",0,5)+IF(K15=\"Yes\",3,0),1)","Example Assets (GD)":"(cobicistat + darunavir + emtricitabine + tenofovir alafenamide) (Pre-Registration) | (cobicistat + darunavir)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ID":"CMP-a133809740b"}</t>
  </si>
  <si>
    <t>{"Tier":"CORE","Company":"Shionogi &amp; Co Ltd","Parent / Corporate Group":null,"Role":"Therapeutics","Active Assets (GD)":10,"Phase II+ (GD)":9,"Max Stage (GD)":"Pre-Registration","DZIF Research Areas":"HEP, HAI, ABX, EMG, MUC, ICH","Bridging Topics":"VAC, SMD","Research Areas N":6,"Manual Core":"No","Indicative Score":"=ROUND(MIN(22,7*LN(1+E16))+MIN(12,4*LN(1+F16))+MIN(12,2.8*J16)+IF(O16=\"\",0,5)+IF(K16=\"Yes\",3,0),1)","Example Assets (GD)":"S-268024 (Pre-Registration) | cefiderocol sulfate tosylate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ID":"CMP-e1f2b6c9f07"}</t>
  </si>
  <si>
    <t>{"Tier":"CORE","Company":"Bioversys AG","Parent / Corporate Group":null,"Role":"Therapeutics","Active Assets (GD)":6,"Phase II+ (GD)":2,"Max Stage (GD)":"Phase III","DZIF Research Areas":"HAI, ABX, TB, MUC","Bridging Topics":"SMD","Research Areas N":4,"Manual Core":"Yes","Indicative Score":"=ROUND(MIN(22,7*LN(1+E17))+MIN(12,4*LN(1+F17))+MIN(12,2.8*J17)+IF(O17=\"\",0,5)+IF(K17=\"Yes\",3,0),1)","Example Assets (GD)":"rifabutin (Phase III) | (alpibectir + ethionamide) (Phase II)","Topic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ID":"CMP-b82e0112382"}</t>
  </si>
  <si>
    <t>{"Tier":"CORE","Company":"Biological E Ltd","Parent / Corporate Group":null,"Role":"Therapeutics","Active Assets (GD)":10,"Phase II+ (GD)":6,"Max Stage (GD)":"Phase III","DZIF Research Areas":"HEP, ABX, EMG, NTD, MUC","Bridging Topics":"VAC","Research Areas N":5,"Manual Core":"No","Indicative Score":"=ROUND(MIN(22,7*LN(1+E18))+MIN(12,4*LN(1+F18))+MIN(12,2.8*J18)+IF(O18=\"\",0,5)+IF(K18=\"Yes\",3,0),1)","Example Assets (GD)":"(diphtheria + haemophilus influenzae [serotype B] + hepatitis B + pertussis (whole cell) + poliomyelitis + tetanus) (hexavalent) vaccine (Phase III) | COVID-19 (omicron JN.1)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ID":"CMP-4e3acc2788c"}</t>
  </si>
  <si>
    <t>{"Tier":"CORE","Company":"Novartis AG","Parent / Corporate Group":null,"Role":"Therapeutics","Active Assets (GD)":8,"Phase II+ (GD)":8,"Max Stage (GD)":"Phase III","DZIF Research Areas":"HAI, ABX, EMG, NTD, ICH","Bridging Topics":"SMD","Research Areas N":5,"Manual Core":"No","Indicative Score":"=ROUND(MIN(22,7*LN(1+E19))+MIN(12,4*LN(1+F19))+MIN(12,2.8*J19)+IF(O19=\"\",0,5)+IF(K19=\"Yes\",3,0),1)","Example Assets (GD)":"(ganaplacide + lumefantrine) (Phase III) | EDI-048 (Phase II)","Topic Evidence Basis":"GlobalData indication/asset-name proxy","Source URL":null,"GlobalData As-of":"2026-07-31","Asset Status Caution":"GlobalData snapshot only; validate current asset status","Selection Basis":"Stratified company selection","Company ID":"CMP-c0364501a9f"}</t>
  </si>
  <si>
    <t>{"Tier":"CORE","Company":"Bharat Biotech Ltd","Parent / Corporate Group":null,"Role":"Therapeutics","Active Assets (GD)":9,"Phase II+ (GD)":6,"Max Stage (GD)":"Phase III","DZIF Research Areas":"HAI, ABX, EMG, NTD, MUC","Bridging Topics":"VAC","Research Areas N":5,"Manual Core":"No","Indicative Score":"=ROUND(MIN(22,7*LN(1+E20))+MIN(12,4*LN(1+F20))+MIN(12,2.8*J20)+IF(O20=\"\",0,5)+IF(K20=\"Yes\",3,0),1)","Example Assets (GD)":"BBV-87 (Phase III) | Rotavac-5C (Phase III)","Topic Evidence Basis":"GlobalData indication/asset-name proxy","Source URL":null,"GlobalData As-of":"2026-07-31","Asset Status Caution":"GlobalData snapshot only; validate current asset status","Selection Basis":"Stratified company selection","Company ID":"CMP-425a0205bf3"}</t>
  </si>
  <si>
    <t>{"Tier":"CORE","Company":"Novavax Inc","Parent / Corporate Group":null,"Role":"Therapeutics","Active Assets (GD)":9,"Phase II+ (GD)":6,"Max Stage (GD)":"Phase III","DZIF Research Areas":"HAI, ABX, EMG, MUC","Bridging Topics":"VAC","Research Areas N":4,"Manual Core":"No","Indicative Score":"=ROUND(MIN(22,7*LN(1+E21))+MIN(12,4*LN(1+F21))+MIN(12,2.8*J21)+IF(O21=\"\",0,5)+IF(K21=\"Yes\",3,0),1)","Example Assets (GD)":"(Coronavirus disease 2019 (COVID-19) + influenza (trivalent)) vaccine (Phase III) | COVID/Influenza Combination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ID":"CMP-fbe85e38ed1"}</t>
  </si>
  <si>
    <t>{"Tier":"CORE","Company":"Basilea Pharmaceutica Ltd","Parent / Corporate Group":null,"Role":"Therapeutics","Active Assets (GD)":5,"Phase II+ (GD)":1,"Max Stage (GD)":"Phase III","DZIF Research Areas":"HAI, ABX, MUC, ICH","Bridging Topics":"SMD","Research Areas N":4,"Manual Core":"Yes","Indicative Score":"=ROUND(MIN(22,7*LN(1+E22))+MIN(12,4*LN(1+F22))+MIN(12,2.8*J22)+IF(O22=\"\",0,5)+IF(K22=\"Yes\",3,0),1)","Example Assets (GD)":"fosmanogepix (Phase III) | (ceftibuten + ledaborbactam etzadroxil) (Phase I)","Topic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ID":"CMP-93148ce3ea6"}</t>
  </si>
  <si>
    <t>{"Tier":"CORE","Company":"Vital Korea","Parent / Corporate Group":null,"Role":"Therapeutics","Active Assets (GD)":7,"Phase II+ (GD)":6,"Max Stage (GD)":"Phase II","DZIF Research Areas":"HEP, ABX, EMG, TB, MUC","Bridging Topics":"VAC","Research Areas N":5,"Manual Core":"No","Indicative Score":"=ROUND(MIN(22,7*LN(1+E23))+MIN(12,4*LN(1+F23))+MIN(12,2.8*J23)+IF(O23=\"\",0,5)+IF(K23=\"Yes\",3,0),1)","Example Assets (GD)":"(diphtheria + pertussis + tetanus) (trivalent) vaccine (Phase II) | Japanese encephalitis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ID":"CMP-2ce03c6442a"}</t>
  </si>
  <si>
    <t>{"Tier":"CORE","Company":"BioNTech SE","Parent / Corporate Group":null,"Role":"Therapeutics","Active Assets (GD)":8,"Phase II+ (GD)":4,"Max Stage (GD)":"Phase III","DZIF Research Areas":"HIV, ABX, EMG, TB, NTD, MUC","Bridging Topics":"VAC","Research Areas N":6,"Manual Core":"No","Indicative Score":"=ROUND(MIN(22,7*LN(1+E24))+MIN(12,4*LN(1+F24))+MIN(12,2.8*J24)+IF(O24=\"\",0,5)+IF(K24=\"Yes\",3,0),1)","Example Assets (GD)":"BNT-162b5 (Phase III) | tozinameran (Phase III)","Topic Evidence Basis":"GlobalData indication/asset-name proxy","Source URL":null,"GlobalData As-of":"2026-07-31","Asset Status Caution":"GlobalData snapshot only; validate current asset status","Selection Basis":"Stratified company selection","Company ID":"CMP-1dc25b959ce"}</t>
  </si>
  <si>
    <t>Serum Institute of India Pvt Ltd</t>
  </si>
  <si>
    <t>{"Tier":"CORE","Company":"Serum Institute of India Pvt Ltd","Parent / Corporate Group":null,"Role":"Therapeutics","Active Assets (GD)":7,"Phase II+ (GD)":6,"Max Stage (GD)":"Phase III","DZIF Research Areas":"ABX, EMG, TB, NTD","Bridging Topics":"VAC, MAB","Research Areas N":4,"Manual Core":"No","Indicative Score":"=ROUND(MIN(22,7*LN(1+E25))+MIN(12,4*LN(1+F25))+MIN(12,2.8*J25)+IF(O25=\"\",0,5)+IF(K25=\"Yes\",3,0),1)","Example Assets (GD)":"R-21 (Phase III) | VIS-513 (Phase III)","Topic Evidence Basis":"GlobalData indication/asset-name proxy","Source URL":null,"GlobalData As-of":"2026-07-31","Asset Status Caution":"GlobalData snapshot only; validate current asset status","Selection Basis":"Stratified company selection","Company ID":"CMP-272f19fd220"}</t>
  </si>
  <si>
    <t>{"Tier":"CORE","Company":"AbbVie Inc","Parent / Corporate Group":null,"Role":"Therapeutics","Active Assets (GD)":7,"Phase II+ (GD)":4,"Max Stage (GD)":"Phase III","DZIF Research Areas":"HIV, HAI, ABX, EMG, MUC, ICH","Bridging Topics":"VAC","Research Areas N":6,"Manual Core":"No","Indicative Score":"=ROUND(MIN(22,7*LN(1+E26))+MIN(12,4*LN(1+F26))+MIN(12,2.8*J26)+IF(O26=\"\",0,5)+IF(K26=\"Yes\",3,0),1)","Example Assets (GD)":"dalbavancin (Phase III) | influenza [strains A/H1N1 + A/H3N2 + B/Victoria] (trivalent)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ID":"CMP-b372a79ea29"}</t>
  </si>
  <si>
    <t>{"Tier":"CORE","Company":"CSPC Pharmaceutical Group Ltd","Parent / Corporate Group":null,"Role":"Therapeutics","Active Assets (GD)":9,"Phase II+ (GD)":3,"Max Stage (GD)":"Phase II","DZIF Research Areas":"HEP, EMG, MUC, ICH","Bridging Topics":"VAC","Research Areas N":4,"Manual Core":"No","Indicative Score":"=ROUND(MIN(22,7*LN(1+E27))+MIN(12,4*LN(1+F27))+MIN(12,2.8*J27)+IF(O27=\"\",0,5)+IF(K27=\"Yes\",3,0),1)","Example Assets (GD)":"Baicalein (Phase II) | Coronavirus Disease 2019 (COVID-19)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ID":"CMP-c132e3a36c6"}</t>
  </si>
  <si>
    <t>{"Tier":"CORE","Company":"Brii Biosciences Ltd","Parent / Corporate Group":null,"Role":"Therapeutics","Active Assets (GD)":7,"Phase II+ (GD)":4,"Max Stage (GD)":"Phase III","DZIF Research Areas":"HIV, HEP, HAI, ABX","Bridging Topics":"MAB","Research Areas N":4,"Manual Core":"No","Indicative Score":"=ROUND(MIN(22,7*LN(1+E28))+MIN(12,4*LN(1+F28))+MIN(12,2.8*J28)+IF(O28=\"\",0,5)+IF(K28=\"Yes\",3,0),1)","Example Assets (GD)":"elebsiran + tobevibart (Phase III) | BRII-179 (Phase II)","Topic Evidence Basis":"GlobalData indication/asset-name proxy","Source URL":null,"GlobalData As-of":"2026-07-31","Asset Status Caution":"GlobalData snapshot only; validate current asset status","Selection Basis":"Stratified company selection","Company ID":"CMP-bebf092fda0"}</t>
  </si>
  <si>
    <t>{"Tier":"CORE","Company":"Zydus Lifesciences Ltd","Parent / Corporate Group":null,"Role":"Therapeutics","Active Assets (GD)":7,"Phase II+ (GD)":3,"Max Stage (GD)":"Phase II","DZIF Research Areas":"HEP, HAI, ABX, EMG, NTD, ICH","Bridging Topics":"VAC","Research Areas N":6,"Manual Core":"No","Indicative Score":"=ROUND(MIN(22,7*LN(1+E29))+MIN(12,4*LN(1+F29))+MIN(12,2.8*J29)+IF(O29=\"\",0,5)+IF(K29=\"Yes\",3,0),1)","Example Assets (GD)":"hepatitis E vaccine (Phase II) | paratyphoid [serotype A] + typhoid (bivalent)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ID":"CMP-8ee8900c31c"}</t>
  </si>
  <si>
    <t>{"Tier":"CORE","Company":"Suzhou Abogen Biosciences Co Ltd","Parent / Corporate Group":null,"Role":"Therapeutics","Active Assets (GD)":5,"Phase II+ (GD)":4,"Max Stage (GD)":"Phase III","DZIF Research Areas":"ABX, EMG, TB, MUC, ICH","Bridging Topics":"VAC","Research Areas N":5,"Manual Core":"No","Indicative Score":"=ROUND(MIN(22,7*LN(1+E30))+MIN(12,4*LN(1+F30))+MIN(12,2.8*J30)+IF(O30=\"\",0,5)+IF(K30=\"Yes\",3,0),1)","Example Assets (GD)":"Coronavirus Disease 2019 (COVID-19)[omicron BA.4/5] vaccine (Phase III) | ABO-1009DP (Phase II)","Topic Evidence Basis":"GlobalData indication/asset-name proxy","Source URL":null,"GlobalData As-of":"2026-07-31","Asset Status Caution":"GlobalData snapshot only; validate current asset status","Selection Basis":"Stratified company selection","Company ID":"CMP-870018ed6f8"}</t>
  </si>
  <si>
    <t>{"Tier":"CORE","Company":"Inovio Pharmaceuticals Inc","Parent / Corporate Group":null,"Role":"Therapeutics","Active Assets (GD)":8,"Phase II+ (GD)":2,"Max Stage (GD)":"Pre-Registration","DZIF Research Areas":"HIV, HEP, EMG, NTD","Bridging Topics":"VAC","Research Areas N":4,"Manual Core":"No","Indicative Score":"=ROUND(MIN(22,7*LN(1+E31))+MIN(12,4*LN(1+F31))+MIN(12,2.8*J31)+IF(O31=\"\",0,5)+IF(K31=\"Yes\",3,0),1)","Example Assets (GD)":"doruxapapogene ralaplasmid (Pre-Registration) | VRC-01 (Phase II)","Topic Evidence Basis":"GlobalData indication/asset-name proxy","Source URL":null,"GlobalData As-of":"2026-07-31","Asset Status Caution":"GlobalData snapshot only; validate current asset status","Selection Basis":"Stratified company selection","Company ID":"CMP-58902c4b7fe"}</t>
  </si>
  <si>
    <t>{"Tier":"CORE","Company":"Chia Tai Tianqing Pharmaceutical Group Co Ltd","Parent / Corporate Group":null,"Role":"Therapeutics","Active Assets (GD)":8,"Phase II+ (GD)":5,"Max Stage (GD)":"Phase III","DZIF Research Areas":"HEP, HAI, ABX","Bridging Topics":null,"Research Areas N":3,"Manual Core":"No","Indicative Score":"=ROUND(MIN(22,7*LN(1+E32))+MIN(12,4*LN(1+F32))+MIN(12,2.8*J32)+IF(O32=\"\",0,5)+IF(K32=\"Yes\",3,0),1)","Example Assets (GD)":"colistimethate sodium (Phase III) | TQA-3038 (Phase II)","Topic Evidence Basis":"GlobalData indication/asset-name proxy","Source URL":null,"GlobalData As-of":"2026-07-31","Asset Status Caution":"GlobalData snapshot only; validate current asset status","Selection Basis":"Stratified company selection","Company ID":"CMP-89418911969"}</t>
  </si>
  <si>
    <t>{"Tier":"CORE","Company":"SK Bioscience Ltd","Parent / Corporate Group":null,"Role":"Therapeutics","Active Assets (GD)":8,"Phase II+ (GD)":4,"Max Stage (GD)":"Phase III","DZIF Research Areas":"HEP, EMG, MUC","Bridging Topics":"VAC","Research Areas N":3,"Manual Core":"No","Indicative Score":"=ROUND(MIN(22,7*LN(1+E33))+MIN(12,4*LN(1+F33))+MIN(12,2.8*J33)+IF(O33=\"\",0,5)+IF(K33=\"Yes\",3,0),1)","Example Assets (GD)":"SKYCovione (Phase III) | GBP-511 (Phase II)","Topic Evidence Basis":"GlobalData indication/asset-name proxy","Source URL":null,"GlobalData As-of":"2026-07-31","Asset Status Caution":"GlobalData snapshot only; validate current asset status","Selection Basis":"Stratified company selection","Company ID":"CMP-eac17a0cae7"}</t>
  </si>
  <si>
    <t>{"Tier":"CORE","Company":"Beijing Minhai Biotechnology Co Ltd","Parent / Corporate Group":null,"Role":"Therapeutics","Active Assets (GD)":14,"Phase II+ (GD)":7,"Max Stage (GD)":"Pre-Registration","DZIF Research Areas":"MUC","Bridging Topics":"VAC","Research Areas N":1,"Manual Core":"No","Indicative Score":"=ROUND(MIN(22,7*LN(1+E34))+MIN(12,4*LN(1+F34))+MIN(12,2.8*J34)+IF(O34=\"\",0,5)+IF(K34=\"Yes\",3,0),1)","Example Assets (GD)":"influenza (split virion, quadrivalent) vaccine (Pre-Registration) | polio [strain Sabin] vaccine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ID":"CMP-feb7d44c4f0"}</t>
  </si>
  <si>
    <t>{"Tier":"CORE","Company":"Aligos Therapeutics Inc","Parent / Corporate Group":null,"Role":"Therapeutics","Active Assets (GD)":15,"Phase II+ (GD)":2,"Max Stage (GD)":"Phase II","DZIF Research Areas":"HEP, EMG","Bridging Topics":"SMD","Research Areas N":2,"Manual Core":"No","Indicative Score":"=ROUND(MIN(22,7*LN(1+E35))+MIN(12,4*LN(1+F35))+MIN(12,2.8*J35)+IF(O35=\"\",0,5)+IF(K35=\"Yes\",3,0),1)","Example Assets (GD)":"ALG-097558 (Phase II) | pevifoscorvir sodium (Phase II)","Topic Evidence Basis":"GlobalData indication/asset-name proxy","Source URL":null,"GlobalData As-of":"2026-07-31","Asset Status Caution":"GlobalData snapshot only; validate current asset status","Selection Basis":"Stratified company selection","Company ID":"CMP-4146497d3c7"}</t>
  </si>
  <si>
    <t>{"Tier":"CORE","Company":"Chengdu Olymvax Biopharmaceuticals Inc","Parent / Corporate Group":null,"Role":"Therapeutics","Active Assets (GD)":5,"Phase II+ (GD)":3,"Max Stage (GD)":"Phase III","DZIF Research Areas":"HAI, ABX, MUC, ICH","Bridging Topics":"VAC","Research Areas N":4,"Manual Core":"No","Indicative Score":"=ROUND(MIN(22,7*LN(1+E36))+MIN(12,4*LN(1+F36))+MIN(12,2.8*J36)+IF(O36=\"\",0,5)+IF(K36=\"Yes\",3,0),1)","Example Assets (GD)":"(Haemophilus influenzae [serotype B] + meningococcal [serotypes A, C]) vaccine (Phase III) | Staphylococcus aureus (multivalent)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ID":"CMP-246ca48d6d7"}</t>
  </si>
  <si>
    <t>{"Tier":"CORE","Company":"Shanxi Kangbao Biological Product Co Ltd","Parent / Corporate Group":null,"Role":"Therapeutics","Active Assets (GD)":5,"Phase II+ (GD)":2,"Max Stage (GD)":"Phase II","DZIF Research Areas":"HIV, HEP, ABX, MUC, ICH","Bridging Topics":"VAC, MAB","Research Areas N":5,"Manual Core":"No","Indicative Score":"=ROUND(MIN(22,7*LN(1+E37))+MIN(12,4*LN(1+F37))+MIN(12,2.8*J37)+IF(O37=\"\",0,5)+IF(K37=\"Yes\",3,0),1)","Example Assets (GD)":"LP-98 (Phase II) | Lipvirtide (Phase II)","Topic Evidence Basis":"GlobalData indication/asset-name proxy","Source URL":null,"GlobalData As-of":"2026-07-31","Asset Status Caution":"GlobalData snapshot only; validate current asset status","Selection Basis":"Stratified company selection","Company ID":"CMP-8c64c4d04de"}</t>
  </si>
  <si>
    <t>{"Tier":"CORE","Company":"KM Biologics Co Ltd","Parent / Corporate Group":null,"Role":"Therapeutics","Active Assets (GD)":4,"Phase II+ (GD)":4,"Max Stage (GD)":"Phase III","DZIF Research Areas":"HEP, EMG, NTD, MUC","Bridging Topics":null,"Research Areas N":4,"Manual Core":"No","Indicative Score":"=ROUND(MIN(22,7*LN(1+E38))+MIN(12,4*LN(1+F38))+MIN(12,2.8*J38)+IF(O38=\"\",0,5)+IF(K38=\"Yes\",3,0),1)","Example Assets (GD)":"KD-2396 (Phase III) | KD-414 (Phase III)","Topic Evidence Basis":"GlobalData indication/asset-name proxy","Source URL":null,"GlobalData As-of":"2026-07-31","Asset Status Caution":"GlobalData snapshot only; validate current asset status","Selection Basis":"Stratified company selection","Company ID":"CMP-08a8fbeac27"}</t>
  </si>
  <si>
    <t>{"Tier":"CORE","Company":"Suzhou Juwei Biotech Co Ltd","Parent / Corporate Group":null,"Role":"Therapeutics","Active Assets (GD)":7,"Phase II+ (GD)":1,"Max Stage (GD)":"Phase III","DZIF Research Areas":"HAI, ABX, MUC, ICH","Bridging Topics":"VAC","Research Areas N":4,"Manual Core":"No","Indicative Score":"=ROUND(MIN(22,7*LN(1+E39))+MIN(12,4*LN(1+F39))+MIN(12,2.8*J39)+IF(O39=\"\",0,5)+IF(K39=\"Yes\",3,0),1)","Example Assets (GD)":"meningococcal [serotype A, C, W-135, and Y] (quadrivalent) vaccine (Phase III) | pneumococcal [serotype 1, 2, 3, 4, 5, 6A, 6B, 7F, 8, 9N, 9V, 10A, 11A, 12F, 14, 15B, 17F, 18C, 19A, 19F, 20, 22F, 23F and 33F] (24-valent)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ID":"CMP-ba04c7a5187"}</t>
  </si>
  <si>
    <t>{"Tier":"CORE","Company":"Armata Pharmaceuticals Inc","Parent / Corporate Group":null,"Role":"Phage therapeutics","Active Assets (GD)":2,"Phase II+ (GD)":2,"Max Stage (GD)":"Phase II","DZIF Research Areas":"HAI, ABX, ICH","Bridging Topics":null,"Research Areas N":3,"Manual Core":"Yes","Indicative Score":"=ROUND(MIN(22,7*LN(1+E40))+MIN(12,4*LN(1+F40))+MIN(12,2.8*J40)+IF(O40=\"\",0,5)+IF(K40=\"Yes\",3,0),1)","Example Assets (GD)":"APPA-02 (Phase II) | APSA-02 (Phase II)","Topic Evidence Basis":"GlobalData indication/asset-name proxy + public source","Source URL":"https://www.armata.com/","GlobalData As-of":"2026-07-31","Asset Status Caution":"GlobalData snapshot only; validate current asset status","Selection Basis":"Public thematic curation","Company ID":"CMP-3a0fa1b3462"}</t>
  </si>
  <si>
    <t>{"Tier":"CORE","Company":"AriBioLab Co Ltd","Parent / Corporate Group":null,"Role":"Therapeutics","Active Assets (GD)":4,"Phase II+ (GD)":3,"Max Stage (GD)":"Phase II","DZIF Research Areas":"HEP, EMG, MUC, ICH","Bridging Topics":"VAC","Research Areas N":4,"Manual Core":"No","Indicative Score":"=ROUND(MIN(22,7*LN(1+E41))+MIN(12,4*LN(1+F41))+MIN(12,2.8*J41)+IF(O41=\"\",0,5)+IF(K41=\"Yes\",3,0),1)","Example Assets (GD)":"CVIHBV-001 (Phase II) | CVIHBV-002 (Phase II)","Topic Evidence Basis":"GlobalData indication/asset-name proxy","Source URL":null,"GlobalData As-of":"2026-07-31","Asset Status Caution":"GlobalData snapshot only; validate current asset status","Selection Basis":"Stratified company selection","Company ID":"CMP-cdc8013144b"}</t>
  </si>
  <si>
    <t>{"Tier":"CORE","Company":"GeneOne Life Science Inc","Parent / Corporate Group":null,"Role":"Therapeutics","Active Assets (GD)":4,"Phase II+ (GD)":3,"Max Stage (GD)":"Phase II","DZIF Research Areas":"HEP, EMG, NTD, MUC","Bridging Topics":null,"Research Areas N":4,"Manual Core":"No","Indicative Score":"=ROUND(MIN(22,7*LN(1+E42))+MIN(12,4*LN(1+F42))+MIN(12,2.8*J42)+IF(O42=\"\",0,5)+IF(K42=\"Yes\",3,0),1)","Example Assets (GD)":"GLS-5310 (Phase II) | GLS-5700 (Phase II)","Topic Evidence Basis":"GlobalData indication/asset-name proxy","Source URL":null,"GlobalData As-of":"2026-07-31","Asset Status Caution":"GlobalData snapshot only; validate current asset status","Selection Basis":"Stratified company selection","Company ID":"CMP-994d1e3fd3b"}</t>
  </si>
  <si>
    <t>{"Tier":"CORE","Company":"Changchun Bcht Biotechnology Co Ltd","Parent / Corporate Group":null,"Role":"Therapeutics","Active Assets (GD)":10,"Phase II+ (GD)":3,"Max Stage (GD)":"Phase III","DZIF Research Areas":"MUC, ICH","Bridging Topics":"VAC, MAB","Research Areas N":2,"Manual Core":"No","Indicative Score":"=ROUND(MIN(22,7*LN(1+E43))+MIN(12,4*LN(1+F43))+MIN(12,2.8*J43)+IF(O43=\"\",0,5)+IF(K43=\"Yes\",3,0),1)","Example Assets (GD)":"B-1004 (Phase III) | rabies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ID":"CMP-a455fe8ed3b"}</t>
  </si>
  <si>
    <t>{"Tier":"CORE","Company":"Aurobac Therapeutics SAS","Parent / Corporate Group":null,"Role":"Therapeutics","Active Assets (GD)":4,"Phase II+ (GD)":0,"Max Stage (GD)":"Preclinical","DZIF Research Areas":"HAI, ABX, MUC","Bridging Topics":"SMD","Research Areas N":3,"Manual Core":"Yes","Indicative Score":"=ROUND(MIN(22,7*LN(1+E44))+MIN(12,4*LN(1+F44))+MIN(12,2.8*J44)+IF(O44=\"\",0,5)+IF(K44=\"Yes\",3,0),1)","Example Assets (GD)":"AAP-2M1 (Preclinical) | ATX-4 (Preclinical)","Topic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ID":"CMP-a5c7a831bb1"}</t>
  </si>
  <si>
    <t>{"Tier":"CORE","Company":"Indian Immunologicals Ltd","Parent / Corporate Group":null,"Role":"Therapeutics","Active Assets (GD)":6,"Phase II+ (GD)":1,"Max Stage (GD)":"Phase III","DZIF Research Areas":"HEP, EMG, NTD, MUC","Bridging Topics":"VAC","Research Areas N":4,"Manual Core":"No","Indicative Score":"=ROUND(MIN(22,7*LN(1+E45))+MIN(12,4*LN(1+F45))+MIN(12,2.8*J45)+IF(O45=\"\",0,5)+IF(K45=\"Yes\",3,0),1)","Example Assets (GD)":"(measles + rubella) vaccine (Phase III) | Japanese encephalitis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ID":"CMP-455a5cf00a7"}</t>
  </si>
  <si>
    <t>{"Tier":"CORE","Company":"BioNet-Asia Co Ltd","Parent / Corporate Group":null,"Role":"Therapeutics","Active Assets (GD)":6,"Phase II+ (GD)":3,"Max Stage (GD)":"Pre-Registration","DZIF Research Areas":"EMG, NTD, MUC","Bridging Topics":"VAC","Research Areas N":3,"Manual Core":"No","Indicative Score":"=ROUND(MIN(22,7*LN(1+E46))+MIN(12,4*LN(1+F46))+MIN(12,2.8*J46)+IF(O46=\"\",0,5)+IF(K46=\"Yes\",3,0),1)","Example Assets (GD)":"pertussis (monovalent acellular) vaccine (Pre-Registration) | (diphtheria + pertussis (acellular) + tetanus)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ID":"CMP-59cc13297d8"}</t>
  </si>
  <si>
    <t>{"Tier":"CORE","Company":"Akagera Medicines Inc","Parent / Corporate Group":null,"Role":"Therapeutics","Active Assets (GD)":8,"Phase II+ (GD)":0,"Max Stage (GD)":"Phase I","DZIF Research Areas":"HAI, ABX, EMG, TB, MUC","Bridging Topics":null,"Research Areas N":5,"Manual Core":"No","Indicative Score":"=ROUND(MIN(22,7*LN(1+E47))+MIN(12,4*LN(1+F47))+MIN(12,2.8*J47)+IF(O47=\"\",0,5)+IF(K47=\"Yes\",3,0),1)","Example Assets (GD)":"AKG-100 (Phase I) | AKG-120 (Preclinical)","Topic Evidence Basis":"GlobalData indication/asset-name proxy","Source URL":null,"GlobalData As-of":"2026-07-31","Asset Status Caution":"GlobalData snapshot only; validate current asset status","Selection Basis":"Stratified company selection","Company ID":"CMP-d30edde7435"}</t>
  </si>
  <si>
    <t>{"Tier":"CORE","Company":"Valneva SE","Parent / Corporate Group":null,"Role":"Therapeutics","Active Assets (GD)":5,"Phase II+ (GD)":4,"Max Stage (GD)":"Pre-Registration","DZIF Research Areas":"EMG, NTD, MUC","Bridging Topics":"VAC","Research Areas N":3,"Manual Core":"No","Indicative Score":"=ROUND(MIN(22,7*LN(1+E48))+MIN(12,4*LN(1+F48))+MIN(12,2.8*J48)+IF(O48=\"\",0,5)+IF(K48=\"Yes\",3,0),1)","Example Assets (GD)":"chikungunya vaccine (Pre-Registration) | VLA-15 (Phase III)","Topic Evidence Basis":"GlobalData indication/asset-name proxy","Source URL":null,"GlobalData As-of":"2026-07-31","Asset Status Caution":"GlobalData snapshot only; validate current asset status","Selection Basis":"Stratified company selection","Company ID":"CMP-b223897f72c"}</t>
  </si>
  <si>
    <t>{"Tier":"CORE","Company":"ViiV Healthcare UK Ltd","Parent / Corporate Group":"GSK/Pfizer/Shionogi JV","Role":"Therapeutics","Active Assets (GD)":10,"Phase II+ (GD)":6,"Max Stage (GD)":"Phase III","DZIF Research Areas":"HIV","Bridging Topics":"MAB, SMD","Research Areas N":1,"Manual Core":"No","Indicative Score":"=ROUND(MIN(22,7*LN(1+E49))+MIN(12,4*LN(1+F49))+MIN(12,2.8*J49)+IF(O49=\"\",0,5)+IF(K49=\"Yes\",3,0),1)","Example Assets (GD)":"(dolutegravir sodium + lamivudine) (Phase III) | cabotegravir + rilpivirine LA (Phase III)","Topic Evidence Basis":"GlobalData indication/asset-name proxy","Source URL":null,"GlobalData As-of":"2026-07-31","Asset Status Caution":"GlobalData snapshot only; validate current asset status","Selection Basis":"Stratified company selection","Company ID":"CMP-5ad19a5f747"}</t>
  </si>
  <si>
    <t>{"Tier":"CORE","Company":"Infex Therapeutics Ltd","Parent / Corporate Group":null,"Role":"Therapeutics","Active Assets (GD)":2,"Phase II+ (GD)":1,"Max Stage (GD)":"Phase II","DZIF Research Areas":"HAI, ABX, EMG","Bridging Topics":"MAB, SMD","Research Areas N":3,"Manual Core":"Yes","Indicative Score":"=ROUND(MIN(22,7*LN(1+E50))+MIN(12,4*LN(1+F50))+MIN(12,2.8*J50)+IF(O50=\"\",0,5)+IF(K50=\"Yes\",3,0),1)","Example Assets (GD)":"COT-143 (Phase II) | COV-X (Preclinical)","Topic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ID":"CMP-fa8243cafa7"}</t>
  </si>
  <si>
    <t>{"Tier":"CORE","Company":"SNIPR Biome ApS","Parent / Corporate Group":null,"Role":"Therapeutics","Active Assets (GD)":1,"Phase II+ (GD)":1,"Max Stage (GD)":"Phase II","DZIF Research Areas":"HAI, ABX, MUC, ICH","Bridging Topics":"MIC","Research Areas N":4,"Manual Core":"Yes","Indicative Score":"=ROUND(MIN(22,7*LN(1+E51))+MIN(12,4*LN(1+F51))+MIN(12,2.8*J51)+IF(O51=\"\",0,5)+IF(K51=\"Yes\",3,0),1)","Example Assets (GD)":"SNIPR-001 (Phase II)","Topic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ID":"CMP-bede831b69b"}</t>
  </si>
  <si>
    <t>{"Tier":"CORE","Company":"Lanzhou Institute of Biological Products Co Ltd","Parent / Corporate Group":null,"Role":"Therapeutics","Active Assets (GD)":6,"Phase II+ (GD)":5,"Max Stage (GD)":"Phase III","DZIF Research Areas":"EMG, MUC","Bridging Topics":"VAC, MAB","Research Areas N":2,"Manual Core":"No","Indicative Score":"=ROUND(MIN(22,7*LN(1+E52))+MIN(12,4*LN(1+F52))+MIN(12,2.8*J52)+IF(O52=\"\",0,5)+IF(K52=\"Yes\",3,0),1)","Example Assets (GD)":"Coronavirus Disease 2019 (COVID-19) vaccine 1 (Phase III) | haemophilus influenzae [serotype B]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ID":"CMP-b6c031ebf37"}</t>
  </si>
  <si>
    <t>{"Tier":"CORE","Company":"Bayer AG","Parent / Corporate Group":null,"Role":"Therapeutics","Active Assets (GD)":3,"Phase II+ (GD)":2,"Max Stage (GD)":"Phase III","DZIF Research Areas":"HAI, ABX, EMG, NTD, ICH","Bridging Topics":null,"Research Areas N":5,"Manual Core":"No","Indicative Score":"=ROUND(MIN(22,7*LN(1+E53))+MIN(12,4*LN(1+F53))+MIN(12,2.8*J53)+IF(O53=\"\",0,5)+IF(K53=\"Yes\",3,0),1)","Example Assets (GD)":"emodepside (Phase III) | vericiguat (Phase II)","Topic Evidence Basis":"GlobalData indication/asset-name proxy","Source URL":null,"GlobalData As-of":"2026-07-31","Asset Status Caution":"GlobalData snapshot only; validate current asset status","Selection Basis":"Stratified company selection","Company ID":"CMP-413f8fd9f55"}</t>
  </si>
  <si>
    <t>{"Tier":"CORE","Company":"Aridis Pharmaceuticals Inc","Parent / Corporate Group":null,"Role":"Therapeutics","Active Assets (GD)":4,"Phase II+ (GD)":1,"Max Stage (GD)":"Phase II","DZIF Research Areas":"HAI, ABX, EMG, MUC, ICH","Bridging Topics":"MAB","Research Areas N":5,"Manual Core":"No","Indicative Score":"=ROUND(MIN(22,7*LN(1+E54))+MIN(12,4*LN(1+F54))+MIN(12,2.8*J54)+IF(O54=\"\",0,5)+IF(K54=\"Yes\",3,0),1)","Example Assets (GD)":"suvratoxumab (Phase II) | AR-201 (Preclinical)","Topic Evidence Basis":"GlobalData indication/asset-name proxy","Source URL":null,"GlobalData As-of":"2026-07-31","Asset Status Caution":"GlobalData snapshot only; validate current asset status","Selection Basis":"Stratified company selection","Company ID":"CMP-3fd58dd38dd"}</t>
  </si>
  <si>
    <t>{"Tier":"CORE","Company":"MicuRx Pharmaceuticals Inc","Parent / Corporate Group":null,"Role":"Therapeutics","Active Assets (GD)":4,"Phase II+ (GD)":1,"Max Stage (GD)":"Phase III","DZIF Research Areas":"HAI, ABX, TB, MUC, ICH","Bridging Topics":null,"Research Areas N":5,"Manual Core":"No","Indicative Score":"=ROUND(MIN(22,7*LN(1+E55))+MIN(12,4*LN(1+F55))+MIN(12,2.8*J55)+IF(O55=\"\",0,5)+IF(K55=\"Yes\",3,0),1)","Example Assets (GD)":"contezolid acefosamil (Phase III) | MRX-5 (Phase I)","Topic Evidence Basis":"GlobalData indication/asset-name proxy","Source URL":null,"GlobalData As-of":"2026-07-31","Asset Status Caution":"GlobalData snapshot only; validate current asset status","Selection Basis":"Stratified company selection","Company ID":"CMP-9c376d2b7ab"}</t>
  </si>
  <si>
    <t>{"Tier":"CORE","Company":"SPbNIIVS FMBA of Russia","Parent / Corporate Group":null,"Role":"Therapeutics","Active Assets (GD)":4,"Phase II+ (GD)":1,"Max Stage (GD)":"Phase III","DZIF Research Areas":"ABX, EMG, TB, MUC","Bridging Topics":"VAC","Research Areas N":4,"Manual Core":"No","Indicative Score":"=ROUND(MIN(22,7*LN(1+E56))+MIN(12,4*LN(1+F56))+MIN(12,2.8*J56)+IF(O56=\"\",0,5)+IF(K56=\"Yes\",3,0),1)","Example Assets (GD)":"Coronavirus Disease 2019 (COVID-19) vaccine 2 (Phase III) | Recombinant Tuberculosis Allergen (Phase I)","Topic Evidence Basis":"GlobalData indication/asset-name proxy","Source URL":null,"GlobalData As-of":"2026-07-31","Asset Status Caution":"GlobalData snapshot only; validate current asset status","Selection Basis":"Stratified company selection","Company ID":"CMP-fcc9f977944"}</t>
  </si>
  <si>
    <t>{"Tier":"CORE","Company":"Shenzhen Rhegen Biotechnology Co Ltd","Parent / Corporate Group":null,"Role":"Therapeutics","Active Assets (GD)":4,"Phase II+ (GD)":1,"Max Stage (GD)":"Phase II","DZIF Research Areas":"ABX, TB, MUC, ICH","Bridging Topics":"VAC","Research Areas N":4,"Manual Core":"No","Indicative Score":"=ROUND(MIN(22,7*LN(1+E57))+MIN(12,4*LN(1+F57))+MIN(12,2.8*J57)+IF(O57=\"\",0,5)+IF(K57=\"Yes\",3,0),1)","Example Assets (GD)":"RH-110 (Phase II) | RH-119 (Phase I)","Topic Evidence Basis":"GlobalData indication/asset-name proxy","Source URL":null,"GlobalData As-of":"2026-07-31","Asset Status Caution":"GlobalData snapshot only; validate current asset status","Selection Basis":"Stratified company selection","Company ID":"CMP-0a76928b480"}</t>
  </si>
  <si>
    <t>{"Tier":"CORE","Company":"Vir Biotechnology Inc","Parent / Corporate Group":null,"Role":"Therapeutics","Active Assets (GD)":4,"Phase II+ (GD)":3,"Max Stage (GD)":"Phase III","DZIF Research Areas":"HIV, HEP, EMG","Bridging Topics":"MAB","Research Areas N":3,"Manual Core":"No","Indicative Score":"=ROUND(MIN(22,7*LN(1+E58))+MIN(12,4*LN(1+F58))+MIN(12,2.8*J58)+IF(O58=\"\",0,5)+IF(K58=\"Yes\",3,0),1)","Example Assets (GD)":"elebsiran (Phase III) | elebsiran + tobevibart (Phase III)","Topic Evidence Basis":"GlobalData indication/asset-name proxy","Source URL":null,"GlobalData As-of":"2026-07-31","Asset Status Caution":"GlobalData snapshot only; validate current asset status","Selection Basis":"Stratified company selection","Company ID":"CMP-601bca434c7"}</t>
  </si>
  <si>
    <t>{"Tier":"CORE","Company":"Bristol-Myers Squibb Co","Parent / Corporate Group":null,"Role":"Therapeutics","Active Assets (GD)":3,"Phase II+ (GD)":1,"Max Stage (GD)":"Phase II","DZIF Research Areas":"HIV, HAI, ABX, EMG, NTD, ICH","Bridging Topics":null,"Research Areas N":6,"Manual Core":"No","Indicative Score":"=ROUND(MIN(22,7*LN(1+E59))+MIN(12,4*LN(1+F59))+MIN(12,2.8*J59)+IF(O59=\"\",0,5)+IF(K59=\"Yes\",3,0),1)","Example Assets (GD)":"dasatinib (Phase II) | nivolumab (Phase I)","Topic Evidence Basis":"GlobalData indication/asset-name proxy","Source URL":null,"GlobalData As-of":"2026-07-31","Asset Status Caution":"GlobalData snapshot only; validate current asset status","Selection Basis":"Stratified company selection","Company ID":"CMP-ea5495c6494"}</t>
  </si>
  <si>
    <t>{"Tier":"CORE","Company":"Quratis Inc","Parent / Corporate Group":null,"Role":"Therapeutics","Active Assets (GD)":4,"Phase II+ (GD)":2,"Max Stage (GD)":"Phase II","DZIF Research Areas":"ABX, TB, NTD","Bridging Topics":"VAC","Research Areas N":3,"Manual Core":"No","Indicative Score":"=ROUND(MIN(22,7*LN(1+E60))+MIN(12,4*LN(1+F60))+MIN(12,2.8*J60)+IF(O60=\"\",0,5)+IF(K60=\"Yes\",3,0),1)","Example Assets (GD)":"ID-93 (Phase II) | QTP-101 (Phase II)","Topic Evidence Basis":"GlobalData indication/asset-name proxy","Source URL":null,"GlobalData As-of":"2026-07-31","Asset Status Caution":"GlobalData snapshot only; validate current asset status","Selection Basis":"Stratified company selection","Company ID":"CMP-251613697f2"}</t>
  </si>
  <si>
    <t>{"Tier":"CORE","Company":"Seres Therapeutics Inc","Parent / Corporate Group":null,"Role":"Microbiome therapeutics","Active Assets (GD)":1,"Phase II+ (GD)":0,"Max Stage (GD)":"Phase I","DZIF Research Areas":"HAI, ABX, MUC, ICH","Bridging Topics":"MIC","Research Areas N":4,"Manual Core":"Yes","Indicative Score":"=ROUND(MIN(22,7*LN(1+E61))+MIN(12,4*LN(1+F61))+MIN(12,2.8*J61)+IF(O61=\"\",0,5)+IF(K61=\"Yes\",3,0),1)","Example Assets (GD)":"SER-155 (Phase I)","Topic Evidence Basis":"GlobalData indication/asset-name proxy + public source","Source URL":"https://www.serestherapeutics.com/our-programs/","GlobalData As-of":"2026-07-31","Asset Status Caution":"GlobalData snapshot only; validate current asset status","Selection Basis":"Public thematic curation","Company ID":"CMP-0fd9a9b02c5"}</t>
  </si>
  <si>
    <t>{"Tier":"CORE","Company":"Clarametyx Biosciences Inc","Parent / Corporate Group":null,"Role":"Antibody therapeutics","Active Assets (GD)":1,"Phase II+ (GD)":1,"Max Stage (GD)":"Phase II","DZIF Research Areas":"HAI, ABX, MUC","Bridging Topics":"MAB","Research Areas N":3,"Manual Core":"Yes","Indicative Score":"=ROUND(MIN(22,7*LN(1+E62))+MIN(12,4*LN(1+F62))+MIN(12,2.8*J62)+IF(O62=\"\",0,5)+IF(K62=\"Yes\",3,0),1)","Example Assets (GD)":"CMTX-101 (Phase II)","Topic Evidence Basis":"GlobalData indication/asset-name proxy + public source","Source URL":"https://clarametyx.com/","GlobalData As-of":"2026-07-31","Asset Status Caution":"GlobalData snapshot only; validate current asset status","Selection Basis":"Public thematic curation","Company ID":"CMP-410a276e6c6"}</t>
  </si>
  <si>
    <t>{"Tier":"CORE","Company":"Vedanta Biosciences Inc","Parent / Corporate Group":null,"Role":"Microbiome therapeutics","Active Assets (GD)":1,"Phase II+ (GD)":1,"Max Stage (GD)":"Phase III","DZIF Research Areas":"HAI, ABX, ICH","Bridging Topics":"MIC","Research Areas N":3,"Manual Core":"Yes","Indicative Score":"=ROUND(MIN(22,7*LN(1+E63))+MIN(12,4*LN(1+F63))+MIN(12,2.8*J63)+IF(O63=\"\",0,5)+IF(K63=\"Yes\",3,0),1)","Example Assets (GD)":"VE-303 (Phase III)","Topic Evidence Basis":"GlobalData indication/asset-name proxy + public source","Source URL":"https://www.vedantabio.com/pipeline-programs/pipeline/","GlobalData As-of":"2026-07-31","Asset Status Caution":"GlobalData snapshot only; validate current asset status","Selection Basis":"Public thematic curation","Company ID":"CMP-2e66edddf5d"}</t>
  </si>
  <si>
    <t>{"Tier":"CORE","Company":"Crestone Inc","Parent / Corporate Group":null,"Role":"Therapeutics","Active Assets (GD)":3,"Phase II+ (GD)":1,"Max Stage (GD)":"Phase II","DZIF Research Areas":"HAI, ABX, TB, ICH","Bridging Topics":null,"Research Areas N":4,"Manual Core":"No","Indicative Score":"=ROUND(MIN(22,7*LN(1+E64))+MIN(12,4*LN(1+F64))+MIN(12,2.8*J64)+IF(O64=\"\",0,5)+IF(K64=\"Yes\",3,0),1)","Example Assets (GD)":"CRS-3123 (Phase II) | CRS-0393 (Preclinical)","Topic Evidence Basis":"GlobalData indication/asset-name proxy","Source URL":null,"GlobalData As-of":"2026-07-31","Asset Status Caution":"GlobalData snapshot only; validate current asset status","Selection Basis":"Stratified company selection","Company ID":"CMP-aedbc6dad69"}</t>
  </si>
  <si>
    <t>{"Tier":"CORE","Company":"International AIDS Vaccine Initiative Inc","Parent / Corporate Group":null,"Role":"Therapeutics","Active Assets (GD)":6,"Phase II+ (GD)":2,"Max Stage (GD)":"Phase III","DZIF Research Areas":"HIV, EMG","Bridging Topics":"VAC","Research Areas N":2,"Manual Core":"No","Indicative Score":"=ROUND(MIN(22,7*LN(1+E65))+MIN(12,4*LN(1+F65))+MIN(12,2.8*J65)+IF(O65=\"\",0,5)+IF(K65=\"Yes\",3,0),1)","Example Assets (GD)":"Sudan Ebola virus vaccine (Phase III) | Lassa Fever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ID":"CMP-92fc1bf734e"}</t>
  </si>
  <si>
    <t>{"Tier":"CORE","Company":"Palisades Therapeutics","Parent / Corporate Group":null,"Role":"Therapeutics","Active Assets (GD)":4,"Phase II+ (GD)":0,"Max Stage (GD)":"Phase I","DZIF Research Areas":"HIV, HEP, ABX, EMG, TB, NTD, MUC, ICH","Bridging Topics":null,"Research Areas N":8,"Manual Core":"No","Indicative Score":"=ROUND(MIN(22,7*LN(1+E66))+MIN(12,4*LN(1+F66))+MIN(12,2.8*J66)+IF(O66=\"\",0,5)+IF(K66=\"Yes\",3,0),1)","Example Assets (GD)":"Antivirals-Covid-19-HIV/JCV/HBV/HCV/Zika/Ebola (Phase I) | PT-150 (IND/CTA Filed)","Topic Evidence Basis":"GlobalData indication/asset-name proxy","Source URL":null,"GlobalData As-of":"2026-07-31","Asset Status Caution":"GlobalData snapshot only; validate current asset status","Selection Basis":"Stratified company selection","Company ID":"CMP-3d6b5bd3377"}</t>
  </si>
  <si>
    <t>{"Tier":"CORE","Company":"Atea Pharmaceuticals Inc","Parent / Corporate Group":null,"Role":"Therapeutics","Active Assets (GD)":5,"Phase II+ (GD)":2,"Max Stage (GD)":"Phase III","DZIF Research Areas":"HEP, EMG","Bridging Topics":"SMD","Research Areas N":2,"Manual Core":"No","Indicative Score":"=ROUND(MIN(22,7*LN(1+E67))+MIN(12,4*LN(1+F67))+MIN(12,2.8*J67)+IF(O67=\"\",0,5)+IF(K67=\"Yes\",3,0),1)","Example Assets (GD)":"(bemnifosbuvir + ruzasvir) (Phase III) | ruzasvir (Phase III)","Topic Evidence Basis":"GlobalData indication/asset-name proxy","Source URL":null,"GlobalData As-of":"2026-07-31","Asset Status Caution":"GlobalData snapshot only; validate current asset status","Selection Basis":"Stratified company selection","Company ID":"CMP-68725fd05c9"}</t>
  </si>
  <si>
    <t>{"Tier":"CORE","Company":"Henan Genuine Biotech Co Ltd","Parent / Corporate Group":null,"Role":"Therapeutics","Active Assets (GD)":3,"Phase II+ (GD)":2,"Max Stage (GD)":"Phase III","DZIF Research Areas":"HIV, EMG, MUC","Bridging Topics":null,"Research Areas N":3,"Manual Core":"No","Indicative Score":"=ROUND(MIN(22,7*LN(1+E68))+MIN(12,4*LN(1+F68))+MIN(12,2.8*J68)+IF(O68=\"\",0,5)+IF(K68=\"Yes\",3,0),1)","Example Assets (GD)":"azvudine (Phase III) | CL-197 (Phase II)","Topic Evidence Basis":"GlobalData indication/asset-name proxy","Source URL":null,"GlobalData As-of":"2026-07-31","Asset Status Caution":"GlobalData snapshot only; validate current asset status","Selection Basis":"Stratified company selection","Company ID":"CMP-e6d28a1f43f"}</t>
  </si>
  <si>
    <t>{"Tier":"CORE","Company":"60 Degrees Pharmaceuticals Inc","Parent / Corporate Group":null,"Role":"Therapeutics","Active Assets (GD)":2,"Phase II+ (GD)":1,"Max Stage (GD)":"Phase III","DZIF Research Areas":"EMG, NTD, MUC, ICH","Bridging Topics":"SMD","Research Areas N":4,"Manual Core":"No","Indicative Score":"=ROUND(MIN(22,7*LN(1+E69))+MIN(12,4*LN(1+F69))+MIN(12,2.8*J69)+IF(O69=\"\",0,5)+IF(K69=\"Yes\",3,0),1)","Example Assets (GD)":"tafenoquine succinate (Phase III) | celgosivir hydrochloride (Phase I)","Topic Evidence Basis":"GlobalData indication/asset-name proxy","Source URL":null,"GlobalData As-of":"2026-07-31","Asset Status Caution":"GlobalData snapshot only; validate current asset status","Selection Basis":"Stratified company selection","Company ID":"CMP-1a25fe5bbff"}</t>
  </si>
  <si>
    <t>{"Tier":"CORE","Company":"Antabio SAS","Parent / Corporate Group":null,"Role":"Therapeutics","Active Assets (GD)":2,"Phase II+ (GD)":0,"Max Stage (GD)":"Phase I","DZIF Research Areas":"HAI, ABX","Bridging Topics":"SMD","Research Areas N":2,"Manual Core":"Yes","Indicative Score":"=ROUND(MIN(22,7*LN(1+E70))+MIN(12,4*LN(1+F70))+MIN(12,2.8*J70)+IF(O70=\"\",0,5)+IF(K70=\"Yes\",3,0),1)","Example Assets (GD)":"meropenem + pilabactam (Phase I) | ANT-3273 (Preclinical)","Topic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ID":"CMP-42c932e38d3"}</t>
  </si>
  <si>
    <t>{"Tier":"CORE","Company":"F2G Ltd","Parent / Corporate Group":null,"Role":"Therapeutics","Active Assets (GD)":1,"Phase II+ (GD)":1,"Max Stage (GD)":"Phase III","DZIF Research Areas":"HAI, ICH","Bridging Topics":"SMD","Research Areas N":2,"Manual Core":"Yes","Indicative Score":"=ROUND(MIN(22,7*LN(1+E71))+MIN(12,4*LN(1+F71))+MIN(12,2.8*J71)+IF(O71=\"\",0,5)+IF(K71=\"Yes\",3,0),1)","Example Assets (GD)":"olorofim (Phase III)","Topic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ID":"CMP-b3350328f73"}</t>
  </si>
  <si>
    <t>Public thematic source; not present in source GlobalData</t>
  </si>
  <si>
    <t>{"Tier":"CORE","Company":"QIAGEN","Parent / Corporate Group":null,"Role":"Diagnostics","Active Assets (GD)":0,"Phase II+ (GD)":0,"Max Stage (GD)":"-","DZIF Research Areas":"HIV, HEP, HAI, TB, MUC","Bridging Topics":"DIA","Research Areas N":5,"Manual Core":"Yes","Indicative Score":"=ROUND(MIN(22,7*LN(1+E72))+MIN(12,4*LN(1+F72))+MIN(12,2.8*J72)+IF(O72=\"\",0,5)+IF(K72=\"Yes\",3,0),1)","Example Assets (GD)":null,"Topic Evidence Basis":"Curated public source only","Source URL":"https://www.qiagen.com/de/products/diagnostics-and-clinical-research/infectious-disease/qiastat-dx-syndromic-testing/qiastat-dx","GlobalData As-of":"2026-07-31","Asset Status Caution":"Public thematic source; not present in source GlobalData","Selection Basis":"Public thematic curation","Company ID":"CMP-b67700d6c62"}</t>
  </si>
  <si>
    <t>{"Tier":"CORE","Company":"Roche Diagnostics","Parent / Corporate Group":"Roche Group","Role":"Diagnostics","Active Assets (GD)":0,"Phase II+ (GD)":0,"Max Stage (GD)":"-","DZIF Research Areas":"HIV, HEP, HAI, TB, MUC","Bridging Topics":"DIA","Research Areas N":5,"Manual Core":"Yes","Indicative Score":"=ROUND(MIN(22,7*LN(1+E73))+MIN(12,4*LN(1+F73))+MIN(12,2.8*J73)+IF(O73=\"\",0,5)+IF(K73=\"Yes\",3,0),1)","Example Assets (GD)":null,"Topic Evidence Basis":"Curated public source only","Source URL":"https://diagnostics.roche.com/global/en/products/product-category/health-topic/infectious-diseases.html","GlobalData As-of":"2026-07-31","Asset Status Caution":"Public thematic source; not present in source GlobalData","Selection Basis":"Public thematic curation","Company ID":"CMP-6c2d50627b9"}</t>
  </si>
  <si>
    <t>{"Tier":"CORE","Company":"Qpex Biopharma Inc","Parent / Corporate Group":null,"Role":"Therapeutics","Active Assets (GD)":1,"Phase II+ (GD)":0,"Max Stage (GD)":"Phase I","DZIF Research Areas":"HAI, ABX","Bridging Topics":"SMD","Research Areas N":2,"Manual Core":"Yes","Indicative Score":"=ROUND(MIN(22,7*LN(1+E74))+MIN(12,4*LN(1+F74))+MIN(12,2.8*J74)+IF(O74=\"\",0,5)+IF(K74=\"Yes\",3,0),1)","Example Assets (GD)":"(cefiderocol + xeruborbactam) (Phase I)","Topic Evidence Basis":"GlobalData indication/asset-name proxy + public source","Source URL":"https://beam-alliance.eu/pipeline/","GlobalData As-of":"2026-07-31","Asset Status Caution":"GlobalData snapshot only; validate current asset status","Selection Basis":"Public thematic curation","Company ID":"CMP-b77ac4d5aa1"}</t>
  </si>
  <si>
    <t>{"Tier":"CORE","Company":"Shenzhen Geno-Immune Medical Institute","Parent / Corporate Group":null,"Role":"Therapeutics","Active Assets (GD)":3,"Phase II+ (GD)":2,"Max Stage (GD)":"Phase II","DZIF Research Areas":"EMG","Bridging Topics":"CGT","Research Areas N":1,"Manual Core":"No","Indicative Score":"=ROUND(MIN(22,7*LN(1+E75))+MIN(12,4*LN(1+F75))+MIN(12,2.8*J75)+IF(O75=\"\",0,5)+IF(K75=\"Yes\",3,0),1)","Example Assets (GD)":"Cellular Immunotherapy for Human Papillomavirus Infections (Phase II) | Gene Therapy for Coronavirus Disease 2019 (COVID-19) (Phase II)","Topic Evidence Basis":"GlobalData indication/asset-name proxy","Source URL":null,"GlobalData As-of":"2026-07-31","Asset Status Caution":"GlobalData snapshot only; validate current asset status","Selection Basis":"Stratified company selection","Company ID":"CMP-c6b22982ad3"}</t>
  </si>
  <si>
    <t>{"Tier":"CORE","Company":"Becton, Dickinson and Company","Parent / Corporate Group":null,"Role":"Diagnostics","Active Assets (GD)":0,"Phase II+ (GD)":0,"Max Stage (GD)":"-","DZIF Research Areas":"HAI, TB, MUC","Bridging Topics":"DIA","Research Areas N":3,"Manual Core":"Yes","Indicative Score":"=ROUND(MIN(22,7*LN(1+E76))+MIN(12,4*LN(1+F76))+MIN(12,2.8*J76)+IF(O76=\"\",0,5)+IF(K76=\"Yes\",3,0),1)","Example Assets (GD)":null,"Topic Evidence Basis":"Curated public source only","Source URL":"https://emea.bd.com/advancing-diagnostics/for-clinicians/","GlobalData As-of":"2026-07-31","Asset Status Caution":"Public thematic source; not present in source GlobalData","Selection Basis":"Public thematic curation","Company ID":"CMP-bb2003e8cb6"}</t>
  </si>
  <si>
    <t>{"Tier":"CORE","Company":"Cepheid","Parent / Corporate Group":"Danaher Group","Role":"Diagnostics","Active Assets (GD)":0,"Phase II+ (GD)":0,"Max Stage (GD)":"-","DZIF Research Areas":"HIV, HAI, TB","Bridging Topics":"DIA","Research Areas N":3,"Manual Core":"Yes","Indicative Score":"=ROUND(MIN(22,7*LN(1+E77))+MIN(12,4*LN(1+F77))+MIN(12,2.8*J77)+IF(O77=\"\",0,5)+IF(K77=\"Yes\",3,0),1)","Example Assets (GD)":null,"Topic Evidence Basis":"Curated public source only","Source URL":"https://www.cepheid.com/","GlobalData As-of":"2026-07-31","Asset Status Caution":"Public thematic source; not present in source GlobalData","Selection Basis":"Public thematic curation","Company ID":"CMP-36f899e5b8d"}</t>
  </si>
  <si>
    <t>{"Tier":"CORE","Company":"IMMUNETHEP","Parent / Corporate Group":null,"Role":"Therapeutics","Active Assets (GD)":0,"Phase II+ (GD)":0,"Max Stage (GD)":"-","DZIF Research Areas":"HAI, ABX, MUC","Bridging Topics":"VAC, MAB","Research Areas N":3,"Manual Core":"Yes","Indicative Score":"=ROUND(MIN(22,7*LN(1+E78))+MIN(12,4*LN(1+F78))+MIN(12,2.8*J78)+IF(O78=\"\",0,5)+IF(K78=\"Yes\",3,0),1)","Example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ID":"CMP-4eec897c81d"}</t>
  </si>
  <si>
    <t>{"Tier":"CORE","Company":"bioMerieux","Parent / Corporate Group":null,"Role":"Diagnostics","Active Assets (GD)":0,"Phase II+ (GD)":0,"Max Stage (GD)":"-","DZIF Research Areas":"HAI, MUC, ICH","Bridging Topics":"DIA","Research Areas N":3,"Manual Core":"Yes","Indicative Score":"=ROUND(MIN(22,7*LN(1+E79))+MIN(12,4*LN(1+F79))+MIN(12,2.8*J79)+IF(O79=\"\",0,5)+IF(K79=\"Yes\",3,0),1)","Example Assets (GD)":null,"Topic Evidence Basis":"Curated public source only","Source URL":"https://www.biomerieux.com/","GlobalData As-of":"2026-07-31","Asset Status Caution":"Public thematic source; not present in source GlobalData","Selection Basis":"Public thematic curation","Company ID":"CMP-3f2e0eccbeb"}</t>
  </si>
  <si>
    <t>{"Tier":"CORE","Company":"ArrePath","Parent / Corporate Group":null,"Role":"Therapeutics","Active Assets (GD)":0,"Phase II+ (GD)":0,"Max Stage (GD)":"-","DZIF Research Areas":"HAI, ABX","Bridging Topics":"SMD","Research Areas N":2,"Manual Core":"Yes","Indicative Score":"=ROUND(MIN(22,7*LN(1+E80))+MIN(12,4*LN(1+F80))+MIN(12,2.8*J80)+IF(O80=\"\",0,5)+IF(K80=\"Yes\",3,0),1)","Example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ID":"CMP-a8a014d97c6"}</t>
  </si>
  <si>
    <t>{"Tier":"CORE","Company":"Atara Biotherapeutics","Parent / Corporate Group":null,"Role":"Cell therapy","Active Assets (GD)":0,"Phase II+ (GD)":0,"Max Stage (GD)":"-","DZIF Research Areas":"EMG, ICH","Bridging Topics":"CGT","Research Areas N":2,"Manual Core":"Yes","Indicative Score":"=ROUND(MIN(22,7*LN(1+E81))+MIN(12,4*LN(1+F81))+MIN(12,2.8*J81)+IF(O81=\"\",0,5)+IF(K81=\"Yes\",3,0),1)","Example Assets (GD)":null,"Topic Evidence Basis":"Curated public source only","Source URL":"https://investors.atarabio.com/news-events/press-releases","GlobalData As-of":"2026-07-31","Asset Status Caution":"Public thematic source; not present in source GlobalData","Selection Basis":"Public thematic curation","Company ID":"CMP-db564be93cb"}</t>
  </si>
  <si>
    <t>{"Tier":"CORE","Company":"Bactobio","Parent / Corporate Group":null,"Role":"Therapeutics","Active Assets (GD)":0,"Phase II+ (GD)":0,"Max Stage (GD)":"-","DZIF Research Areas":"HAI, ABX","Bridging Topics":"SMD","Research Areas N":2,"Manual Core":"Yes","Indicative Score":"=ROUND(MIN(22,7*LN(1+E82))+MIN(12,4*LN(1+F82))+MIN(12,2.8*J82)+IF(O82=\"\",0,5)+IF(K82=\"Yes\",3,0),1)","Example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ID":"CMP-662744fae82"}</t>
  </si>
  <si>
    <t>{"Tier":"CORE","Company":"Centauri Therapeutics","Parent / Corporate Group":null,"Role":"Therapeutics","Active Assets (GD)":0,"Phase II+ (GD)":0,"Max Stage (GD)":"-","DZIF Research Areas":"HAI, ABX","Bridging Topics":"MAB","Research Areas N":2,"Manual Core":"Yes","Indicative Score":"=ROUND(MIN(22,7*LN(1+E83))+MIN(12,4*LN(1+F83))+MIN(12,2.8*J83)+IF(O83=\"\",0,5)+IF(K83=\"Yes\",3,0),1)","Example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ID":"CMP-33c76a2d988"}</t>
  </si>
  <si>
    <t>{"Tier":"CORE","Company":"Debiopharm International","Parent / Corporate Group":null,"Role":"Therapeutics","Active Assets (GD)":0,"Phase II+ (GD)":0,"Max Stage (GD)":"-","DZIF Research Areas":"HAI, ABX","Bridging Topics":"SMD","Research Areas N":2,"Manual Core":"Yes","Indicative Score":"=ROUND(MIN(22,7*LN(1+E84))+MIN(12,4*LN(1+F84))+MIN(12,2.8*J84)+IF(O84=\"\",0,5)+IF(K84=\"Yes\",3,0),1)","Example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ID":"CMP-e0fa5955eec"}</t>
  </si>
  <si>
    <t>{"Tier":"CORE","Company":"Disperazol Pharma","Parent / Corporate Group":null,"Role":"Therapeutics","Active Assets (GD)":0,"Phase II+ (GD)":0,"Max Stage (GD)":"-","DZIF Research Areas":"HAI, ABX","Bridging Topics":"SMD","Research Areas N":2,"Manual Core":"Yes","Indicative Score":"=ROUND(MIN(22,7*LN(1+E85))+MIN(12,4*LN(1+F85))+MIN(12,2.8*J85)+IF(O85=\"\",0,5)+IF(K85=\"Yes\",3,0),1)","Example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ID":"CMP-4cdbd28fa00"}</t>
  </si>
  <si>
    <t>{"Tier":"CORE","Company":"Ferring Pharmaceuticals","Parent / Corporate Group":"Ferring Group","Role":"Microbiome therapeutics","Active Assets (GD)":0,"Phase II+ (GD)":0,"Max Stage (GD)":"-","DZIF Research Areas":"HAI, ICH","Bridging Topics":"MIC","Research Areas N":2,"Manual Core":"Yes","Indicative Score":"=ROUND(MIN(22,7*LN(1+E86))+MIN(12,4*LN(1+F86))+MIN(12,2.8*J86)+IF(O86=\"\",0,5)+IF(K86=\"Yes\",3,0),1)","Example Assets (GD)":null,"Topic Evidence Basis":"Curated public source only","Source URL":"https://www.ferring.com/science-innovation/research-and-development/product-pipeline/","GlobalData As-of":"2026-07-31","Asset Status Caution":"Public thematic source; not present in source GlobalData","Selection Basis":"Public thematic curation","Company ID":"CMP-1c39dd558a2"}</t>
  </si>
  <si>
    <t>{"Tier":"CORE","Company":"Hypharm","Parent / Corporate Group":null,"Role":"Therapeutics","Active Assets (GD)":0,"Phase II+ (GD)":0,"Max Stage (GD)":"-","DZIF Research Areas":"HAI, ABX","Bridging Topics":null,"Research Areas N":2,"Manual Core":"Yes","Indicative Score":"=ROUND(MIN(22,7*LN(1+E87))+MIN(12,4*LN(1+F87))+MIN(12,2.8*J87)+IF(O87=\"\",0,5)+IF(K87=\"Yes\",3,0),1)","Example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ID":"CMP-02e13c78d23"}</t>
  </si>
  <si>
    <t>{"Tier":"CORE","Company":"INTELIPHAGE","Parent / Corporate Group":null,"Role":"Therapeutics","Active Assets (GD)":0,"Phase II+ (GD)":0,"Max Stage (GD)":"-","DZIF Research Areas":"HAI, ABX","Bridging Topics":null,"Research Areas N":2,"Manual Core":"Yes","Indicative Score":"=ROUND(MIN(22,7*LN(1+E88))+MIN(12,4*LN(1+F88))+MIN(12,2.8*J88)+IF(O88=\"\",0,5)+IF(K88=\"Yes\",3,0),1)","Example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ID":"CMP-e149f79216b"}</t>
  </si>
  <si>
    <t>{"Tier":"CORE","Company":"MaaT Pharma","Parent / Corporate Group":null,"Role":"Microbiome therapeutics","Active Assets (GD)":0,"Phase II+ (GD)":0,"Max Stage (GD)":"-","DZIF Research Areas":"HAI, ICH","Bridging Topics":"MIC","Research Areas N":2,"Manual Core":"Yes","Indicative Score":"=ROUND(MIN(22,7*LN(1+E89))+MIN(12,4*LN(1+F89))+MIN(12,2.8*J89)+IF(O89=\"\",0,5)+IF(K89=\"Yes\",3,0),1)","Example Assets (GD)":null,"Topic Evidence Basis":"Curated public source only","Source URL":"https://www.maatpharma.com/pipeline/","GlobalData As-of":"2026-07-31","Asset Status Caution":"Public thematic source; not present in source GlobalData","Selection Basis":"Public thematic curation","Company ID":"CMP-c03b5eb46a0"}</t>
  </si>
  <si>
    <t>{"Tier":"CORE","Company":"Nexbiome Therapeutics","Parent / Corporate Group":null,"Role":"Therapeutics","Active Assets (GD)":0,"Phase II+ (GD)":0,"Max Stage (GD)":"-","DZIF Research Areas":"HAI, ABX","Bridging Topics":"MIC","Research Areas N":2,"Manual Core":"Yes","Indicative Score":"=ROUND(MIN(22,7*LN(1+E90))+MIN(12,4*LN(1+F90))+MIN(12,2.8*J90)+IF(O90=\"\",0,5)+IF(K90=\"Yes\",3,0),1)","Example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ID":"CMP-b41888fba29"}</t>
  </si>
  <si>
    <t>{"Tier":"CORE","Company":"OM Pharma","Parent / Corporate Group":null,"Role":"Therapeutics","Active Assets (GD)":0,"Phase II+ (GD)":0,"Max Stage (GD)":"-","DZIF Research Areas":"HAI, MUC","Bridging Topics":"VAC","Research Areas N":2,"Manual Core":"Yes","Indicative Score":"=ROUND(MIN(22,7*LN(1+E91))+MIN(12,4*LN(1+F91))+MIN(12,2.8*J91)+IF(O91=\"\",0,5)+IF(K91=\"Yes\",3,0),1)","Example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ID":"CMP-6ebc81fa4e8"}</t>
  </si>
  <si>
    <t>{"Tier":"CORE","Company":"Obulytix","Parent / Corporate Group":null,"Role":"Therapeutics","Active Assets (GD)":0,"Phase II+ (GD)":0,"Max Stage (GD)":"-","DZIF Research Areas":"HAI, ABX","Bridging Topics":null,"Research Areas N":2,"Manual Core":"Yes","Indicative Score":"=ROUND(MIN(22,7*LN(1+E92))+MIN(12,4*LN(1+F92))+MIN(12,2.8*J92)+IF(O92=\"\",0,5)+IF(K92=\"Yes\",3,0),1)","Example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ID":"CMP-c26d0b0b2ae"}</t>
  </si>
  <si>
    <t>{"Tier":"CORE","Company":"Omnix Medical","Parent / Corporate Group":null,"Role":"Therapeutics","Active Assets (GD)":0,"Phase II+ (GD)":0,"Max Stage (GD)":"-","DZIF Research Areas":"HAI, ABX","Bridging Topics":null,"Research Areas N":2,"Manual Core":"Yes","Indicative Score":"=ROUND(MIN(22,7*LN(1+E93))+MIN(12,4*LN(1+F93))+MIN(12,2.8*J93)+IF(O93=\"\",0,5)+IF(K93=\"Yes\",3,0),1)","Example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ID":"CMP-d4bb4737696"}</t>
  </si>
  <si>
    <t>{"Tier":"CORE","Company":"Phagos","Parent / Corporate Group":null,"Role":"Therapeutics","Active Assets (GD)":0,"Phase II+ (GD)":0,"Max Stage (GD)":"-","DZIF Research Areas":"HAI, ABX","Bridging Topics":null,"Research Areas N":2,"Manual Core":"Yes","Indicative Score":"=ROUND(MIN(22,7*LN(1+E94))+MIN(12,4*LN(1+F94))+MIN(12,2.8*J94)+IF(O94=\"\",0,5)+IF(K94=\"Yes\",3,0),1)","Example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ID":"CMP-421dd2c5f23"}</t>
  </si>
  <si>
    <t>{"Tier":"CORE","Company":"Santero Therapeutics","Parent / Corporate Group":null,"Role":"Therapeutics","Active Assets (GD)":0,"Phase II+ (GD)":0,"Max Stage (GD)":"-","DZIF Research Areas":"HAI, ABX","Bridging Topics":"SMD","Research Areas N":2,"Manual Core":"Yes","Indicative Score":"=ROUND(MIN(22,7*LN(1+E95))+MIN(12,4*LN(1+F95))+MIN(12,2.8*J95)+IF(O95=\"\",0,5)+IF(K95=\"Yes\",3,0),1)","Example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ID":"CMP-e5709fc55b5"}</t>
  </si>
  <si>
    <t>{"Tier":"CORE","Company":"Syntinel Biologics","Parent / Corporate Group":null,"Role":"Therapeutics","Active Assets (GD)":0,"Phase II+ (GD)":0,"Max Stage (GD)":"-","DZIF Research Areas":"HAI, ABX","Bridging Topics":"VAC","Research Areas N":2,"Manual Core":"Yes","Indicative Score":"=ROUND(MIN(22,7*LN(1+E96))+MIN(12,4*LN(1+F96))+MIN(12,2.8*J96)+IF(O96=\"\",0,5)+IF(K96=\"Yes\",3,0),1)","Example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ID":"CMP-5b18365f8f7"}</t>
  </si>
  <si>
    <t>{"Tier":"CORE","Company":"Telum Therapeutics","Parent / Corporate Group":null,"Role":"Therapeutics","Active Assets (GD)":0,"Phase II+ (GD)":0,"Max Stage (GD)":"-","DZIF Research Areas":"HAI, ABX","Bridging Topics":null,"Research Areas N":2,"Manual Core":"Yes","Indicative Score":"=ROUND(MIN(22,7*LN(1+E97))+MIN(12,4*LN(1+F97))+MIN(12,2.8*J97)+IF(O97=\"\",0,5)+IF(K97=\"Yes\",3,0),1)","Example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ID":"CMP-6aacfbb37e0"}</t>
  </si>
  <si>
    <t>{"Tier":"CORE","Company":"VAXDYN","Parent / Corporate Group":null,"Role":"Therapeutics","Active Assets (GD)":0,"Phase II+ (GD)":0,"Max Stage (GD)":"-","DZIF Research Areas":"HAI, ABX","Bridging Topics":"VAC","Research Areas N":2,"Manual Core":"Yes","Indicative Score":"=ROUND(MIN(22,7*LN(1+E98))+MIN(12,4*LN(1+F98))+MIN(12,2.8*J98)+IF(O98=\"\",0,5)+IF(K98=\"Yes\",3,0),1)","Example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ID":"CMP-726db97a94d"}</t>
  </si>
  <si>
    <t>{"Tier":"CORE","Company":"smartbax","Parent / Corporate Group":null,"Role":"Therapeutics","Active Assets (GD)":0,"Phase II+ (GD)":0,"Max Stage (GD)":"-","DZIF Research Areas":"HAI, ABX","Bridging Topics":"SMD","Research Areas N":2,"Manual Core":"Yes","Indicative Score":"=ROUND(MIN(22,7*LN(1+E99))+MIN(12,4*LN(1+F99))+MIN(12,2.8*J99)+IF(O99=\"\",0,5)+IF(K99=\"Yes\",3,0),1)","Example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ID":"CMP-ad5a354e035"}</t>
  </si>
  <si>
    <t>{"Tier":"CORE","Company":"City of Hope","Parent / Corporate Group":null,"Role":"Therapeutics","Active Assets (GD)":2,"Phase II+ (GD)":0,"Max Stage (GD)":"Phase I","DZIF Research Areas":"HIV, EMG","Bridging Topics":"CGT","Research Areas N":2,"Manual Core":"No","Indicative Score":"=ROUND(MIN(22,7*LN(1+E100))+MIN(12,4*LN(1+F100))+MIN(12,2.8*J100)+IF(O100=\"\",0,5)+IF(K100=\"Yes\",3,0),1)","Example Assets (GD)":"CMV Specific HIV-CAR T Cells (Phase I) | asRdRPCat-800 (Preclinical)","Topic Evidence Basis":"GlobalData indication/asset-name proxy","Source URL":null,"GlobalData As-of":"2026-07-31","Asset Status Caution":"GlobalData snapshot only; validate current asset status","Selection Basis":"Stratified company selection","Company ID":"CMP-108641addb6"}</t>
  </si>
  <si>
    <t>{"Tier":"CORE","Company":"Suzhou CureMed Biopharma Technology Co Ltd","Parent / Corporate Group":null,"Role":"Therapeutics","Active Assets (GD)":2,"Phase II+ (GD)":0,"Max Stage (GD)":"Preclinical","DZIF Research Areas":"EMG, ICH","Bridging Topics":"CGT","Research Areas N":2,"Manual Core":"No","Indicative Score":"=ROUND(MIN(22,7*LN(1+E101))+MIN(12,4*LN(1+F101))+MIN(12,2.8*J101)+IF(O101=\"\",0,5)+IF(K101=\"Yes\",3,0),1)","Example Assets (GD)":"Circular mRNA-Based TCR-T (Preclinical) | cmRNA-1130 (Preclinical)","Topic Evidence Basis":"GlobalData indication/asset-name proxy","Source URL":null,"GlobalData As-of":"2026-07-31","Asset Status Caution":"GlobalData snapshot only; validate current asset status","Selection Basis":"Stratified company selection","Company ID":"CMP-de8e4c7e849"}</t>
  </si>
  <si>
    <t>{"Tier":"CORE","Company":"Bristar Immunotech Biotechnology Co Ltd","Parent / Corporate Group":null,"Role":"Therapeutics","Active Assets (GD)":2,"Phase II+ (GD)":1,"Max Stage (GD)":"Phase II","DZIF Research Areas":"ICH","Bridging Topics":"CGT","Research Areas N":1,"Manual Core":"No","Indicative Score":"=ROUND(MIN(22,7*LN(1+E102))+MIN(12,4*LN(1+F102))+MIN(12,2.8*J102)+IF(O102=\"\",0,5)+IF(K102=\"Yes\",3,0),1)","Example Assets (GD)":"YTE-001 (Phase II) | CMV-TCR-T Cells (Phase I)","Topic Evidence Basis":"GlobalData indication/asset-name proxy","Source URL":null,"GlobalData As-of":"2026-07-31","Asset Status Caution":"GlobalData snapshot only; validate current asset status","Selection Basis":"Stratified company selection","Company ID":"CMP-9f2367b42ec"}</t>
  </si>
  <si>
    <t>{"Tier":"CORE","Company":"Lion TCR Pte Ltd","Parent / Corporate Group":null,"Role":"Therapeutics","Active Assets (GD)":3,"Phase II+ (GD)":0,"Max Stage (GD)":"Phase I","DZIF Research Areas":"HEP","Bridging Topics":"CGT","Research Areas N":1,"Manual Core":"No","Indicative Score":"=ROUND(MIN(22,7*LN(1+E103))+MIN(12,4*LN(1+F103))+MIN(12,2.8*J103)+IF(O103=\"\",0,5)+IF(K103=\"Yes\",3,0),1)","Example Assets (GD)":"HBV-TCR T Cell Therapy (Phase I) | LIOCYXM-004 (Phase I)","Topic Evidence Basis":"GlobalData indication/asset-name proxy","Source URL":null,"GlobalData As-of":"2026-07-31","Asset Status Caution":"GlobalData snapshot only; validate current asset status","Selection Basis":"Stratified company selection","Company ID":"CMP-ff43c4d38a6"}</t>
  </si>
  <si>
    <t>{"Tier":"CORE","Company":"BugSee","Parent / Corporate Group":null,"Role":"Diagnostics","Active Assets (GD)":0,"Phase II+ (GD)":0,"Max Stage (GD)":"-","DZIF Research Areas":"HAI","Bridging Topics":"DIA","Research Areas N":1,"Manual Core":"Yes","Indicative Score":"=ROUND(MIN(22,7*LN(1+E104))+MIN(12,4*LN(1+F104))+MIN(12,2.8*J104)+IF(O104=\"\",0,5)+IF(K104=\"Yes\",3,0),1)","Example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ID":"CMP-9b3f31b82f1"}</t>
  </si>
  <si>
    <t>{"Tier":"CORE","Company":"Excision BioTherapeutics","Parent / Corporate Group":null,"Role":"Gene therapy","Active Assets (GD)":0,"Phase II+ (GD)":0,"Max Stage (GD)":"-","DZIF Research Areas":"HIV","Bridging Topics":"CGT","Research Areas N":1,"Manual Core":"Yes","Indicative Score":"=ROUND(MIN(22,7*LN(1+E105))+MIN(12,4*LN(1+F105))+MIN(12,2.8*J105)+IF(O105=\"\",0,5)+IF(K105=\"Yes\",3,0),1)","Example Assets (GD)":null,"Topic Evidence Basis":"Curated public source only","Source URL":"https://excisionbiotherapeutics.com/pipeline","GlobalData As-of":"2026-07-31","Asset Status Caution":"Public thematic source; not present in source GlobalData","Selection Basis":"Public thematic curation","Company ID":"CMP-c2df97c26fd"}</t>
  </si>
  <si>
    <t>{"Tier":"CORE","Company":"Microbira","Parent / Corporate Group":null,"Role":"Diagnostics","Active Assets (GD)":0,"Phase II+ (GD)":0,"Max Stage (GD)":"-","DZIF Research Areas":"HAI","Bridging Topics":"DIA","Research Areas N":1,"Manual Core":"Yes","Indicative Score":"=ROUND(MIN(22,7*LN(1+E106))+MIN(12,4*LN(1+F106))+MIN(12,2.8*J106)+IF(O106=\"\",0,5)+IF(K106=\"Yes\",3,0),1)","Example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ID":"CMP-d65ad545b92"}</t>
  </si>
  <si>
    <t>{"Tier":"CORE","Company":"Nostics","Parent / Corporate Group":null,"Role":"Diagnostics","Active Assets (GD)":0,"Phase II+ (GD)":0,"Max Stage (GD)":"-","DZIF Research Areas":"HAI","Bridging Topics":"DIA","Research Areas N":1,"Manual Core":"Yes","Indicative Score":"=ROUND(MIN(22,7*LN(1+E107))+MIN(12,4*LN(1+F107))+MIN(12,2.8*J107)+IF(O107=\"\",0,5)+IF(K107=\"Yes\",3,0),1)","Example Assets (GD)":null,"Topic Evidence Basis":"Curated public source only","Source URL":"https://beam-alliance.eu/pipeline/","GlobalData As-of":"2026-07-31","Asset Status Caution":"Public thematic source; not present in source GlobalData","Selection Basis":"Public thematic curation","Company ID":"CMP-811101667a0"}</t>
  </si>
  <si>
    <t>{"Tier":"CORE","Company":"Wuhan Bio-Raid Biotechnology Co Ltd","Parent / Corporate Group":null,"Role":"Therapeutics","Active Assets (GD)":2,"Phase II+ (GD)":0,"Max Stage (GD)":"Preclinical","DZIF Research Areas":"HIV","Bridging Topics":"CGT","Research Areas N":1,"Manual Core":"No","Indicative Score":"=ROUND(MIN(22,7*LN(1+E108))+MIN(12,4*LN(1+F108))+MIN(12,2.8*J108)+IF(O108=\"\",0,5)+IF(K108=\"Yes\",3,0),1)","Example Assets (GD)":"CAR gamma delta T/NK (Preclinical) | CAR-T HPV (Preclinical)","Topic Evidence Basis":"GlobalData indication/asset-name proxy","Source URL":null,"GlobalData As-of":"2026-07-31","Asset Status Caution":"GlobalData snapshot only; validate current asset status","Selection Basis":"Stratified company selection","Company ID":"CMP-c6bc30af3d8"}</t>
  </si>
  <si>
    <t>{"Tier":"CORE","Company":"Rebiotix Inc","Parent / Corporate Group":"Ferring Group","Role":"Therapeutics","Active Assets (GD)":1,"Phase II+ (GD)":0,"Max Stage (GD)":"Phase I","DZIF Research Areas":"HAI, ABX","Bridging Topics":"MIC","Research Areas N":2,"Manual Core":"No","Indicative Score":"=ROUND(MIN(22,7*LN(1+E109))+MIN(12,4*LN(1+F109))+MIN(12,2.8*J109)+IF(O109=\"\",0,5)+IF(K109=\"Yes\",3,0),1)","Example Assets (GD)":"Rebyota (Phase I)","Topic Evidence Basis":"GlobalData indication/asset-name proxy","Source URL":null,"GlobalData As-of":"2026-07-31","Asset Status Caution":"GlobalData snapshot only; validate current asset status","Selection Basis":"Stratified company selection","Company ID":"CMP-2100701d612"}</t>
  </si>
  <si>
    <t>{"Tier":"CORE","Company":"Profionics","Parent / Corporate Group":null,"Role":"Diagnostics","Active Assets (GD)":0,"Phase II+ (GD)":0,"Max Stage (GD)":"-","DZIF Research Areas":"HAI","Bridging Topics":"DIA","Research Areas N":1,"Manual Core":"No","Indicative Score":"=ROUND(MIN(22,7*LN(1+E110))+MIN(12,4*LN(1+F110))+MIN(12,2.8*J110)+IF(O110=\"\",0,5)+IF(K110=\"Yes\",3,0),1)","Example Assets (GD)":null,"Topic Evidence Basis":"Curated public source only","Source URL":"https://beam-alliance.eu/members/","GlobalData As-of":"2026-07-31","Asset Status Caution":"Public thematic source; not present in source GlobalData","Selection Basis":"Stratified company selection","Company ID":"CMP-13b02aead78"}</t>
  </si>
  <si>
    <t>{"Tier":"EXTENDED","Company":"Eubiologics Co Ltd","Parent / Corporate Group":null,"Role":"Therapeutics","Active Assets (GD)":6,"Phase II+ (GD)":4,"Max Stage (GD)":"Phase III","DZIF Research Areas":"ABX, EMG, MUC","Bridging Topics":"VAC","Research Areas N":3,"Manual Core":"No","Indicative Score":"=ROUND(MIN(22,7*LN(1+E111))+MIN(12,4*LN(1+F111))+MIN(12,2.8*J111)+IF(O111=\"\",0,5)+IF(K111=\"Yes\",3,0),1)","Example Assets (GD)":"EUC-002 (Phase III) | EuCorVac-19 (Phase III)","Topic Evidence Basis":"GlobalData indication/asset-name proxy","Source URL":null,"GlobalData As-of":"2026-07-31","Asset Status Caution":"GlobalData snapshot only; validate current asset status","Selection Basis":"Stratified company selection","Company ID":"CMP-3f19c5bc4ac"}</t>
  </si>
  <si>
    <t>{"Tier":"EXTENDED","Company":"Shanghai Institute of Biological Products Co Ltd","Parent / Corporate Group":null,"Role":"Therapeutics","Active Assets (GD)":6,"Phase II+ (GD)":4,"Max Stage (GD)":"Phase II","DZIF Research Areas":"EMG, MUC, ICH","Bridging Topics":"VAC","Research Areas N":3,"Manual Core":"No","Indicative Score":"=ROUND(MIN(22,7*LN(1+E112))+MIN(12,4*LN(1+F112))+MIN(12,2.8*J112)+IF(O112=\"\",0,5)+IF(K112=\"Yes\",3,0),1)","Example Assets (GD)":"Peginterferon alpha-1b (Phase II) | herpes zoster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ID":"CMP-0934bdf51e6"}</t>
  </si>
  <si>
    <t>{"Tier":"EXTENDED","Company":"SinoCelltech Group Ltd","Parent / Corporate Group":null,"Role":"Therapeutics","Active Assets (GD)":5,"Phase II+ (GD)":5,"Max Stage (GD)":"Phase III","DZIF Research Areas":"EMG, MUC, ICH","Bridging Topics":"VAC","Research Areas N":3,"Manual Core":"No","Indicative Score":"=ROUND(MIN(22,7*LN(1+E113))+MIN(12,4*LN(1+F113))+MIN(12,2.8*J113)+IF(O113=\"\",0,5)+IF(K113=\"Yes\",3,0),1)","Example Assets (GD)":"Coronavirus Disease 2019 (Covid-19) [Alpha/Beta] (Bivalent) Vaccine (Phase III) | SCT-1000 (Phase III)","Topic Evidence Basis":"GlobalData indication/asset-name proxy","Source URL":null,"GlobalData As-of":"2026-07-31","Asset Status Caution":"GlobalData snapshot only; validate current asset status","Selection Basis":"Stratified company selection","Company ID":"CMP-9c1a100dc59"}</t>
  </si>
  <si>
    <t>{"Tier":"EXTENDED","Company":"Biocidium Biopharmaceuticals Inc","Parent / Corporate Group":null,"Role":"Therapeutics","Active Assets (GD)":10,"Phase II+ (GD)":0,"Max Stage (GD)":"Phase I","DZIF Research Areas":"HAI, ABX, MUC, ICH","Bridging Topics":null,"Research Areas N":4,"Manual Core":"No","Indicative Score":"=ROUND(MIN(22,7*LN(1+E114))+MIN(12,4*LN(1+F114))+MIN(12,2.8*J114)+IF(O114=\"\",0,5)+IF(K114=\"Yes\",3,0),1)","Example Assets (GD)":"BCM-0184 (Phase I) | BCM-0146 (Preclinical)","Topic Evidence Basis":"GlobalData indication/asset-name proxy","Source URL":null,"GlobalData As-of":"2026-07-31","Asset Status Caution":"GlobalData snapshot only; validate current asset status","Selection Basis":"Stratified company selection","Company ID":"CMP-9decd84757e"}</t>
  </si>
  <si>
    <t>{"Tier":"EXTENDED","Company":"Jiangsu Hengrui Pharmaceuticals Co Ltd","Parent / Corporate Group":null,"Role":"Therapeutics","Active Assets (GD)":4,"Phase II+ (GD)":2,"Max Stage (GD)":"Phase III","DZIF Research Areas":"HEP, HAI, ABX, MUC, ICH","Bridging Topics":null,"Research Areas N":5,"Manual Core":"No","Indicative Score":"=ROUND(MIN(22,7*LN(1+E115))+MIN(12,4*LN(1+F115))+MIN(12,2.8*J115)+IF(O115=\"\",0,5)+IF(K115=\"Yes\",3,0),1)","Example Assets (GD)":"HRS-5635 (Phase III) | HRS-9432 (Phase II)","Topic Evidence Basis":"GlobalData indication/asset-name proxy","Source URL":null,"GlobalData As-of":"2026-07-31","Asset Status Caution":"GlobalData snapshot only; validate current asset status","Selection Basis":"Stratified company selection","Company ID":"CMP-078b33dd07f"}</t>
  </si>
  <si>
    <t>{"Tier":"EXTENDED","Company":"Walvax Biotechnology Co Ltd","Parent / Corporate Group":null,"Role":"Therapeutics","Active Assets (GD)":6,"Phase II+ (GD)":3,"Max Stage (GD)":"Phase III","DZIF Research Areas":"EMG, MUC, ICH","Bridging Topics":"VAC","Research Areas N":3,"Manual Core":"No","Indicative Score":"=ROUND(MIN(22,7*LN(1+E116))+MIN(12,4*LN(1+F116))+MIN(12,2.8*J116)+IF(O116=\"\",0,5)+IF(K116=\"Yes\",3,0),1)","Example Assets (GD)":"Coronavirus Disease 2019 (COVID-19) vaccine (Phase III) | influenza [strains A + B] (tetravalent, split virion)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ID":"CMP-e06a0a2c903"}</t>
  </si>
  <si>
    <t>{"Tier":"EXTENDED","Company":"Vaxart Inc","Parent / Corporate Group":null,"Role":"Therapeutics","Active Assets (GD)":7,"Phase II+ (GD)":4,"Max Stage (GD)":"Phase II","DZIF Research Areas":"EMG, MUC","Bridging Topics":"VAC","Research Areas N":2,"Manual Core":"No","Indicative Score":"=ROUND(MIN(22,7*LN(1+E117))+MIN(12,4*LN(1+F117))+MIN(12,2.8*J117)+IF(O117=\"\",0,5)+IF(K117=\"Yes\",3,0),1)","Example Assets (GD)":"COVID-19 (Phase II) | Norovirus [strains Norwalk GI.1 + Sydney GII.4] (bivalent)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ID":"CMP-8286c6c630d"}</t>
  </si>
  <si>
    <t>{"Tier":"EXTENDED","Company":"YouCare Pharmaceutical Group Co Ltd","Parent / Corporate Group":null,"Role":"Therapeutics","Active Assets (GD)":5,"Phase II+ (GD)":1,"Max Stage (GD)":"Phase III","DZIF Research Areas":"HEP, EMG, MUC, ICH","Bridging Topics":null,"Research Areas N":4,"Manual Core":"No","Indicative Score":"=ROUND(MIN(22,7*LN(1+E118))+MIN(12,4*LN(1+F118))+MIN(12,2.8*J118)+IF(O118=\"\",0,5)+IF(K118=\"Yes\",3,0),1)","Example Assets (GD)":"YKYY-017 (Phase III) | YKYY-013 (Phase I)","Topic Evidence Basis":"GlobalData indication/asset-name proxy","Source URL":null,"GlobalData As-of":"2026-07-31","Asset Status Caution":"GlobalData snapshot only; validate current asset status","Selection Basis":"Stratified company selection","Company ID":"CMP-f0ace507d0a"}</t>
  </si>
  <si>
    <t>{"Tier":"EXTENDED","Company":"GC Biopharma Corp","Parent / Corporate Group":null,"Role":"Therapeutics","Active Assets (GD)":6,"Phase II+ (GD)":5,"Max Stage (GD)":"Phase III","DZIF Research Areas":"EMG, MUC","Bridging Topics":"VAC","Research Areas N":2,"Manual Core":"No","Indicative Score":"=ROUND(MIN(22,7*LN(1+E119))+MIN(12,4*LN(1+F119))+MIN(12,2.8*J119)+IF(O119=\"\",0,5)+IF(K119=\"Yes\",3,0),1)","Example Assets (GD)":"MG-1111D (Phase III) | varicella zoster [MAV/06 strain + cell strain MRC-5]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ID":"CMP-5756f6656b7"}</t>
  </si>
  <si>
    <t>{"Tier":"EXTENDED","Company":"Boehringer Ingelheim International GmbH","Parent / Corporate Group":null,"Role":"Therapeutics","Active Assets (GD)":3,"Phase II+ (GD)":2,"Max Stage (GD)":"Phase III","DZIF Research Areas":"HAI, ABX, EMG, MUC, ICH","Bridging Topics":null,"Research Areas N":5,"Manual Core":"No","Indicative Score":"=ROUND(MIN(22,7*LN(1+E120))+MIN(12,4*LN(1+F120))+MIN(12,2.8*J120)+IF(O120=\"\",0,5)+IF(K120=\"Yes\",3,0),1)","Example Assets (GD)":"Ofev (Phase III) | empagliflozin (Phase III)","Topic Evidence Basis":"GlobalData indication/asset-name proxy","Source URL":null,"GlobalData As-of":"2026-07-31","Asset Status Caution":"GlobalData snapshot only; validate current asset status","Selection Basis":"Stratified company selection","Company ID":"CMP-0c333834d33"}</t>
  </si>
  <si>
    <t>{"Tier":"EXTENDED","Company":"Promomed LLC","Parent / Corporate Group":null,"Role":"Therapeutics","Active Assets (GD)":6,"Phase II+ (GD)":4,"Max Stage (GD)":"Phase III","DZIF Research Areas":"HEP, EMG","Bridging Topics":null,"Research Areas N":2,"Manual Core":"No","Indicative Score":"=ROUND(MIN(22,7*LN(1+E121))+MIN(12,4*LN(1+F121))+MIN(12,2.8*J121)+IF(O121=\"\",0,5)+IF(K121=\"Yes\",3,0),1)","Example Assets (GD)":"Ambervin (Phase III) | JOFC-00401 (Phase III)","Topic Evidence Basis":"GlobalData indication/asset-name proxy","Source URL":null,"GlobalData As-of":"2026-07-31","Asset Status Caution":"GlobalData snapshot only; validate current asset status","Selection Basis":"Stratified company selection","Company ID":"CMP-bf7e57274f6"}</t>
  </si>
  <si>
    <t>{"Tier":"EXTENDED","Company":"Xiamen Innovax Biotech Co Ltd","Parent / Corporate Group":null,"Role":"Therapeutics","Active Assets (GD)":6,"Phase II+ (GD)":4,"Max Stage (GD)":"Phase III","DZIF Research Areas":"HEP, MUC","Bridging Topics":"VAC","Research Areas N":2,"Manual Core":"No","Indicative Score":"=ROUND(MIN(22,7*LN(1+E122))+MIN(12,4*LN(1+F122))+MIN(12,2.8*J122)+IF(O122=\"\",0,5)+IF(K122=\"Yes\",3,0),1)","Example Assets (GD)":"chickenpox vaccine (Phase III) | human papillomavirus (9-valent)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ID":"CMP-9d444f16979"}</t>
  </si>
  <si>
    <t>{"Tier":"EXTENDED","Company":"Abion Inc","Parent / Corporate Group":null,"Role":"Therapeutics","Active Assets (GD)":6,"Phase II+ (GD)":0,"Max Stage (GD)":"IND/CTA Filed","DZIF Research Areas":"HEP, HAI, ABX, EMG, MUC","Bridging Topics":null,"Research Areas N":5,"Manual Core":"No","Indicative Score":"=ROUND(MIN(22,7*LN(1+E123))+MIN(12,4*LN(1+F123))+MIN(12,2.8*J123)+IF(O123=\"\",0,5)+IF(K123=\"Yes\",3,0),1)","Example Assets (GD)":"ABN-901 (IND/CTA Filed) | ABN-101 (Preclinical)","Topic Evidence Basis":"GlobalData indication/asset-name proxy","Source URL":null,"GlobalData As-of":"2026-07-31","Asset Status Caution":"GlobalData snapshot only; validate current asset status","Selection Basis":"Stratified company selection","Company ID":"CMP-5e8e018b773"}</t>
  </si>
  <si>
    <t>{"Tier":"EXTENDED","Company":"Drugs for Neglected Diseases initiative","Parent / Corporate Group":null,"Role":"Therapeutics","Active Assets (GD)":5,"Phase II+ (GD)":2,"Max Stage (GD)":"Pre-Registration","DZIF Research Areas":"EMG, NTD, ICH","Bridging Topics":null,"Research Areas N":3,"Manual Core":"No","Indicative Score":"=ROUND(MIN(22,7*LN(1+E124))+MIN(12,4*LN(1+F124))+MIN(12,2.8*J124)+IF(O124=\"\",0,5)+IF(K124=\"Yes\",3,0),1)","Example Assets (GD)":"acoziborole (Pre-Registration) | flucytosine SR (Phase II)","Topic Evidence Basis":"GlobalData indication/asset-name proxy","Source URL":null,"GlobalData As-of":"2026-07-31","Asset Status Caution":"GlobalData snapshot only; validate current asset status","Selection Basis":"Stratified company selection","Company ID":"CMP-6dcf8867166"}</t>
  </si>
  <si>
    <t>{"Tier":"EXTENDED","Company":"Shenzhen Kangtai Biological Products Co Ltd","Parent / Corporate Group":null,"Role":"Therapeutics","Active Assets (GD)":5,"Phase II+ (GD)":2,"Max Stage (GD)":"Phase III","DZIF Research Areas":"HEP, EMG, MUC","Bridging Topics":"VAC","Research Areas N":3,"Manual Core":"No","Indicative Score":"=ROUND(MIN(22,7*LN(1+E125))+MIN(12,4*LN(1+F125))+MIN(12,2.8*J125)+IF(O125=\"\",0,5)+IF(K125=\"Yes\",3,0),1)","Example Assets (GD)":"Coronavirus Disease 2019 (COVID-19) vaccine (Phase III) | influenza (quadrivalent, split virion)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ID":"CMP-972583c6f34"}</t>
  </si>
  <si>
    <t>{"Tier":"EXTENDED","Company":"Beijing Luzhu Biotechnology Co Ltd","Parent / Corporate Group":null,"Role":"Therapeutics","Active Assets (GD)":3,"Phase II+ (GD)":2,"Max Stage (GD)":"Pre-Registration","DZIF Research Areas":"HAI, ABX, MUC, ICH","Bridging Topics":"VAC","Research Areas N":4,"Manual Core":"No","Indicative Score":"=ROUND(MIN(22,7*LN(1+E126))+MIN(12,4*LN(1+F126))+MIN(12,2.8*J126)+IF(O126=\"\",0,5)+IF(K126=\"Yes\",3,0),1)","Example Assets (GD)":"LZ-901 (Pre-Registration) | pneumococcal (23-valent)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ID":"CMP-1441b9ac13e"}</t>
  </si>
  <si>
    <t>{"Tier":"EXTENDED","Company":"Lumen Bioscience Inc","Parent / Corporate Group":null,"Role":"Therapeutics","Active Assets (GD)":3,"Phase II+ (GD)":2,"Max Stage (GD)":"Phase III","DZIF Research Areas":"HAI, ABX, EMG, MUC","Bridging Topics":null,"Research Areas N":4,"Manual Core":"No","Indicative Score":"=ROUND(MIN(22,7*LN(1+E127))+MIN(12,4*LN(1+F127))+MIN(12,2.8*J127)+IF(O127=\"\",0,5)+IF(K127=\"Yes\",3,0),1)","Example Assets (GD)":"LMN-201 (Phase III) | LMN-101 (Phase II)","Topic Evidence Basis":"GlobalData indication/asset-name proxy","Source URL":null,"GlobalData As-of":"2026-07-31","Asset Status Caution":"GlobalData snapshot only; validate current asset status","Selection Basis":"Stratified company selection","Company ID":"CMP-4f8a2958e3d"}</t>
  </si>
  <si>
    <t>{"Tier":"EXTENDED","Company":"Phenobio Biopharmaceutical Technology (Hangzhou) Co Ltd","Parent / Corporate Group":null,"Role":"Therapeutics","Active Assets (GD)":6,"Phase II+ (GD)":1,"Max Stage (GD)":"Phase II","DZIF Research Areas":"ABX, MUC, ICH","Bridging Topics":null,"Research Areas N":3,"Manual Core":"No","Indicative Score":"=ROUND(MIN(22,7*LN(1+E128))+MIN(12,4*LN(1+F128))+MIN(12,2.8*J128)+IF(O128=\"\",0,5)+IF(K128=\"Yes\",3,0),1)","Example Assets (GD)":"HN-0037 (Phase II) | HN-0141 (Phase I)","Topic Evidence Basis":"GlobalData indication/asset-name proxy","Source URL":null,"GlobalData As-of":"2026-07-31","Asset Status Caution":"GlobalData snapshot only; validate current asset status","Selection Basis":"Stratified company selection","Company ID":"CMP-9d580665cfb"}</t>
  </si>
  <si>
    <t>{"Tier":"EXTENDED","Company":"Clover Biopharmaceuticals Ltd","Parent / Corporate Group":null,"Role":"Therapeutics","Active Assets (GD)":6,"Phase II+ (GD)":3,"Max Stage (GD)":"Phase III","DZIF Research Areas":"EMG, MUC","Bridging Topics":"VAC","Research Areas N":2,"Manual Core":"No","Indicative Score":"=ROUND(MIN(22,7*LN(1+E129))+MIN(12,4*LN(1+F129))+MIN(12,2.8*J129)+IF(O129=\"\",0,5)+IF(K129=\"Yes\",3,0),1)","Example Assets (GD)":"SCB-2019 (Phase III) | (respiratory syncytial virus + human metapneumovirus + parainfluenza virus type 3)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ID":"CMP-58ed874c974"}</t>
  </si>
  <si>
    <t>{"Tier":"EXTENDED","Company":"Eisai Co Ltd","Parent / Corporate Group":null,"Role":"Therapeutics","Active Assets (GD)":6,"Phase II+ (GD)":3,"Max Stage (GD)":"Phase III","DZIF Research Areas":"NTD, ICH","Bridging Topics":"VAC","Research Areas N":2,"Manual Core":"No","Indicative Score":"=ROUND(MIN(22,7*LN(1+E130))+MIN(12,4*LN(1+F130))+MIN(12,2.8*J130)+IF(O130=\"\",0,5)+IF(K130=\"Yes\",3,0),1)","Example Assets (GD)":"fosravuconazole (Phase III) | (SJ-733 + tafenoquine) (Phase II)","Topic Evidence Basis":"GlobalData indication/asset-name proxy","Source URL":null,"GlobalData As-of":"2026-07-31","Asset Status Caution":"GlobalData snapshot only; validate current asset status","Selection Basis":"Stratified company selection","Company ID":"CMP-3f15ddb6b50"}</t>
  </si>
  <si>
    <t>{"Tier":"EXTENDED","Company":"Swedish Orphan Biovitrum AB","Parent / Corporate Group":null,"Role":"Therapeutics","Active Assets (GD)":2,"Phase II+ (GD)":2,"Max Stage (GD)":"Phase III","DZIF Research Areas":"HAI, ABX, EMG, MUC, ICH","Bridging Topics":null,"Research Areas N":5,"Manual Core":"No","Indicative Score":"=ROUND(MIN(22,7*LN(1+E131))+MIN(12,4*LN(1+F131))+MIN(12,2.8*J131)+IF(O131=\"\",0,5)+IF(K131=\"Yes\",3,0),1)","Example Assets (GD)":"anakinra (Phase III) | emapalumab (Phase II)","Topic Evidence Basis":"GlobalData indication/asset-name proxy","Source URL":null,"GlobalData As-of":"2026-07-31","Asset Status Caution":"GlobalData snapshot only; validate current asset status","Selection Basis":"Stratified company selection","Company ID":"CMP-bba1a1ec87d"}</t>
  </si>
  <si>
    <t>{"Tier":"EXTENDED","Company":"Intravacc BV","Parent / Corporate Group":null,"Role":"Therapeutics","Active Assets (GD)":4,"Phase II+ (GD)":2,"Max Stage (GD)":"Phase III","DZIF Research Areas":"ABX, EMG, MUC","Bridging Topics":"VAC","Research Areas N":3,"Manual Core":"No","Indicative Score":"=ROUND(MIN(22,7*LN(1+E132))+MIN(12,4*LN(1+F132))+MIN(12,2.8*J132)+IF(O132=\"\",0,5)+IF(K132=\"Yes\",3,0),1)","Example Assets (GD)":"poliomyelitis [sabin] (vero cell) vaccine (Phase III) | Coronavirus Disease 2019 (COVID-19) vaccine 2 (Phase II)","Topic Evidence Basis":"GlobalData indication/asset-name proxy","Source URL":null,"GlobalData As-of":"2026-07-31","Asset Status Caution":"GlobalData snapshot only; validate current asset status","Selection Basis":"Stratified company selection","Company ID":"CMP-cc6f0a4140b"}</t>
  </si>
  <si>
    <t>{"Tier":"EXTENDED","Company":"Jiangsu Kunli Biopharmaceutical Co Ltd","Parent / Corporate Group":null,"Role":"Therapeutics","Active Assets (GD)":5,"Phase II+ (GD)":0,"Max Stage (GD)":"Phase I","DZIF Research Areas":"HAI, ABX, MUC, ICH","Bridging Topics":"VAC","Research Areas N":4,"Manual Core":"No","Indicative Score":"=ROUND(MIN(22,7*LN(1+E133))+MIN(12,4*LN(1+F133))+MIN(12,2.8*J133)+IF(O133=\"\",0,5)+IF(K133=\"Yes\",3,0),1)","Example Assets (GD)":"pneumococcal (13-valent) vaccine (Phase I) | pneumococcal (20-valent)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ID":"CMP-dda1b1eb60d"}</t>
  </si>
  <si>
    <t>{"Tier":"EXTENDED","Company":"Grand Theravac Life Sciences (Nanjing) Co Ltd","Parent / Corporate Group":null,"Role":"Therapeutics","Active Assets (GD)":5,"Phase II+ (GD)":1,"Max Stage (GD)":"Phase II","DZIF Research Areas":"HEP, MUC, ICH","Bridging Topics":"VAC","Research Areas N":3,"Manual Core":"No","Indicative Score":"=ROUND(MIN(22,7*LN(1+E134))+MIN(12,4*LN(1+F134))+MIN(12,2.8*J134)+IF(O134=\"\",0,5)+IF(K134=\"Yes\",3,0),1)","Example Assets (GD)":"TVAX-009B (Phase II) | TVAX-010 (Phase I)","Topic Evidence Basis":"GlobalData indication/asset-name proxy","Source URL":null,"GlobalData As-of":"2026-07-31","Asset Status Caution":"GlobalData snapshot only; validate current asset status","Selection Basis":"Stratified company selection","Company ID":"CMP-e4f41a9d76c"}</t>
  </si>
  <si>
    <t>{"Tier":"EXTENDED","Company":"LucasBio Co Ltd","Parent / Corporate Group":null,"Role":"Therapeutics","Active Assets (GD)":5,"Phase II+ (GD)":3,"Max Stage (GD)":"Phase III","DZIF Research Areas":"EMG, ICH","Bridging Topics":null,"Research Areas N":2,"Manual Core":"No","Indicative Score":"=ROUND(MIN(22,7*LN(1+E135))+MIN(12,4*LN(1+F135))+MIN(12,2.8*J135)+IF(O135=\"\",0,5)+IF(K135=\"Yes\",3,0),1)","Example Assets (GD)":"COVID-19-Autologous (Phase III) | CMV Retinitis (Phase II)","Topic Evidence Basis":"GlobalData indication/asset-name proxy","Source URL":null,"GlobalData As-of":"2026-07-31","Asset Status Caution":"GlobalData snapshot only; validate current asset status","Selection Basis":"Stratified company selection","Company ID":"CMP-0b55c608dd1"}</t>
  </si>
  <si>
    <t>{"Tier":"EXTENDED","Company":"Wuhan Institute of Biological Products Co Ltd","Parent / Corporate Group":null,"Role":"Therapeutics","Active Assets (GD)":5,"Phase II+ (GD)":3,"Max Stage (GD)":"Phase III","DZIF Research Areas":"EMG, MUC","Bridging Topics":"VAC","Research Areas N":2,"Manual Core":"No","Indicative Score":"=ROUND(MIN(22,7*LN(1+E136))+MIN(12,4*LN(1+F136))+MIN(12,2.8*J136)+IF(O136=\"\",0,5)+IF(K136=\"Yes\",3,0),1)","Example Assets (GD)":"influenza (quadrivalent, split virion) vaccine (Phase III) | polio [strain Sabin]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ID":"CMP-ba0f4be8da0"}</t>
  </si>
  <si>
    <t>{"Tier":"EXTENDED","Company":"EyeGene Inc","Parent / Corporate Group":null,"Role":"Therapeutics","Active Assets (GD)":3,"Phase II+ (GD)":1,"Max Stage (GD)":"Phase III","DZIF Research Areas":"ABX, EMG, MUC, ICH","Bridging Topics":null,"Research Areas N":4,"Manual Core":"No","Indicative Score":"=ROUND(MIN(22,7*LN(1+E137))+MIN(12,4*LN(1+F137))+MIN(12,2.8*J137)+IF(O137=\"\",0,5)+IF(K137=\"Yes\",3,0),1)","Example Assets (GD)":"EGMCV-4 (Phase III) | EG-HZ (Phase I)","Topic Evidence Basis":"GlobalData indication/asset-name proxy","Source URL":null,"GlobalData As-of":"2026-07-31","Asset Status Caution":"GlobalData snapshot only; validate current asset status","Selection Basis":"Stratified company selection","Company ID":"CMP-6f9f822213f"}</t>
  </si>
  <si>
    <t>{"Tier":"EXTENDED","Company":"RedHill Biopharma Ltd","Parent / Corporate Group":null,"Role":"Therapeutics","Active Assets (GD)":3,"Phase II+ (GD)":1,"Max Stage (GD)":"Phase II","DZIF Research Areas":"ABX, EMG, NTD, MUC","Bridging Topics":null,"Research Areas N":4,"Manual Core":"No","Indicative Score":"=ROUND(MIN(22,7*LN(1+E138))+MIN(12,4*LN(1+F138))+MIN(12,2.8*J138)+IF(O138=\"\",0,5)+IF(K138=\"Yes\",3,0),1)","Example Assets (GD)":"upamostat (Phase II) | opaganib (Phase I)","Topic Evidence Basis":"GlobalData indication/asset-name proxy","Source URL":null,"GlobalData As-of":"2026-07-31","Asset Status Caution":"GlobalData snapshot only; validate current asset status","Selection Basis":"Stratified company selection","Company ID":"CMP-2e8e0dfb894"}</t>
  </si>
  <si>
    <t>{"Tier":"EXTENDED","Company":"Bavarian Nordic AS","Parent / Corporate Group":null,"Role":"Therapeutics","Active Assets (GD)":3,"Phase II+ (GD)":3,"Max Stage (GD)":"Pre-Registration","DZIF Research Areas":"EMG, NTD, MUC","Bridging Topics":"VAC","Research Areas N":3,"Manual Core":"No","Indicative Score":"=ROUND(MIN(22,7*LN(1+E139))+MIN(12,4*LN(1+F139))+MIN(12,2.8*J139)+IF(O139=\"\",0,5)+IF(K139=\"Yes\",3,0),1)","Example Assets (GD)":"Jynneos (Pre-Registration) | chikungunya vaccine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ID":"CMP-9a50f62c0bf"}</t>
  </si>
  <si>
    <t>{"Tier":"EXTENDED","Company":"Dynavax Technologies Corp","Parent / Corporate Group":null,"Role":"Therapeutics","Active Assets (GD)":3,"Phase II+ (GD)":3,"Max Stage (GD)":"Phase II","DZIF Research Areas":"EMG, MUC, ICH","Bridging Topics":"VAC","Research Areas N":3,"Manual Core":"No","Indicative Score":"=ROUND(MIN(22,7*LN(1+E140))+MIN(12,4*LN(1+F140))+MIN(12,2.8*J140)+IF(O140=\"\",0,5)+IF(K140=\"Yes\",3,0),1)","Example Assets (GD)":"VXA-CoV2-3.3 (Phase II) | Z-1018 (Phase II)","Topic Evidence Basis":"GlobalData indication/asset-name proxy","Source URL":null,"GlobalData As-of":"2026-07-31","Asset Status Caution":"GlobalData snapshot only; validate current asset status","Selection Basis":"Stratified company selection","Company ID":"CMP-2297c0d2f25"}</t>
  </si>
  <si>
    <t>{"Tier":"EXTENDED","Company":"LG Chem Ltd","Parent / Corporate Group":null,"Role":"Therapeutics","Active Assets (GD)":3,"Phase II+ (GD)":3,"Max Stage (GD)":"Phase III","DZIF Research Areas":"HEP, EMG, MUC","Bridging Topics":null,"Research Areas N":3,"Manual Core":"No","Indicative Score":"=ROUND(MIN(22,7*LN(1+E141))+MIN(12,4*LN(1+F141))+MIN(12,2.8*J141)+IF(O141=\"\",0,5)+IF(K141=\"Yes\",3,0),1)","Example Assets (GD)":"AdCLD-CoV19 (Phase III) | LR-19114 (Phase III)","Topic Evidence Basis":"GlobalData indication/asset-name proxy","Source URL":null,"GlobalData As-of":"2026-07-31","Asset Status Caution":"GlobalData snapshot only; validate current asset status","Selection Basis":"Stratified company selection","Company ID":"CMP-78274050aea"}</t>
  </si>
  <si>
    <t>{"Tier":"EXTENDED","Company":"WestVac Biopharma Co Ltd","Parent / Corporate Group":null,"Role":"Therapeutics","Active Assets (GD)":6,"Phase II+ (GD)":2,"Max Stage (GD)":"Phase III","DZIF Research Areas":"EMG, MUC","Bridging Topics":"VAC","Research Areas N":2,"Manual Core":"No","Indicative Score":"=ROUND(MIN(22,7*LN(1+E142))+MIN(12,4*LN(1+F142))+MIN(12,2.8*J142)+IF(O142=\"\",0,5)+IF(K142=\"Yes\",3,0),1)","Example Assets (GD)":"Coronavirus Disease 2019 (COVID-19) vaccine (Phase III) | WSKV-106 (Phase II)","Topic Evidence Basis":"GlobalData indication/asset-name proxy","Source URL":null,"GlobalData As-of":"2026-07-31","Asset Status Caution":"GlobalData snapshot only; validate current asset status","Selection Basis":"Stratified company selection","Company ID":"CMP-e0ed1515d16"}</t>
  </si>
  <si>
    <t>{"Tier":"EXTENDED","Company":"MAXVAX Biotechnology Co Ltd","Parent / Corporate Group":null,"Role":"Therapeutics","Active Assets (GD)":4,"Phase II+ (GD)":4,"Max Stage (GD)":"Phase III","DZIF Research Areas":"MUC, ICH","Bridging Topics":"VAC","Research Areas N":2,"Manual Core":"No","Indicative Score":"=ROUND(MIN(22,7*LN(1+E143))+MIN(12,4*LN(1+F143))+MIN(12,2.8*J143)+IF(O143=\"\",0,5)+IF(K143=\"Yes\",3,0),1)","Example Assets (GD)":"MKK-900 (Phase III) | shingles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ID":"CMP-156cb401985"}</t>
  </si>
  <si>
    <t>{"Tier":"EXTENDED","Company":"Alopexx Inc","Parent / Corporate Group":null,"Role":"Therapeutics","Active Assets (GD)":2,"Phase II+ (GD)":2,"Max Stage (GD)":"Phase II","DZIF Research Areas":"HAI, ABX, TB, MUC","Bridging Topics":null,"Research Areas N":4,"Manual Core":"No","Indicative Score":"=ROUND(MIN(22,7*LN(1+E144))+MIN(12,4*LN(1+F144))+MIN(12,2.8*J144)+IF(O144=\"\",0,5)+IF(K144=\"Yes\",3,0),1)","Example Assets (GD)":"AV-0328 (Phase II) | F-598 (Phase II)","Topic Evidence Basis":"GlobalData indication/asset-name proxy","Source URL":null,"GlobalData As-of":"2026-07-31","Asset Status Caution":"GlobalData snapshot only; validate current asset status","Selection Basis":"Stratified company selection","Company ID":"CMP-1230b627b39"}</t>
  </si>
  <si>
    <t>{"Tier":"EXTENDED","Company":"RinuaGene Biotechnology Co Ltd","Parent / Corporate Group":null,"Role":"Therapeutics","Active Assets (GD)":7,"Phase II+ (GD)":1,"Max Stage (GD)":"Phase II","DZIF Research Areas":"EMG, MUC","Bridging Topics":null,"Research Areas N":2,"Manual Core":"No","Indicative Score":"=ROUND(MIN(22,7*LN(1+E145))+MIN(12,4*LN(1+F145))+MIN(12,2.8*J145)+IF(O145=\"\",0,5)+IF(K145=\"Yes\",3,0),1)","Example Assets (GD)":"RG-004 (Phase II) | RG-002 (IND/CTA Filed)","Topic Evidence Basis":"GlobalData indication/asset-name proxy","Source URL":null,"GlobalData As-of":"2026-07-31","Asset Status Caution":"GlobalData snapshot only; validate current asset status","Selection Basis":"Stratified company selection","Company ID":"CMP-c227f16eb1c"}</t>
  </si>
  <si>
    <t>{"Tier":"EXTENDED","Company":"Grifols SA","Parent / Corporate Group":null,"Role":"Therapeutics","Active Assets (GD)":3,"Phase II+ (GD)":2,"Max Stage (GD)":"Phase III","DZIF Research Areas":"HEP, ABX, EMG","Bridging Topics":null,"Research Areas N":3,"Manual Core":"No","Indicative Score":"=ROUND(MIN(22,7*LN(1+E146))+MIN(12,4*LN(1+F146))+MIN(12,2.8*J146)+IF(O146=\"\",0,5)+IF(K146=\"Yes\",3,0),1)","Example Assets (GD)":"Xembify (Phase III) | alpha-1 proteinase inhibitor (human) (Phase II)","Topic Evidence Basis":"GlobalData indication/asset-name proxy","Source URL":null,"GlobalData As-of":"2026-07-31","Asset Status Caution":"GlobalData snapshot only; validate current asset status","Selection Basis":"Stratified company selection","Company ID":"CMP-83aac7ecc69"}</t>
  </si>
  <si>
    <t>{"Tier":"EXTENDED","Company":"Immorna Hangzhou Biotechnology Co Ltd","Parent / Corporate Group":null,"Role":"Therapeutics","Active Assets (GD)":3,"Phase II+ (GD)":2,"Max Stage (GD)":"Phase II","DZIF Research Areas":"EMG, MUC, ICH","Bridging Topics":null,"Research Areas N":3,"Manual Core":"No","Indicative Score":"=ROUND(MIN(22,7*LN(1+E147))+MIN(12,4*LN(1+F147))+MIN(12,2.8*J147)+IF(O147=\"\",0,5)+IF(K147=\"Yes\",3,0),1)","Example Assets (GD)":"JCXH-105 (Phase II) | JCXH-221 (Phase II)","Topic Evidence Basis":"GlobalData indication/asset-name proxy","Source URL":null,"GlobalData As-of":"2026-07-31","Asset Status Caution":"GlobalData snapshot only; validate current asset status","Selection Basis":"Stratified company selection","Company ID":"CMP-fce0f58579d"}</t>
  </si>
  <si>
    <t>{"Tier":"EXTENDED","Company":"Livzon Pharmaceutical Group Inc","Parent / Corporate Group":null,"Role":"Therapeutics","Active Assets (GD)":3,"Phase II+ (GD)":2,"Max Stage (GD)":"Phase III","DZIF Research Areas":"ABX, EMG, MUC","Bridging Topics":"VAC","Research Areas N":3,"Manual Core":"No","Indicative Score":"=ROUND(MIN(22,7*LN(1+E148))+MIN(12,4*LN(1+F148))+MIN(12,2.8*J148)+IF(O148=\"\",0,5)+IF(K148=\"Yes\",3,0),1)","Example Assets (GD)":"zastaprazan (Phase III) | Coronavirus Disease 2019 (COVID-19)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ID":"CMP-ef19cd41803"}</t>
  </si>
  <si>
    <t>{"Tier":"EXTENDED","Company":"Luye Life Sciences Group Ltd","Parent / Corporate Group":null,"Role":"Therapeutics","Active Assets (GD)":3,"Phase II+ (GD)":2,"Max Stage (GD)":"Phase II","DZIF Research Areas":"EMG, MUC, ICH","Bridging Topics":null,"Research Areas N":3,"Manual Core":"No","Indicative Score":"=ROUND(MIN(22,7*LN(1+E149))+MIN(12,4*LN(1+F149))+MIN(12,2.8*J149)+IF(O149=\"\",0,5)+IF(K149=\"Yes\",3,0),1)","Example Assets (GD)":"LYB-004 (Phase II) | LYB-005 (Phase II)","Topic Evidence Basis":"GlobalData indication/asset-name proxy","Source URL":null,"GlobalData As-of":"2026-07-31","Asset Status Caution":"GlobalData snapshot only; validate current asset status","Selection Basis":"Stratified company selection","Company ID":"CMP-1d21555768c"}</t>
  </si>
  <si>
    <t>{"Tier":"EXTENDED","Company":"TaiGen Biotechnology Co Ltd","Parent / Corporate Group":null,"Role":"Therapeutics","Active Assets (GD)":3,"Phase II+ (GD)":2,"Max Stage (GD)":"Phase III","DZIF Research Areas":"HEP, EMG, MUC","Bridging Topics":null,"Research Areas N":3,"Manual Core":"No","Indicative Score":"=ROUND(MIN(22,7*LN(1+E150))+MIN(12,4*LN(1+F150))+MIN(12,2.8*J150)+IF(O150=\"\",0,5)+IF(K150=\"Yes\",3,0),1)","Example Assets (GD)":"JKN-2301 (Phase III) | furaprevir (Phase II)","Topic Evidence Basis":"GlobalData indication/asset-name proxy","Source URL":null,"GlobalData As-of":"2026-07-31","Asset Status Caution":"GlobalData snapshot only; validate current asset status","Selection Basis":"Stratified company selection","Company ID":"CMP-9873271cb64"}</t>
  </si>
  <si>
    <t>{"Tier":"EXTENDED","Company":"Regeneron Pharmaceuticals Inc","Parent / Corporate Group":null,"Role":"Therapeutics","Active Assets (GD)":4,"Phase II+ (GD)":0,"Max Stage (GD)":"Phase I","DZIF Research Areas":"HAI, ABX, EMG, ICH","Bridging Topics":null,"Research Areas N":4,"Manual Core":"No","Indicative Score":"=ROUND(MIN(22,7*LN(1+E151))+MIN(12,4*LN(1+F151))+MIN(12,2.8*J151)+IF(O151=\"\",0,5)+IF(K151=\"Yes\",3,0),1)","Example Assets (GD)":"REGN-14284 (Phase I) | REGN-17092 (Phase I)","Topic Evidence Basis":"GlobalData indication/asset-name proxy","Source URL":null,"GlobalData As-of":"2026-07-31","Asset Status Caution":"GlobalData snapshot only; validate current asset status","Selection Basis":"Stratified company selection","Company ID":"CMP-4d9ee3f1716"}</t>
  </si>
  <si>
    <t>{"Tier":"EXTENDED","Company":"Chugai Pharmaceutical Co Ltd","Parent / Corporate Group":null,"Role":"Therapeutics","Active Assets (GD)":2,"Phase II+ (GD)":1,"Max Stage (GD)":"Phase II","DZIF Research Areas":"HAI, ABX, EMG, NTD, ICH","Bridging Topics":null,"Research Areas N":5,"Manual Core":"No","Indicative Score":"=ROUND(MIN(22,7*LN(1+E152))+MIN(12,4*LN(1+F152))+MIN(12,2.8*J152)+IF(O152=\"\",0,5)+IF(K152=\"Yes\",3,0),1)","Example Assets (GD)":"tocilizumab (Phase II) | AID-351 (Preclinical)","Topic Evidence Basis":"GlobalData indication/asset-name proxy","Source URL":null,"GlobalData As-of":"2026-07-31","Asset Status Caution":"GlobalData snapshot only; validate current asset status","Selection Basis":"Stratified company selection","Company ID":"CMP-6a58fd2de4b"}</t>
  </si>
  <si>
    <t>{"Tier":"EXTENDED","Company":"Beijing Sinovac Biotech Co Ltd","Parent / Corporate Group":null,"Role":"Therapeutics","Active Assets (GD)":4,"Phase II+ (GD)":1,"Max Stage (GD)":"Phase II","DZIF Research Areas":"ABX, MUC, ICH","Bridging Topics":"VAC","Research Areas N":3,"Manual Core":"No","Indicative Score":"=ROUND(MIN(22,7*LN(1+E153))+MIN(12,4*LN(1+F153))+MIN(12,2.8*J153)+IF(O153=\"\",0,5)+IF(K153=\"Yes\",3,0),1)","Example Assets (GD)":"SNA-0248 (Phase II) | meningococcal [serotype A, C, W-135, X and Y]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ID":"CMP-b3f407f932b"}</t>
  </si>
  <si>
    <t>{"Tier":"EXTENDED","Company":"Codagenix Inc","Parent / Corporate Group":null,"Role":"Therapeutics","Active Assets (GD)":4,"Phase II+ (GD)":1,"Max Stage (GD)":"Phase III","DZIF Research Areas":"EMG, NTD, MUC","Bridging Topics":"VAC","Research Areas N":3,"Manual Core":"No","Indicative Score":"=ROUND(MIN(22,7*LN(1+E154))+MIN(12,4*LN(1+F154))+MIN(12,2.8*J154)+IF(O154=\"\",0,5)+IF(K154=\"Yes\",3,0),1)","Example Assets (GD)":"Coronavirus Disease 2019 (COVID-19) vaccine (Phase III) | CodaVax (Phase I)","Topic Evidence Basis":"GlobalData indication/asset-name proxy","Source URL":null,"GlobalData As-of":"2026-07-31","Asset Status Caution":"GlobalData snapshot only; validate current asset status","Selection Basis":"Stratified company selection","Company ID":"CMP-561749078f8"}</t>
  </si>
  <si>
    <t>{"Tier":"EXTENDED","Company":"Hefei Afana Biotechnology Co Ltd","Parent / Corporate Group":null,"Role":"Therapeutics","Active Assets (GD)":4,"Phase II+ (GD)":1,"Max Stage (GD)":"Phase II","DZIF Research Areas":"EMG, MUC, ICH","Bridging Topics":null,"Research Areas N":3,"Manual Core":"No","Indicative Score":"=ROUND(MIN(22,7*LN(1+E155))+MIN(12,4*LN(1+F155))+MIN(12,2.8*J155)+IF(O155=\"\",0,5)+IF(K155=\"Yes\",3,0),1)","Example Assets (GD)":"AFN-0205 (Phase II) | AFN-0328 (Phase I)","Topic Evidence Basis":"GlobalData indication/asset-name proxy","Source URL":null,"GlobalData As-of":"2026-07-31","Asset Status Caution":"GlobalData snapshot only; validate current asset status","Selection Basis":"Stratified company selection","Company ID":"CMP-be25b80e3f0"}</t>
  </si>
  <si>
    <t>{"Tier":"EXTENDED","Company":"Inventprise LLC","Parent / Corporate Group":null,"Role":"Therapeutics","Active Assets (GD)":4,"Phase II+ (GD)":1,"Max Stage (GD)":"Phase II","DZIF Research Areas":"ABX, EMG, MUC","Bridging Topics":"VAC","Research Areas N":3,"Manual Core":"No","Indicative Score":"=ROUND(MIN(22,7*LN(1+E156))+MIN(12,4*LN(1+F156))+MIN(12,2.8*J156)+IF(O156=\"\",0,5)+IF(K156=\"Yes\",3,0),1)","Example Assets (GD)":"Streptococcus [serotype B] (hexavalent) vaccine (Phase II) | haemophilus influenza [serotype A] (monovalent)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ID":"CMP-01bd01edab9"}</t>
  </si>
  <si>
    <t>{"Tier":"EXTENDED","Company":"Adimmune Corp","Parent / Corporate Group":null,"Role":"Therapeutics","Active Assets (GD)":4,"Phase II+ (GD)":3,"Max Stage (GD)":"Pre-Registration","DZIF Research Areas":"EMG, MUC","Bridging Topics":"VAC","Research Areas N":2,"Manual Core":"No","Indicative Score":"=ROUND(MIN(22,7*LN(1+E157))+MIN(12,4*LN(1+F157))+MIN(12,2.8*J157)+IF(O157=\"\",0,5)+IF(K157=\"Yes\",3,0),1)","Example Assets (GD)":"EnVAX-A71 (Pre-Registration) | influenza [strains A/H1N1 + A/H3N2 + B] (quadrivalent) inactivated vaccine (Pre-Registration)","Topic Evidence Basis":"GlobalData indication/asset-name proxy","Source URL":null,"GlobalData As-of":"2026-07-31","Asset Status Caution":"GlobalData snapshot only; validate current asset status","Selection Basis":"Stratified company selection","Company ID":"CMP-a3444927172"}</t>
  </si>
  <si>
    <t>{"Tier":"EXTENDED","Company":"CSL Ltd","Parent / Corporate Group":null,"Role":"Therapeutics","Active Assets (GD)":4,"Phase II+ (GD)":3,"Max Stage (GD)":"Pre-Registration","DZIF Research Areas":"EMG, MUC","Bridging Topics":"VAC","Research Areas N":2,"Manual Core":"No","Indicative Score":"=ROUND(MIN(22,7*LN(1+E158))+MIN(12,4*LN(1+F158))+MIN(12,2.8*J158)+IF(O158=\"\",0,5)+IF(K158=\"Yes\",3,0),1)","Example Assets (GD)":"influenza [strains A/H1N1 + A/H3N2 + B] (trivalent) vaccine (Pre-Registration) | influenza [types A and B] (quadrivalent)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ID":"CMP-53fd82f1af9"}</t>
  </si>
  <si>
    <t>{"Tier":"EXTENDED","Company":"Citius Pharmaceuticals Inc","Parent / Corporate Group":null,"Role":"Therapeutics","Active Assets (GD)":2,"Phase II+ (GD)":1,"Max Stage (GD)":"Phase III","DZIF Research Areas":"HAI, ABX, EMG, ICH","Bridging Topics":null,"Research Areas N":4,"Manual Core":"No","Indicative Score":"=ROUND(MIN(22,7*LN(1+E159))+MIN(12,4*LN(1+F159))+MIN(12,2.8*J159)+IF(O159=\"\",0,5)+IF(K159=\"Yes\",3,0),1)","Example Assets (GD)":"(edetate disodium + ethyl alcohol + minocycline hydrochloride) (Phase III) | CITI-401 (Preclinical)","Topic Evidence Basis":"GlobalData indication/asset-name proxy","Source URL":null,"GlobalData As-of":"2026-07-31","Asset Status Caution":"GlobalData snapshot only; validate current asset status","Selection Basis":"Stratified company selection","Company ID":"CMP-104615421c5"}</t>
  </si>
  <si>
    <t>{"Tier":"EXTENDED","Company":"F. Hoffmann-La Roche Ltd","Parent / Corporate Group":null,"Role":"Therapeutics","Active Assets (GD)":2,"Phase II+ (GD)":1,"Max Stage (GD)":"Phase III","DZIF Research Areas":"HAI, ABX, EMG, MUC","Bridging Topics":null,"Research Areas N":4,"Manual Core":"No","Indicative Score":"=ROUND(MIN(22,7*LN(1+E160))+MIN(12,4*LN(1+F160))+MIN(12,2.8*J160)+IF(O160=\"\",0,5)+IF(K160=\"Yes\",3,0),1)","Example Assets (GD)":"tocilizumab (Phase III) | zosurabalpin (Phase I)","Topic Evidence Basis":"GlobalData indication/asset-name proxy","Source URL":null,"GlobalData As-of":"2026-07-31","Asset Status Caution":"GlobalData snapshot only; validate current asset status","Selection Basis":"Stratified company selection","Company ID":"CMP-578ce8097cb"}</t>
  </si>
  <si>
    <t>{"Tier":"EXTENDED","Company":"Joincare Pharmaceutical Group Industry Co Ltd","Parent / Corporate Group":null,"Role":"Therapeutics","Active Assets (GD)":2,"Phase II+ (GD)":1,"Max Stage (GD)":"Phase III","DZIF Research Areas":"HAI, ABX, EMG, MUC","Bridging Topics":"VAC","Research Areas N":4,"Manual Core":"No","Indicative Score":"=ROUND(MIN(22,7*LN(1+E161))+MIN(12,4*LN(1+F161))+MIN(12,2.8*J161)+IF(O161=\"\",0,5)+IF(K161=\"Yes\",3,0),1)","Example Assets (GD)":"Coronavirus Disease 2019 (COVID-19) vaccine (Phase III) | JKN-2502 (Phase I)","Topic Evidence Basis":"GlobalData indication/asset-name proxy","Source URL":null,"GlobalData As-of":"2026-07-31","Asset Status Caution":"GlobalData snapshot only; validate current asset status","Selection Basis":"Stratified company selection","Company ID":"CMP-4ce16cef964"}</t>
  </si>
  <si>
    <t>{"Tier":"EXTENDED","Company":"Beijing Kawin Technology Share-Holding Co Ltd","Parent / Corporate Group":null,"Role":"Therapeutics","Active Assets (GD)":4,"Phase II+ (GD)":2,"Max Stage (GD)":"Phase II","DZIF Research Areas":"HEP, ICH","Bridging Topics":null,"Research Areas N":2,"Manual Core":"No","Indicative Score":"=ROUND(MIN(22,7*LN(1+E162))+MIN(12,4*LN(1+F162))+MIN(12,2.8*J162)+IF(O162=\"\",0,5)+IF(K162=\"Yes\",3,0),1)","Example Assets (GD)":"KW-045 (Phase II) | peginterferon alfa-2a LA (Phase II)","Topic Evidence Basis":"GlobalData indication/asset-name proxy","Source URL":null,"GlobalData As-of":"2026-07-31","Asset Status Caution":"GlobalData snapshot only; validate current asset status","Selection Basis":"Stratified company selection","Company ID":"CMP-ce583ab95df"}</t>
  </si>
  <si>
    <t>{"Tier":"EXTENDED","Company":"Genrix (Shanghai) Biopharmaceutical Co Ltd","Parent / Corporate Group":null,"Role":"Therapeutics","Active Assets (GD)":4,"Phase II+ (GD)":2,"Max Stage (GD)":"Pre-Registration","DZIF Research Areas":"HEP, MUC","Bridging Topics":null,"Research Areas N":2,"Manual Core":"No","Indicative Score":"=ROUND(MIN(22,7*LN(1+E163))+MIN(12,4*LN(1+F163))+MIN(12,2.8*J163)+IF(O163=\"\",0,5)+IF(K163=\"Yes\",3,0),1)","Example Assets (GD)":"vecantoxatug (Pre-Registration) | silevimig (Phase III)","Topic Evidence Basis":"GlobalData indication/asset-name proxy","Source URL":null,"GlobalData As-of":"2026-07-31","Asset Status Caution":"GlobalData snapshot only; validate current asset status","Selection Basis":"Stratified company selection","Company ID":"CMP-4b8976fa781"}</t>
  </si>
  <si>
    <t>{"Tier":"EXTENDED","Company":"Panacea Biotec Ltd","Parent / Corporate Group":null,"Role":"Therapeutics","Active Assets (GD)":4,"Phase II+ (GD)":2,"Max Stage (GD)":"Phase III","DZIF Research Areas":"EMG, NTD","Bridging Topics":"VAC, MAB","Research Areas N":2,"Manual Core":"No","Indicative Score":"=ROUND(MIN(22,7*LN(1+E164))+MIN(12,4*LN(1+F164))+MIN(12,2.8*J164)+IF(O164=\"\",0,5)+IF(K164=\"Yes\",3,0),1)","Example Assets (GD)":"(diphtheria + tetanus) vaccine (Phase III) | dengue (tetravalent) vaccine (Phase III)","Topic Evidence Basis":"GlobalData indication/asset-name proxy","Source URL":null,"GlobalData As-of":"2026-07-31","Asset Status Caution":"GlobalData snapshot only; validate current asset status","Selection Basis":"Stratified company selection","Company ID":"CMP-b42b7fb59f0"}</t>
  </si>
  <si>
    <t>{"Tier":"EXTENDED","Company":"Seqirus Ltd","Parent / Corporate Group":null,"Role":"Therapeutics","Active Assets (GD)":4,"Phase II+ (GD)":2,"Max Stage (GD)":"Phase III","DZIF Research Areas":"EMG, MUC","Bridging Topics":"VAC","Research Areas N":2,"Manual Core":"No","Indicative Score":"=ROUND(MIN(22,7*LN(1+E165))+MIN(12,4*LN(1+F165))+MIN(12,2.8*J165)+IF(O165=\"\",0,5)+IF(K165=\"Yes\",3,0),1)","Example Assets (GD)":"influenza [strain A/H5N1] (quadrivalent) vaccine (Phase III) | zapomeran (Phase III)","Topic Evidence Basis":"GlobalData indication/asset-name proxy","Source URL":null,"GlobalData As-of":"2026-07-31","Asset Status Caution":"GlobalData snapshot only; validate current asset status","Selection Basis":"Stratified company selection","Company ID":"CMP-155bfcfe459"}</t>
  </si>
  <si>
    <t>{"Tier":"EXTENDED","Company":"Yisheng Biopharma Co Ltd","Parent / Corporate Group":null,"Role":"Therapeutics","Active Assets (GD)":4,"Phase II+ (GD)":2,"Max Stage (GD)":"Pre-Registration","DZIF Research Areas":"HEP, EMG","Bridging Topics":"VAC","Research Areas N":2,"Manual Core":"No","Indicative Score":"=ROUND(MIN(22,7*LN(1+E166))+MIN(12,4*LN(1+F166))+MIN(12,2.8*J166)+IF(O166=\"\",0,5)+IF(K166=\"Yes\",3,0),1)","Example Assets (GD)":"rabies vaccine (Pre-Registration) | YSSC-2010 (Phase III)","Topic Evidence Basis":"GlobalData indication/asset-name proxy","Source URL":null,"GlobalData As-of":"2026-07-31","Asset Status Caution":"GlobalData snapshot only; validate current asset status","Selection Basis":"Stratified company selection","Company ID":"CMP-e85454a4b35"}</t>
  </si>
  <si>
    <t>{"Tier":"EXTENDED","Company":"AbVacc Inc","Parent / Corporate Group":null,"Role":"Therapeutics","Active Assets (GD)":5,"Phase II+ (GD)":0,"Max Stage (GD)":"Phase I","DZIF Research Areas":"HAI, ABX, EMG","Bridging Topics":null,"Research Areas N":3,"Manual Core":"No","Indicative Score":"=ROUND(MIN(22,7*LN(1+E167))+MIN(12,4*LN(1+F167))+MIN(12,2.8*J167)+IF(O167=\"\",0,5)+IF(K167=\"Yes\",3,0),1)","Example Assets (GD)":"IBTV-02 (Phase I) | ABV-103 (Preclinical)","Topic Evidence Basis":"GlobalData indication/asset-name proxy","Source URL":null,"GlobalData As-of":"2026-07-31","Asset Status Caution":"GlobalData snapshot only; validate current asset status","Selection Basis":"Stratified company selection","Company ID":"CMP-5e80d86ddfe"}</t>
  </si>
  <si>
    <t>{"Tier":"EXTENDED","Company":"Aviex Technologies LLC","Parent / Corporate Group":null,"Role":"Therapeutics","Active Assets (GD)":5,"Phase II+ (GD)":0,"Max Stage (GD)":"Preclinical","DZIF Research Areas":"HAI, ABX, NTD","Bridging Topics":null,"Research Areas N":3,"Manual Core":"No","Indicative Score":"=ROUND(MIN(22,7*LN(1+E168))+MIN(12,4*LN(1+F168))+MIN(12,2.8*J168)+IF(O168=\"\",0,5)+IF(K168=\"Yes\",3,0),1)","Example Assets (GD)":"AV-0211W (Preclinical) | AV-0213W (Preclinical)","Topic Evidence Basis":"GlobalData indication/asset-name proxy","Source URL":null,"GlobalData As-of":"2026-07-31","Asset Status Caution":"GlobalData snapshot only; validate current asset status","Selection Basis":"Stratified company selection","Company ID":"CMP-0e7071bcdb5"}</t>
  </si>
  <si>
    <t>{"Tier":"EXTENDED","Company":"Emergent BioSolutions Inc","Parent / Corporate Group":null,"Role":"Therapeutics","Active Assets (GD)":5,"Phase II+ (GD)":1,"Max Stage (GD)":"Phase III","DZIF Research Areas":"EMG, MUC","Bridging Topics":null,"Research Areas N":2,"Manual Core":"No","Indicative Score":"=ROUND(MIN(22,7*LN(1+E169))+MIN(12,4*LN(1+F169))+MIN(12,2.8*J169)+IF(O169=\"\",0,5)+IF(K169=\"Yes\",3,0),1)","Example Assets (GD)":"NP-028 (Phase III) | CVD-1208S122 (Phase I)","Topic Evidence Basis":"GlobalData indication/asset-name proxy","Source URL":null,"GlobalData As-of":"2026-07-31","Asset Status Caution":"GlobalData snapshot only; validate current asset status","Selection Basis":"Stratified company selection","Company ID":"CMP-a192e827864"}</t>
  </si>
  <si>
    <t>{"Tier":"EXTENDED","Company":"VaxForm LLC","Parent / Corporate Group":null,"Role":"Therapeutics","Active Assets (GD)":5,"Phase II+ (GD)":1,"Max Stage (GD)":"Phase II","DZIF Research Areas":"EMG, MUC","Bridging Topics":"VAC","Research Areas N":2,"Manual Core":"No","Indicative Score":"=ROUND(MIN(22,7*LN(1+E170))+MIN(12,4*LN(1+F170))+MIN(12,2.8*J170)+IF(O170=\"\",0,5)+IF(K170=\"Yes\",3,0),1)","Example Assets (GD)":"Oral SARS-CoV-2 Vaccine (Phase II) | Streptococcus pyogenes vaccine 1 (Phase I)","Topic Evidence Basis":"GlobalData indication/asset-name proxy","Source URL":null,"GlobalData As-of":"2026-07-31","Asset Status Caution":"GlobalData snapshot only; validate current asset status","Selection Basis":"Stratified company selection","Company ID":"CMP-f2ce30354a7"}</t>
  </si>
  <si>
    <t>{"Tier":"EXTENDED","Company":"Xiamen Amoytop Biotech Co Ltd","Parent / Corporate Group":null,"Role":"Therapeutics","Active Assets (GD)":5,"Phase II+ (GD)":1,"Max Stage (GD)":"Phase II","DZIF Research Areas":"HEP, EMG","Bridging Topics":null,"Research Areas N":2,"Manual Core":"No","Indicative Score":"=ROUND(MIN(22,7*LN(1+E171))+MIN(12,4*LN(1+F171))+MIN(12,2.8*J171)+IF(O171=\"\",0,5)+IF(K171=\"Yes\",3,0),1)","Example Assets (GD)":"pevifoscorvir sodium (Phase II) | IFN Alpha-2b Nasal Spray (Phase I)","Topic Evidence Basis":"GlobalData indication/asset-name proxy","Source URL":null,"GlobalData As-of":"2026-07-31","Asset Status Caution":"GlobalData snapshot only; validate current asset status","Selection Basis":"Stratified company selection","Company ID":"CMP-ca4713a975e"}</t>
  </si>
  <si>
    <t>{"Tier":"EXTENDED","Company":"AimMax Therapeutics Inc","Parent / Corporate Group":null,"Role":"Therapeutics","Active Assets (GD)":3,"Phase II+ (GD)":0,"Max Stage (GD)":"Preclinical","DZIF Research Areas":"HAI, ABX, MUC, ICH","Bridging Topics":null,"Research Areas N":4,"Manual Core":"No","Indicative Score":"=ROUND(MIN(22,7*LN(1+E172))+MIN(12,4*LN(1+F172))+MIN(12,2.8*J172)+IF(O172=\"\",0,5)+IF(K172=\"Yes\",3,0),1)","Example Assets (GD)":"AMX-2005 (Preclinical) | Anti-bacterial (Preclinical)","Topic Evidence Basis":"GlobalData indication/asset-name proxy","Source URL":null,"GlobalData As-of":"2026-07-31","Asset Status Caution":"GlobalData snapshot only; validate current asset status","Selection Basis":"Stratified company selection","Company ID":"CMP-3f23dcf79de"}</t>
  </si>
  <si>
    <t>{"Tier":"EXTENDED","Company":"Bolder Biotechnology Inc","Parent / Corporate Group":null,"Role":"Therapeutics","Active Assets (GD)":3,"Phase II+ (GD)":0,"Max Stage (GD)":"Preclinical","DZIF Research Areas":"HIV, HEP, ABX, ICH","Bridging Topics":null,"Research Areas N":4,"Manual Core":"No","Indicative Score":"=ROUND(MIN(22,7*LN(1+E173))+MIN(12,4*LN(1+F173))+MIN(12,2.8*J173)+IF(O173=\"\",0,5)+IF(K173=\"Yes\",3,0),1)","Example Assets (GD)":"BBT-012 (Preclinical) | BBT-031 (Preclinical)","Topic Evidence Basis":"GlobalData indication/asset-name proxy","Source URL":null,"GlobalData As-of":"2026-07-31","Asset Status Caution":"GlobalData snapshot only; validate current asset status","Selection Basis":"Stratified company selection","Company ID":"CMP-6d82459e523"}</t>
  </si>
  <si>
    <t>{"Tier":"EXTENDED","Company":"Shanghai Bao Pharmaceuticals Co Ltd","Parent / Corporate Group":null,"Role":"Therapeutics","Active Assets (GD)":3,"Phase II+ (GD)":0,"Max Stage (GD)":"Phase I","DZIF Research Areas":"HAI, ABX, MUC, ICH","Bridging Topics":null,"Research Areas N":4,"Manual Core":"No","Indicative Score":"=ROUND(MIN(22,7*LN(1+E174))+MIN(12,4*LN(1+F174))+MIN(12,2.8*J174)+IF(O174=\"\",0,5)+IF(K174=\"Yes\",3,0),1)","Example Assets (GD)":"cefazolin sodium (Phase I) | ceftriaxone sodium (Phase I)","Topic Evidence Basis":"GlobalData indication/asset-name proxy","Source URL":null,"GlobalData As-of":"2026-07-31","Asset Status Caution":"GlobalData snapshot only; validate current asset status","Selection Basis":"Stratified company selection","Company ID":"CMP-a693719a769"}</t>
  </si>
  <si>
    <t>{"Tier":"EXTENDED","Company":"Biotron Ltd","Parent / Corporate Group":null,"Role":"Therapeutics","Active Assets (GD)":3,"Phase II+ (GD)":1,"Max Stage (GD)":"Phase II","DZIF Research Areas":"HIV, HEP, EMG","Bridging Topics":null,"Research Areas N":3,"Manual Core":"No","Indicative Score":"=ROUND(MIN(22,7*LN(1+E175))+MIN(12,4*LN(1+F175))+MIN(12,2.8*J175)+IF(O175=\"\",0,5)+IF(K175=\"Yes\",3,0),1)","Example Assets (GD)":"BIT-225 (Phase II) | BIT-314 (Preclinical)","Topic Evidence Basis":"GlobalData indication/asset-name proxy","Source URL":null,"GlobalData As-of":"2026-07-31","Asset Status Caution":"GlobalData snapshot only; validate current asset status","Selection Basis":"Stratified company selection","Company ID":"CMP-bded2171a7f"}</t>
  </si>
  <si>
    <t>{"Tier":"EXTENDED","Company":"ConserV Bioscience Ltd","Parent / Corporate Group":null,"Role":"Therapeutics","Active Assets (GD)":3,"Phase II+ (GD)":1,"Max Stage (GD)":"Phase II","DZIF Research Areas":"HIV, EMG, NTD","Bridging Topics":"VAC","Research Areas N":3,"Manual Core":"No","Indicative Score":"=ROUND(MIN(22,7*LN(1+E176))+MIN(12,4*LN(1+F176))+MIN(12,2.8*J176)+IF(O176=\"\",0,5)+IF(K176=\"Yes\",3,0),1)","Example Assets (GD)":"HIV vaccine (Phase II) | Coronavirus vaccine (Preclinical)","Topic Evidence Basis":"GlobalData indication/asset-name proxy","Source URL":null,"GlobalData As-of":"2026-07-31","Asset Status Caution":"GlobalData snapshot only; validate current asset status","Selection Basis":"Stratified company selection","Company ID":"CMP-38726f0edd0"}</t>
  </si>
  <si>
    <t>{"Tier":"EXTENDED","Company":"Immuron Ltd","Parent / Corporate Group":null,"Role":"Therapeutics","Active Assets (GD)":3,"Phase II+ (GD)":1,"Max Stage (GD)":"Phase II","DZIF Research Areas":"HAI, ABX, MUC","Bridging Topics":"MAB","Research Areas N":3,"Manual Core":"No","Indicative Score":"=ROUND(MIN(22,7*LN(1+E177))+MIN(12,4*LN(1+F177))+MIN(12,2.8*J177)+IF(O177=\"\",0,5)+IF(K177=\"Yes\",3,0),1)","Example Assets (GD)":"CampETEC (Phase II) | IMM-529 (Phase I)","Topic Evidence Basis":"GlobalData indication/asset-name proxy","Source URL":null,"GlobalData As-of":"2026-07-31","Asset Status Caution":"GlobalData snapshot only; validate current asset status","Selection Basis":"Stratified company selection","Company ID":"CMP-30076d157c9"}</t>
  </si>
  <si>
    <t>{"Tier":"EXTENDED","Company":"Huahui Health Ltd","Parent / Corporate Group":null,"Role":"Therapeutics","Active Assets (GD)":3,"Phase II+ (GD)":3,"Max Stage (GD)":"Phase III","DZIF Research Areas":"HEP, EMG","Bridging Topics":null,"Research Areas N":2,"Manual Core":"No","Indicative Score":"=ROUND(MIN(22,7*LN(1+E178))+MIN(12,4*LN(1+F178))+MIN(12,2.8*J178)+IF(O178=\"\",0,5)+IF(K178=\"Yes\",3,0),1)","Example Assets (GD)":"HH-120 (Phase III) | libevitug (Phase III)","Topic Evidence Basis":"GlobalData indication/asset-name proxy","Source URL":null,"GlobalData As-of":"2026-07-31","Asset Status Caution":"GlobalData snapshot only; validate current asset status","Selection Basis":"Stratified company selection","Company ID":"CMP-0f0e212f928"}</t>
  </si>
  <si>
    <t>{"Tier":"EXTENDED","Company":"VLP Therapeutics LLC","Parent / Corporate Group":null,"Role":"Therapeutics","Active Assets (GD)":3,"Phase II+ (GD)":3,"Max Stage (GD)":"Phase III","DZIF Research Areas":"EMG, NTD","Bridging Topics":null,"Research Areas N":2,"Manual Core":"No","Indicative Score":"=ROUND(MIN(22,7*LN(1+E179))+MIN(12,4*LN(1+F179))+MIN(12,2.8*J179)+IF(O179=\"\",0,5)+IF(K179=\"Yes\",3,0),1)","Example Assets (GD)":"VLPCOV-04 (Phase III) | VLPCOV-05 (Phase III)","Topic Evidence Basis":"GlobalData indication/asset-name proxy","Source URL":null,"GlobalData As-of":"2026-07-31","Asset Status Caution":"GlobalData snapshot only; validate current asset status","Selection Basis":"Stratified company selection","Company ID":"CMP-ac2fdd1b3e6"}</t>
  </si>
  <si>
    <t>{"Tier":"EXTENDED","Company":"Frontier Biotechnologies Inc","Parent / Corporate Group":null,"Role":"Therapeutics","Active Assets (GD)":2,"Phase II+ (GD)":2,"Max Stage (GD)":"Phase III","DZIF Research Areas":"HIV, EMG, MUC","Bridging Topics":null,"Research Areas N":3,"Manual Core":"No","Indicative Score":"=ROUND(MIN(22,7*LN(1+E180))+MIN(12,4*LN(1+F180))+MIN(12,2.8*J180)+IF(O180=\"\",0,5)+IF(K180=\"Yes\",3,0),1)","Example Assets (GD)":"bofutrelvir (Phase III) | albuvirtide LA (Phase II)","Topic Evidence Basis":"GlobalData indication/asset-name proxy","Source URL":null,"GlobalData As-of":"2026-07-31","Asset Status Caution":"GlobalData snapshot only; validate current asset status","Selection Basis":"Stratified company selection","Company ID":"CMP-9b5b6eb5241"}</t>
  </si>
  <si>
    <t>{"Tier":"EXTENDED","Company":"Takeda Pharmaceutical Co Ltd","Parent / Corporate Group":null,"Role":"Therapeutics","Active Assets (GD)":2,"Phase II+ (GD)":2,"Max Stage (GD)":"Phase III","DZIF Research Areas":"EMG, NTD, ICH","Bridging Topics":"VAC","Research Areas N":3,"Manual Core":"No","Indicative Score":"=ROUND(MIN(22,7*LN(1+E181))+MIN(12,4*LN(1+F181))+MIN(12,2.8*J181)+IF(O181=\"\",0,5)+IF(K181=\"Yes\",3,0),1)","Example Assets (GD)":"dengue [serotypes 1, 2, 3, 4] (tetravalent) vaccine (Phase III) | maribavir (Phase III)","Topic Evidence Basis":"GlobalData indication/asset-name proxy","Source URL":null,"GlobalData As-of":"2026-07-31","Asset Status Caution":"GlobalData snapshot only; validate current asset status","Selection Basis":"Stratified company selection","Company ID":"CMP-e40d855a05d"}</t>
  </si>
  <si>
    <t>{"Tier":"EXTENDED","Company":"Jiangsu Aidea Pharmaceutical Group Co Ltd","Parent / Corporate Group":null,"Role":"Therapeutics","Active Assets (GD)":7,"Phase II+ (GD)":1,"Max Stage (GD)":"Phase III","DZIF Research Areas":"HIV","Bridging Topics":null,"Research Areas N":1,"Manual Core":"No","Indicative Score":"=ROUND(MIN(22,7*LN(1+E182))+MIN(12,4*LN(1+F182))+MIN(12,2.8*J182)+IF(O182=\"\",0,5)+IF(K182=\"Yes\",3,0),1)","Example Assets (GD)":"asuptegravir (Phase III) | (dolutegravir + lamivudine + tenofovir) (Phase I)","Topic Evidence Basis":"GlobalData indication/asset-name proxy","Source URL":null,"GlobalData As-of":"2026-07-31","Asset Status Caution":"GlobalData snapshot only; validate current asset status","Selection Basis":"Stratified company selection","Company ID":"CMP-4554fe38f79"}</t>
  </si>
  <si>
    <t>{"Tier":"EXTENDED","Company":"Merck KGaA","Parent / Corporate Group":"Merck KGaA (DE)","Role":"Therapeutics","Active Assets (GD)":3,"Phase II+ (GD)":2,"Max Stage (GD)":"Pre-Registration","DZIF Research Areas":"EMG, NTD","Bridging Topics":null,"Research Areas N":2,"Manual Core":"No","Indicative Score":"=ROUND(MIN(22,7*LN(1+E183))+MIN(12,4*LN(1+F183))+MIN(12,2.8*J183)+IF(O183=\"\",0,5)+IF(K183=\"Yes\",3,0),1)","Example Assets (GD)":"L-Praziquantel (Pre-Registration) | cabamiquine (Phase II)","Topic Evidence Basis":"GlobalData indication/asset-name proxy","Source URL":null,"GlobalData As-of":"2026-07-31","Asset Status Caution":"GlobalData snapshot only; validate current asset status","Selection Basis":"Stratified company selection","Company ID":"CMP-a407ca8cf34"}</t>
  </si>
  <si>
    <t>{"Tier":"EXTENDED","Company":"Pasteur Institute","Parent / Corporate Group":null,"Role":"Therapeutics","Active Assets (GD)":3,"Phase II+ (GD)":2,"Max Stage (GD)":"Phase II","DZIF Research Areas":"EMG, NTD","Bridging Topics":"MAB","Research Areas N":2,"Manual Core":"No","Indicative Score":"=ROUND(MIN(22,7*LN(1+E184))+MIN(12,4*LN(1+F184))+MIN(12,2.8*J184)+IF(O184=\"\",0,5)+IF(K184=\"Yes\",3,0),1)","Example Assets (GD)":"SC-599 (Phase II) | SF2a-TT15 (Phase II)","Topic Evidence Basis":"GlobalData indication/asset-name proxy","Source URL":null,"GlobalData As-of":"2026-07-31","Asset Status Caution":"GlobalData snapshot only; validate current asset status","Selection Basis":"Stratified company selection","Company ID":"CMP-45b05f5c83e"}</t>
  </si>
  <si>
    <t>{"Tier":"EXTENDED","Company":"Collaborations Pharmaceuticals Inc","Parent / Corporate Group":null,"Role":"Therapeutics","Active Assets (GD)":4,"Phase II+ (GD)":0,"Max Stage (GD)":"Preclinical","DZIF Research Areas":"EMG, NTD, ICH","Bridging Topics":null,"Research Areas N":3,"Manual Core":"No","Indicative Score":"=ROUND(MIN(22,7*LN(1+E185))+MIN(12,4*LN(1+F185))+MIN(12,2.8*J185)+IF(O185=\"\",0,5)+IF(K185=\"Yes\",3,0),1)","Example Assets (GD)":"(benznidazole + pyronaridine) (Preclinical) | CPD-94 (Preclinical)","Topic Evidence Basis":"GlobalData indication/asset-name proxy","Source URL":null,"GlobalData As-of":"2026-07-31","Asset Status Caution":"GlobalData snapshot only; validate current asset status","Selection Basis":"Stratified company selection","Company ID":"CMP-b226b1ca0a8"}</t>
  </si>
  <si>
    <t>{"Tier":"EXTENDED","Company":"Helocyte Inc","Parent / Corporate Group":null,"Role":"Therapeutics","Active Assets (GD)":4,"Phase II+ (GD)":1,"Max Stage (GD)":"Phase II","DZIF Research Areas":"HIV, ICH","Bridging Topics":"VAC","Research Areas N":2,"Manual Core":"No","Indicative Score":"=ROUND(MIN(22,7*LN(1+E186))+MIN(12,4*LN(1+F186))+MIN(12,2.8*J186)+IF(O186=\"\",0,5)+IF(K186=\"Yes\",3,0),1)","Example Assets (GD)":"Triplex (Phase II) | Convax (Preclinical)","Topic Evidence Basis":"GlobalData indication/asset-name proxy","Source URL":null,"GlobalData As-of":"2026-07-31","Asset Status Caution":"GlobalData snapshot only; validate current asset status","Selection Basis":"Stratified company selection","Company ID":"CMP-c58329fede0"}</t>
  </si>
  <si>
    <t>{"Tier":"EXTENDED","Company":"ImmunityBio Inc","Parent / Corporate Group":null,"Role":"Therapeutics","Active Assets (GD)":1,"Phase II+ (GD)":1,"Max Stage (GD)":"Phase II","DZIF Research Areas":"HIV, HAI, ABX, EMG, ICH","Bridging Topics":null,"Research Areas N":5,"Manual Core":"No","Indicative Score":"=ROUND(MIN(22,7*LN(1+E187))+MIN(12,4*LN(1+F187))+MIN(12,2.8*J187)+IF(O187=\"\",0,5)+IF(K187=\"Yes\",3,0),1)","Example Assets (GD)":"nogapendekin alfa (Phase II)","Topic Evidence Basis":"GlobalData indication/asset-name proxy","Source URL":null,"GlobalData As-of":"2026-07-31","Asset Status Caution":"GlobalData snapshot only; validate current asset status","Selection Basis":"Stratified company selection","Company ID":"CMP-e2fd1a7b36e"}</t>
  </si>
  <si>
    <t>{"Tier":"EXTENDED","Company":"KARE Biosciences Inc","Parent / Corporate Group":null,"Role":"Therapeutics","Active Assets (GD)":1,"Phase II+ (GD)":1,"Max Stage (GD)":"Phase III","DZIF Research Areas":"HAI, ABX, EMG, NTD, MUC, ICH","Bridging Topics":null,"Research Areas N":6,"Manual Core":"No","Indicative Score":"=ROUND(MIN(22,7*LN(1+E188))+MIN(12,4*LN(1+F188))+MIN(12,2.8*J188)+IF(O188=\"\",0,5)+IF(K188=\"Yes\",3,0),1)","Example Assets (GD)":"ramatroban (Phase III)","Topic Evidence Basis":"GlobalData indication/asset-name proxy","Source URL":null,"GlobalData As-of":"2026-07-31","Asset Status Caution":"GlobalData snapshot only; validate current asset status","Selection Basis":"Stratified company selection","Company ID":"CMP-e6d5184b1a1"}</t>
  </si>
  <si>
    <t>{"Tier":"EXTENDED","Company":"Sanaria Inc","Parent / Corporate Group":null,"Role":"Therapeutics","Active Assets (GD)":4,"Phase II+ (GD)":3,"Max Stage (GD)":"Phase II","DZIF Research Areas":"NTD","Bridging Topics":"VAC","Research Areas N":1,"Manual Core":"No","Indicative Score":"=ROUND(MIN(22,7*LN(1+E189))+MIN(12,4*LN(1+F189))+MIN(12,2.8*J189)+IF(O189=\"\",0,5)+IF(K189=\"Yes\",3,0),1)","Example Assets (GD)":"iPfSPZ-LARC2 (Phase II) | malaria [strain 7G8]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ID":"CMP-af44d9046cb"}</t>
  </si>
  <si>
    <t>{"Tier":"EXTENDED","Company":"Arrowsmith Inc","Parent / Corporate Group":null,"Role":"Therapeutics","Active Assets (GD)":2,"Phase II+ (GD)":0,"Max Stage (GD)":"Preclinical","DZIF Research Areas":"HAI, ABX, TB, ICH","Bridging Topics":null,"Research Areas N":4,"Manual Core":"No","Indicative Score":"=ROUND(MIN(22,7*LN(1+E190))+MIN(12,4*LN(1+F190))+MIN(12,2.8*J190)+IF(O190=\"\",0,5)+IF(K190=\"Yes\",3,0),1)","Example Assets (GD)":"ARW-001 (Preclinical) | ARW-002 (Preclinical)","Topic Evidence Basis":"GlobalData indication/asset-name proxy","Source URL":null,"GlobalData As-of":"2026-07-31","Asset Status Caution":"GlobalData snapshot only; validate current asset status","Selection Basis":"Stratified company selection","Company ID":"CMP-c650577a6ad"}</t>
  </si>
  <si>
    <t>{"Tier":"EXTENDED","Company":"Osel Inc","Parent / Corporate Group":null,"Role":"Therapeutics","Active Assets (GD)":2,"Phase II+ (GD)":1,"Max Stage (GD)":"Phase II","DZIF Research Areas":"HIV, ABX, MUC","Bridging Topics":null,"Research Areas N":3,"Manual Core":"No","Indicative Score":"=ROUND(MIN(22,7*LN(1+E191))+MIN(12,4*LN(1+F191))+MIN(12,2.8*J191)+IF(O191=\"\",0,5)+IF(K191=\"Yes\",3,0),1)","Example Assets (GD)":"LACTIN-V (Phase II) | MucoCept Platform (Phase I)","Topic Evidence Basis":"GlobalData indication/asset-name proxy","Source URL":null,"GlobalData As-of":"2026-07-31","Asset Status Caution":"GlobalData snapshot only; validate current asset status","Selection Basis":"Stratified company selection","Company ID":"CMP-13c8a43edd1"}</t>
  </si>
  <si>
    <t>{"Tier":"EXTENDED","Company":"Viriom Inc","Parent / Corporate Group":null,"Role":"Therapeutics","Active Assets (GD)":4,"Phase II+ (GD)":2,"Max Stage (GD)":"Pre-Registration","DZIF Research Areas":"HIV","Bridging Topics":null,"Research Areas N":1,"Manual Core":"No","Indicative Score":"=ROUND(MIN(22,7*LN(1+E192))+MIN(12,4*LN(1+F192))+MIN(12,2.8*J192)+IF(O192=\"\",0,5)+IF(K192=\"Yes\",3,0),1)","Example Assets (GD)":"elsulfavirine (Pre-Registration) | depulfavirine (Phase II)","Topic Evidence Basis":"GlobalData indication/asset-name proxy","Source URL":null,"GlobalData As-of":"2026-07-31","Asset Status Caution":"GlobalData snapshot only; validate current asset status","Selection Basis":"Stratified company selection","Company ID":"CMP-2689ea1fbe9"}</t>
  </si>
  <si>
    <t>{"Tier":"EXTENDED","Company":"Imperial College London","Parent / Corporate Group":null,"Role":"Therapeutics","Active Assets (GD)":3,"Phase II+ (GD)":1,"Max Stage (GD)":"Phase II","DZIF Research Areas":"HIV, EMG","Bridging Topics":"VAC","Research Areas N":2,"Manual Core":"No","Indicative Score":"=ROUND(MIN(22,7*LN(1+E193))+MIN(12,4*LN(1+F193))+MIN(12,2.8*J193)+IF(O193=\"\",0,5)+IF(K193=\"Yes\",3,0),1)","Example Assets (GD)":"HIV-1 vaccine (Phase II) | Ebola + Lassa Fever + Marburg (multivalent)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ID":"CMP-a8e434f18c2"}</t>
  </si>
  <si>
    <t>{"Tier":"EXTENDED","Company":"Jecho Biopharmaceuticals Co Ltd","Parent / Corporate Group":null,"Role":"Therapeutics","Active Assets (GD)":3,"Phase II+ (GD)":1,"Max Stage (GD)":"Phase II","DZIF Research Areas":"HIV, EMG","Bridging Topics":null,"Research Areas N":2,"Manual Core":"No","Indicative Score":"=ROUND(MIN(22,7*LN(1+E194))+MIN(12,4*LN(1+F194))+MIN(12,2.8*J194)+IF(O194=\"\",0,5)+IF(K194=\"Yes\",3,0),1)","Example Assets (GD)":"JL-18008 (Phase II) | COVID-19 No.1 (IND/CTA Filed)","Topic Evidence Basis":"GlobalData indication/asset-name proxy","Source URL":null,"GlobalData As-of":"2026-07-31","Asset Status Caution":"GlobalData snapshot only; validate current asset status","Selection Basis":"Stratified company selection","Company ID":"CMP-5ecaf4c905a"}</t>
  </si>
  <si>
    <t>{"Tier":"EXTENDED","Company":"Otsuka Pharmaceutical Co Ltd","Parent / Corporate Group":null,"Role":"Therapeutics","Active Assets (GD)":2,"Phase II+ (GD)":2,"Max Stage (GD)":"Phase III","DZIF Research Areas":"ABX, TB","Bridging Topics":"SMD","Research Areas N":2,"Manual Core":"No","Indicative Score":"=ROUND(MIN(22,7*LN(1+E195))+MIN(12,4*LN(1+F195))+MIN(12,2.8*J195)+IF(O195=\"\",0,5)+IF(K195=\"Yes\",3,0),1)","Example Assets (GD)":"delamanid (Phase III) | quabodepistat (Phase III)","Topic Evidence Basis":"GlobalData indication/asset-name proxy","Source URL":null,"GlobalData As-of":"2026-07-31","Asset Status Caution":"GlobalData snapshot only; validate current asset status","Selection Basis":"Stratified company selection","Company ID":"CMP-c1c503fce47"}</t>
  </si>
  <si>
    <t>{"Tier":"EXTENDED","Company":"Yicura Biomed Ltd","Parent / Corporate Group":null,"Role":"Therapeutics","Active Assets (GD)":2,"Phase II+ (GD)":2,"Max Stage (GD)":"Phase II","DZIF Research Areas":"HIV, EMG","Bridging Topics":"VAC","Research Areas N":2,"Manual Core":"No","Indicative Score":"=ROUND(MIN(22,7*LN(1+E196))+MIN(12,4*LN(1+F196))+MIN(12,2.8*J196)+IF(O196=\"\",0,5)+IF(K196=\"Yes\",3,0),1)","Example Assets (GD)":"Coronavirus Disease 2019 (COVID-19) vaccine (Phase II) | IMC-001 (Phase II)","Topic Evidence Basis":"GlobalData indication/asset-name proxy","Source URL":null,"GlobalData As-of":"2026-07-31","Asset Status Caution":"GlobalData snapshot only; validate current asset status","Selection Basis":"Stratified company selection","Company ID":"CMP-d4177913933"}</t>
  </si>
  <si>
    <t>{"Tier":"EXTENDED","Company":"Brandenburg Antiinfektiva GmbH","Parent / Corporate Group":null,"Role":"Therapeutics","Active Assets (GD)":1,"Phase II+ (GD)":0,"Max Stage (GD)":"Preclinical","DZIF Research Areas":"HIV, HEP, HAI, ABX, MUC, ICH","Bridging Topics":null,"Research Areas N":6,"Manual Core":"No","Indicative Score":"=ROUND(MIN(22,7*LN(1+E197))+MIN(12,4*LN(1+F197))+MIN(12,2.8*J197)+IF(O197=\"\",0,5)+IF(K197=\"Yes\",3,0),1)","Example Assets (GD)":"Aspidasept (Preclinical)","Topic Evidence Basis":"GlobalData indication/asset-name proxy","Source URL":null,"GlobalData As-of":"2026-07-31","Asset Status Caution":"GlobalData snapshot only; validate current asset status","Selection Basis":"Stratified company selection","Company ID":"CMP-c148cfc9d75"}</t>
  </si>
  <si>
    <t>{"Tier":"EXTENDED","Company":"Beijing Sanroad Biological Products Co Ltd","Parent / Corporate Group":null,"Role":"Therapeutics","Active Assets (GD)":2,"Phase II+ (GD)":0,"Max Stage (GD)":"Phase I","DZIF Research Areas":"ABX, TB, MUC","Bridging Topics":"VAC","Research Areas N":3,"Manual Core":"No","Indicative Score":"=ROUND(MIN(22,7*LN(1+E198))+MIN(12,4*LN(1+F198))+MIN(12,2.8*J198)+IF(O198=\"\",0,5)+IF(K198=\"Yes\",3,0),1)","Example Assets (GD)":"Xs-02 (Phase I) | meningococcal [serotype B] vaccine (IND/CTA Filed)","Topic Evidence Basis":"GlobalData indication/asset-name proxy","Source URL":null,"GlobalData As-of":"2026-07-31","Asset Status Caution":"GlobalData snapshot only; validate current asset status","Selection Basis":"Stratified company selection","Company ID":"CMP-c34e195e985"}</t>
  </si>
  <si>
    <t>{"Tier":"EXTENDED","Company":"Sysvax (Beijing) Biotechnology Co Ltd","Parent / Corporate Group":null,"Role":"Therapeutics","Active Assets (GD)":2,"Phase II+ (GD)":0,"Max Stage (GD)":"Phase I","DZIF Research Areas":"ABX, EMG, TB","Bridging Topics":"VAC","Research Areas N":3,"Manual Core":"No","Indicative Score":"=ROUND(MIN(22,7*LN(1+E199))+MIN(12,4*LN(1+F199))+MIN(12,2.8*J199)+IF(O199=\"\",0,5)+IF(K199=\"Yes\",3,0),1)","Example Assets (GD)":"SV-101 (Phase I) | Coronavirus Disease 2019 (COVID-19) vaccine (Preclinical)","Topic Evidence Basis":"GlobalData indication/asset-name proxy","Source URL":null,"GlobalData As-of":"2026-07-31","Asset Status Caution":"GlobalData snapshot only; validate current asset status","Selection Basis":"Stratified company selection","Company ID":"CMP-9307e1b3409"}</t>
  </si>
  <si>
    <t>{"Tier":"EXTENDED","Company":"Chengdu Keen Biotechnology Co Ltd","Parent / Corporate Group":null,"Role":"Therapeutics","Active Assets (GD)":2,"Phase II+ (GD)":1,"Max Stage (GD)":"Phase II","DZIF Research Areas":"ABX, TB","Bridging Topics":"VAC","Research Areas N":2,"Manual Core":"No","Indicative Score":"=ROUND(MIN(22,7*LN(1+E200))+MIN(12,4*LN(1+F200))+MIN(12,2.8*J200)+IF(O200=\"\",0,5)+IF(K200=\"Yes\",3,0),1)","Example Assets (GD)":"Recombinant Mycobacterium Tuberculosis Fusion Protein (EEC) (Phase II) | tuberculosis vaccine 1 (IND/CTA Filed)","Topic Evidence Basis":"GlobalData indication/asset-name proxy","Source URL":null,"GlobalData As-of":"2026-07-31","Asset Status Caution":"GlobalData snapshot only; validate current asset status","Selection Basis":"Stratified company selection","Company ID":"CMP-895a161abc0"}</t>
  </si>
  <si>
    <t>{"Tier":"EXTENDED","Company":"GeneCure Biotechnologies LLC","Parent / Corporate Group":null,"Role":"Therapeutics","Active Assets (GD)":2,"Phase II+ (GD)":1,"Max Stage (GD)":"Phase II","DZIF Research Areas":"HIV, HEP","Bridging Topics":"VAC","Research Areas N":2,"Manual Core":"No","Indicative Score":"=ROUND(MIN(22,7*LN(1+E201))+MIN(12,4*LN(1+F201))+MIN(12,2.8*J201)+IF(O201=\"\",0,5)+IF(K201=\"Yes\",3,0),1)","Example Assets (GD)":"HIVAX (Phase II) | hepatitis C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ID":"CMP-4b7ea901498"}</t>
  </si>
  <si>
    <t>{"Tier":"EXTENDED","Company":"ReiThera Srl","Parent / Corporate Group":null,"Role":"Therapeutics","Active Assets (GD)":2,"Phase II+ (GD)":1,"Max Stage (GD)":"Phase III","DZIF Research Areas":"HIV, EMG","Bridging Topics":"VAC","Research Areas N":2,"Manual Core":"No","Indicative Score":"=ROUND(MIN(22,7*LN(1+E202))+MIN(12,4*LN(1+F202))+MIN(12,2.8*J202)+IF(O202=\"\",0,5)+IF(K202=\"Yes\",3,0),1)","Example Assets (GD)":"Coronavirus Disease 2019 (COVID-19) vaccine (Phase III) | human immunodeficiency virus (HIV) vaccine (Phase I)","Topic Evidence Basis":"GlobalData indication/asset-name proxy","Source URL":null,"GlobalData As-of":"2026-07-31","Asset Status Caution":"GlobalData snapshot only; validate current asset status","Selection Basis":"Stratified company selection","Company ID":"CMP-4e04704ecc0"}</t>
  </si>
  <si>
    <t>{"Tier":"EXTENDED","Company":"Theravectys SA","Parent / Corporate Group":null,"Role":"Therapeutics","Active Assets (GD)":2,"Phase II+ (GD)":1,"Max Stage (GD)":"Phase II","DZIF Research Areas":"HIV, EMG","Bridging Topics":"VAC","Research Areas N":2,"Manual Core":"No","Indicative Score":"=ROUND(MIN(22,7*LN(1+E203))+MIN(12,4*LN(1+F203))+MIN(12,2.8*J203)+IF(O203=\"\",0,5)+IF(K203=\"Yes\",3,0),1)","Example Assets (GD)":"THV-01 (Phase II) | Coronavirus vaccine (Preclinical)","Topic Evidence Basis":"GlobalData indication/asset-name proxy","Source URL":null,"GlobalData As-of":"2026-07-31","Asset Status Caution":"GlobalData snapshot only; validate current asset status","Selection Basis":"Stratified company selection","Company ID":"CMP-c1748b7ddd0"}</t>
  </si>
  <si>
    <t>{"Tier":"EXTENDED","Company":"United BioPharma Inc","Parent / Corporate Group":null,"Role":"Therapeutics","Active Assets (GD)":2,"Phase II+ (GD)":1,"Max Stage (GD)":"Phase II","DZIF Research Areas":"HIV, ICH","Bridging Topics":null,"Research Areas N":2,"Manual Core":"No","Indicative Score":"=ROUND(MIN(22,7*LN(1+E204))+MIN(12,4*LN(1+F204))+MIN(12,2.8*J204)+IF(O204=\"\",0,5)+IF(K204=\"Yes\",3,0),1)","Example Assets (GD)":"semzuvolimab (Phase II) | UB-621 (Phase I)","Topic Evidence Basis":"GlobalData indication/asset-name proxy","Source URL":null,"GlobalData As-of":"2026-07-31","Asset Status Caution":"GlobalData snapshot only; validate current asset status","Selection Basis":"Stratified company selection","Company ID":"CMP-b568334fb83"}</t>
  </si>
  <si>
    <t>{"Tier":"EXTENDED","Company":"Austrianni GmbH","Parent / Corporate Group":null,"Role":"Therapeutics","Active Assets (GD)":1,"Phase II+ (GD)":0,"Max Stage (GD)":"Preclinical","DZIF Research Areas":"HAI, ABX, TB, MUC","Bridging Topics":"MAB","Research Areas N":4,"Manual Core":"No","Indicative Score":"=ROUND(MIN(22,7*LN(1+E205))+MIN(12,4*LN(1+F205))+MIN(12,2.8*J205)+IF(O205=\"\",0,5)+IF(K205=\"Yes\",3,0),1)","Example Assets (GD)":"Antibody Therapeutics (Preclinical)","Topic Evidence Basis":"GlobalData indication/asset-name proxy","Source URL":null,"GlobalData As-of":"2026-07-31","Asset Status Caution":"GlobalData snapshot only; validate current asset status","Selection Basis":"Stratified company selection","Company ID":"CMP-6b4f0aaee02"}</t>
  </si>
  <si>
    <t>{"Tier":"EXTENDED","Company":"Yaso Therapeutics Inc","Parent / Corporate Group":null,"Role":"Therapeutics","Active Assets (GD)":1,"Phase II+ (GD)":0,"Max Stage (GD)":"Preclinical","DZIF Research Areas":"HIV, ABX, EMG, MUC","Bridging Topics":null,"Research Areas N":4,"Manual Core":"No","Indicative Score":"=ROUND(MIN(22,7*LN(1+E206))+MIN(12,4*LN(1+F206))+MIN(12,2.8*J206)+IF(O206=\"\",0,5)+IF(K206=\"Yes\",3,0),1)","Example Assets (GD)":"PPCM (Preclinical)","Topic Evidence Basis":"GlobalData indication/asset-name proxy","Source URL":null,"GlobalData As-of":"2026-07-31","Asset Status Caution":"GlobalData snapshot only; validate current asset status","Selection Basis":"Stratified company selection","Company ID":"CMP-d0dc37ee4f9"}</t>
  </si>
  <si>
    <t>{"Tier":"EXTENDED","Company":"ILiAD Biotechnologies LLC","Parent / Corporate Group":null,"Role":"Therapeutics","Active Assets (GD)":1,"Phase II+ (GD)":1,"Max Stage (GD)":"Phase II","DZIF Research Areas":"ABX, TB, MUC","Bridging Topics":"VAC","Research Areas N":3,"Manual Core":"No","Indicative Score":"=ROUND(MIN(22,7*LN(1+E207))+MIN(12,4*LN(1+F207))+MIN(12,2.8*J207)+IF(O207=\"\",0,5)+IF(K207=\"Yes\",3,0),1)","Example Assets (GD)":"BPZE1 vaccine (Phase II)","Topic Evidence Basis":"GlobalData indication/asset-name proxy","Source URL":null,"GlobalData As-of":"2026-07-31","Asset Status Caution":"GlobalData snapshot only; validate current asset status","Selection Basis":"Stratified company selection","Company ID":"CMP-90be0717d63"}</t>
  </si>
  <si>
    <t>{"Tier":"EXTENDED","Company":"Qurient Co Ltd","Parent / Corporate Group":null,"Role":"Therapeutics","Active Assets (GD)":1,"Phase II+ (GD)":1,"Max Stage (GD)":"Phase II","DZIF Research Areas":"ABX, TB, NTD","Bridging Topics":null,"Research Areas N":3,"Manual Core":"No","Indicative Score":"=ROUND(MIN(22,7*LN(1+E208))+MIN(12,4*LN(1+F208))+MIN(12,2.8*J208)+IF(O208=\"\",0,5)+IF(K208=\"Yes\",3,0),1)","Example Assets (GD)":"telacebec (Phase II)","Topic Evidence Basis":"GlobalData indication/asset-name proxy","Source URL":null,"GlobalData As-of":"2026-07-31","Asset Status Caution":"GlobalData snapshot only; validate current asset status","Selection Basis":"Stratified company selection","Company ID":"CMP-ee9a972ce12"}</t>
  </si>
  <si>
    <t>{"Tier":"EXTENDED","Company":"Autonomous Therapeutics Inc","Parent / Corporate Group":null,"Role":"Therapeutics","Active Assets (GD)":3,"Phase II+ (GD)":0,"Max Stage (GD)":"Preclinical","DZIF Research Areas":"HIV, EMG","Bridging Topics":null,"Research Areas N":2,"Manual Core":"No","Indicative Score":"=ROUND(MIN(22,7*LN(1+E209))+MIN(12,4*LN(1+F209))+MIN(12,2.8*J209)+IF(O209=\"\",0,5)+IF(K209=\"Yes\",3,0),1)","Example Assets (GD)":"AT-191 (Preclinical) | Biologics for Coronavirus Disease 2019 (COVID-19) (Preclinical)","Topic Evidence Basis":"GlobalData indication/asset-name proxy","Source URL":null,"GlobalData As-of":"2026-07-31","Asset Status Caution":"GlobalData snapshot only; validate current asset status","Selection Basis":"Stratified company selection","Company ID":"CMP-d048b7e58a6"}</t>
  </si>
  <si>
    <t>{"Tier":"EXTENDED","Company":"Archivel Farma SL","Parent / Corporate Group":null,"Role":"Therapeutics","Active Assets (GD)":1,"Phase II+ (GD)":1,"Max Stage (GD)":"Phase II","DZIF Research Areas":"ABX, TB","Bridging Topics":null,"Research Areas N":2,"Manual Core":"No","Indicative Score":"=ROUND(MIN(22,7*LN(1+E210))+MIN(12,4*LN(1+F210))+MIN(12,2.8*J210)+IF(O210=\"\",0,5)+IF(K210=\"Yes\",3,0),1)","Example Assets (GD)":"RUTI (Phase II)","Topic Evidence Basis":"GlobalData indication/asset-name proxy","Source URL":null,"GlobalData As-of":"2026-07-31","Asset Status Caution":"GlobalData snapshot only; validate current asset status","Selection Basis":"Stratified company selection","Company ID":"CMP-a013038a1b4"}</t>
  </si>
  <si>
    <t>{"Tier":"EXTENDED","Company":"Changzhou Yinsheng Pharmaceutical Co Ltd","Parent / Corporate Group":null,"Role":"Therapeutics","Active Assets (GD)":1,"Phase II+ (GD)":1,"Max Stage (GD)":"Phase II","DZIF Research Areas":"ABX, TB","Bridging Topics":null,"Research Areas N":2,"Manual Core":"No","Indicative Score":"=ROUND(MIN(22,7*LN(1+E211))+MIN(12,4*LN(1+F211))+MIN(12,2.8*J211)+IF(O211=\"\",0,5)+IF(K211=\"Yes\",3,0),1)","Example Assets (GD)":"WXWH-0131 (Phase II)","Topic Evidence Basis":"GlobalData indication/asset-name proxy","Source URL":null,"GlobalData As-of":"2026-07-31","Asset Status Caution":"GlobalData snapshot only; validate current asset status","Selection Basis":"Stratified company selection","Company ID":"CMP-dbe4abdb422"}</t>
  </si>
  <si>
    <t>{"Tier":"EXTENDED","Company":"LigaChem Biosciences Inc","Parent / Corporate Group":null,"Role":"Therapeutics","Active Assets (GD)":1,"Phase II+ (GD)":1,"Max Stage (GD)":"Phase II","DZIF Research Areas":"ABX, TB","Bridging Topics":null,"Research Areas N":2,"Manual Core":"No","Indicative Score":"=ROUND(MIN(22,7*LN(1+E212))+MIN(12,4*LN(1+F212))+MIN(12,2.8*J212)+IF(O212=\"\",0,5)+IF(K212=\"Yes\",3,0),1)","Example Assets (GD)":"delpazolid (Phase II)","Topic Evidence Basis":"GlobalData indication/asset-name proxy","Source URL":null,"GlobalData As-of":"2026-07-31","Asset Status Caution":"GlobalData snapshot only; validate current asset status","Selection Basis":"Stratified company selection","Company ID":"CMP-15c4ed59a02"}</t>
  </si>
  <si>
    <t>{"Tier":"EXTENDED","Company":"Medicines Development for Global Health Ltd","Parent / Corporate Group":null,"Role":"Therapeutics","Active Assets (GD)":1,"Phase II+ (GD)":1,"Max Stage (GD)":"Phase II","DZIF Research Areas":"ABX, TB","Bridging Topics":null,"Research Areas N":2,"Manual Core":"No","Indicative Score":"=ROUND(MIN(22,7*LN(1+E213))+MIN(12,4*LN(1+F213))+MIN(12,2.8*J213)+IF(O213=\"\",0,5)+IF(K213=\"Yes\",3,0),1)","Example Assets (GD)":"dovramilast (Phase II)","Topic Evidence Basis":"GlobalData indication/asset-name proxy","Source URL":null,"GlobalData As-of":"2026-07-31","Asset Status Caution":"GlobalData snapshot only; validate current asset status","Selection Basis":"Stratified company selection","Company ID":"CMP-7f9729c098e"}</t>
  </si>
  <si>
    <t>{"Tier":"EXTENDED","Company":"MedinCell SA","Parent / Corporate Group":null,"Role":"Therapeutics","Active Assets (GD)":1,"Phase II+ (GD)":1,"Max Stage (GD)":"Phase II","DZIF Research Areas":"ABX, TB","Bridging Topics":null,"Research Areas N":2,"Manual Core":"No","Indicative Score":"=ROUND(MIN(22,7*LN(1+E214))+MIN(12,4*LN(1+F214))+MIN(12,2.8*J214)+IF(O214=\"\",0,5)+IF(K214=\"Yes\",3,0),1)","Example Assets (GD)":"macozinone LAI (Phase II)","Topic Evidence Basis":"GlobalData indication/asset-name proxy","Source URL":null,"GlobalData As-of":"2026-07-31","Asset Status Caution":"GlobalData snapshot only; validate current asset status","Selection Basis":"Stratified company selection","Company ID":"CMP-f08e7bb1c06"}</t>
  </si>
  <si>
    <t>{"Tier":"EXTENDED","Company":"Shanghai Jiatan Pharmaceutical Technology Co Ltd","Parent / Corporate Group":null,"Role":"Therapeutics","Active Assets (GD)":1,"Phase II+ (GD)":1,"Max Stage (GD)":"Phase III","DZIF Research Areas":"ABX, TB","Bridging Topics":null,"Research Areas N":2,"Manual Core":"No","Indicative Score":"=ROUND(MIN(22,7*LN(1+E215))+MIN(12,4*LN(1+F215))+MIN(12,2.8*J215)+IF(O215=\"\",0,5)+IF(K215=\"Yes\",3,0),1)","Example Assets (GD)":"fudapirine (Phase III)","Topic Evidence Basis":"GlobalData indication/asset-name proxy","Source URL":null,"GlobalData As-of":"2026-07-31","Asset Status Caution":"GlobalData snapshot only; validate current asset status","Selection Basis":"Stratified company selection","Company ID":"CMP-977c15d94f6"}</t>
  </si>
  <si>
    <t>{"Tier":"EXTENDED","Company":"Thirty Respiratory Ltd","Parent / Corporate Group":null,"Role":"Therapeutics","Active Assets (GD)":1,"Phase II+ (GD)":1,"Max Stage (GD)":"Phase II","DZIF Research Areas":"ABX, TB","Bridging Topics":null,"Research Areas N":2,"Manual Core":"No","Indicative Score":"=ROUND(MIN(22,7*LN(1+E216))+MIN(12,4*LN(1+F216))+MIN(12,2.8*J216)+IF(O216=\"\",0,5)+IF(K216=\"Yes\",3,0),1)","Example Assets (GD)":"sodium nitrite (Phase II)","Topic Evidence Basis":"GlobalData indication/asset-name proxy","Source URL":null,"GlobalData As-of":"2026-07-31","Asset Status Caution":"GlobalData snapshot only; validate current asset status","Selection Basis":"Stratified company selection","Company ID":"CMP-e82f0c0e061"}</t>
  </si>
  <si>
    <t>{"Tier":"EXTENDED","Company":"A&amp;J Science","Parent / Corporate Group":null,"Role":"Therapeutics","Active Assets (GD)":1,"Phase II+ (GD)":0,"Max Stage (GD)":"Preclinical","DZIF Research Areas":"ABX, TB","Bridging Topics":null,"Research Areas N":2,"Manual Core":"No","Indicative Score":"=ROUND(MIN(22,7*LN(1+E217))+MIN(12,4*LN(1+F217))+MIN(12,2.8*J217)+IF(O217=\"\",0,5)+IF(K217=\"Yes\",3,0),1)","Example Assets (GD)":"AJ-099 (Preclinical)","Topic Evidence Basis":"GlobalData indication/asset-name proxy","Source URL":null,"GlobalData As-of":"2026-07-31","Asset Status Caution":"GlobalData snapshot only; validate current asset status","Selection Basis":"Stratified company selection","Company ID":"CMP-ed793550845"}</t>
  </si>
  <si>
    <t>{"Tier":"EXTENDED","Company":"Asia Scientific Global","Parent / Corporate Group":null,"Role":"Therapeutics","Active Assets (GD)":1,"Phase II+ (GD)":0,"Max Stage (GD)":"Preclinical","DZIF Research Areas":"ABX, TB","Bridging Topics":null,"Research Areas N":2,"Manual Core":"No","Indicative Score":"=ROUND(MIN(22,7*LN(1+E218))+MIN(12,4*LN(1+F218))+MIN(12,2.8*J218)+IF(O218=\"\",0,5)+IF(K218=\"Yes\",3,0),1)","Example Assets (GD)":"Alpha 1 (Preclinical)","Topic Evidence Basis":"GlobalData indication/asset-name proxy","Source URL":null,"GlobalData As-of":"2026-07-31","Asset Status Caution":"GlobalData snapshot only; validate current asset status","Selection Basis":"Stratified company selection","Company ID":"CMP-c5c2748c797"}</t>
  </si>
  <si>
    <t>{"Tier":"EXTENDED","Company":"Chengdu Anyong Dingye Biotechnology Co Ltd","Parent / Corporate Group":null,"Role":"Therapeutics","Active Assets (GD)":1,"Phase II+ (GD)":0,"Max Stage (GD)":"Preclinical","DZIF Research Areas":"ABX, TB","Bridging Topics":null,"Research Areas N":2,"Manual Core":"No","Indicative Score":"=ROUND(MIN(22,7*LN(1+E219))+MIN(12,4*LN(1+F219))+MIN(12,2.8*J219)+IF(O219=\"\",0,5)+IF(K219=\"Yes\",3,0),1)","Example Assets (GD)":"AY-035 (Preclinical)","Topic Evidence Basis":"GlobalData indication/asset-name proxy","Source URL":null,"GlobalData As-of":"2026-07-31","Asset Status Caution":"GlobalData snapshot only; validate current asset status","Selection Basis":"Stratified company selection","Company ID":"CMP-ce1905883b7"}</t>
  </si>
  <si>
    <t>PR-ALL-CMP-579c450159e</t>
  </si>
  <si>
    <t>02_ALL_COMPANIES</t>
  </si>
  <si>
    <t>Gesamtkatalog vollstaendig erhalten; aktive IDs nicht nochmals als Reserve ausspielen. Centauri-Namensvariante konsolidiert, Originalzeile erhalten.</t>
  </si>
  <si>
    <t>{"Tier":"CORE","Company":"GSK plc","Company Type":"COMMERCIAL","GD Active Assets":34,"GD All Assets":38,"GD Phase II+":25,"Highest GD Stage":"Pre-Registration","Research Area Tags":"HIV, HEP, HAI, ABX, EMG, TB, NTD, MUC, ICH","Bridging Tags":"VAC, MAB","Public Source":null,"GlobalData As-of":"2026-07-31","Data Interpretation":"GlobalData snapshot only; validate current asset status","Company ID":"CMP-579c450159e"}</t>
  </si>
  <si>
    <t>PR-ALL-CMP-3f134522796</t>
  </si>
  <si>
    <t>{"Tier":"CORE","Company":"Merck &amp; Co Inc","Company Type":"COMMERCIAL","GD Active Assets":28,"GD All Assets":30,"GD Phase II+":16,"Highest GD Stage":"Pre-Registration","Research Area Tags":"HIV, HEP, HAI, ABX, EMG, NTD, MUC, ICH","Bridging Tags":"VAC","Public Source":null,"GlobalData As-of":"2026-07-31","Data Interpretation":"GlobalData snapshot only; validate current asset status","Company ID":"CMP-3f134522796"}</t>
  </si>
  <si>
    <t>PR-ALL-CMP-ef3fd5062fb</t>
  </si>
  <si>
    <t>{"Tier":"CORE","Company":"Sanofi","Company Type":"COMMERCIAL","GD Active Assets":20,"GD All Assets":22,"GD Phase II+":17,"Highest GD Stage":"Pre-Registration","Research Area Tags":"HAI, ABX, EMG, TB, NTD, MUC, ICH","Bridging Tags":"VAC","Public Source":null,"GlobalData As-of":"2026-07-31","Data Interpretation":"GlobalData snapshot only; validate current asset status","Company ID":"CMP-ef3fd5062fb"}</t>
  </si>
  <si>
    <t>PR-ALL-CMP-cc9fc6ac0ff</t>
  </si>
  <si>
    <t>{"Tier":"CORE","Company":"Chongqing Zhifei Biological Products Co Ltd","Company Type":"COMMERCIAL","GD Active Assets":25,"GD All Assets":25,"GD Phase II+":14,"Highest GD Stage":"Pre-Registration","Research Area Tags":"HAI, ABX, EMG, TB, MUC, ICH","Bridging Tags":"VAC","Public Source":null,"GlobalData As-of":"2026-07-31","Data Interpretation":"GlobalData snapshot only; validate current asset status","Company ID":"CMP-cc9fc6ac0ff"}</t>
  </si>
  <si>
    <t>PR-ALL-CMP-24531a6b01f</t>
  </si>
  <si>
    <t>{"Tier":"CORE","Company":"Moderna Inc","Company Type":"COMMERCIAL","GD Active Assets":24,"GD All Assets":24,"GD Phase II+":15,"Highest GD Stage":"Pre-Registration","Research Area Tags":"HIV, EMG, MUC, ICH","Bridging Tags":"VAC","Public Source":null,"GlobalData As-of":"2026-07-31","Data Interpretation":"GlobalData snapshot only; validate current asset status","Company ID":"CMP-24531a6b01f"}</t>
  </si>
  <si>
    <t>PR-ALL-CMP-384891abbee</t>
  </si>
  <si>
    <t>{"Tier":"CORE","Company":"Gilead Sciences Inc","Company Type":"COMMERCIAL","GD Active Assets":19,"GD All Assets":20,"GD Phase II+":13,"Highest GD Stage":"Pre-Registration","Research Area Tags":"HIV, HEP, HAI, EMG, MUC, ICH","Bridging Tags":"SMD","Public Source":null,"GlobalData As-of":"2026-07-31","Data Interpretation":"GlobalData snapshot only; validate current asset status","Company ID":"CMP-384891abbee"}</t>
  </si>
  <si>
    <t>PR-ALL-CMP-335ff7e594c</t>
  </si>
  <si>
    <t>{"Tier":"CORE","Company":"Pfizer Inc","Company Type":"COMMERCIAL","GD Active Assets":22,"GD All Assets":26,"GD Phase II+":11,"Highest GD Stage":"Pre-Registration","Research Area Tags":"HAI, ABX, EMG, MUC","Bridging Tags":"VAC","Public Source":null,"GlobalData As-of":"2026-07-31","Data Interpretation":"GlobalData snapshot only; validate current asset status","Company ID":"CMP-335ff7e594c"}</t>
  </si>
  <si>
    <t>PR-ALL-CMP-85e7acc8115</t>
  </si>
  <si>
    <t>{"Tier":"CORE","Company":"AstraZeneca Plc","Company Type":"COMMERCIAL","GD Active Assets":14,"GD All Assets":18,"GD Phase II+":11,"Highest GD Stage":"Phase III","Research Area Tags":"HAI, ABX, EMG, TB, MUC, ICH","Bridging Tags":"VAC, MAB","Public Source":null,"GlobalData As-of":"2026-07-31","Data Interpretation":"GlobalData snapshot only; validate current asset status","Company ID":"CMP-85e7acc8115"}</t>
  </si>
  <si>
    <t>PR-ALL-CMP-1c8ca8e408e</t>
  </si>
  <si>
    <t>{"Tier":"CORE","Company":"Sinovac Biotech Ltd","Company Type":"COMMERCIAL","GD Active Assets":16,"GD All Assets":16,"GD Phase II+":10,"Highest GD Stage":"Pre-Registration","Research Area Tags":"ABX, EMG, MUC, ICH","Bridging Tags":"VAC, MAB","Public Source":null,"GlobalData As-of":"2026-07-31","Data Interpretation":"GlobalData snapshot only; validate current asset status","Company ID":"CMP-1c8ca8e408e"}</t>
  </si>
  <si>
    <t>PR-ALL-CMP-add35b11171</t>
  </si>
  <si>
    <t>{"Tier":"CORE","Company":"CanSino Biologics Inc","Company Type":"COMMERCIAL","GD Active Assets":16,"GD All Assets":16,"GD Phase II+":7,"Highest GD Stage":"Pre-Registration","Research Area Tags":"ABX, EMG, TB, MUC, ICH","Bridging Tags":"VAC","Public Source":null,"GlobalData As-of":"2026-07-31","Data Interpretation":"GlobalData snapshot only; validate current asset status","Company ID":"CMP-add35b11171"}</t>
  </si>
  <si>
    <t>PR-ALL-CMP-b69f0599844</t>
  </si>
  <si>
    <t>{"Tier":"CORE","Company":"AIM Vaccine Co Ltd","Company Type":"COMMERCIAL","GD Active Assets":19,"GD All Assets":19,"GD Phase II+":5,"Highest GD Stage":"Pre-Registration","Research Area Tags":"HAI, ABX, EMG, MUC, ICH","Bridging Tags":"VAC","Public Source":null,"GlobalData As-of":"2026-07-31","Data Interpretation":"GlobalData snapshot only; validate current asset status","Company ID":"CMP-b69f0599844"}</t>
  </si>
  <si>
    <t>PR-ALL-CMP-a133809740b</t>
  </si>
  <si>
    <t>{"Tier":"CORE","Company":"Johnson &amp; Johnson","Company Type":"COMMERCIAL","GD Active Assets":11,"GD All Assets":14,"GD Phase II+":8,"Highest GD Stage":"Pre-Registration","Research Area Tags":"HIV, HEP, HAI, ABX, EMG, TB, NTD, MUC","Bridging Tags":"VAC, SMD","Public Source":null,"GlobalData As-of":"2026-07-31","Data Interpretation":"GlobalData snapshot only; validate current asset status","Company ID":"CMP-a133809740b"}</t>
  </si>
  <si>
    <t>PR-ALL-CMP-e1f2b6c9f07</t>
  </si>
  <si>
    <t>{"Tier":"CORE","Company":"Shionogi &amp; Co Ltd","Company Type":"COMMERCIAL","GD Active Assets":10,"GD All Assets":11,"GD Phase II+":9,"Highest GD Stage":"Pre-Registration","Research Area Tags":"HEP, HAI, ABX, EMG, MUC, ICH","Bridging Tags":"VAC, SMD","Public Source":null,"GlobalData As-of":"2026-07-31","Data Interpretation":"GlobalData snapshot only; validate current asset status","Company ID":"CMP-e1f2b6c9f07"}</t>
  </si>
  <si>
    <t>PR-ALL-CMP-b82e0112382</t>
  </si>
  <si>
    <t>{"Tier":"CORE","Company":"Bioversys AG","Company Type":"COMMERCIAL","GD Active Assets":6,"GD All Assets":6,"GD Phase II+":2,"Highest GD Stage":"Phase III","Research Area Tags":"HAI, ABX, TB, MUC","Bridging Tags":"SMD","Public Source":"https://beam-alliance.eu/pipeline/","GlobalData As-of":"2026-07-31","Data Interpretation":"GlobalData snapshot only; validate current asset status","Company ID":"CMP-b82e0112382"}</t>
  </si>
  <si>
    <t>PR-ALL-CMP-4e3acc2788c</t>
  </si>
  <si>
    <t>{"Tier":"CORE","Company":"Biological E Ltd","Company Type":"COMMERCIAL","GD Active Assets":10,"GD All Assets":10,"GD Phase II+":6,"Highest GD Stage":"Phase III","Research Area Tags":"HEP, ABX, EMG, NTD, MUC","Bridging Tags":"VAC","Public Source":null,"GlobalData As-of":"2026-07-31","Data Interpretation":"GlobalData snapshot only; validate current asset status","Company ID":"CMP-4e3acc2788c"}</t>
  </si>
  <si>
    <t>PR-ALL-CMP-c0364501a9f</t>
  </si>
  <si>
    <t>{"Tier":"CORE","Company":"Novartis AG","Company Type":"COMMERCIAL","GD Active Assets":8,"GD All Assets":15,"GD Phase II+":8,"Highest GD Stage":"Phase III","Research Area Tags":"HAI, ABX, EMG, NTD, ICH","Bridging Tags":"SMD","Public Source":null,"GlobalData As-of":"2026-07-31","Data Interpretation":"GlobalData snapshot only; validate current asset status","Company ID":"CMP-c0364501a9f"}</t>
  </si>
  <si>
    <t>PR-ALL-CMP-425a0205bf3</t>
  </si>
  <si>
    <t>{"Tier":"CORE","Company":"Bharat Biotech Ltd","Company Type":"COMMERCIAL","GD Active Assets":9,"GD All Assets":10,"GD Phase II+":6,"Highest GD Stage":"Phase III","Research Area Tags":"HAI, ABX, EMG, NTD, MUC","Bridging Tags":"VAC","Public Source":null,"GlobalData As-of":"2026-07-31","Data Interpretation":"GlobalData snapshot only; validate current asset status","Company ID":"CMP-425a0205bf3"}</t>
  </si>
  <si>
    <t>PR-ALL-CMP-fbe85e38ed1</t>
  </si>
  <si>
    <t>{"Tier":"CORE","Company":"Novavax Inc","Company Type":"COMMERCIAL","GD Active Assets":9,"GD All Assets":9,"GD Phase II+":6,"Highest GD Stage":"Phase III","Research Area Tags":"HAI, ABX, EMG, MUC","Bridging Tags":"VAC","Public Source":null,"GlobalData As-of":"2026-07-31","Data Interpretation":"GlobalData snapshot only; validate current asset status","Company ID":"CMP-fbe85e38ed1"}</t>
  </si>
  <si>
    <t>PR-ALL-CMP-93148ce3ea6</t>
  </si>
  <si>
    <t>{"Tier":"CORE","Company":"Basilea Pharmaceutica Ltd","Company Type":"COMMERCIAL","GD Active Assets":5,"GD All Assets":5,"GD Phase II+":1,"Highest GD Stage":"Phase III","Research Area Tags":"HAI, ABX, MUC, ICH","Bridging Tags":"SMD","Public Source":"https://beam-alliance.eu/pipeline/","GlobalData As-of":"2026-07-31","Data Interpretation":"GlobalData snapshot only; validate current asset status","Company ID":"CMP-93148ce3ea6"}</t>
  </si>
  <si>
    <t>PR-ALL-CMP-2ce03c6442a</t>
  </si>
  <si>
    <t>{"Tier":"CORE","Company":"Vital Korea","Company Type":"COMMERCIAL","GD Active Assets":7,"GD All Assets":7,"GD Phase II+":6,"Highest GD Stage":"Phase II","Research Area Tags":"HEP, ABX, EMG, TB, MUC","Bridging Tags":"VAC","Public Source":null,"GlobalData As-of":"2026-07-31","Data Interpretation":"GlobalData snapshot only; validate current asset status","Company ID":"CMP-2ce03c6442a"}</t>
  </si>
  <si>
    <t>PR-ALL-CMP-1dc25b959ce</t>
  </si>
  <si>
    <t>{"Tier":"CORE","Company":"BioNTech SE","Company Type":"COMMERCIAL","GD Active Assets":8,"GD All Assets":8,"GD Phase II+":4,"Highest GD Stage":"Phase III","Research Area Tags":"HIV, ABX, EMG, TB, NTD, MUC","Bridging Tags":"VAC","Public Source":null,"GlobalData As-of":"2026-07-31","Data Interpretation":"GlobalData snapshot only; validate current asset status","Company ID":"CMP-1dc25b959ce"}</t>
  </si>
  <si>
    <t>PR-ALL-CMP-272f19fd220</t>
  </si>
  <si>
    <t>{"Tier":"CORE","Company":"Serum Institute of India Pvt Ltd","Company Type":"COMMERCIAL","GD Active Assets":7,"GD All Assets":7,"GD Phase II+":6,"Highest GD Stage":"Phase III","Research Area Tags":"ABX, EMG, TB, NTD","Bridging Tags":"VAC, MAB","Public Source":null,"GlobalData As-of":"2026-07-31","Data Interpretation":"GlobalData snapshot only; validate current asset status","Company ID":"CMP-272f19fd220"}</t>
  </si>
  <si>
    <t>PR-ALL-CMP-b372a79ea29</t>
  </si>
  <si>
    <t>{"Tier":"CORE","Company":"AbbVie Inc","Company Type":"COMMERCIAL","GD Active Assets":7,"GD All Assets":8,"GD Phase II+":4,"Highest GD Stage":"Phase III","Research Area Tags":"HIV, HAI, ABX, EMG, MUC, ICH","Bridging Tags":"VAC","Public Source":null,"GlobalData As-of":"2026-07-31","Data Interpretation":"GlobalData snapshot only; validate current asset status","Company ID":"CMP-b372a79ea29"}</t>
  </si>
  <si>
    <t>PR-ALL-CMP-c132e3a36c6</t>
  </si>
  <si>
    <t>{"Tier":"CORE","Company":"CSPC Pharmaceutical Group Ltd","Company Type":"COMMERCIAL","GD Active Assets":9,"GD All Assets":9,"GD Phase II+":3,"Highest GD Stage":"Phase II","Research Area Tags":"HEP, EMG, MUC, ICH","Bridging Tags":"VAC","Public Source":null,"GlobalData As-of":"2026-07-31","Data Interpretation":"GlobalData snapshot only; validate current asset status","Company ID":"CMP-c132e3a36c6"}</t>
  </si>
  <si>
    <t>PR-ALL-CMP-bebf092fda0</t>
  </si>
  <si>
    <t>{"Tier":"CORE","Company":"Brii Biosciences Ltd","Company Type":"COMMERCIAL","GD Active Assets":7,"GD All Assets":8,"GD Phase II+":4,"Highest GD Stage":"Phase III","Research Area Tags":"HIV, HEP, HAI, ABX","Bridging Tags":"MAB","Public Source":null,"GlobalData As-of":"2026-07-31","Data Interpretation":"GlobalData snapshot only; validate current asset status","Company ID":"CMP-bebf092fda0"}</t>
  </si>
  <si>
    <t>PR-ALL-CMP-8ee8900c31c</t>
  </si>
  <si>
    <t>{"Tier":"CORE","Company":"Zydus Lifesciences Ltd","Company Type":"COMMERCIAL","GD Active Assets":7,"GD All Assets":10,"GD Phase II+":3,"Highest GD Stage":"Phase II","Research Area Tags":"HEP, HAI, ABX, EMG, NTD, ICH","Bridging Tags":"VAC","Public Source":null,"GlobalData As-of":"2026-07-31","Data Interpretation":"GlobalData snapshot only; validate current asset status","Company ID":"CMP-8ee8900c31c"}</t>
  </si>
  <si>
    <t>PR-ALL-CMP-870018ed6f8</t>
  </si>
  <si>
    <t>{"Tier":"CORE","Company":"Suzhou Abogen Biosciences Co Ltd","Company Type":"COMMERCIAL","GD Active Assets":5,"GD All Assets":5,"GD Phase II+":4,"Highest GD Stage":"Phase III","Research Area Tags":"ABX, EMG, TB, MUC, ICH","Bridging Tags":"VAC","Public Source":null,"GlobalData As-of":"2026-07-31","Data Interpretation":"GlobalData snapshot only; validate current asset status","Company ID":"CMP-870018ed6f8"}</t>
  </si>
  <si>
    <t>PR-ALL-CMP-58902c4b7fe</t>
  </si>
  <si>
    <t>{"Tier":"CORE","Company":"Inovio Pharmaceuticals Inc","Company Type":"COMMERCIAL","GD Active Assets":8,"GD All Assets":8,"GD Phase II+":2,"Highest GD Stage":"Pre-Registration","Research Area Tags":"HIV, HEP, EMG, NTD","Bridging Tags":"VAC","Public Source":null,"GlobalData As-of":"2026-07-31","Data Interpretation":"GlobalData snapshot only; validate current asset status","Company ID":"CMP-58902c4b7fe"}</t>
  </si>
  <si>
    <t>PR-ALL-CMP-89418911969</t>
  </si>
  <si>
    <t>{"Tier":"CORE","Company":"Chia Tai Tianqing Pharmaceutical Group Co Ltd","Company Type":"COMMERCIAL","GD Active Assets":8,"GD All Assets":8,"GD Phase II+":5,"Highest GD Stage":"Phase III","Research Area Tags":"HEP, HAI, ABX","Bridging Tags":null,"Public Source":null,"GlobalData As-of":"2026-07-31","Data Interpretation":"GlobalData snapshot only; validate current asset status","Company ID":"CMP-89418911969"}</t>
  </si>
  <si>
    <t>PR-ALL-CMP-eac17a0cae7</t>
  </si>
  <si>
    <t>{"Tier":"CORE","Company":"SK Bioscience Ltd","Company Type":"COMMERCIAL","GD Active Assets":8,"GD All Assets":8,"GD Phase II+":4,"Highest GD Stage":"Phase III","Research Area Tags":"HEP, EMG, MUC","Bridging Tags":"VAC","Public Source":null,"GlobalData As-of":"2026-07-31","Data Interpretation":"GlobalData snapshot only; validate current asset status","Company ID":"CMP-eac17a0cae7"}</t>
  </si>
  <si>
    <t>PR-ALL-CMP-feb7d44c4f0</t>
  </si>
  <si>
    <t>{"Tier":"CORE","Company":"Beijing Minhai Biotechnology Co Ltd","Company Type":"COMMERCIAL","GD Active Assets":14,"GD All Assets":14,"GD Phase II+":7,"Highest GD Stage":"Pre-Registration","Research Area Tags":"MUC","Bridging Tags":"VAC","Public Source":null,"GlobalData As-of":"2026-07-31","Data Interpretation":"GlobalData snapshot only; validate current asset status","Company ID":"CMP-feb7d44c4f0"}</t>
  </si>
  <si>
    <t>PR-ALL-CMP-4146497d3c7</t>
  </si>
  <si>
    <t>{"Tier":"CORE","Company":"Aligos Therapeutics Inc","Company Type":"COMMERCIAL","GD Active Assets":15,"GD All Assets":15,"GD Phase II+":2,"Highest GD Stage":"Phase II","Research Area Tags":"HEP, EMG","Bridging Tags":"SMD","Public Source":null,"GlobalData As-of":"2026-07-31","Data Interpretation":"GlobalData snapshot only; validate current asset status","Company ID":"CMP-4146497d3c7"}</t>
  </si>
  <si>
    <t>PR-ALL-CMP-246ca48d6d7</t>
  </si>
  <si>
    <t>{"Tier":"CORE","Company":"Chengdu Olymvax Biopharmaceuticals Inc","Company Type":"COMMERCIAL","GD Active Assets":5,"GD All Assets":5,"GD Phase II+":3,"Highest GD Stage":"Phase III","Research Area Tags":"HAI, ABX, MUC, ICH","Bridging Tags":"VAC","Public Source":null,"GlobalData As-of":"2026-07-31","Data Interpretation":"GlobalData snapshot only; validate current asset status","Company ID":"CMP-246ca48d6d7"}</t>
  </si>
  <si>
    <t>PR-ALL-CMP-8c64c4d04de</t>
  </si>
  <si>
    <t>{"Tier":"CORE","Company":"Shanxi Kangbao Biological Product Co Ltd","Company Type":"COMMERCIAL","GD Active Assets":5,"GD All Assets":5,"GD Phase II+":2,"Highest GD Stage":"Phase II","Research Area Tags":"HIV, HEP, ABX, MUC, ICH","Bridging Tags":"VAC, MAB","Public Source":null,"GlobalData As-of":"2026-07-31","Data Interpretation":"GlobalData snapshot only; validate current asset status","Company ID":"CMP-8c64c4d04de"}</t>
  </si>
  <si>
    <t>PR-ALL-CMP-08a8fbeac27</t>
  </si>
  <si>
    <t>{"Tier":"CORE","Company":"KM Biologics Co Ltd","Company Type":"COMMERCIAL","GD Active Assets":4,"GD All Assets":4,"GD Phase II+":4,"Highest GD Stage":"Phase III","Research Area Tags":"HEP, EMG, NTD, MUC","Bridging Tags":null,"Public Source":null,"GlobalData As-of":"2026-07-31","Data Interpretation":"GlobalData snapshot only; validate current asset status","Company ID":"CMP-08a8fbeac27"}</t>
  </si>
  <si>
    <t>PR-ALL-CMP-ba04c7a5187</t>
  </si>
  <si>
    <t>{"Tier":"CORE","Company":"Suzhou Juwei Biotech Co Ltd","Company Type":"COMMERCIAL","GD Active Assets":7,"GD All Assets":7,"GD Phase II+":1,"Highest GD Stage":"Phase III","Research Area Tags":"HAI, ABX, MUC, ICH","Bridging Tags":"VAC","Public Source":null,"GlobalData As-of":"2026-07-31","Data Interpretation":"GlobalData snapshot only; validate current asset status","Company ID":"CMP-ba04c7a5187"}</t>
  </si>
  <si>
    <t>PR-ALL-CMP-3a0fa1b3462</t>
  </si>
  <si>
    <t>{"Tier":"CORE","Company":"Armata Pharmaceuticals Inc","Company Type":"COMMERCIAL","GD Active Assets":2,"GD All Assets":2,"GD Phase II+":2,"Highest GD Stage":"Phase II","Research Area Tags":"HAI, ABX, ICH","Bridging Tags":null,"Public Source":"https://www.armata.com/","GlobalData As-of":"2026-07-31","Data Interpretation":"GlobalData snapshot only; validate current asset status","Company ID":"CMP-3a0fa1b3462"}</t>
  </si>
  <si>
    <t>PR-ALL-CMP-cdc8013144b</t>
  </si>
  <si>
    <t>{"Tier":"CORE","Company":"AriBioLab Co Ltd","Company Type":"COMMERCIAL","GD Active Assets":4,"GD All Assets":4,"GD Phase II+":3,"Highest GD Stage":"Phase II","Research Area Tags":"HEP, EMG, MUC, ICH","Bridging Tags":"VAC","Public Source":null,"GlobalData As-of":"2026-07-31","Data Interpretation":"GlobalData snapshot only; validate current asset status","Company ID":"CMP-cdc8013144b"}</t>
  </si>
  <si>
    <t>PR-ALL-CMP-994d1e3fd3b</t>
  </si>
  <si>
    <t>{"Tier":"CORE","Company":"GeneOne Life Science Inc","Company Type":"COMMERCIAL","GD Active Assets":4,"GD All Assets":5,"GD Phase II+":3,"Highest GD Stage":"Phase II","Research Area Tags":"HEP, EMG, NTD, MUC","Bridging Tags":null,"Public Source":null,"GlobalData As-of":"2026-07-31","Data Interpretation":"GlobalData snapshot only; validate current asset status","Company ID":"CMP-994d1e3fd3b"}</t>
  </si>
  <si>
    <t>PR-ALL-CMP-a455fe8ed3b</t>
  </si>
  <si>
    <t>{"Tier":"CORE","Company":"Changchun Bcht Biotechnology Co Ltd","Company Type":"COMMERCIAL","GD Active Assets":10,"GD All Assets":10,"GD Phase II+":3,"Highest GD Stage":"Phase III","Research Area Tags":"MUC, ICH","Bridging Tags":"VAC, MAB","Public Source":null,"GlobalData As-of":"2026-07-31","Data Interpretation":"GlobalData snapshot only; validate current asset status","Company ID":"CMP-a455fe8ed3b"}</t>
  </si>
  <si>
    <t>PR-ALL-CMP-a5c7a831bb1</t>
  </si>
  <si>
    <t>{"Tier":"CORE","Company":"Aurobac Therapeutics SAS","Company Type":"COMMERCIAL","GD Active Assets":4,"GD All Assets":4,"GD Phase II+":0,"Highest GD Stage":"Preclinical","Research Area Tags":"HAI, ABX, MUC","Bridging Tags":"SMD","Public Source":"https://beam-alliance.eu/pipeline/","GlobalData As-of":"2026-07-31","Data Interpretation":"GlobalData snapshot only; validate current asset status","Company ID":"CMP-a5c7a831bb1"}</t>
  </si>
  <si>
    <t>PR-ALL-CMP-455a5cf00a7</t>
  </si>
  <si>
    <t>{"Tier":"CORE","Company":"Indian Immunologicals Ltd","Company Type":"COMMERCIAL","GD Active Assets":6,"GD All Assets":6,"GD Phase II+":1,"Highest GD Stage":"Phase III","Research Area Tags":"HEP, EMG, NTD, MUC","Bridging Tags":"VAC","Public Source":null,"GlobalData As-of":"2026-07-31","Data Interpretation":"GlobalData snapshot only; validate current asset status","Company ID":"CMP-455a5cf00a7"}</t>
  </si>
  <si>
    <t>PR-ALL-CMP-59cc13297d8</t>
  </si>
  <si>
    <t>{"Tier":"CORE","Company":"BioNet-Asia Co Ltd","Company Type":"COMMERCIAL","GD Active Assets":6,"GD All Assets":6,"GD Phase II+":3,"Highest GD Stage":"Pre-Registration","Research Area Tags":"EMG, NTD, MUC","Bridging Tags":"VAC","Public Source":null,"GlobalData As-of":"2026-07-31","Data Interpretation":"GlobalData snapshot only; validate current asset status","Company ID":"CMP-59cc13297d8"}</t>
  </si>
  <si>
    <t>PR-ALL-CMP-d30edde7435</t>
  </si>
  <si>
    <t>{"Tier":"CORE","Company":"Akagera Medicines Inc","Company Type":"COMMERCIAL","GD Active Assets":8,"GD All Assets":8,"GD Phase II+":0,"Highest GD Stage":"Phase I","Research Area Tags":"HAI, ABX, EMG, TB, MUC","Bridging Tags":null,"Public Source":null,"GlobalData As-of":"2026-07-31","Data Interpretation":"GlobalData snapshot only; validate current asset status","Company ID":"CMP-d30edde7435"}</t>
  </si>
  <si>
    <t>PR-ALL-CMP-b223897f72c</t>
  </si>
  <si>
    <t>{"Tier":"CORE","Company":"Valneva SE","Company Type":"COMMERCIAL","GD Active Assets":5,"GD All Assets":5,"GD Phase II+":4,"Highest GD Stage":"Pre-Registration","Research Area Tags":"EMG, NTD, MUC","Bridging Tags":"VAC","Public Source":null,"GlobalData As-of":"2026-07-31","Data Interpretation":"GlobalData snapshot only; validate current asset status","Company ID":"CMP-b223897f72c"}</t>
  </si>
  <si>
    <t>PR-ALL-CMP-5ad19a5f747</t>
  </si>
  <si>
    <t>{"Tier":"CORE","Company":"ViiV Healthcare UK Ltd","Company Type":"COMMERCIAL","GD Active Assets":10,"GD All Assets":10,"GD Phase II+":6,"Highest GD Stage":"Phase III","Research Area Tags":"HIV","Bridging Tags":"MAB, SMD","Public Source":null,"GlobalData As-of":"2026-07-31","Data Interpretation":"GlobalData snapshot only; validate current asset status","Company ID":"CMP-5ad19a5f747"}</t>
  </si>
  <si>
    <t>PR-ALL-CMP-fa8243cafa7</t>
  </si>
  <si>
    <t>{"Tier":"CORE","Company":"Infex Therapeutics Ltd","Company Type":"COMMERCIAL","GD Active Assets":2,"GD All Assets":2,"GD Phase II+":1,"Highest GD Stage":"Phase II","Research Area Tags":"HAI, ABX, EMG","Bridging Tags":"MAB, SMD","Public Source":"https://beam-alliance.eu/pipeline/","GlobalData As-of":"2026-07-31","Data Interpretation":"GlobalData snapshot only; validate current asset status","Company ID":"CMP-fa8243cafa7"}</t>
  </si>
  <si>
    <t>PR-ALL-CMP-bede831b69b</t>
  </si>
  <si>
    <t>{"Tier":"CORE","Company":"SNIPR Biome ApS","Company Type":"COMMERCIAL","GD Active Assets":1,"GD All Assets":1,"GD Phase II+":1,"Highest GD Stage":"Phase II","Research Area Tags":"HAI, ABX, MUC, ICH","Bridging Tags":"MIC","Public Source":"https://beam-alliance.eu/pipeline/","GlobalData As-of":"2026-07-31","Data Interpretation":"GlobalData snapshot only; validate current asset status","Company ID":"CMP-bede831b69b"}</t>
  </si>
  <si>
    <t>PR-ALL-CMP-b6c031ebf37</t>
  </si>
  <si>
    <t>{"Tier":"CORE","Company":"Lanzhou Institute of Biological Products Co Ltd","Company Type":"COMMERCIAL","GD Active Assets":6,"GD All Assets":6,"GD Phase II+":5,"Highest GD Stage":"Phase III","Research Area Tags":"EMG, MUC","Bridging Tags":"VAC, MAB","Public Source":null,"GlobalData As-of":"2026-07-31","Data Interpretation":"GlobalData snapshot only; validate current asset status","Company ID":"CMP-b6c031ebf37"}</t>
  </si>
  <si>
    <t>PR-ALL-CMP-413f8fd9f55</t>
  </si>
  <si>
    <t>{"Tier":"CORE","Company":"Bayer AG","Company Type":"COMMERCIAL","GD Active Assets":3,"GD All Assets":3,"GD Phase II+":2,"Highest GD Stage":"Phase III","Research Area Tags":"HAI, ABX, EMG, NTD, ICH","Bridging Tags":null,"Public Source":null,"GlobalData As-of":"2026-07-31","Data Interpretation":"GlobalData snapshot only; validate current asset status","Company ID":"CMP-413f8fd9f55"}</t>
  </si>
  <si>
    <t>PR-ALL-CMP-3fd58dd38dd</t>
  </si>
  <si>
    <t>{"Tier":"CORE","Company":"Aridis Pharmaceuticals Inc","Company Type":"COMMERCIAL","GD Active Assets":4,"GD All Assets":6,"GD Phase II+":1,"Highest GD Stage":"Phase II","Research Area Tags":"HAI, ABX, EMG, MUC, ICH","Bridging Tags":"MAB","Public Source":null,"GlobalData As-of":"2026-07-31","Data Interpretation":"GlobalData snapshot only; validate current asset status","Company ID":"CMP-3fd58dd38dd"}</t>
  </si>
  <si>
    <t>PR-ALL-CMP-9c376d2b7ab</t>
  </si>
  <si>
    <t>{"Tier":"CORE","Company":"MicuRx Pharmaceuticals Inc","Company Type":"COMMERCIAL","GD Active Assets":4,"GD All Assets":4,"GD Phase II+":1,"Highest GD Stage":"Phase III","Research Area Tags":"HAI, ABX, TB, MUC, ICH","Bridging Tags":null,"Public Source":null,"GlobalData As-of":"2026-07-31","Data Interpretation":"GlobalData snapshot only; validate current asset status","Company ID":"CMP-9c376d2b7ab"}</t>
  </si>
  <si>
    <t>PR-ALL-CMP-fcc9f977944</t>
  </si>
  <si>
    <t>{"Tier":"CORE","Company":"SPbNIIVS FMBA of Russia","Company Type":"COMMERCIAL","GD Active Assets":4,"GD All Assets":4,"GD Phase II+":1,"Highest GD Stage":"Phase III","Research Area Tags":"ABX, EMG, TB, MUC","Bridging Tags":"VAC","Public Source":null,"GlobalData As-of":"2026-07-31","Data Interpretation":"GlobalData snapshot only; validate current asset status","Company ID":"CMP-fcc9f977944"}</t>
  </si>
  <si>
    <t>PR-ALL-CMP-0a76928b480</t>
  </si>
  <si>
    <t>{"Tier":"CORE","Company":"Shenzhen Rhegen Biotechnology Co Ltd","Company Type":"COMMERCIAL","GD Active Assets":4,"GD All Assets":4,"GD Phase II+":1,"Highest GD Stage":"Phase II","Research Area Tags":"ABX, TB, MUC, ICH","Bridging Tags":"VAC","Public Source":null,"GlobalData As-of":"2026-07-31","Data Interpretation":"GlobalData snapshot only; validate current asset status","Company ID":"CMP-0a76928b480"}</t>
  </si>
  <si>
    <t>PR-ALL-CMP-601bca434c7</t>
  </si>
  <si>
    <t>{"Tier":"CORE","Company":"Vir Biotechnology Inc","Company Type":"COMMERCIAL","GD Active Assets":4,"GD All Assets":4,"GD Phase II+":3,"Highest GD Stage":"Phase III","Research Area Tags":"HIV, HEP, EMG","Bridging Tags":"MAB","Public Source":null,"GlobalData As-of":"2026-07-31","Data Interpretation":"GlobalData snapshot only; validate current asset status","Company ID":"CMP-601bca434c7"}</t>
  </si>
  <si>
    <t>PR-ALL-CMP-ea5495c6494</t>
  </si>
  <si>
    <t>{"Tier":"CORE","Company":"Bristol-Myers Squibb Co","Company Type":"COMMERCIAL","GD Active Assets":3,"GD All Assets":10,"GD Phase II+":1,"Highest GD Stage":"Phase II","Research Area Tags":"HIV, HAI, ABX, EMG, NTD, ICH","Bridging Tags":null,"Public Source":null,"GlobalData As-of":"2026-07-31","Data Interpretation":"GlobalData snapshot only; validate current asset status","Company ID":"CMP-ea5495c6494"}</t>
  </si>
  <si>
    <t>PR-ALL-CMP-251613697f2</t>
  </si>
  <si>
    <t>{"Tier":"CORE","Company":"Quratis Inc","Company Type":"COMMERCIAL","GD Active Assets":4,"GD All Assets":4,"GD Phase II+":2,"Highest GD Stage":"Phase II","Research Area Tags":"ABX, TB, NTD","Bridging Tags":"VAC","Public Source":null,"GlobalData As-of":"2026-07-31","Data Interpretation":"GlobalData snapshot only; validate current asset status","Company ID":"CMP-251613697f2"}</t>
  </si>
  <si>
    <t>PR-ALL-CMP-0fd9a9b02c5</t>
  </si>
  <si>
    <t>{"Tier":"CORE","Company":"Seres Therapeutics Inc","Company Type":"COMMERCIAL","GD Active Assets":1,"GD All Assets":1,"GD Phase II+":0,"Highest GD Stage":"Phase I","Research Area Tags":"HAI, ABX, MUC, ICH","Bridging Tags":"MIC","Public Source":"https://www.serestherapeutics.com/our-programs/","GlobalData As-of":"2026-07-31","Data Interpretation":"GlobalData snapshot only; validate current asset status","Company ID":"CMP-0fd9a9b02c5"}</t>
  </si>
  <si>
    <t>PR-ALL-CMP-410a276e6c6</t>
  </si>
  <si>
    <t>{"Tier":"CORE","Company":"Clarametyx Biosciences Inc","Company Type":"COMMERCIAL","GD Active Assets":1,"GD All Assets":1,"GD Phase II+":1,"Highest GD Stage":"Phase II","Research Area Tags":"HAI, ABX, MUC","Bridging Tags":"MAB","Public Source":"https://clarametyx.com/","GlobalData As-of":"2026-07-31","Data Interpretation":"GlobalData snapshot only; validate current asset status","Company ID":"CMP-410a276e6c6"}</t>
  </si>
  <si>
    <t>PR-ALL-CMP-2e66edddf5d</t>
  </si>
  <si>
    <t>{"Tier":"CORE","Company":"Vedanta Biosciences Inc","Company Type":"COMMERCIAL","GD Active Assets":1,"GD All Assets":1,"GD Phase II+":1,"Highest GD Stage":"Phase III","Research Area Tags":"HAI, ABX, ICH","Bridging Tags":"MIC","Public Source":"https://www.vedantabio.com/pipeline-programs/pipeline/","GlobalData As-of":"2026-07-31","Data Interpretation":"GlobalData snapshot only; validate current asset status","Company ID":"CMP-2e66edddf5d"}</t>
  </si>
  <si>
    <t>PR-ALL-CMP-aedbc6dad69</t>
  </si>
  <si>
    <t>{"Tier":"CORE","Company":"Crestone Inc","Company Type":"COMMERCIAL","GD Active Assets":3,"GD All Assets":3,"GD Phase II+":1,"Highest GD Stage":"Phase II","Research Area Tags":"HAI, ABX, TB, ICH","Bridging Tags":null,"Public Source":null,"GlobalData As-of":"2026-07-31","Data Interpretation":"GlobalData snapshot only; validate current asset status","Company ID":"CMP-aedbc6dad69"}</t>
  </si>
  <si>
    <t>PR-ALL-CMP-92fc1bf734e</t>
  </si>
  <si>
    <t>{"Tier":"CORE","Company":"International AIDS Vaccine Initiative Inc","Company Type":"COMMERCIAL","GD Active Assets":6,"GD All Assets":6,"GD Phase II+":2,"Highest GD Stage":"Phase III","Research Area Tags":"HIV, EMG","Bridging Tags":"VAC","Public Source":null,"GlobalData As-of":"2026-07-31","Data Interpretation":"GlobalData snapshot only; validate current asset status","Company ID":"CMP-92fc1bf734e"}</t>
  </si>
  <si>
    <t>PR-ALL-CMP-3d6b5bd3377</t>
  </si>
  <si>
    <t>{"Tier":"CORE","Company":"Palisades Therapeutics","Company Type":"COMMERCIAL","GD Active Assets":4,"GD All Assets":4,"GD Phase II+":0,"Highest GD Stage":"Phase I","Research Area Tags":"HIV, HEP, ABX, EMG, TB, NTD, MUC, ICH","Bridging Tags":null,"Public Source":null,"GlobalData As-of":"2026-07-31","Data Interpretation":"GlobalData snapshot only; validate current asset status","Company ID":"CMP-3d6b5bd3377"}</t>
  </si>
  <si>
    <t>PR-ALL-CMP-68725fd05c9</t>
  </si>
  <si>
    <t>{"Tier":"CORE","Company":"Atea Pharmaceuticals Inc","Company Type":"COMMERCIAL","GD Active Assets":5,"GD All Assets":5,"GD Phase II+":2,"Highest GD Stage":"Phase III","Research Area Tags":"HEP, EMG","Bridging Tags":"SMD","Public Source":null,"GlobalData As-of":"2026-07-31","Data Interpretation":"GlobalData snapshot only; validate current asset status","Company ID":"CMP-68725fd05c9"}</t>
  </si>
  <si>
    <t>PR-ALL-CMP-e6d28a1f43f</t>
  </si>
  <si>
    <t>{"Tier":"CORE","Company":"Henan Genuine Biotech Co Ltd","Company Type":"COMMERCIAL","GD Active Assets":3,"GD All Assets":3,"GD Phase II+":2,"Highest GD Stage":"Phase III","Research Area Tags":"HIV, EMG, MUC","Bridging Tags":null,"Public Source":null,"GlobalData As-of":"2026-07-31","Data Interpretation":"GlobalData snapshot only; validate current asset status","Company ID":"CMP-e6d28a1f43f"}</t>
  </si>
  <si>
    <t>PR-ALL-CMP-1a25fe5bbff</t>
  </si>
  <si>
    <t>{"Tier":"CORE","Company":"60 Degrees Pharmaceuticals Inc","Company Type":"COMMERCIAL","GD Active Assets":2,"GD All Assets":2,"GD Phase II+":1,"Highest GD Stage":"Phase III","Research Area Tags":"EMG, NTD, MUC, ICH","Bridging Tags":"SMD","Public Source":null,"GlobalData As-of":"2026-07-31","Data Interpretation":"GlobalData snapshot only; validate current asset status","Company ID":"CMP-1a25fe5bbff"}</t>
  </si>
  <si>
    <t>PR-ALL-CMP-42c932e38d3</t>
  </si>
  <si>
    <t>{"Tier":"CORE","Company":"Antabio SAS","Company Type":"COMMERCIAL","GD Active Assets":2,"GD All Assets":2,"GD Phase II+":0,"Highest GD Stage":"Phase I","Research Area Tags":"HAI, ABX","Bridging Tags":"SMD","Public Source":"https://beam-alliance.eu/pipeline/","GlobalData As-of":"2026-07-31","Data Interpretation":"GlobalData snapshot only; validate current asset status","Company ID":"CMP-42c932e38d3"}</t>
  </si>
  <si>
    <t>PR-ALL-CMP-b3350328f73</t>
  </si>
  <si>
    <t>{"Tier":"CORE","Company":"F2G Ltd","Company Type":"COMMERCIAL","GD Active Assets":1,"GD All Assets":1,"GD Phase II+":1,"Highest GD Stage":"Phase III","Research Area Tags":"HAI, ICH","Bridging Tags":"SMD","Public Source":"https://beam-alliance.eu/pipeline/","GlobalData As-of":"2026-07-31","Data Interpretation":"GlobalData snapshot only; validate current asset status","Company ID":"CMP-b3350328f73"}</t>
  </si>
  <si>
    <t>PR-ALL-CMP-b67700d6c62</t>
  </si>
  <si>
    <t>{"Tier":"CORE","Company":"QIAGEN","Company Type":"COMMERCIAL","GD Active Assets":0,"GD All Assets":0,"GD Phase II+":0,"Highest GD Stage":"-","Research Area Tags":"HIV, HEP, HAI, TB, MUC","Bridging Tags":"DIA","Public Source":"https://www.qiagen.com/de/products/diagnostics-and-clinical-research/infectious-disease/qiastat-dx-syndromic-testing/qiastat-dx","GlobalData As-of":"2026-07-31","Data Interpretation":"Public thematic source; not present in source GlobalData","Company ID":"CMP-b67700d6c62"}</t>
  </si>
  <si>
    <t>PR-ALL-CMP-6c2d50627b9</t>
  </si>
  <si>
    <t>{"Tier":"CORE","Company":"Roche Diagnostics","Company Type":"COMMERCIAL","GD Active Assets":0,"GD All Assets":0,"GD Phase II+":0,"Highest GD Stage":"-","Research Area Tags":"HIV, HEP, HAI, TB, MUC","Bridging Tags":"DIA","Public Source":"https://diagnostics.roche.com/global/en/products/product-category/health-topic/infectious-diseases.html","GlobalData As-of":"2026-07-31","Data Interpretation":"Public thematic source; not present in source GlobalData","Company ID":"CMP-6c2d50627b9"}</t>
  </si>
  <si>
    <t>PR-ALL-CMP-b77ac4d5aa1</t>
  </si>
  <si>
    <t>{"Tier":"CORE","Company":"Qpex Biopharma Inc","Company Type":"COMMERCIAL","GD Active Assets":1,"GD All Assets":1,"GD Phase II+":0,"Highest GD Stage":"Phase I","Research Area Tags":"HAI, ABX","Bridging Tags":"SMD","Public Source":"https://beam-alliance.eu/pipeline/","GlobalData As-of":"2026-07-31","Data Interpretation":"GlobalData snapshot only; validate current asset status","Company ID":"CMP-b77ac4d5aa1"}</t>
  </si>
  <si>
    <t>PR-ALL-CMP-c6b22982ad3</t>
  </si>
  <si>
    <t>{"Tier":"CORE","Company":"Shenzhen Geno-Immune Medical Institute","Company Type":"COMMERCIAL","GD Active Assets":3,"GD All Assets":3,"GD Phase II+":2,"Highest GD Stage":"Phase II","Research Area Tags":"EMG","Bridging Tags":"CGT","Public Source":null,"GlobalData As-of":"2026-07-31","Data Interpretation":"GlobalData snapshot only; validate current asset status","Company ID":"CMP-c6b22982ad3"}</t>
  </si>
  <si>
    <t>PR-ALL-CMP-bb2003e8cb6</t>
  </si>
  <si>
    <t>{"Tier":"CORE","Company":"Becton, Dickinson and Company","Company Type":"COMMERCIAL","GD Active Assets":0,"GD All Assets":0,"GD Phase II+":0,"Highest GD Stage":"-","Research Area Tags":"HAI, TB, MUC","Bridging Tags":"DIA","Public Source":"https://emea.bd.com/advancing-diagnostics/for-clinicians/","GlobalData As-of":"2026-07-31","Data Interpretation":"Public thematic source; not present in source GlobalData","Company ID":"CMP-bb2003e8cb6"}</t>
  </si>
  <si>
    <t>PR-ALL-CMP-36f899e5b8d</t>
  </si>
  <si>
    <t>{"Tier":"CORE","Company":"Cepheid","Company Type":"COMMERCIAL","GD Active Assets":0,"GD All Assets":0,"GD Phase II+":0,"Highest GD Stage":"-","Research Area Tags":"HIV, HAI, TB","Bridging Tags":"DIA","Public Source":"https://www.cepheid.com/","GlobalData As-of":"2026-07-31","Data Interpretation":"Public thematic source; not present in source GlobalData","Company ID":"CMP-36f899e5b8d"}</t>
  </si>
  <si>
    <t>PR-ALL-CMP-4eec897c81d</t>
  </si>
  <si>
    <t>{"Tier":"CORE","Company":"IMMUNETHEP","Company Type":"COMMERCIAL","GD Active Assets":0,"GD All Assets":0,"GD Phase II+":0,"Highest GD Stage":"-","Research Area Tags":"HAI, ABX, MUC","Bridging Tags":"VAC, MAB","Public Source":"https://beam-alliance.eu/pipeline/","GlobalData As-of":"2026-07-31","Data Interpretation":"Public thematic source; not present in source GlobalData","Company ID":"CMP-4eec897c81d"}</t>
  </si>
  <si>
    <t>PR-ALL-CMP-3f2e0eccbeb</t>
  </si>
  <si>
    <t>{"Tier":"CORE","Company":"bioMerieux","Company Type":"COMMERCIAL","GD Active Assets":0,"GD All Assets":0,"GD Phase II+":0,"Highest GD Stage":"-","Research Area Tags":"HAI, MUC, ICH","Bridging Tags":"DIA","Public Source":"https://www.biomerieux.com/","GlobalData As-of":"2026-07-31","Data Interpretation":"Public thematic source; not present in source GlobalData","Company ID":"CMP-3f2e0eccbeb"}</t>
  </si>
  <si>
    <t>PR-ALL-CMP-a8a014d97c6</t>
  </si>
  <si>
    <t>{"Tier":"CORE","Company":"ArrePath","Company Type":"COMMERCIAL","GD Active Assets":0,"GD All Assets":0,"GD Phase II+":0,"Highest GD Stage":"-","Research Area Tags":"HAI, ABX","Bridging Tags":"SMD","Public Source":"https://beam-alliance.eu/pipeline/","GlobalData As-of":"2026-07-31","Data Interpretation":"Public thematic source; not present in source GlobalData","Company ID":"CMP-a8a014d97c6"}</t>
  </si>
  <si>
    <t>PR-ALL-CMP-db564be93cb</t>
  </si>
  <si>
    <t>{"Tier":"CORE","Company":"Atara Biotherapeutics","Company Type":"COMMERCIAL","GD Active Assets":0,"GD All Assets":0,"GD Phase II+":0,"Highest GD Stage":"-","Research Area Tags":"EMG, ICH","Bridging Tags":"CGT","Public Source":"https://investors.atarabio.com/news-events/press-releases","GlobalData As-of":"2026-07-31","Data Interpretation":"Public thematic source; not present in source GlobalData","Company ID":"CMP-db564be93cb"}</t>
  </si>
  <si>
    <t>PR-ALL-CMP-662744fae82</t>
  </si>
  <si>
    <t>{"Tier":"CORE","Company":"Bactobio","Company Type":"COMMERCIAL","GD Active Assets":0,"GD All Assets":0,"GD Phase II+":0,"Highest GD Stage":"-","Research Area Tags":"HAI, ABX","Bridging Tags":"SMD","Public Source":"https://beam-alliance.eu/pipeline/","GlobalData As-of":"2026-07-31","Data Interpretation":"Public thematic source; not present in source GlobalData","Company ID":"CMP-662744fae82"}</t>
  </si>
  <si>
    <t>PR-ALL-CMP-33c76a2d988</t>
  </si>
  <si>
    <t>{"Tier":"CORE","Company":"Centauri Therapeutics","Company Type":"COMMERCIAL","GD Active Assets":0,"GD All Assets":0,"GD Phase II+":0,"Highest GD Stage":"-","Research Area Tags":"HAI, ABX","Bridging Tags":"MAB","Public Source":"https://beam-alliance.eu/pipeline/","GlobalData As-of":"2026-07-31","Data Interpretation":"Public thematic source; not present in source GlobalData","Company ID":"CMP-33c76a2d988"}</t>
  </si>
  <si>
    <t>PR-ALL-CMP-e0fa5955eec</t>
  </si>
  <si>
    <t>{"Tier":"CORE","Company":"Debiopharm International","Company Type":"COMMERCIAL","GD Active Assets":0,"GD All Assets":0,"GD Phase II+":0,"Highest GD Stage":"-","Research Area Tags":"HAI, ABX","Bridging Tags":"SMD","Public Source":"https://beam-alliance.eu/pipeline/","GlobalData As-of":"2026-07-31","Data Interpretation":"Public thematic source; not present in source GlobalData","Company ID":"CMP-e0fa5955eec"}</t>
  </si>
  <si>
    <t>PR-ALL-CMP-4cdbd28fa00</t>
  </si>
  <si>
    <t>{"Tier":"CORE","Company":"Disperazol Pharma","Company Type":"COMMERCIAL","GD Active Assets":0,"GD All Assets":0,"GD Phase II+":0,"Highest GD Stage":"-","Research Area Tags":"HAI, ABX","Bridging Tags":"SMD","Public Source":"https://beam-alliance.eu/pipeline/","GlobalData As-of":"2026-07-31","Data Interpretation":"Public thematic source; not present in source GlobalData","Company ID":"CMP-4cdbd28fa00"}</t>
  </si>
  <si>
    <t>PR-ALL-CMP-1c39dd558a2</t>
  </si>
  <si>
    <t>{"Tier":"CORE","Company":"Ferring Pharmaceuticals","Company Type":"COMMERCIAL","GD Active Assets":0,"GD All Assets":0,"GD Phase II+":0,"Highest GD Stage":"-","Research Area Tags":"HAI, ICH","Bridging Tags":"MIC","Public Source":"https://www.ferring.com/science-innovation/research-and-development/product-pipeline/","GlobalData As-of":"2026-07-31","Data Interpretation":"Public thematic source; not present in source GlobalData","Company ID":"CMP-1c39dd558a2"}</t>
  </si>
  <si>
    <t>PR-ALL-CMP-02e13c78d23</t>
  </si>
  <si>
    <t>{"Tier":"CORE","Company":"Hypharm","Company Type":"COMMERCIAL","GD Active Assets":0,"GD All Assets":0,"GD Phase II+":0,"Highest GD Stage":"-","Research Area Tags":"HAI, ABX","Bridging Tags":null,"Public Source":"https://beam-alliance.eu/pipeline/","GlobalData As-of":"2026-07-31","Data Interpretation":"Public thematic source; not present in source GlobalData","Company ID":"CMP-02e13c78d23"}</t>
  </si>
  <si>
    <t>PR-ALL-CMP-e149f79216b</t>
  </si>
  <si>
    <t>{"Tier":"CORE","Company":"INTELIPHAGE","Company Type":"COMMERCIAL","GD Active Assets":0,"GD All Assets":0,"GD Phase II+":0,"Highest GD Stage":"-","Research Area Tags":"HAI, ABX","Bridging Tags":null,"Public Source":"https://beam-alliance.eu/pipeline/","GlobalData As-of":"2026-07-31","Data Interpretation":"Public thematic source; not present in source GlobalData","Company ID":"CMP-e149f79216b"}</t>
  </si>
  <si>
    <t>PR-ALL-CMP-c03b5eb46a0</t>
  </si>
  <si>
    <t>{"Tier":"CORE","Company":"MaaT Pharma","Company Type":"COMMERCIAL","GD Active Assets":0,"GD All Assets":0,"GD Phase II+":0,"Highest GD Stage":"-","Research Area Tags":"HAI, ICH","Bridging Tags":"MIC","Public Source":"https://www.maatpharma.com/pipeline/","GlobalData As-of":"2026-07-31","Data Interpretation":"Public thematic source; not present in source GlobalData","Company ID":"CMP-c03b5eb46a0"}</t>
  </si>
  <si>
    <t>PR-ALL-CMP-b41888fba29</t>
  </si>
  <si>
    <t>{"Tier":"CORE","Company":"Nexbiome Therapeutics","Company Type":"COMMERCIAL","GD Active Assets":0,"GD All Assets":0,"GD Phase II+":0,"Highest GD Stage":"-","Research Area Tags":"HAI, ABX","Bridging Tags":"MIC","Public Source":"https://beam-alliance.eu/pipeline/","GlobalData As-of":"2026-07-31","Data Interpretation":"Public thematic source; not present in source GlobalData","Company ID":"CMP-b41888fba29"}</t>
  </si>
  <si>
    <t>PR-ALL-CMP-6ebc81fa4e8</t>
  </si>
  <si>
    <t>{"Tier":"CORE","Company":"OM Pharma","Company Type":"COMMERCIAL","GD Active Assets":0,"GD All Assets":0,"GD Phase II+":0,"Highest GD Stage":"-","Research Area Tags":"HAI, MUC","Bridging Tags":"VAC","Public Source":"https://beam-alliance.eu/pipeline/","GlobalData As-of":"2026-07-31","Data Interpretation":"Public thematic source; not present in source GlobalData","Company ID":"CMP-6ebc81fa4e8"}</t>
  </si>
  <si>
    <t>PR-ALL-CMP-c26d0b0b2ae</t>
  </si>
  <si>
    <t>{"Tier":"CORE","Company":"Obulytix","Company Type":"COMMERCIAL","GD Active Assets":0,"GD All Assets":0,"GD Phase II+":0,"Highest GD Stage":"-","Research Area Tags":"HAI, ABX","Bridging Tags":null,"Public Source":"https://beam-alliance.eu/pipeline/","GlobalData As-of":"2026-07-31","Data Interpretation":"Public thematic source; not present in source GlobalData","Company ID":"CMP-c26d0b0b2ae"}</t>
  </si>
  <si>
    <t>PR-ALL-CMP-d4bb4737696</t>
  </si>
  <si>
    <t>{"Tier":"CORE","Company":"Omnix Medical","Company Type":"COMMERCIAL","GD Active Assets":0,"GD All Assets":0,"GD Phase II+":0,"Highest GD Stage":"-","Research Area Tags":"HAI, ABX","Bridging Tags":null,"Public Source":"https://beam-alliance.eu/pipeline/","GlobalData As-of":"2026-07-31","Data Interpretation":"Public thematic source; not present in source GlobalData","Company ID":"CMP-d4bb4737696"}</t>
  </si>
  <si>
    <t>PR-ALL-CMP-421dd2c5f23</t>
  </si>
  <si>
    <t>{"Tier":"CORE","Company":"Phagos","Company Type":"COMMERCIAL","GD Active Assets":0,"GD All Assets":0,"GD Phase II+":0,"Highest GD Stage":"-","Research Area Tags":"HAI, ABX","Bridging Tags":null,"Public Source":"https://beam-alliance.eu/pipeline/","GlobalData As-of":"2026-07-31","Data Interpretation":"Public thematic source; not present in source GlobalData","Company ID":"CMP-421dd2c5f23"}</t>
  </si>
  <si>
    <t>PR-ALL-CMP-e5709fc55b5</t>
  </si>
  <si>
    <t>{"Tier":"CORE","Company":"Santero Therapeutics","Company Type":"COMMERCIAL","GD Active Assets":0,"GD All Assets":0,"GD Phase II+":0,"Highest GD Stage":"-","Research Area Tags":"HAI, ABX","Bridging Tags":"SMD","Public Source":"https://beam-alliance.eu/pipeline/","GlobalData As-of":"2026-07-31","Data Interpretation":"Public thematic source; not present in source GlobalData","Company ID":"CMP-e5709fc55b5"}</t>
  </si>
  <si>
    <t>PR-ALL-CMP-5b18365f8f7</t>
  </si>
  <si>
    <t>{"Tier":"CORE","Company":"Syntinel Biologics","Company Type":"COMMERCIAL","GD Active Assets":0,"GD All Assets":0,"GD Phase II+":0,"Highest GD Stage":"-","Research Area Tags":"HAI, ABX","Bridging Tags":"VAC","Public Source":"https://beam-alliance.eu/pipeline/","GlobalData As-of":"2026-07-31","Data Interpretation":"Public thematic source; not present in source GlobalData","Company ID":"CMP-5b18365f8f7"}</t>
  </si>
  <si>
    <t>PR-ALL-CMP-6aacfbb37e0</t>
  </si>
  <si>
    <t>{"Tier":"CORE","Company":"Telum Therapeutics","Company Type":"COMMERCIAL","GD Active Assets":0,"GD All Assets":0,"GD Phase II+":0,"Highest GD Stage":"-","Research Area Tags":"HAI, ABX","Bridging Tags":null,"Public Source":"https://beam-alliance.eu/pipeline/","GlobalData As-of":"2026-07-31","Data Interpretation":"Public thematic source; not present in source GlobalData","Company ID":"CMP-6aacfbb37e0"}</t>
  </si>
  <si>
    <t>PR-ALL-CMP-726db97a94d</t>
  </si>
  <si>
    <t>{"Tier":"CORE","Company":"VAXDYN","Company Type":"COMMERCIAL","GD Active Assets":0,"GD All Assets":0,"GD Phase II+":0,"Highest GD Stage":"-","Research Area Tags":"HAI, ABX","Bridging Tags":"VAC","Public Source":"https://beam-alliance.eu/pipeline/","GlobalData As-of":"2026-07-31","Data Interpretation":"Public thematic source; not present in source GlobalData","Company ID":"CMP-726db97a94d"}</t>
  </si>
  <si>
    <t>PR-ALL-CMP-ad5a354e035</t>
  </si>
  <si>
    <t>{"Tier":"CORE","Company":"smartbax","Company Type":"COMMERCIAL","GD Active Assets":0,"GD All Assets":0,"GD Phase II+":0,"Highest GD Stage":"-","Research Area Tags":"HAI, ABX","Bridging Tags":"SMD","Public Source":"https://beam-alliance.eu/pipeline/","GlobalData As-of":"2026-07-31","Data Interpretation":"Public thematic source; not present in source GlobalData","Company ID":"CMP-ad5a354e035"}</t>
  </si>
  <si>
    <t>PR-ALL-CMP-108641addb6</t>
  </si>
  <si>
    <t>{"Tier":"CORE","Company":"City of Hope","Company Type":"COMMERCIAL","GD Active Assets":2,"GD All Assets":2,"GD Phase II+":0,"Highest GD Stage":"Phase I","Research Area Tags":"HIV, EMG","Bridging Tags":"CGT","Public Source":null,"GlobalData As-of":"2026-07-31","Data Interpretation":"GlobalData snapshot only; validate current asset status","Company ID":"CMP-108641addb6"}</t>
  </si>
  <si>
    <t>PR-ALL-CMP-de8e4c7e849</t>
  </si>
  <si>
    <t>{"Tier":"CORE","Company":"Suzhou CureMed Biopharma Technology Co Ltd","Company Type":"COMMERCIAL","GD Active Assets":2,"GD All Assets":2,"GD Phase II+":0,"Highest GD Stage":"Preclinical","Research Area Tags":"EMG, ICH","Bridging Tags":"CGT","Public Source":null,"GlobalData As-of":"2026-07-31","Data Interpretation":"GlobalData snapshot only; validate current asset status","Company ID":"CMP-de8e4c7e849"}</t>
  </si>
  <si>
    <t>PR-ALL-CMP-9f2367b42ec</t>
  </si>
  <si>
    <t>{"Tier":"CORE","Company":"Bristar Immunotech Biotechnology Co Ltd","Company Type":"COMMERCIAL","GD Active Assets":2,"GD All Assets":2,"GD Phase II+":1,"Highest GD Stage":"Phase II","Research Area Tags":"ICH","Bridging Tags":"CGT","Public Source":null,"GlobalData As-of":"2026-07-31","Data Interpretation":"GlobalData snapshot only; validate current asset status","Company ID":"CMP-9f2367b42ec"}</t>
  </si>
  <si>
    <t>PR-ALL-CMP-ff43c4d38a6</t>
  </si>
  <si>
    <t>{"Tier":"CORE","Company":"Lion TCR Pte Ltd","Company Type":"COMMERCIAL","GD Active Assets":3,"GD All Assets":3,"GD Phase II+":0,"Highest GD Stage":"Phase I","Research Area Tags":"HEP","Bridging Tags":"CGT","Public Source":null,"GlobalData As-of":"2026-07-31","Data Interpretation":"GlobalData snapshot only; validate current asset status","Company ID":"CMP-ff43c4d38a6"}</t>
  </si>
  <si>
    <t>PR-ALL-CMP-9b3f31b82f1</t>
  </si>
  <si>
    <t>{"Tier":"CORE","Company":"BugSee","Company Type":"COMMERCIAL","GD Active Assets":0,"GD All Assets":0,"GD Phase II+":0,"Highest GD Stage":"-","Research Area Tags":"HAI","Bridging Tags":"DIA","Public Source":"https://beam-alliance.eu/pipeline/","GlobalData As-of":"2026-07-31","Data Interpretation":"Public thematic source; not present in source GlobalData","Company ID":"CMP-9b3f31b82f1"}</t>
  </si>
  <si>
    <t>PR-ALL-CMP-c2df97c26fd</t>
  </si>
  <si>
    <t>{"Tier":"CORE","Company":"Excision BioTherapeutics","Company Type":"COMMERCIAL","GD Active Assets":0,"GD All Assets":0,"GD Phase II+":0,"Highest GD Stage":"-","Research Area Tags":"HIV","Bridging Tags":"CGT","Public Source":"https://excisionbiotherapeutics.com/pipeline","GlobalData As-of":"2026-07-31","Data Interpretation":"Public thematic source; not present in source GlobalData","Company ID":"CMP-c2df97c26fd"}</t>
  </si>
  <si>
    <t>PR-ALL-CMP-d65ad545b92</t>
  </si>
  <si>
    <t>{"Tier":"CORE","Company":"Microbira","Company Type":"COMMERCIAL","GD Active Assets":0,"GD All Assets":0,"GD Phase II+":0,"Highest GD Stage":"-","Research Area Tags":"HAI","Bridging Tags":"DIA","Public Source":"https://beam-alliance.eu/pipeline/","GlobalData As-of":"2026-07-31","Data Interpretation":"Public thematic source; not present in source GlobalData","Company ID":"CMP-d65ad545b92"}</t>
  </si>
  <si>
    <t>PR-ALL-CMP-811101667a0</t>
  </si>
  <si>
    <t>{"Tier":"CORE","Company":"Nostics","Company Type":"COMMERCIAL","GD Active Assets":0,"GD All Assets":0,"GD Phase II+":0,"Highest GD Stage":"-","Research Area Tags":"HAI","Bridging Tags":"DIA","Public Source":"https://beam-alliance.eu/pipeline/","GlobalData As-of":"2026-07-31","Data Interpretation":"Public thematic source; not present in source GlobalData","Company ID":"CMP-811101667a0"}</t>
  </si>
  <si>
    <t>PR-ALL-CMP-c6bc30af3d8</t>
  </si>
  <si>
    <t>{"Tier":"CORE","Company":"Wuhan Bio-Raid Biotechnology Co Ltd","Company Type":"COMMERCIAL","GD Active Assets":2,"GD All Assets":2,"GD Phase II+":0,"Highest GD Stage":"Preclinical","Research Area Tags":"HIV","Bridging Tags":"CGT","Public Source":null,"GlobalData As-of":"2026-07-31","Data Interpretation":"GlobalData snapshot only; validate current asset status","Company ID":"CMP-c6bc30af3d8"}</t>
  </si>
  <si>
    <t>PR-ALL-CMP-2100701d612</t>
  </si>
  <si>
    <t>{"Tier":"CORE","Company":"Rebiotix Inc","Company Type":"COMMERCIAL","GD Active Assets":1,"GD All Assets":1,"GD Phase II+":0,"Highest GD Stage":"Phase I","Research Area Tags":"HAI, ABX","Bridging Tags":"MIC","Public Source":null,"GlobalData As-of":"2026-07-31","Data Interpretation":"GlobalData snapshot only; validate current asset status","Company ID":"CMP-2100701d612"}</t>
  </si>
  <si>
    <t>PR-ALL-CMP-13b02aead78</t>
  </si>
  <si>
    <t>{"Tier":"CORE","Company":"Profionics","Company Type":"COMMERCIAL","GD Active Assets":0,"GD All Assets":0,"GD Phase II+":0,"Highest GD Stage":"-","Research Area Tags":"HAI","Bridging Tags":"DIA","Public Source":"https://beam-alliance.eu/members/","GlobalData As-of":"2026-07-31","Data Interpretation":"Public thematic source; not present in source GlobalData","Company ID":"CMP-13b02aead78"}</t>
  </si>
  <si>
    <t>PR-ALL-CMP-3f19c5bc4ac</t>
  </si>
  <si>
    <t>{"Tier":"EXTENDED","Company":"Eubiologics Co Ltd","Company Type":"COMMERCIAL","GD Active Assets":6,"GD All Assets":6,"GD Phase II+":4,"Highest GD Stage":"Phase III","Research Area Tags":"ABX, EMG, MUC","Bridging Tags":"VAC","Public Source":null,"GlobalData As-of":"2026-07-31","Data Interpretation":"GlobalData snapshot only; validate current asset status","Company ID":"CMP-3f19c5bc4ac"}</t>
  </si>
  <si>
    <t>PR-ALL-CMP-0934bdf51e6</t>
  </si>
  <si>
    <t>{"Tier":"EXTENDED","Company":"Shanghai Institute of Biological Products Co Ltd","Company Type":"COMMERCIAL","GD Active Assets":6,"GD All Assets":6,"GD Phase II+":4,"Highest GD Stage":"Phase II","Research Area Tags":"EMG, MUC, ICH","Bridging Tags":"VAC","Public Source":null,"GlobalData As-of":"2026-07-31","Data Interpretation":"GlobalData snapshot only; validate current asset status","Company ID":"CMP-0934bdf51e6"}</t>
  </si>
  <si>
    <t>PR-ALL-CMP-9c1a100dc59</t>
  </si>
  <si>
    <t>{"Tier":"EXTENDED","Company":"SinoCelltech Group Ltd","Company Type":"COMMERCIAL","GD Active Assets":5,"GD All Assets":5,"GD Phase II+":5,"Highest GD Stage":"Phase III","Research Area Tags":"EMG, MUC, ICH","Bridging Tags":"VAC","Public Source":null,"GlobalData As-of":"2026-07-31","Data Interpretation":"GlobalData snapshot only; validate current asset status","Company ID":"CMP-9c1a100dc59"}</t>
  </si>
  <si>
    <t>PR-ALL-CMP-9decd84757e</t>
  </si>
  <si>
    <t>{"Tier":"EXTENDED","Company":"Biocidium Biopharmaceuticals Inc","Company Type":"COMMERCIAL","GD Active Assets":10,"GD All Assets":10,"GD Phase II+":0,"Highest GD Stage":"Phase I","Research Area Tags":"HAI, ABX, MUC, ICH","Bridging Tags":null,"Public Source":null,"GlobalData As-of":"2026-07-31","Data Interpretation":"GlobalData snapshot only; validate current asset status","Company ID":"CMP-9decd84757e"}</t>
  </si>
  <si>
    <t>PR-ALL-CMP-078b33dd07f</t>
  </si>
  <si>
    <t>{"Tier":"EXTENDED","Company":"Jiangsu Hengrui Pharmaceuticals Co Ltd","Company Type":"COMMERCIAL","GD Active Assets":4,"GD All Assets":5,"GD Phase II+":2,"Highest GD Stage":"Phase III","Research Area Tags":"HEP, HAI, ABX, MUC, ICH","Bridging Tags":null,"Public Source":null,"GlobalData As-of":"2026-07-31","Data Interpretation":"GlobalData snapshot only; validate current asset status","Company ID":"CMP-078b33dd07f"}</t>
  </si>
  <si>
    <t>PR-ALL-CMP-e06a0a2c903</t>
  </si>
  <si>
    <t>{"Tier":"EXTENDED","Company":"Walvax Biotechnology Co Ltd","Company Type":"COMMERCIAL","GD Active Assets":6,"GD All Assets":6,"GD Phase II+":3,"Highest GD Stage":"Phase III","Research Area Tags":"EMG, MUC, ICH","Bridging Tags":"VAC","Public Source":null,"GlobalData As-of":"2026-07-31","Data Interpretation":"GlobalData snapshot only; validate current asset status","Company ID":"CMP-e06a0a2c903"}</t>
  </si>
  <si>
    <t>PR-ALL-CMP-8286c6c630d</t>
  </si>
  <si>
    <t>{"Tier":"EXTENDED","Company":"Vaxart Inc","Company Type":"COMMERCIAL","GD Active Assets":7,"GD All Assets":8,"GD Phase II+":4,"Highest GD Stage":"Phase II","Research Area Tags":"EMG, MUC","Bridging Tags":"VAC","Public Source":null,"GlobalData As-of":"2026-07-31","Data Interpretation":"GlobalData snapshot only; validate current asset status","Company ID":"CMP-8286c6c630d"}</t>
  </si>
  <si>
    <t>PR-ALL-CMP-f0ace507d0a</t>
  </si>
  <si>
    <t>{"Tier":"EXTENDED","Company":"YouCare Pharmaceutical Group Co Ltd","Company Type":"COMMERCIAL","GD Active Assets":5,"GD All Assets":5,"GD Phase II+":1,"Highest GD Stage":"Phase III","Research Area Tags":"HEP, EMG, MUC, ICH","Bridging Tags":null,"Public Source":null,"GlobalData As-of":"2026-07-31","Data Interpretation":"GlobalData snapshot only; validate current asset status","Company ID":"CMP-f0ace507d0a"}</t>
  </si>
  <si>
    <t>PR-ALL-CMP-5756f6656b7</t>
  </si>
  <si>
    <t>{"Tier":"EXTENDED","Company":"GC Biopharma Corp","Company Type":"COMMERCIAL","GD Active Assets":6,"GD All Assets":7,"GD Phase II+":5,"Highest GD Stage":"Phase III","Research Area Tags":"EMG, MUC","Bridging Tags":"VAC","Public Source":null,"GlobalData As-of":"2026-07-31","Data Interpretation":"GlobalData snapshot only; validate current asset status","Company ID":"CMP-5756f6656b7"}</t>
  </si>
  <si>
    <t>PR-ALL-CMP-0c333834d33</t>
  </si>
  <si>
    <t>{"Tier":"EXTENDED","Company":"Boehringer Ingelheim International GmbH","Company Type":"COMMERCIAL","GD Active Assets":3,"GD All Assets":3,"GD Phase II+":2,"Highest GD Stage":"Phase III","Research Area Tags":"HAI, ABX, EMG, MUC, ICH","Bridging Tags":null,"Public Source":null,"GlobalData As-of":"2026-07-31","Data Interpretation":"GlobalData snapshot only; validate current asset status","Company ID":"CMP-0c333834d33"}</t>
  </si>
  <si>
    <t>PR-ALL-CMP-bf7e57274f6</t>
  </si>
  <si>
    <t>{"Tier":"EXTENDED","Company":"Promomed LLC","Company Type":"COMMERCIAL","GD Active Assets":6,"GD All Assets":6,"GD Phase II+":4,"Highest GD Stage":"Phase III","Research Area Tags":"HEP, EMG","Bridging Tags":null,"Public Source":null,"GlobalData As-of":"2026-07-31","Data Interpretation":"GlobalData snapshot only; validate current asset status","Company ID":"CMP-bf7e57274f6"}</t>
  </si>
  <si>
    <t>PR-ALL-CMP-9d444f16979</t>
  </si>
  <si>
    <t>{"Tier":"EXTENDED","Company":"Xiamen Innovax Biotech Co Ltd","Company Type":"COMMERCIAL","GD Active Assets":6,"GD All Assets":6,"GD Phase II+":4,"Highest GD Stage":"Phase III","Research Area Tags":"HEP, MUC","Bridging Tags":"VAC","Public Source":null,"GlobalData As-of":"2026-07-31","Data Interpretation":"GlobalData snapshot only; validate current asset status","Company ID":"CMP-9d444f16979"}</t>
  </si>
  <si>
    <t>PR-ALL-CMP-5e8e018b773</t>
  </si>
  <si>
    <t>{"Tier":"EXTENDED","Company":"Abion Inc","Company Type":"COMMERCIAL","GD Active Assets":6,"GD All Assets":6,"GD Phase II+":0,"Highest GD Stage":"IND/CTA Filed","Research Area Tags":"HEP, HAI, ABX, EMG, MUC","Bridging Tags":null,"Public Source":null,"GlobalData As-of":"2026-07-31","Data Interpretation":"GlobalData snapshot only; validate current asset status","Company ID":"CMP-5e8e018b773"}</t>
  </si>
  <si>
    <t>PR-ALL-CMP-6dcf8867166</t>
  </si>
  <si>
    <t>{"Tier":"EXTENDED","Company":"Drugs for Neglected Diseases initiative","Company Type":"COMMERCIAL","GD Active Assets":5,"GD All Assets":5,"GD Phase II+":2,"Highest GD Stage":"Pre-Registration","Research Area Tags":"EMG, NTD, ICH","Bridging Tags":null,"Public Source":null,"GlobalData As-of":"2026-07-31","Data Interpretation":"GlobalData snapshot only; validate current asset status","Company ID":"CMP-6dcf8867166"}</t>
  </si>
  <si>
    <t>PR-ALL-CMP-972583c6f34</t>
  </si>
  <si>
    <t>{"Tier":"EXTENDED","Company":"Shenzhen Kangtai Biological Products Co Ltd","Company Type":"COMMERCIAL","GD Active Assets":5,"GD All Assets":5,"GD Phase II+":2,"Highest GD Stage":"Phase III","Research Area Tags":"HEP, EMG, MUC","Bridging Tags":"VAC","Public Source":null,"GlobalData As-of":"2026-07-31","Data Interpretation":"GlobalData snapshot only; validate current asset status","Company ID":"CMP-972583c6f34"}</t>
  </si>
  <si>
    <t>PR-ALL-CMP-1441b9ac13e</t>
  </si>
  <si>
    <t>{"Tier":"EXTENDED","Company":"Beijing Luzhu Biotechnology Co Ltd","Company Type":"COMMERCIAL","GD Active Assets":3,"GD All Assets":3,"GD Phase II+":2,"Highest GD Stage":"Pre-Registration","Research Area Tags":"HAI, ABX, MUC, ICH","Bridging Tags":"VAC","Public Source":null,"GlobalData As-of":"2026-07-31","Data Interpretation":"GlobalData snapshot only; validate current asset status","Company ID":"CMP-1441b9ac13e"}</t>
  </si>
  <si>
    <t>PR-ALL-CMP-4f8a2958e3d</t>
  </si>
  <si>
    <t>{"Tier":"EXTENDED","Company":"Lumen Bioscience Inc","Company Type":"COMMERCIAL","GD Active Assets":3,"GD All Assets":3,"GD Phase II+":2,"Highest GD Stage":"Phase III","Research Area Tags":"HAI, ABX, EMG, MUC","Bridging Tags":null,"Public Source":null,"GlobalData As-of":"2026-07-31","Data Interpretation":"GlobalData snapshot only; validate current asset status","Company ID":"CMP-4f8a2958e3d"}</t>
  </si>
  <si>
    <t>PR-ALL-CMP-9d580665cfb</t>
  </si>
  <si>
    <t>{"Tier":"EXTENDED","Company":"Phenobio Biopharmaceutical Technology (Hangzhou) Co Ltd","Company Type":"COMMERCIAL","GD Active Assets":6,"GD All Assets":6,"GD Phase II+":1,"Highest GD Stage":"Phase II","Research Area Tags":"ABX, MUC, ICH","Bridging Tags":null,"Public Source":null,"GlobalData As-of":"2026-07-31","Data Interpretation":"GlobalData snapshot only; validate current asset status","Company ID":"CMP-9d580665cfb"}</t>
  </si>
  <si>
    <t>PR-ALL-CMP-58ed874c974</t>
  </si>
  <si>
    <t>{"Tier":"EXTENDED","Company":"Clover Biopharmaceuticals Ltd","Company Type":"COMMERCIAL","GD Active Assets":6,"GD All Assets":6,"GD Phase II+":3,"Highest GD Stage":"Phase III","Research Area Tags":"EMG, MUC","Bridging Tags":"VAC","Public Source":null,"GlobalData As-of":"2026-07-31","Data Interpretation":"GlobalData snapshot only; validate current asset status","Company ID":"CMP-58ed874c974"}</t>
  </si>
  <si>
    <t>PR-ALL-CMP-3f15ddb6b50</t>
  </si>
  <si>
    <t>{"Tier":"EXTENDED","Company":"Eisai Co Ltd","Company Type":"COMMERCIAL","GD Active Assets":6,"GD All Assets":6,"GD Phase II+":3,"Highest GD Stage":"Phase III","Research Area Tags":"NTD, ICH","Bridging Tags":"VAC","Public Source":null,"GlobalData As-of":"2026-07-31","Data Interpretation":"GlobalData snapshot only; validate current asset status","Company ID":"CMP-3f15ddb6b50"}</t>
  </si>
  <si>
    <t>PR-ALL-CMP-bba1a1ec87d</t>
  </si>
  <si>
    <t>{"Tier":"EXTENDED","Company":"Swedish Orphan Biovitrum AB","Company Type":"COMMERCIAL","GD Active Assets":2,"GD All Assets":3,"GD Phase II+":2,"Highest GD Stage":"Phase III","Research Area Tags":"HAI, ABX, EMG, MUC, ICH","Bridging Tags":null,"Public Source":null,"GlobalData As-of":"2026-07-31","Data Interpretation":"GlobalData snapshot only; validate current asset status","Company ID":"CMP-bba1a1ec87d"}</t>
  </si>
  <si>
    <t>PR-ALL-CMP-cc6f0a4140b</t>
  </si>
  <si>
    <t>{"Tier":"EXTENDED","Company":"Intravacc BV","Company Type":"COMMERCIAL","GD Active Assets":4,"GD All Assets":4,"GD Phase II+":2,"Highest GD Stage":"Phase III","Research Area Tags":"ABX, EMG, MUC","Bridging Tags":"VAC","Public Source":null,"GlobalData As-of":"2026-07-31","Data Interpretation":"GlobalData snapshot only; validate current asset status","Company ID":"CMP-cc6f0a4140b"}</t>
  </si>
  <si>
    <t>PR-ALL-CMP-dda1b1eb60d</t>
  </si>
  <si>
    <t>{"Tier":"EXTENDED","Company":"Jiangsu Kunli Biopharmaceutical Co Ltd","Company Type":"COMMERCIAL","GD Active Assets":5,"GD All Assets":5,"GD Phase II+":0,"Highest GD Stage":"Phase I","Research Area Tags":"HAI, ABX, MUC, ICH","Bridging Tags":"VAC","Public Source":null,"GlobalData As-of":"2026-07-31","Data Interpretation":"GlobalData snapshot only; validate current asset status","Company ID":"CMP-dda1b1eb60d"}</t>
  </si>
  <si>
    <t>PR-ALL-CMP-e4f41a9d76c</t>
  </si>
  <si>
    <t>{"Tier":"EXTENDED","Company":"Grand Theravac Life Sciences (Nanjing) Co Ltd","Company Type":"COMMERCIAL","GD Active Assets":5,"GD All Assets":5,"GD Phase II+":1,"Highest GD Stage":"Phase II","Research Area Tags":"HEP, MUC, ICH","Bridging Tags":"VAC","Public Source":null,"GlobalData As-of":"2026-07-31","Data Interpretation":"GlobalData snapshot only; validate current asset status","Company ID":"CMP-e4f41a9d76c"}</t>
  </si>
  <si>
    <t>PR-ALL-CMP-0b55c608dd1</t>
  </si>
  <si>
    <t>{"Tier":"EXTENDED","Company":"LucasBio Co Ltd","Company Type":"COMMERCIAL","GD Active Assets":5,"GD All Assets":5,"GD Phase II+":3,"Highest GD Stage":"Phase III","Research Area Tags":"EMG, ICH","Bridging Tags":null,"Public Source":null,"GlobalData As-of":"2026-07-31","Data Interpretation":"GlobalData snapshot only; validate current asset status","Company ID":"CMP-0b55c608dd1"}</t>
  </si>
  <si>
    <t>PR-ALL-CMP-ba0f4be8da0</t>
  </si>
  <si>
    <t>{"Tier":"EXTENDED","Company":"Wuhan Institute of Biological Products Co Ltd","Company Type":"COMMERCIAL","GD Active Assets":5,"GD All Assets":5,"GD Phase II+":3,"Highest GD Stage":"Phase III","Research Area Tags":"EMG, MUC","Bridging Tags":"VAC","Public Source":null,"GlobalData As-of":"2026-07-31","Data Interpretation":"GlobalData snapshot only; validate current asset status","Company ID":"CMP-ba0f4be8da0"}</t>
  </si>
  <si>
    <t>PR-ALL-CMP-6f9f822213f</t>
  </si>
  <si>
    <t>{"Tier":"EXTENDED","Company":"EyeGene Inc","Company Type":"COMMERCIAL","GD Active Assets":3,"GD All Assets":3,"GD Phase II+":1,"Highest GD Stage":"Phase III","Research Area Tags":"ABX, EMG, MUC, ICH","Bridging Tags":null,"Public Source":null,"GlobalData As-of":"2026-07-31","Data Interpretation":"GlobalData snapshot only; validate current asset status","Company ID":"CMP-6f9f822213f"}</t>
  </si>
  <si>
    <t>PR-ALL-CMP-2e8e0dfb894</t>
  </si>
  <si>
    <t>{"Tier":"EXTENDED","Company":"RedHill Biopharma Ltd","Company Type":"COMMERCIAL","GD Active Assets":3,"GD All Assets":3,"GD Phase II+":1,"Highest GD Stage":"Phase II","Research Area Tags":"ABX, EMG, NTD, MUC","Bridging Tags":null,"Public Source":null,"GlobalData As-of":"2026-07-31","Data Interpretation":"GlobalData snapshot only; validate current asset status","Company ID":"CMP-2e8e0dfb894"}</t>
  </si>
  <si>
    <t>PR-ALL-CMP-9a50f62c0bf</t>
  </si>
  <si>
    <t>{"Tier":"EXTENDED","Company":"Bavarian Nordic AS","Company Type":"COMMERCIAL","GD Active Assets":3,"GD All Assets":3,"GD Phase II+":3,"Highest GD Stage":"Pre-Registration","Research Area Tags":"EMG, NTD, MUC","Bridging Tags":"VAC","Public Source":null,"GlobalData As-of":"2026-07-31","Data Interpretation":"GlobalData snapshot only; validate current asset status","Company ID":"CMP-9a50f62c0bf"}</t>
  </si>
  <si>
    <t>PR-ALL-CMP-2297c0d2f25</t>
  </si>
  <si>
    <t>{"Tier":"EXTENDED","Company":"Dynavax Technologies Corp","Company Type":"COMMERCIAL","GD Active Assets":3,"GD All Assets":5,"GD Phase II+":3,"Highest GD Stage":"Phase II","Research Area Tags":"EMG, MUC, ICH","Bridging Tags":"VAC","Public Source":null,"GlobalData As-of":"2026-07-31","Data Interpretation":"GlobalData snapshot only; validate current asset status","Company ID":"CMP-2297c0d2f25"}</t>
  </si>
  <si>
    <t>PR-ALL-CMP-78274050aea</t>
  </si>
  <si>
    <t>{"Tier":"EXTENDED","Company":"LG Chem Ltd","Company Type":"COMMERCIAL","GD Active Assets":3,"GD All Assets":3,"GD Phase II+":3,"Highest GD Stage":"Phase III","Research Area Tags":"HEP, EMG, MUC","Bridging Tags":null,"Public Source":null,"GlobalData As-of":"2026-07-31","Data Interpretation":"GlobalData snapshot only; validate current asset status","Company ID":"CMP-78274050aea"}</t>
  </si>
  <si>
    <t>PR-ALL-CMP-e0ed1515d16</t>
  </si>
  <si>
    <t>{"Tier":"EXTENDED","Company":"WestVac Biopharma Co Ltd","Company Type":"COMMERCIAL","GD Active Assets":6,"GD All Assets":6,"GD Phase II+":2,"Highest GD Stage":"Phase III","Research Area Tags":"EMG, MUC","Bridging Tags":"VAC","Public Source":null,"GlobalData As-of":"2026-07-31","Data Interpretation":"GlobalData snapshot only; validate current asset status","Company ID":"CMP-e0ed1515d16"}</t>
  </si>
  <si>
    <t>PR-ALL-CMP-156cb401985</t>
  </si>
  <si>
    <t>{"Tier":"EXTENDED","Company":"MAXVAX Biotechnology Co Ltd","Company Type":"COMMERCIAL","GD Active Assets":4,"GD All Assets":4,"GD Phase II+":4,"Highest GD Stage":"Phase III","Research Area Tags":"MUC, ICH","Bridging Tags":"VAC","Public Source":null,"GlobalData As-of":"2026-07-31","Data Interpretation":"GlobalData snapshot only; validate current asset status","Company ID":"CMP-156cb401985"}</t>
  </si>
  <si>
    <t>PR-ALL-CMP-1230b627b39</t>
  </si>
  <si>
    <t>{"Tier":"EXTENDED","Company":"Alopexx Inc","Company Type":"COMMERCIAL","GD Active Assets":2,"GD All Assets":2,"GD Phase II+":2,"Highest GD Stage":"Phase II","Research Area Tags":"HAI, ABX, TB, MUC","Bridging Tags":null,"Public Source":null,"GlobalData As-of":"2026-07-31","Data Interpretation":"GlobalData snapshot only; validate current asset status","Company ID":"CMP-1230b627b39"}</t>
  </si>
  <si>
    <t>PR-ALL-CMP-c227f16eb1c</t>
  </si>
  <si>
    <t>{"Tier":"EXTENDED","Company":"RinuaGene Biotechnology Co Ltd","Company Type":"COMMERCIAL","GD Active Assets":7,"GD All Assets":7,"GD Phase II+":1,"Highest GD Stage":"Phase II","Research Area Tags":"EMG, MUC","Bridging Tags":null,"Public Source":null,"GlobalData As-of":"2026-07-31","Data Interpretation":"GlobalData snapshot only; validate current asset status","Company ID":"CMP-c227f16eb1c"}</t>
  </si>
  <si>
    <t>PR-ALL-CMP-83aac7ecc69</t>
  </si>
  <si>
    <t>{"Tier":"EXTENDED","Company":"Grifols SA","Company Type":"COMMERCIAL","GD Active Assets":3,"GD All Assets":4,"GD Phase II+":2,"Highest GD Stage":"Phase III","Research Area Tags":"HEP, ABX, EMG","Bridging Tags":null,"Public Source":null,"GlobalData As-of":"2026-07-31","Data Interpretation":"GlobalData snapshot only; validate current asset status","Company ID":"CMP-83aac7ecc69"}</t>
  </si>
  <si>
    <t>PR-ALL-CMP-fce0f58579d</t>
  </si>
  <si>
    <t>{"Tier":"EXTENDED","Company":"Immorna Hangzhou Biotechnology Co Ltd","Company Type":"COMMERCIAL","GD Active Assets":3,"GD All Assets":3,"GD Phase II+":2,"Highest GD Stage":"Phase II","Research Area Tags":"EMG, MUC, ICH","Bridging Tags":null,"Public Source":null,"GlobalData As-of":"2026-07-31","Data Interpretation":"GlobalData snapshot only; validate current asset status","Company ID":"CMP-fce0f58579d"}</t>
  </si>
  <si>
    <t>PR-ALL-CMP-ef19cd41803</t>
  </si>
  <si>
    <t>{"Tier":"EXTENDED","Company":"Livzon Pharmaceutical Group Inc","Company Type":"COMMERCIAL","GD Active Assets":3,"GD All Assets":3,"GD Phase II+":2,"Highest GD Stage":"Phase III","Research Area Tags":"ABX, EMG, MUC","Bridging Tags":"VAC","Public Source":null,"GlobalData As-of":"2026-07-31","Data Interpretation":"GlobalData snapshot only; validate current asset status","Company ID":"CMP-ef19cd41803"}</t>
  </si>
  <si>
    <t>PR-ALL-CMP-1d21555768c</t>
  </si>
  <si>
    <t>{"Tier":"EXTENDED","Company":"Luye Life Sciences Group Ltd","Company Type":"COMMERCIAL","GD Active Assets":3,"GD All Assets":3,"GD Phase II+":2,"Highest GD Stage":"Phase II","Research Area Tags":"EMG, MUC, ICH","Bridging Tags":null,"Public Source":null,"GlobalData As-of":"2026-07-31","Data Interpretation":"GlobalData snapshot only; validate current asset status","Company ID":"CMP-1d21555768c"}</t>
  </si>
  <si>
    <t>PR-ALL-CMP-9873271cb64</t>
  </si>
  <si>
    <t>{"Tier":"EXTENDED","Company":"TaiGen Biotechnology Co Ltd","Company Type":"COMMERCIAL","GD Active Assets":3,"GD All Assets":4,"GD Phase II+":2,"Highest GD Stage":"Phase III","Research Area Tags":"HEP, EMG, MUC","Bridging Tags":null,"Public Source":null,"GlobalData As-of":"2026-07-31","Data Interpretation":"GlobalData snapshot only; validate current asset status","Company ID":"CMP-9873271cb64"}</t>
  </si>
  <si>
    <t>PR-ALL-CMP-4d9ee3f1716</t>
  </si>
  <si>
    <t>{"Tier":"EXTENDED","Company":"Regeneron Pharmaceuticals Inc","Company Type":"COMMERCIAL","GD Active Assets":4,"GD All Assets":7,"GD Phase II+":0,"Highest GD Stage":"Phase I","Research Area Tags":"HAI, ABX, EMG, ICH","Bridging Tags":null,"Public Source":null,"GlobalData As-of":"2026-07-31","Data Interpretation":"GlobalData snapshot only; validate current asset status","Company ID":"CMP-4d9ee3f1716"}</t>
  </si>
  <si>
    <t>PR-ALL-CMP-6a58fd2de4b</t>
  </si>
  <si>
    <t>{"Tier":"EXTENDED","Company":"Chugai Pharmaceutical Co Ltd","Company Type":"COMMERCIAL","GD Active Assets":2,"GD All Assets":3,"GD Phase II+":1,"Highest GD Stage":"Phase II","Research Area Tags":"HAI, ABX, EMG, NTD, ICH","Bridging Tags":null,"Public Source":null,"GlobalData As-of":"2026-07-31","Data Interpretation":"GlobalData snapshot only; validate current asset status","Company ID":"CMP-6a58fd2de4b"}</t>
  </si>
  <si>
    <t>PR-ALL-CMP-b3f407f932b</t>
  </si>
  <si>
    <t>{"Tier":"EXTENDED","Company":"Beijing Sinovac Biotech Co Ltd","Company Type":"COMMERCIAL","GD Active Assets":4,"GD All Assets":4,"GD Phase II+":1,"Highest GD Stage":"Phase II","Research Area Tags":"ABX, MUC, ICH","Bridging Tags":"VAC","Public Source":null,"GlobalData As-of":"2026-07-31","Data Interpretation":"GlobalData snapshot only; validate current asset status","Company ID":"CMP-b3f407f932b"}</t>
  </si>
  <si>
    <t>PR-ALL-CMP-561749078f8</t>
  </si>
  <si>
    <t>{"Tier":"EXTENDED","Company":"Codagenix Inc","Company Type":"COMMERCIAL","GD Active Assets":4,"GD All Assets":4,"GD Phase II+":1,"Highest GD Stage":"Phase III","Research Area Tags":"EMG, NTD, MUC","Bridging Tags":"VAC","Public Source":null,"GlobalData As-of":"2026-07-31","Data Interpretation":"GlobalData snapshot only; validate current asset status","Company ID":"CMP-561749078f8"}</t>
  </si>
  <si>
    <t>PR-ALL-CMP-be25b80e3f0</t>
  </si>
  <si>
    <t>{"Tier":"EXTENDED","Company":"Hefei Afana Biotechnology Co Ltd","Company Type":"COMMERCIAL","GD Active Assets":4,"GD All Assets":4,"GD Phase II+":1,"Highest GD Stage":"Phase II","Research Area Tags":"EMG, MUC, ICH","Bridging Tags":null,"Public Source":null,"GlobalData As-of":"2026-07-31","Data Interpretation":"GlobalData snapshot only; validate current asset status","Company ID":"CMP-be25b80e3f0"}</t>
  </si>
  <si>
    <t>PR-ALL-CMP-01bd01edab9</t>
  </si>
  <si>
    <t>{"Tier":"EXTENDED","Company":"Inventprise LLC","Company Type":"COMMERCIAL","GD Active Assets":4,"GD All Assets":4,"GD Phase II+":1,"Highest GD Stage":"Phase II","Research Area Tags":"ABX, EMG, MUC","Bridging Tags":"VAC","Public Source":null,"GlobalData As-of":"2026-07-31","Data Interpretation":"GlobalData snapshot only; validate current asset status","Company ID":"CMP-01bd01edab9"}</t>
  </si>
  <si>
    <t>PR-ALL-CMP-a3444927172</t>
  </si>
  <si>
    <t>{"Tier":"EXTENDED","Company":"Adimmune Corp","Company Type":"COMMERCIAL","GD Active Assets":4,"GD All Assets":4,"GD Phase II+":3,"Highest GD Stage":"Pre-Registration","Research Area Tags":"EMG, MUC","Bridging Tags":"VAC","Public Source":null,"GlobalData As-of":"2026-07-31","Data Interpretation":"GlobalData snapshot only; validate current asset status","Company ID":"CMP-a3444927172"}</t>
  </si>
  <si>
    <t>PR-ALL-CMP-53fd82f1af9</t>
  </si>
  <si>
    <t>{"Tier":"EXTENDED","Company":"CSL Ltd","Company Type":"COMMERCIAL","GD Active Assets":4,"GD All Assets":7,"GD Phase II+":3,"Highest GD Stage":"Pre-Registration","Research Area Tags":"EMG, MUC","Bridging Tags":"VAC","Public Source":null,"GlobalData As-of":"2026-07-31","Data Interpretation":"GlobalData snapshot only; validate current asset status","Company ID":"CMP-53fd82f1af9"}</t>
  </si>
  <si>
    <t>PR-ALL-CMP-104615421c5</t>
  </si>
  <si>
    <t>{"Tier":"EXTENDED","Company":"Citius Pharmaceuticals Inc","Company Type":"COMMERCIAL","GD Active Assets":2,"GD All Assets":2,"GD Phase II+":1,"Highest GD Stage":"Phase III","Research Area Tags":"HAI, ABX, EMG, ICH","Bridging Tags":null,"Public Source":null,"GlobalData As-of":"2026-07-31","Data Interpretation":"GlobalData snapshot only; validate current asset status","Company ID":"CMP-104615421c5"}</t>
  </si>
  <si>
    <t>PR-ALL-CMP-578ce8097cb</t>
  </si>
  <si>
    <t>{"Tier":"EXTENDED","Company":"F. Hoffmann-La Roche Ltd","Company Type":"COMMERCIAL","GD Active Assets":2,"GD All Assets":3,"GD Phase II+":1,"Highest GD Stage":"Phase III","Research Area Tags":"HAI, ABX, EMG, MUC","Bridging Tags":null,"Public Source":null,"GlobalData As-of":"2026-07-31","Data Interpretation":"GlobalData snapshot only; validate current asset status","Company ID":"CMP-578ce8097cb"}</t>
  </si>
  <si>
    <t>PR-ALL-CMP-4ce16cef964</t>
  </si>
  <si>
    <t>{"Tier":"EXTENDED","Company":"Joincare Pharmaceutical Group Industry Co Ltd","Company Type":"COMMERCIAL","GD Active Assets":2,"GD All Assets":2,"GD Phase II+":1,"Highest GD Stage":"Phase III","Research Area Tags":"HAI, ABX, EMG, MUC","Bridging Tags":"VAC","Public Source":null,"GlobalData As-of":"2026-07-31","Data Interpretation":"GlobalData snapshot only; validate current asset status","Company ID":"CMP-4ce16cef964"}</t>
  </si>
  <si>
    <t>PR-ALL-CMP-ce583ab95df</t>
  </si>
  <si>
    <t>{"Tier":"EXTENDED","Company":"Beijing Kawin Technology Share-Holding Co Ltd","Company Type":"COMMERCIAL","GD Active Assets":4,"GD All Assets":4,"GD Phase II+":2,"Highest GD Stage":"Phase II","Research Area Tags":"HEP, ICH","Bridging Tags":null,"Public Source":null,"GlobalData As-of":"2026-07-31","Data Interpretation":"GlobalData snapshot only; validate current asset status","Company ID":"CMP-ce583ab95df"}</t>
  </si>
  <si>
    <t>PR-ALL-CMP-4b8976fa781</t>
  </si>
  <si>
    <t>{"Tier":"EXTENDED","Company":"Genrix (Shanghai) Biopharmaceutical Co Ltd","Company Type":"COMMERCIAL","GD Active Assets":4,"GD All Assets":4,"GD Phase II+":2,"Highest GD Stage":"Pre-Registration","Research Area Tags":"HEP, MUC","Bridging Tags":null,"Public Source":null,"GlobalData As-of":"2026-07-31","Data Interpretation":"GlobalData snapshot only; validate current asset status","Company ID":"CMP-4b8976fa781"}</t>
  </si>
  <si>
    <t>PR-ALL-CMP-b42b7fb59f0</t>
  </si>
  <si>
    <t>{"Tier":"EXTENDED","Company":"Panacea Biotec Ltd","Company Type":"COMMERCIAL","GD Active Assets":4,"GD All Assets":4,"GD Phase II+":2,"Highest GD Stage":"Phase III","Research Area Tags":"EMG, NTD","Bridging Tags":"VAC, MAB","Public Source":null,"GlobalData As-of":"2026-07-31","Data Interpretation":"GlobalData snapshot only; validate current asset status","Company ID":"CMP-b42b7fb59f0"}</t>
  </si>
  <si>
    <t>PR-ALL-CMP-155bfcfe459</t>
  </si>
  <si>
    <t>{"Tier":"EXTENDED","Company":"Seqirus Ltd","Company Type":"COMMERCIAL","GD Active Assets":4,"GD All Assets":4,"GD Phase II+":2,"Highest GD Stage":"Phase III","Research Area Tags":"EMG, MUC","Bridging Tags":"VAC","Public Source":null,"GlobalData As-of":"2026-07-31","Data Interpretation":"GlobalData snapshot only; validate current asset status","Company ID":"CMP-155bfcfe459"}</t>
  </si>
  <si>
    <t>PR-ALL-CMP-e85454a4b35</t>
  </si>
  <si>
    <t>{"Tier":"EXTENDED","Company":"Yisheng Biopharma Co Ltd","Company Type":"COMMERCIAL","GD Active Assets":4,"GD All Assets":4,"GD Phase II+":2,"Highest GD Stage":"Pre-Registration","Research Area Tags":"HEP, EMG","Bridging Tags":"VAC","Public Source":null,"GlobalData As-of":"2026-07-31","Data Interpretation":"GlobalData snapshot only; validate current asset status","Company ID":"CMP-e85454a4b35"}</t>
  </si>
  <si>
    <t>PR-ALL-CMP-5e80d86ddfe</t>
  </si>
  <si>
    <t>{"Tier":"EXTENDED","Company":"AbVacc Inc","Company Type":"COMMERCIAL","GD Active Assets":5,"GD All Assets":5,"GD Phase II+":0,"Highest GD Stage":"Phase I","Research Area Tags":"HAI, ABX, EMG","Bridging Tags":null,"Public Source":null,"GlobalData As-of":"2026-07-31","Data Interpretation":"GlobalData snapshot only; validate current asset status","Company ID":"CMP-5e80d86ddfe"}</t>
  </si>
  <si>
    <t>PR-ALL-CMP-0e7071bcdb5</t>
  </si>
  <si>
    <t>{"Tier":"EXTENDED","Company":"Aviex Technologies LLC","Company Type":"COMMERCIAL","GD Active Assets":5,"GD All Assets":5,"GD Phase II+":0,"Highest GD Stage":"Preclinical","Research Area Tags":"HAI, ABX, NTD","Bridging Tags":null,"Public Source":null,"GlobalData As-of":"2026-07-31","Data Interpretation":"GlobalData snapshot only; validate current asset status","Company ID":"CMP-0e7071bcdb5"}</t>
  </si>
  <si>
    <t>PR-ALL-CMP-a192e827864</t>
  </si>
  <si>
    <t>{"Tier":"EXTENDED","Company":"Emergent BioSolutions Inc","Company Type":"COMMERCIAL","GD Active Assets":5,"GD All Assets":5,"GD Phase II+":1,"Highest GD Stage":"Phase III","Research Area Tags":"EMG, MUC","Bridging Tags":null,"Public Source":null,"GlobalData As-of":"2026-07-31","Data Interpretation":"GlobalData snapshot only; validate current asset status","Company ID":"CMP-a192e827864"}</t>
  </si>
  <si>
    <t>PR-ALL-CMP-f2ce30354a7</t>
  </si>
  <si>
    <t>{"Tier":"EXTENDED","Company":"VaxForm LLC","Company Type":"COMMERCIAL","GD Active Assets":5,"GD All Assets":5,"GD Phase II+":1,"Highest GD Stage":"Phase II","Research Area Tags":"EMG, MUC","Bridging Tags":"VAC","Public Source":null,"GlobalData As-of":"2026-07-31","Data Interpretation":"GlobalData snapshot only; validate current asset status","Company ID":"CMP-f2ce30354a7"}</t>
  </si>
  <si>
    <t>PR-ALL-CMP-ca4713a975e</t>
  </si>
  <si>
    <t>{"Tier":"EXTENDED","Company":"Xiamen Amoytop Biotech Co Ltd","Company Type":"COMMERCIAL","GD Active Assets":5,"GD All Assets":5,"GD Phase II+":1,"Highest GD Stage":"Phase II","Research Area Tags":"HEP, EMG","Bridging Tags":null,"Public Source":null,"GlobalData As-of":"2026-07-31","Data Interpretation":"GlobalData snapshot only; validate current asset status","Company ID":"CMP-ca4713a975e"}</t>
  </si>
  <si>
    <t>PR-ALL-CMP-3f23dcf79de</t>
  </si>
  <si>
    <t>{"Tier":"EXTENDED","Company":"AimMax Therapeutics Inc","Company Type":"COMMERCIAL","GD Active Assets":3,"GD All Assets":3,"GD Phase II+":0,"Highest GD Stage":"Preclinical","Research Area Tags":"HAI, ABX, MUC, ICH","Bridging Tags":null,"Public Source":null,"GlobalData As-of":"2026-07-31","Data Interpretation":"GlobalData snapshot only; validate current asset status","Company ID":"CMP-3f23dcf79de"}</t>
  </si>
  <si>
    <t>PR-ALL-CMP-6d82459e523</t>
  </si>
  <si>
    <t>{"Tier":"EXTENDED","Company":"Bolder Biotechnology Inc","Company Type":"COMMERCIAL","GD Active Assets":3,"GD All Assets":3,"GD Phase II+":0,"Highest GD Stage":"Preclinical","Research Area Tags":"HIV, HEP, ABX, ICH","Bridging Tags":null,"Public Source":null,"GlobalData As-of":"2026-07-31","Data Interpretation":"GlobalData snapshot only; validate current asset status","Company ID":"CMP-6d82459e523"}</t>
  </si>
  <si>
    <t>PR-ALL-CMP-a693719a769</t>
  </si>
  <si>
    <t>{"Tier":"EXTENDED","Company":"Shanghai Bao Pharmaceuticals Co Ltd","Company Type":"COMMERCIAL","GD Active Assets":3,"GD All Assets":3,"GD Phase II+":0,"Highest GD Stage":"Phase I","Research Area Tags":"HAI, ABX, MUC, ICH","Bridging Tags":null,"Public Source":null,"GlobalData As-of":"2026-07-31","Data Interpretation":"GlobalData snapshot only; validate current asset status","Company ID":"CMP-a693719a769"}</t>
  </si>
  <si>
    <t>PR-ALL-CMP-bded2171a7f</t>
  </si>
  <si>
    <t>{"Tier":"EXTENDED","Company":"Biotron Ltd","Company Type":"COMMERCIAL","GD Active Assets":3,"GD All Assets":3,"GD Phase II+":1,"Highest GD Stage":"Phase II","Research Area Tags":"HIV, HEP, EMG","Bridging Tags":null,"Public Source":null,"GlobalData As-of":"2026-07-31","Data Interpretation":"GlobalData snapshot only; validate current asset status","Company ID":"CMP-bded2171a7f"}</t>
  </si>
  <si>
    <t>PR-ALL-CMP-38726f0edd0</t>
  </si>
  <si>
    <t>{"Tier":"EXTENDED","Company":"ConserV Bioscience Ltd","Company Type":"COMMERCIAL","GD Active Assets":3,"GD All Assets":3,"GD Phase II+":1,"Highest GD Stage":"Phase II","Research Area Tags":"HIV, EMG, NTD","Bridging Tags":"VAC","Public Source":null,"GlobalData As-of":"2026-07-31","Data Interpretation":"GlobalData snapshot only; validate current asset status","Company ID":"CMP-38726f0edd0"}</t>
  </si>
  <si>
    <t>PR-ALL-CMP-30076d157c9</t>
  </si>
  <si>
    <t>{"Tier":"EXTENDED","Company":"Immuron Ltd","Company Type":"COMMERCIAL","GD Active Assets":3,"GD All Assets":4,"GD Phase II+":1,"Highest GD Stage":"Phase II","Research Area Tags":"HAI, ABX, MUC","Bridging Tags":"MAB","Public Source":null,"GlobalData As-of":"2026-07-31","Data Interpretation":"GlobalData snapshot only; validate current asset status","Company ID":"CMP-30076d157c9"}</t>
  </si>
  <si>
    <t>PR-ALL-CMP-0f0e212f928</t>
  </si>
  <si>
    <t>{"Tier":"EXTENDED","Company":"Huahui Health Ltd","Company Type":"COMMERCIAL","GD Active Assets":3,"GD All Assets":3,"GD Phase II+":3,"Highest GD Stage":"Phase III","Research Area Tags":"HEP, EMG","Bridging Tags":null,"Public Source":null,"GlobalData As-of":"2026-07-31","Data Interpretation":"GlobalData snapshot only; validate current asset status","Company ID":"CMP-0f0e212f928"}</t>
  </si>
  <si>
    <t>PR-ALL-CMP-ac2fdd1b3e6</t>
  </si>
  <si>
    <t>{"Tier":"EXTENDED","Company":"VLP Therapeutics LLC","Company Type":"COMMERCIAL","GD Active Assets":3,"GD All Assets":3,"GD Phase II+":3,"Highest GD Stage":"Phase III","Research Area Tags":"EMG, NTD","Bridging Tags":null,"Public Source":null,"GlobalData As-of":"2026-07-31","Data Interpretation":"GlobalData snapshot only; validate current asset status","Company ID":"CMP-ac2fdd1b3e6"}</t>
  </si>
  <si>
    <t>PR-ALL-CMP-9b5b6eb5241</t>
  </si>
  <si>
    <t>{"Tier":"EXTENDED","Company":"Frontier Biotechnologies Inc","Company Type":"COMMERCIAL","GD Active Assets":2,"GD All Assets":2,"GD Phase II+":2,"Highest GD Stage":"Phase III","Research Area Tags":"HIV, EMG, MUC","Bridging Tags":null,"Public Source":null,"GlobalData As-of":"2026-07-31","Data Interpretation":"GlobalData snapshot only; validate current asset status","Company ID":"CMP-9b5b6eb5241"}</t>
  </si>
  <si>
    <t>PR-ALL-CMP-e40d855a05d</t>
  </si>
  <si>
    <t>{"Tier":"EXTENDED","Company":"Takeda Pharmaceutical Co Ltd","Company Type":"COMMERCIAL","GD Active Assets":2,"GD All Assets":5,"GD Phase II+":2,"Highest GD Stage":"Phase III","Research Area Tags":"EMG, NTD, ICH","Bridging Tags":"VAC","Public Source":null,"GlobalData As-of":"2026-07-31","Data Interpretation":"GlobalData snapshot only; validate current asset status","Company ID":"CMP-e40d855a05d"}</t>
  </si>
  <si>
    <t>PR-ALL-CMP-4554fe38f79</t>
  </si>
  <si>
    <t>{"Tier":"EXTENDED","Company":"Jiangsu Aidea Pharmaceutical Group Co Ltd","Company Type":"COMMERCIAL","GD Active Assets":7,"GD All Assets":7,"GD Phase II+":1,"Highest GD Stage":"Phase III","Research Area Tags":"HIV","Bridging Tags":null,"Public Source":null,"GlobalData As-of":"2026-07-31","Data Interpretation":"GlobalData snapshot only; validate current asset status","Company ID":"CMP-4554fe38f79"}</t>
  </si>
  <si>
    <t>PR-ALL-CMP-a407ca8cf34</t>
  </si>
  <si>
    <t>{"Tier":"EXTENDED","Company":"Merck KGaA","Company Type":"COMMERCIAL","GD Active Assets":3,"GD All Assets":5,"GD Phase II+":2,"Highest GD Stage":"Pre-Registration","Research Area Tags":"EMG, NTD","Bridging Tags":null,"Public Source":null,"GlobalData As-of":"2026-07-31","Data Interpretation":"GlobalData snapshot only; validate current asset status","Company ID":"CMP-a407ca8cf34"}</t>
  </si>
  <si>
    <t>PR-ALL-CMP-45b05f5c83e</t>
  </si>
  <si>
    <t>{"Tier":"EXTENDED","Company":"Pasteur Institute","Company Type":"COMMERCIAL","GD Active Assets":3,"GD All Assets":3,"GD Phase II+":2,"Highest GD Stage":"Phase II","Research Area Tags":"EMG, NTD","Bridging Tags":"MAB","Public Source":null,"GlobalData As-of":"2026-07-31","Data Interpretation":"GlobalData snapshot only; validate current asset status","Company ID":"CMP-45b05f5c83e"}</t>
  </si>
  <si>
    <t>PR-ALL-CMP-b226b1ca0a8</t>
  </si>
  <si>
    <t>{"Tier":"EXTENDED","Company":"Collaborations Pharmaceuticals Inc","Company Type":"COMMERCIAL","GD Active Assets":4,"GD All Assets":4,"GD Phase II+":0,"Highest GD Stage":"Preclinical","Research Area Tags":"EMG, NTD, ICH","Bridging Tags":null,"Public Source":null,"GlobalData As-of":"2026-07-31","Data Interpretation":"GlobalData snapshot only; validate current asset status","Company ID":"CMP-b226b1ca0a8"}</t>
  </si>
  <si>
    <t>PR-ALL-CMP-c58329fede0</t>
  </si>
  <si>
    <t>{"Tier":"EXTENDED","Company":"Helocyte Inc","Company Type":"COMMERCIAL","GD Active Assets":4,"GD All Assets":4,"GD Phase II+":1,"Highest GD Stage":"Phase II","Research Area Tags":"HIV, ICH","Bridging Tags":"VAC","Public Source":null,"GlobalData As-of":"2026-07-31","Data Interpretation":"GlobalData snapshot only; validate current asset status","Company ID":"CMP-c58329fede0"}</t>
  </si>
  <si>
    <t>PR-ALL-CMP-e2fd1a7b36e</t>
  </si>
  <si>
    <t>{"Tier":"EXTENDED","Company":"ImmunityBio Inc","Company Type":"COMMERCIAL","GD Active Assets":1,"GD All Assets":1,"GD Phase II+":1,"Highest GD Stage":"Phase II","Research Area Tags":"HIV, HAI, ABX, EMG, ICH","Bridging Tags":null,"Public Source":null,"GlobalData As-of":"2026-07-31","Data Interpretation":"GlobalData snapshot only; validate current asset status","Company ID":"CMP-e2fd1a7b36e"}</t>
  </si>
  <si>
    <t>PR-ALL-CMP-e6d5184b1a1</t>
  </si>
  <si>
    <t>{"Tier":"EXTENDED","Company":"KARE Biosciences Inc","Company Type":"COMMERCIAL","GD Active Assets":1,"GD All Assets":1,"GD Phase II+":1,"Highest GD Stage":"Phase III","Research Area Tags":"HAI, ABX, EMG, NTD, MUC, ICH","Bridging Tags":null,"Public Source":null,"GlobalData As-of":"2026-07-31","Data Interpretation":"GlobalData snapshot only; validate current asset status","Company ID":"CMP-e6d5184b1a1"}</t>
  </si>
  <si>
    <t>PR-ALL-CMP-af44d9046cb</t>
  </si>
  <si>
    <t>{"Tier":"EXTENDED","Company":"Sanaria Inc","Company Type":"COMMERCIAL","GD Active Assets":4,"GD All Assets":4,"GD Phase II+":3,"Highest GD Stage":"Phase II","Research Area Tags":"NTD","Bridging Tags":"VAC","Public Source":null,"GlobalData As-of":"2026-07-31","Data Interpretation":"GlobalData snapshot only; validate current asset status","Company ID":"CMP-af44d9046cb"}</t>
  </si>
  <si>
    <t>PR-ALL-CMP-c650577a6ad</t>
  </si>
  <si>
    <t>{"Tier":"EXTENDED","Company":"Arrowsmith Inc","Company Type":"COMMERCIAL","GD Active Assets":2,"GD All Assets":2,"GD Phase II+":0,"Highest GD Stage":"Preclinical","Research Area Tags":"HAI, ABX, TB, ICH","Bridging Tags":null,"Public Source":null,"GlobalData As-of":"2026-07-31","Data Interpretation":"GlobalData snapshot only; validate current asset status","Company ID":"CMP-c650577a6ad"}</t>
  </si>
  <si>
    <t>PR-ALL-CMP-13c8a43edd1</t>
  </si>
  <si>
    <t>{"Tier":"EXTENDED","Company":"Osel Inc","Company Type":"COMMERCIAL","GD Active Assets":2,"GD All Assets":3,"GD Phase II+":1,"Highest GD Stage":"Phase II","Research Area Tags":"HIV, ABX, MUC","Bridging Tags":null,"Public Source":null,"GlobalData As-of":"2026-07-31","Data Interpretation":"GlobalData snapshot only; validate current asset status","Company ID":"CMP-13c8a43edd1"}</t>
  </si>
  <si>
    <t>PR-ALL-CMP-2689ea1fbe9</t>
  </si>
  <si>
    <t>{"Tier":"EXTENDED","Company":"Viriom Inc","Company Type":"COMMERCIAL","GD Active Assets":4,"GD All Assets":4,"GD Phase II+":2,"Highest GD Stage":"Pre-Registration","Research Area Tags":"HIV","Bridging Tags":null,"Public Source":null,"GlobalData As-of":"2026-07-31","Data Interpretation":"GlobalData snapshot only; validate current asset status","Company ID":"CMP-2689ea1fbe9"}</t>
  </si>
  <si>
    <t>PR-ALL-CMP-a8e434f18c2</t>
  </si>
  <si>
    <t>{"Tier":"EXTENDED","Company":"Imperial College London","Company Type":"COMMERCIAL","GD Active Assets":3,"GD All Assets":3,"GD Phase II+":1,"Highest GD Stage":"Phase II","Research Area Tags":"HIV, EMG","Bridging Tags":"VAC","Public Source":null,"GlobalData As-of":"2026-07-31","Data Interpretation":"GlobalData snapshot only; validate current asset status","Company ID":"CMP-a8e434f18c2"}</t>
  </si>
  <si>
    <t>PR-ALL-CMP-5ecaf4c905a</t>
  </si>
  <si>
    <t>{"Tier":"EXTENDED","Company":"Jecho Biopharmaceuticals Co Ltd","Company Type":"COMMERCIAL","GD Active Assets":3,"GD All Assets":3,"GD Phase II+":1,"Highest GD Stage":"Phase II","Research Area Tags":"HIV, EMG","Bridging Tags":null,"Public Source":null,"GlobalData As-of":"2026-07-31","Data Interpretation":"GlobalData snapshot only; validate current asset status","Company ID":"CMP-5ecaf4c905a"}</t>
  </si>
  <si>
    <t>PR-ALL-CMP-c1c503fce47</t>
  </si>
  <si>
    <t>{"Tier":"EXTENDED","Company":"Otsuka Pharmaceutical Co Ltd","Company Type":"COMMERCIAL","GD Active Assets":2,"GD All Assets":2,"GD Phase II+":2,"Highest GD Stage":"Phase III","Research Area Tags":"ABX, TB","Bridging Tags":"SMD","Public Source":null,"GlobalData As-of":"2026-07-31","Data Interpretation":"GlobalData snapshot only; validate current asset status","Company ID":"CMP-c1c503fce47"}</t>
  </si>
  <si>
    <t>PR-ALL-CMP-d4177913933</t>
  </si>
  <si>
    <t>{"Tier":"EXTENDED","Company":"Yicura Biomed Ltd","Company Type":"COMMERCIAL","GD Active Assets":2,"GD All Assets":2,"GD Phase II+":2,"Highest GD Stage":"Phase II","Research Area Tags":"HIV, EMG","Bridging Tags":"VAC","Public Source":null,"GlobalData As-of":"2026-07-31","Data Interpretation":"GlobalData snapshot only; validate current asset status","Company ID":"CMP-d4177913933"}</t>
  </si>
  <si>
    <t>PR-ALL-CMP-c148cfc9d75</t>
  </si>
  <si>
    <t>{"Tier":"EXTENDED","Company":"Brandenburg Antiinfektiva GmbH","Company Type":"COMMERCIAL","GD Active Assets":1,"GD All Assets":1,"GD Phase II+":0,"Highest GD Stage":"Preclinical","Research Area Tags":"HIV, HEP, HAI, ABX, MUC, ICH","Bridging Tags":null,"Public Source":null,"GlobalData As-of":"2026-07-31","Data Interpretation":"GlobalData snapshot only; validate current asset status","Company ID":"CMP-c148cfc9d75"}</t>
  </si>
  <si>
    <t>PR-ALL-CMP-c34e195e985</t>
  </si>
  <si>
    <t>{"Tier":"EXTENDED","Company":"Beijing Sanroad Biological Products Co Ltd","Company Type":"COMMERCIAL","GD Active Assets":2,"GD All Assets":2,"GD Phase II+":0,"Highest GD Stage":"Phase I","Research Area Tags":"ABX, TB, MUC","Bridging Tags":"VAC","Public Source":null,"GlobalData As-of":"2026-07-31","Data Interpretation":"GlobalData snapshot only; validate current asset status","Company ID":"CMP-c34e195e985"}</t>
  </si>
  <si>
    <t>PR-ALL-CMP-9307e1b3409</t>
  </si>
  <si>
    <t>{"Tier":"EXTENDED","Company":"Sysvax (Beijing) Biotechnology Co Ltd","Company Type":"COMMERCIAL","GD Active Assets":2,"GD All Assets":2,"GD Phase II+":0,"Highest GD Stage":"Phase I","Research Area Tags":"ABX, EMG, TB","Bridging Tags":"VAC","Public Source":null,"GlobalData As-of":"2026-07-31","Data Interpretation":"GlobalData snapshot only; validate current asset status","Company ID":"CMP-9307e1b3409"}</t>
  </si>
  <si>
    <t>PR-ALL-CMP-895a161abc0</t>
  </si>
  <si>
    <t>{"Tier":"EXTENDED","Company":"Chengdu Keen Biotechnology Co Ltd","Company Type":"COMMERCIAL","GD Active Assets":2,"GD All Assets":2,"GD Phase II+":1,"Highest GD Stage":"Phase II","Research Area Tags":"ABX, TB","Bridging Tags":"VAC","Public Source":null,"GlobalData As-of":"2026-07-31","Data Interpretation":"GlobalData snapshot only; validate current asset status","Company ID":"CMP-895a161abc0"}</t>
  </si>
  <si>
    <t>PR-ALL-CMP-4b7ea901498</t>
  </si>
  <si>
    <t>{"Tier":"EXTENDED","Company":"GeneCure Biotechnologies LLC","Company Type":"COMMERCIAL","GD Active Assets":2,"GD All Assets":2,"GD Phase II+":1,"Highest GD Stage":"Phase II","Research Area Tags":"HIV, HEP","Bridging Tags":"VAC","Public Source":null,"GlobalData As-of":"2026-07-31","Data Interpretation":"GlobalData snapshot only; validate current asset status","Company ID":"CMP-4b7ea901498"}</t>
  </si>
  <si>
    <t>PR-ALL-CMP-4e04704ecc0</t>
  </si>
  <si>
    <t>{"Tier":"EXTENDED","Company":"ReiThera Srl","Company Type":"COMMERCIAL","GD Active Assets":2,"GD All Assets":2,"GD Phase II+":1,"Highest GD Stage":"Phase III","Research Area Tags":"HIV, EMG","Bridging Tags":"VAC","Public Source":null,"GlobalData As-of":"2026-07-31","Data Interpretation":"GlobalData snapshot only; validate current asset status","Company ID":"CMP-4e04704ecc0"}</t>
  </si>
  <si>
    <t>PR-ALL-CMP-c1748b7ddd0</t>
  </si>
  <si>
    <t>{"Tier":"EXTENDED","Company":"Theravectys SA","Company Type":"COMMERCIAL","GD Active Assets":2,"GD All Assets":2,"GD Phase II+":1,"Highest GD Stage":"Phase II","Research Area Tags":"HIV, EMG","Bridging Tags":"VAC","Public Source":null,"GlobalData As-of":"2026-07-31","Data Interpretation":"GlobalData snapshot only; validate current asset status","Company ID":"CMP-c1748b7ddd0"}</t>
  </si>
  <si>
    <t>PR-ALL-CMP-b568334fb83</t>
  </si>
  <si>
    <t>{"Tier":"EXTENDED","Company":"United BioPharma Inc","Company Type":"COMMERCIAL","GD Active Assets":2,"GD All Assets":2,"GD Phase II+":1,"Highest GD Stage":"Phase II","Research Area Tags":"HIV, ICH","Bridging Tags":null,"Public Source":null,"GlobalData As-of":"2026-07-31","Data Interpretation":"GlobalData snapshot only; validate current asset status","Company ID":"CMP-b568334fb83"}</t>
  </si>
  <si>
    <t>PR-ALL-CMP-6b4f0aaee02</t>
  </si>
  <si>
    <t>{"Tier":"EXTENDED","Company":"Austrianni GmbH","Company Type":"COMMERCIAL","GD Active Assets":1,"GD All Assets":1,"GD Phase II+":0,"Highest GD Stage":"Preclinical","Research Area Tags":"HAI, ABX, TB, MUC","Bridging Tags":"MAB","Public Source":null,"GlobalData As-of":"2026-07-31","Data Interpretation":"GlobalData snapshot only; validate current asset status","Company ID":"CMP-6b4f0aaee02"}</t>
  </si>
  <si>
    <t>PR-ALL-CMP-d0dc37ee4f9</t>
  </si>
  <si>
    <t>{"Tier":"EXTENDED","Company":"Yaso Therapeutics Inc","Company Type":"COMMERCIAL","GD Active Assets":1,"GD All Assets":1,"GD Phase II+":0,"Highest GD Stage":"Preclinical","Research Area Tags":"HIV, ABX, EMG, MUC","Bridging Tags":null,"Public Source":null,"GlobalData As-of":"2026-07-31","Data Interpretation":"GlobalData snapshot only; validate current asset status","Company ID":"CMP-d0dc37ee4f9"}</t>
  </si>
  <si>
    <t>PR-ALL-CMP-90be0717d63</t>
  </si>
  <si>
    <t>{"Tier":"EXTENDED","Company":"ILiAD Biotechnologies LLC","Company Type":"COMMERCIAL","GD Active Assets":1,"GD All Assets":1,"GD Phase II+":1,"Highest GD Stage":"Phase II","Research Area Tags":"ABX, TB, MUC","Bridging Tags":"VAC","Public Source":null,"GlobalData As-of":"2026-07-31","Data Interpretation":"GlobalData snapshot only; validate current asset status","Company ID":"CMP-90be0717d63"}</t>
  </si>
  <si>
    <t>PR-ALL-CMP-ee9a972ce12</t>
  </si>
  <si>
    <t>{"Tier":"EXTENDED","Company":"Qurient Co Ltd","Company Type":"COMMERCIAL","GD Active Assets":1,"GD All Assets":2,"GD Phase II+":1,"Highest GD Stage":"Phase II","Research Area Tags":"ABX, TB, NTD","Bridging Tags":null,"Public Source":null,"GlobalData As-of":"2026-07-31","Data Interpretation":"GlobalData snapshot only; validate current asset status","Company ID":"CMP-ee9a972ce12"}</t>
  </si>
  <si>
    <t>PR-ALL-CMP-d048b7e58a6</t>
  </si>
  <si>
    <t>{"Tier":"EXTENDED","Company":"Autonomous Therapeutics Inc","Company Type":"COMMERCIAL","GD Active Assets":3,"GD All Assets":3,"GD Phase II+":0,"Highest GD Stage":"Preclinical","Research Area Tags":"HIV, EMG","Bridging Tags":null,"Public Source":null,"GlobalData As-of":"2026-07-31","Data Interpretation":"GlobalData snapshot only; validate current asset status","Company ID":"CMP-d048b7e58a6"}</t>
  </si>
  <si>
    <t>PR-ALL-CMP-a013038a1b4</t>
  </si>
  <si>
    <t>{"Tier":"EXTENDED","Company":"Archivel Farma SL","Company Type":"COMMERCIAL","GD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ID":"CMP-a013038a1b4"}</t>
  </si>
  <si>
    <t>PR-ALL-CMP-dbe4abdb422</t>
  </si>
  <si>
    <t>{"Tier":"EXTENDED","Company":"Changzhou Yinsheng Pharmaceutical Co Ltd","Company Type":"COMMERCIAL","GD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ID":"CMP-dbe4abdb422"}</t>
  </si>
  <si>
    <t>PR-ALL-CMP-15c4ed59a02</t>
  </si>
  <si>
    <t>{"Tier":"EXTENDED","Company":"LigaChem Biosciences Inc","Company Type":"COMMERCIAL","GD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ID":"CMP-15c4ed59a02"}</t>
  </si>
  <si>
    <t>PR-ALL-CMP-7f9729c098e</t>
  </si>
  <si>
    <t>{"Tier":"EXTENDED","Company":"Medicines Development for Global Health Ltd","Company Type":"COMMERCIAL","GD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ID":"CMP-7f9729c098e"}</t>
  </si>
  <si>
    <t>PR-ALL-CMP-f08e7bb1c06</t>
  </si>
  <si>
    <t>{"Tier":"EXTENDED","Company":"MedinCell SA","Company Type":"COMMERCIAL","GD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ID":"CMP-f08e7bb1c06"}</t>
  </si>
  <si>
    <t>PR-ALL-CMP-977c15d94f6</t>
  </si>
  <si>
    <t>{"Tier":"EXTENDED","Company":"Shanghai Jiatan Pharmaceutical Technology Co Ltd","Company Type":"COMMERCIAL","GD Active Assets":1,"GD All Assets":1,"GD Phase II+":1,"Highest GD Stage":"Phase III","Research Area Tags":"ABX, TB","Bridging Tags":null,"Public Source":null,"GlobalData As-of":"2026-07-31","Data Interpretation":"GlobalData snapshot only; validate current asset status","Company ID":"CMP-977c15d94f6"}</t>
  </si>
  <si>
    <t>PR-ALL-CMP-e82f0c0e061</t>
  </si>
  <si>
    <t>{"Tier":"EXTENDED","Company":"Thirty Respiratory Ltd","Company Type":"COMMERCIAL","GD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ID":"CMP-e82f0c0e061"}</t>
  </si>
  <si>
    <t>PR-ALL-CMP-ed793550845</t>
  </si>
  <si>
    <t>{"Tier":"EXTENDED","Company":"A&amp;J Science","Company Type":"COMMERCIAL","GD Active Assets":1,"GD All Assets":1,"GD Phase II+":0,"Highest GD Stage":"Preclinical","Research Area Tags":"ABX, TB","Bridging Tags":null,"Public Source":null,"GlobalData As-of":"2026-07-31","Data Interpretation":"GlobalData snapshot only; validate current asset status","Company ID":"CMP-ed793550845"}</t>
  </si>
  <si>
    <t>PR-ALL-CMP-c5c2748c797</t>
  </si>
  <si>
    <t>{"Tier":"EXTENDED","Company":"Asia Scientific Global","Company Type":"COMMERCIAL","GD Active Assets":1,"GD All Assets":1,"GD Phase II+":0,"Highest GD Stage":"Preclinical","Research Area Tags":"ABX, TB","Bridging Tags":null,"Public Source":null,"GlobalData As-of":"2026-07-31","Data Interpretation":"GlobalData snapshot only; validate current asset status","Company ID":"CMP-c5c2748c797"}</t>
  </si>
  <si>
    <t>PR-ALL-CMP-ce1905883b7</t>
  </si>
  <si>
    <t>{"Tier":"EXTENDED","Company":"Chengdu Anyong Dingye Biotechnology Co Ltd","Company Type":"COMMERCIAL","GD Active Assets":1,"GD All Assets":1,"GD Phase II+":0,"Highest GD Stage":"Preclinical","Research Area Tags":"ABX, TB","Bridging Tags":null,"Public Source":null,"GlobalData As-of":"2026-07-31","Data Interpretation":"GlobalData snapshot only; validate current asset status","Company ID":"CMP-ce1905883b7"}</t>
  </si>
  <si>
    <t>PR-ALL-CMP-8b05ff539ad</t>
  </si>
  <si>
    <t>CMP-8b05ff539ad</t>
  </si>
  <si>
    <t>Advagene Biopharma Co Ltd</t>
  </si>
  <si>
    <t>{"Tier":"LONG_TAIL","Company":"Advagene Biopharma Co Ltd","Company Type":"COMMERCIAL","GD Active Assets":3,"GD All Assets":4,"GD Phase II+":3,"Highest GD Stage":"Phase III","Research Area Tags":"EMG, MUC","Bridging Tags":"VAC","Public Source":null,"GlobalData As-of":"2026-07-31","Data Interpretation":"GlobalData snapshot only; validate current asset status","Company ID":"CMP-8b05ff539ad"}</t>
  </si>
  <si>
    <t>PR-ALL-CMP-2bfddf11430</t>
  </si>
  <si>
    <t>CMP-2bfddf11430</t>
  </si>
  <si>
    <t>Enanta Pharmaceuticals Inc</t>
  </si>
  <si>
    <t>{"Tier":"LONG_TAIL","Company":"Enanta Pharmaceuticals Inc","Company Type":"COMMERCIAL","GD Active Assets":3,"GD All Assets":3,"GD Phase II+":3,"Highest GD Stage":"Phase II","Research Area Tags":"EMG, MUC","Bridging Tags":null,"Public Source":null,"GlobalData As-of":"2026-07-31","Data Interpretation":"GlobalData snapshot only; validate current asset status","Company ID":"CMP-2bfddf11430"}</t>
  </si>
  <si>
    <t>PR-ALL-CMP-f0a1c35d667</t>
  </si>
  <si>
    <t>CMP-f0a1c35d667</t>
  </si>
  <si>
    <t>Insmed Inc</t>
  </si>
  <si>
    <t>{"Tier":"LONG_TAIL","Company":"Insmed Inc","Company Type":"COMMERCIAL","GD Active Assets":2,"GD All Assets":2,"GD Phase II+":2,"Highest GD Stage":"Phase III","Research Area Tags":"ABX, EMG, ICH","Bridging Tags":null,"Public Source":null,"GlobalData As-of":"2026-07-31","Data Interpretation":"GlobalData snapshot only; validate current asset status","Company ID":"CMP-f0a1c35d667"}</t>
  </si>
  <si>
    <t>PR-ALL-CMP-23dd64eab09</t>
  </si>
  <si>
    <t>CMP-23dd64eab09</t>
  </si>
  <si>
    <t>Sanofi R&amp;D Vaccins SA</t>
  </si>
  <si>
    <t>{"Tier":"LONG_TAIL","Company":"Sanofi R&amp;D Vaccins SA","Company Type":"COMMERCIAL","GD Active Assets":2,"GD All Assets":2,"GD Phase II+":2,"Highest GD Stage":"Pre-Registration","Research Area Tags":"HEP, ABX, MUC","Bridging Tags":"VAC","Public Source":null,"GlobalData As-of":"2026-07-31","Data Interpretation":"GlobalData snapshot only; validate current asset status","Company ID":"CMP-23dd64eab09"}</t>
  </si>
  <si>
    <t>PR-ALL-CMP-01698f16b6e</t>
  </si>
  <si>
    <t>CMP-01698f16b6e</t>
  </si>
  <si>
    <t>Tennor Therapeutics (Suzhou) Co., Ltd.</t>
  </si>
  <si>
    <t>{"Tier":"LONG_TAIL","Company":"Tennor Therapeutics (Suzhou) Co., Ltd.","Company Type":"COMMERCIAL","GD Active Assets":2,"GD All Assets":2,"GD Phase II+":2,"Highest GD Stage":"Phase III","Research Area Tags":"HAI, ABX, MUC","Bridging Tags":null,"Public Source":null,"GlobalData As-of":"2026-07-31","Data Interpretation":"GlobalData snapshot only; validate current asset status","Company ID":"CMP-01698f16b6e"}</t>
  </si>
  <si>
    <t>PR-ALL-CMP-bbb20d7f935</t>
  </si>
  <si>
    <t>CMP-bbb20d7f935</t>
  </si>
  <si>
    <t>Covirix Medical Pty Ltd</t>
  </si>
  <si>
    <t>{"Tier":"LONG_TAIL","Company":"Covirix Medical Pty Ltd","Company Type":"COMMERCIAL","GD Active Assets":11,"GD All Assets":11,"GD Phase II+":0,"Highest GD Stage":"Preclinical","Research Area Tags":"EMG","Bridging Tags":null,"Public Source":null,"GlobalData As-of":"2026-07-31","Data Interpretation":"GlobalData snapshot only; validate current asset status","Company ID":"CMP-bbb20d7f935"}</t>
  </si>
  <si>
    <t>PR-ALL-CMP-39fa2717bba</t>
  </si>
  <si>
    <t>CMP-39fa2717bba</t>
  </si>
  <si>
    <t>Beijing Tiantan Biological Products Co Ltd</t>
  </si>
  <si>
    <t>{"Tier":"LONG_TAIL","Company":"Beijing Tiantan Biological Products Co Ltd","Company Type":"COMMERCIAL","GD Active Assets":3,"GD All Assets":3,"GD Phase II+":2,"Highest GD Stage":"Phase III","Research Area Tags":"EMG, MUC","Bridging Tags":"VAC","Public Source":null,"GlobalData As-of":"2026-07-31","Data Interpretation":"GlobalData snapshot only; validate current asset status","Company ID":"CMP-39fa2717bba"}</t>
  </si>
  <si>
    <t>PR-ALL-CMP-e9ea9437017</t>
  </si>
  <si>
    <t>CMP-e9ea9437017</t>
  </si>
  <si>
    <t>EnnoDC</t>
  </si>
  <si>
    <t>{"Tier":"LONG_TAIL","Company":"EnnoDC","Company Type":"COMMERCIAL","GD Active Assets":3,"GD All Assets":3,"GD Phase II+":2,"Highest GD Stage":"Phase II","Research Area Tags":"ABX, EMG","Bridging Tags":"VAC","Public Source":null,"GlobalData As-of":"2026-07-31","Data Interpretation":"GlobalData snapshot only; validate current asset status","Company ID":"CMP-e9ea9437017"}</t>
  </si>
  <si>
    <t>PR-ALL-CMP-cfd0a415846</t>
  </si>
  <si>
    <t>{"Tier":"LONG_TAIL","Company":"International Vaccine Institute","Company Type":"COMMERCIAL","GD Active Assets":3,"GD All Assets":3,"GD Phase II+":2,"Highest GD Stage":"Phase III","Research Area Tags":"ABX, MUC","Bridging Tags":"VAC","Public Source":null,"GlobalData As-of":"2026-07-31","Data Interpretation":"GlobalData snapshot only; validate current asset status","Company ID":"CMP-cfd0a415846"}</t>
  </si>
  <si>
    <t>PR-ALL-CMP-7dbdc825a59</t>
  </si>
  <si>
    <t>CMP-7dbdc825a59</t>
  </si>
  <si>
    <t>The Institute of Vaccines and Medical Biologicals</t>
  </si>
  <si>
    <t>{"Tier":"LONG_TAIL","Company":"The Institute of Vaccines and Medical Biologicals","Company Type":"COMMERCIAL","GD Active Assets":3,"GD All Assets":3,"GD Phase II+":2,"Highest GD Stage":"Phase III","Research Area Tags":"EMG, MUC","Bridging Tags":"VAC","Public Source":null,"GlobalData As-of":"2026-07-31","Data Interpretation":"GlobalData snapshot only; validate current asset status","Company ID":"CMP-7dbdc825a59"}</t>
  </si>
  <si>
    <t>PR-ALL-CMP-fdced3bf5c8</t>
  </si>
  <si>
    <t>CMP-fdced3bf5c8</t>
  </si>
  <si>
    <t>Varnotech</t>
  </si>
  <si>
    <t>{"Tier":"LONG_TAIL","Company":"Varnotech","Company Type":"COMMERCIAL","GD Active Assets":3,"GD All Assets":3,"GD Phase II+":2,"Highest GD Stage":"Phase III","Research Area Tags":"MUC, ICH","Bridging Tags":"VAC","Public Source":null,"GlobalData As-of":"2026-07-31","Data Interpretation":"GlobalData snapshot only; validate current asset status","Company ID":"CMP-fdced3bf5c8"}</t>
  </si>
  <si>
    <t>PR-ALL-CMP-c196e86cf3b</t>
  </si>
  <si>
    <t>CMP-c196e86cf3b</t>
  </si>
  <si>
    <t>German Center for Infection Research</t>
  </si>
  <si>
    <t>{"Tier":"LONG_TAIL","Company":"German Center for Infection Research","Company Type":"COMMERCIAL","GD Active Assets":4,"GD All Assets":4,"GD Phase II+":0,"Highest GD Stage":"Phase I","Research Area Tags":"HAI, ABX, EMG","Bridging Tags":"VAC, MAB","Public Source":null,"GlobalData As-of":"2026-07-31","Data Interpretation":"GlobalData snapshot only; validate current asset status","Company ID":"CMP-c196e86cf3b"}</t>
  </si>
  <si>
    <t>PR-ALL-CMP-e8fb14995a4</t>
  </si>
  <si>
    <t>CMP-e8fb14995a4</t>
  </si>
  <si>
    <t>Acurx Pharmaceuticals Inc</t>
  </si>
  <si>
    <t>{"Tier":"LONG_TAIL","Company":"Acurx Pharmaceuticals Inc","Company Type":"COMMERCIAL","GD Active Assets":4,"GD All Assets":4,"GD Phase II+":1,"Highest GD Stage":"Phase II","Research Area Tags":"HAI, ABX","Bridging Tags":null,"Public Source":null,"GlobalData As-of":"2026-07-31","Data Interpretation":"GlobalData snapshot only; validate current asset status","Company ID":"CMP-e8fb14995a4"}</t>
  </si>
  <si>
    <t>PR-ALL-CMP-d59d3591587</t>
  </si>
  <si>
    <t>CMP-d59d3591587</t>
  </si>
  <si>
    <t>Zhuhai Trinomab Pharmaceutical Co Ltd</t>
  </si>
  <si>
    <t>{"Tier":"LONG_TAIL","Company":"Zhuhai Trinomab Pharmaceutical Co Ltd","Company Type":"COMMERCIAL","GD Active Assets":4,"GD All Assets":4,"GD Phase II+":1,"Highest GD Stage":"Phase III","Research Area Tags":"MUC, ICH","Bridging Tags":null,"Public Source":null,"GlobalData As-of":"2026-07-31","Data Interpretation":"GlobalData snapshot only; validate current asset status","Company ID":"CMP-d59d3591587"}</t>
  </si>
  <si>
    <t>PR-ALL-CMP-fc6e2efb7c7</t>
  </si>
  <si>
    <t>CMP-fc6e2efb7c7</t>
  </si>
  <si>
    <t>Grand Pharmaceutical Group Ltd</t>
  </si>
  <si>
    <t>{"Tier":"LONG_TAIL","Company":"Grand Pharmaceutical Group Ltd","Company Type":"COMMERCIAL","GD Active Assets":1,"GD All Assets":1,"GD Phase II+":1,"Highest GD Stage":"Phase II","Research Area Tags":"HAI, ABX, EMG, MUC, ICH","Bridging Tags":null,"Public Source":null,"GlobalData As-of":"2026-07-31","Data Interpretation":"GlobalData snapshot only; validate current asset status","Company ID":"CMP-fc6e2efb7c7"}</t>
  </si>
  <si>
    <t>PR-ALL-CMP-12cbec68b49</t>
  </si>
  <si>
    <t>CMP-12cbec68b49</t>
  </si>
  <si>
    <t>MetrioPharm AG</t>
  </si>
  <si>
    <t>{"Tier":"LONG_TAIL","Company":"MetrioPharm AG","Company Type":"COMMERCIAL","GD Active Assets":1,"GD All Assets":1,"GD Phase II+":1,"Highest GD Stage":"Phase II","Research Area Tags":"HAI, ABX, EMG, MUC, ICH","Bridging Tags":null,"Public Source":null,"GlobalData As-of":"2026-07-31","Data Interpretation":"GlobalData snapshot only; validate current asset status","Company ID":"CMP-12cbec68b49"}</t>
  </si>
  <si>
    <t>PR-ALL-CMP-c145418cbeb</t>
  </si>
  <si>
    <t>CMP-c145418cbeb</t>
  </si>
  <si>
    <t>Recce Pharmaceuticals Ltd</t>
  </si>
  <si>
    <t>{"Tier":"LONG_TAIL","Company":"Recce Pharmaceuticals Ltd","Company Type":"COMMERCIAL","GD Active Assets":1,"GD All Assets":1,"GD Phase II+":1,"Highest GD Stage":"Phase II","Research Area Tags":"HAI, ABX, EMG, MUC, ICH","Bridging Tags":null,"Public Source":null,"GlobalData As-of":"2026-07-31","Data Interpretation":"GlobalData snapshot only; validate current asset status","Company ID":"CMP-c145418cbeb"}</t>
  </si>
  <si>
    <t>PR-ALL-CMP-7587fa3e2a4</t>
  </si>
  <si>
    <t>CMP-7587fa3e2a4</t>
  </si>
  <si>
    <t>Vasomune Therapeutics Inc</t>
  </si>
  <si>
    <t>{"Tier":"LONG_TAIL","Company":"Vasomune Therapeutics Inc","Company Type":"COMMERCIAL","GD Active Assets":1,"GD All Assets":1,"GD Phase II+":1,"Highest GD Stage":"Phase II","Research Area Tags":"HAI, ABX, EMG, MUC, ICH","Bridging Tags":null,"Public Source":null,"GlobalData As-of":"2026-07-31","Data Interpretation":"GlobalData snapshot only; validate current asset status","Company ID":"CMP-7587fa3e2a4"}</t>
  </si>
  <si>
    <t>PR-ALL-CMP-7e04e8070cd</t>
  </si>
  <si>
    <t>CMP-7e04e8070cd</t>
  </si>
  <si>
    <t>Liaoning Chengda Biological Co Ltd</t>
  </si>
  <si>
    <t>{"Tier":"LONG_TAIL","Company":"Liaoning Chengda Biological Co Ltd","Company Type":"COMMERCIAL","GD Active Assets":4,"GD All Assets":4,"GD Phase II+":3,"Highest GD Stage":"Phase III","Research Area Tags":"MUC","Bridging Tags":"VAC","Public Source":null,"GlobalData As-of":"2026-07-31","Data Interpretation":"GlobalData snapshot only; validate current asset status","Company ID":"CMP-7e04e8070cd"}</t>
  </si>
  <si>
    <t>PR-ALL-CMP-1b831573a87</t>
  </si>
  <si>
    <t>CMP-1b831573a87</t>
  </si>
  <si>
    <t>Shanghai Bovax Biotechnology Co Ltd</t>
  </si>
  <si>
    <t>{"Tier":"LONG_TAIL","Company":"Shanghai Bovax Biotechnology Co Ltd","Company Type":"COMMERCIAL","GD Active Assets":5,"GD All Assets":5,"GD Phase II+":4,"Highest GD Stage":"Phase III","Research Area Tags":null,"Bridging Tags":"VAC","Public Source":null,"GlobalData As-of":"2026-07-31","Data Interpretation":"GlobalData snapshot only; validate current asset status","Company ID":"CMP-1b831573a87"}</t>
  </si>
  <si>
    <t>PR-ALL-CMP-a5b2d5d4fea</t>
  </si>
  <si>
    <t>CMP-a5b2d5d4fea</t>
  </si>
  <si>
    <t>Aluda Pharmaceuticals Inc</t>
  </si>
  <si>
    <t>{"Tier":"LONG_TAIL","Company":"Aluda Pharmaceuticals Inc","Company Type":"COMMERCIAL","GD Active Assets":2,"GD All Assets":2,"GD Phase II+":0,"Highest GD Stage":"Preclinical","Research Area Tags":"HAI, ABX, EMG, ICH","Bridging Tags":null,"Public Source":null,"GlobalData As-of":"2026-07-31","Data Interpretation":"GlobalData snapshot only; validate current asset status","Company ID":"CMP-a5b2d5d4fea"}</t>
  </si>
  <si>
    <t>PR-ALL-CMP-84b77f62afa</t>
  </si>
  <si>
    <t>CMP-84b77f62afa</t>
  </si>
  <si>
    <t>Ceria Therapeutics Inc</t>
  </si>
  <si>
    <t>{"Tier":"LONG_TAIL","Company":"Ceria Therapeutics Inc","Company Type":"COMMERCIAL","GD Active Assets":2,"GD All Assets":2,"GD Phase II+":0,"Highest GD Stage":"Preclinical","Research Area Tags":"HAI, ABX, EMG, ICH","Bridging Tags":null,"Public Source":null,"GlobalData As-of":"2026-07-31","Data Interpretation":"GlobalData snapshot only; validate current asset status","Company ID":"CMP-84b77f62afa"}</t>
  </si>
  <si>
    <t>PR-ALL-CMP-baae2bc2171</t>
  </si>
  <si>
    <t>CMP-baae2bc2171</t>
  </si>
  <si>
    <t>HLB Pep Co Ltd</t>
  </si>
  <si>
    <t>{"Tier":"LONG_TAIL","Company":"HLB Pep Co Ltd","Company Type":"COMMERCIAL","GD Active Assets":2,"GD All Assets":2,"GD Phase II+":0,"Highest GD Stage":"Preclinical","Research Area Tags":"HAI, ABX, EMG, MUC","Bridging Tags":null,"Public Source":null,"GlobalData As-of":"2026-07-31","Data Interpretation":"GlobalData snapshot only; validate current asset status","Company ID":"CMP-baae2bc2171"}</t>
  </si>
  <si>
    <t>PR-ALL-CMP-d9b58756f6b</t>
  </si>
  <si>
    <t>CMP-d9b58756f6b</t>
  </si>
  <si>
    <t>Kinnear Pharmaceuticals LLC</t>
  </si>
  <si>
    <t>{"Tier":"LONG_TAIL","Company":"Kinnear Pharmaceuticals LLC","Company Type":"COMMERCIAL","GD Active Assets":2,"GD All Assets":2,"GD Phase II+":0,"Highest GD Stage":"Preclinical","Research Area Tags":"HAI, ABX, EMG, NTD","Bridging Tags":null,"Public Source":null,"GlobalData As-of":"2026-07-31","Data Interpretation":"GlobalData snapshot only; validate current asset status","Company ID":"CMP-d9b58756f6b"}</t>
  </si>
  <si>
    <t>PR-ALL-CMP-1a8ffeabc0a</t>
  </si>
  <si>
    <t>CMP-1a8ffeabc0a</t>
  </si>
  <si>
    <t>TC BioPharm Ltd</t>
  </si>
  <si>
    <t>{"Tier":"LONG_TAIL","Company":"TC BioPharm Ltd","Company Type":"COMMERCIAL","GD Active Assets":2,"GD All Assets":3,"GD Phase II+":0,"Highest GD Stage":"Preclinical","Research Area Tags":"HAI, EMG, MUC, ICH","Bridging Tags":null,"Public Source":null,"GlobalData As-of":"2026-07-31","Data Interpretation":"GlobalData snapshot only; validate current asset status","Company ID":"CMP-1a8ffeabc0a"}</t>
  </si>
  <si>
    <t>PR-ALL-CMP-8606befc98e</t>
  </si>
  <si>
    <t>CMP-8606befc98e</t>
  </si>
  <si>
    <t>Vascular BioSciences</t>
  </si>
  <si>
    <t>{"Tier":"LONG_TAIL","Company":"Vascular BioSciences","Company Type":"COMMERCIAL","GD Active Assets":2,"GD All Assets":2,"GD Phase II+":0,"Highest GD Stage":"Preclinical","Research Area Tags":"HAI, ABX, EMG, ICH","Bridging Tags":null,"Public Source":null,"GlobalData As-of":"2026-07-31","Data Interpretation":"GlobalData snapshot only; validate current asset status","Company ID":"CMP-8606befc98e"}</t>
  </si>
  <si>
    <t>PR-ALL-CMP-bae2c6bd368</t>
  </si>
  <si>
    <t>CMP-bae2c6bd368</t>
  </si>
  <si>
    <t>AN2 Therapeutics Inc</t>
  </si>
  <si>
    <t>{"Tier":"LONG_TAIL","Company":"AN2 Therapeutics Inc","Company Type":"COMMERCIAL","GD Active Assets":2,"GD All Assets":2,"GD Phase II+":1,"Highest GD Stage":"Phase II","Research Area Tags":"ABX, NTD, ICH","Bridging Tags":null,"Public Source":null,"GlobalData As-of":"2026-07-31","Data Interpretation":"GlobalData snapshot only; validate current asset status","Company ID":"CMP-bae2c6bd368"}</t>
  </si>
  <si>
    <t>PR-ALL-CMP-7711710467e</t>
  </si>
  <si>
    <t>CMP-7711710467e</t>
  </si>
  <si>
    <t>HK inno.N Corp</t>
  </si>
  <si>
    <t>{"Tier":"LONG_TAIL","Company":"HK inno.N Corp","Company Type":"COMMERCIAL","GD Active Assets":2,"GD All Assets":2,"GD Phase II+":1,"Highest GD Stage":"Phase II","Research Area Tags":"ABX, EMG, MUC","Bridging Tags":null,"Public Source":null,"GlobalData As-of":"2026-07-31","Data Interpretation":"GlobalData snapshot only; validate current asset status","Company ID":"CMP-7711710467e"}</t>
  </si>
  <si>
    <t>PR-ALL-CMP-0ecf7c9418b</t>
  </si>
  <si>
    <t>CMP-0ecf7c9418b</t>
  </si>
  <si>
    <t>Profem GmbH</t>
  </si>
  <si>
    <t>{"Tier":"LONG_TAIL","Company":"Profem GmbH","Company Type":"COMMERCIAL","GD Active Assets":2,"GD All Assets":2,"GD Phase II+":1,"Highest GD Stage":"Pre-Registration","Research Area Tags":"ABX, MUC, ICH","Bridging Tags":null,"Public Source":null,"GlobalData As-of":"2026-07-31","Data Interpretation":"GlobalData snapshot only; validate current asset status","Company ID":"CMP-0ecf7c9418b"}</t>
  </si>
  <si>
    <t>PR-ALL-CMP-fbb811c34e2</t>
  </si>
  <si>
    <t>CMP-fbb811c34e2</t>
  </si>
  <si>
    <t>TaeJoon Pharmaceuticals Co Ltd</t>
  </si>
  <si>
    <t>{"Tier":"LONG_TAIL","Company":"TaeJoon Pharmaceuticals Co Ltd","Company Type":"COMMERCIAL","GD Active Assets":2,"GD All Assets":2,"GD Phase II+":1,"Highest GD Stage":"Phase III","Research Area Tags":"HAI, ABX, ICH","Bridging Tags":null,"Public Source":null,"GlobalData As-of":"2026-07-31","Data Interpretation":"GlobalData snapshot only; validate current asset status","Company ID":"CMP-fbb811c34e2"}</t>
  </si>
  <si>
    <t>PR-ALL-CMP-71ec799e1de</t>
  </si>
  <si>
    <t>CMP-71ec799e1de</t>
  </si>
  <si>
    <t>AMR Bio Ltd</t>
  </si>
  <si>
    <t>{"Tier":"LONG_TAIL","Company":"AMR Bio Ltd","Company Type":"COMMERCIAL","GD Active Assets":1,"GD All Assets":1,"GD Phase II+":1,"Highest GD Stage":"Phase II","Research Area Tags":"HAI, ABX, MUC, ICH","Bridging Tags":null,"Public Source":null,"GlobalData As-of":"2026-07-31","Data Interpretation":"GlobalData snapshot only; validate current asset status","Company ID":"CMP-71ec799e1de"}</t>
  </si>
  <si>
    <t>PR-ALL-CMP-2df0577a6fb</t>
  </si>
  <si>
    <t>CMP-2df0577a6fb</t>
  </si>
  <si>
    <t>Arch Biopartners Inc</t>
  </si>
  <si>
    <t>{"Tier":"LONG_TAIL","Company":"Arch Biopartners Inc","Company Type":"COMMERCIAL","GD Active Assets":1,"GD All Assets":1,"GD Phase II+":1,"Highest GD Stage":"Phase III","Research Area Tags":"HAI, ABX, EMG, ICH","Bridging Tags":null,"Public Source":null,"GlobalData As-of":"2026-07-31","Data Interpretation":"GlobalData snapshot only; validate current asset status","Company ID":"CMP-2df0577a6fb"}</t>
  </si>
  <si>
    <t>PR-ALL-CMP-ba5b9c20c77</t>
  </si>
  <si>
    <t>CMP-ba5b9c20c77</t>
  </si>
  <si>
    <t>BioAegis Therapeutics Inc</t>
  </si>
  <si>
    <t>{"Tier":"LONG_TAIL","Company":"BioAegis Therapeutics Inc","Company Type":"COMMERCIAL","GD Active Assets":1,"GD All Assets":1,"GD Phase II+":1,"Highest GD Stage":"Phase II","Research Area Tags":"HAI, EMG, MUC, ICH","Bridging Tags":"MAB","Public Source":null,"GlobalData As-of":"2026-07-31","Data Interpretation":"GlobalData snapshot only; validate current asset status","Company ID":"CMP-ba5b9c20c77"}</t>
  </si>
  <si>
    <t>PR-ALL-CMP-2d59b633929</t>
  </si>
  <si>
    <t>CMP-2d59b633929</t>
  </si>
  <si>
    <t>Pharma Holdings AS</t>
  </si>
  <si>
    <t>{"Tier":"LONG_TAIL","Company":"Pharma Holdings AS","Company Type":"COMMERCIAL","GD Active Assets":1,"GD All Assets":1,"GD Phase II+":1,"Highest GD Stage":"Phase II","Research Area Tags":"HAI, ABX, EMG, MUC","Bridging Tags":null,"Public Source":null,"GlobalData As-of":"2026-07-31","Data Interpretation":"GlobalData snapshot only; validate current asset status","Company ID":"CMP-2d59b633929"}</t>
  </si>
  <si>
    <t>PR-ALL-CMP-40a5624ea4d</t>
  </si>
  <si>
    <t>CMP-40a5624ea4d</t>
  </si>
  <si>
    <t>Pulmotect Inc</t>
  </si>
  <si>
    <t>{"Tier":"LONG_TAIL","Company":"Pulmotect Inc","Company Type":"COMMERCIAL","GD Active Assets":1,"GD All Assets":1,"GD Phase II+":1,"Highest GD Stage":"Phase II","Research Area Tags":"ABX, EMG, MUC, ICH","Bridging Tags":null,"Public Source":null,"GlobalData As-of":"2026-07-31","Data Interpretation":"GlobalData snapshot only; validate current asset status","Company ID":"CMP-40a5624ea4d"}</t>
  </si>
  <si>
    <t>PR-ALL-CMP-c9ffa3cd190</t>
  </si>
  <si>
    <t>CMP-c9ffa3cd190</t>
  </si>
  <si>
    <t>Ausper Biopharma Co Ltd</t>
  </si>
  <si>
    <t>{"Tier":"LONG_TAIL","Company":"Ausper Biopharma Co Ltd","Company Type":"COMMERCIAL","GD Active Assets":4,"GD All Assets":4,"GD Phase II+":2,"Highest GD Stage":"Phase III","Research Area Tags":"HEP","Bridging Tags":null,"Public Source":null,"GlobalData As-of":"2026-07-31","Data Interpretation":"GlobalData snapshot only; validate current asset status","Company ID":"CMP-c9ffa3cd190"}</t>
  </si>
  <si>
    <t>PR-ALL-CMP-ce9ba6b2e55</t>
  </si>
  <si>
    <t>CMP-ce9ba6b2e55</t>
  </si>
  <si>
    <t>Fujian Cosunter Pharmaceutical Co Ltd</t>
  </si>
  <si>
    <t>{"Tier":"LONG_TAIL","Company":"Fujian Cosunter Pharmaceutical Co Ltd","Company Type":"COMMERCIAL","GD Active Assets":4,"GD All Assets":4,"GD Phase II+":2,"Highest GD Stage":"Phase III","Research Area Tags":"HEP","Bridging Tags":null,"Public Source":null,"GlobalData As-of":"2026-07-31","Data Interpretation":"GlobalData snapshot only; validate current asset status","Company ID":"CMP-ce9ba6b2e55"}</t>
  </si>
  <si>
    <t>PR-ALL-CMP-9f7bfabe5f1</t>
  </si>
  <si>
    <t>CMP-9f7bfabe5f1</t>
  </si>
  <si>
    <t>Jiangsu Recbio Technology Co Ltd</t>
  </si>
  <si>
    <t>{"Tier":"LONG_TAIL","Company":"Jiangsu Recbio Technology Co Ltd","Company Type":"COMMERCIAL","GD Active Assets":4,"GD All Assets":4,"GD Phase II+":2,"Highest GD Stage":"Pre-Registration","Research Area Tags":"ICH","Bridging Tags":null,"Public Source":null,"GlobalData As-of":"2026-07-31","Data Interpretation":"GlobalData snapshot only; validate current asset status","Company ID":"CMP-9f7bfabe5f1"}</t>
  </si>
  <si>
    <t>PR-ALL-CMP-c06a08d703b</t>
  </si>
  <si>
    <t>CMP-c06a08d703b</t>
  </si>
  <si>
    <t>CyanVac LLC</t>
  </si>
  <si>
    <t>{"Tier":"LONG_TAIL","Company":"CyanVac LLC","Company Type":"COMMERCIAL","GD Active Assets":5,"GD All Assets":5,"GD Phase II+":0,"Highest GD Stage":"Phase I","Research Area Tags":"EMG, MUC","Bridging Tags":null,"Public Source":null,"GlobalData As-of":"2026-07-31","Data Interpretation":"GlobalData snapshot only; validate current asset status","Company ID":"CMP-c06a08d703b"}</t>
  </si>
  <si>
    <t>PR-ALL-CMP-6eced848df7</t>
  </si>
  <si>
    <t>CMP-6eced848df7</t>
  </si>
  <si>
    <t>Macro Biologics Inc</t>
  </si>
  <si>
    <t>{"Tier":"LONG_TAIL","Company":"Macro Biologics Inc","Company Type":"COMMERCIAL","GD Active Assets":5,"GD All Assets":5,"GD Phase II+":0,"Highest GD Stage":"Phase I","Research Area Tags":"HAI, ABX","Bridging Tags":null,"Public Source":null,"GlobalData As-of":"2026-07-31","Data Interpretation":"GlobalData snapshot only; validate current asset status","Company ID":"CMP-6eced848df7"}</t>
  </si>
  <si>
    <t>PR-ALL-CMP-647e935b10b</t>
  </si>
  <si>
    <t>CMP-647e935b10b</t>
  </si>
  <si>
    <t>VBI Vaccines Inc</t>
  </si>
  <si>
    <t>{"Tier":"LONG_TAIL","Company":"VBI Vaccines Inc","Company Type":"COMMERCIAL","GD Active Assets":5,"GD All Assets":5,"GD Phase II+":0,"Highest GD Stage":"Phase I","Research Area Tags":"EMG, ICH","Bridging Tags":"VAC","Public Source":null,"GlobalData As-of":"2026-07-31","Data Interpretation":"GlobalData snapshot only; validate current asset status","Company ID":"CMP-647e935b10b"}</t>
  </si>
  <si>
    <t>PR-ALL-CMP-b4673c0b82a</t>
  </si>
  <si>
    <t>CMP-b4673c0b82a</t>
  </si>
  <si>
    <t>Aptorum Group Ltd</t>
  </si>
  <si>
    <t>{"Tier":"LONG_TAIL","Company":"Aptorum Group Ltd","Company Type":"COMMERCIAL","GD Active Assets":3,"GD All Assets":3,"GD Phase II+":0,"Highest GD Stage":"Phase I","Research Area Tags":"HAI, ABX, MUC","Bridging Tags":null,"Public Source":null,"GlobalData As-of":"2026-07-31","Data Interpretation":"GlobalData snapshot only; validate current asset status","Company ID":"CMP-b4673c0b82a"}</t>
  </si>
  <si>
    <t>PR-ALL-CMP-4150496d6dc</t>
  </si>
  <si>
    <t>CMP-4150496d6dc</t>
  </si>
  <si>
    <t>Cellics Therapeutics Inc</t>
  </si>
  <si>
    <t>{"Tier":"LONG_TAIL","Company":"Cellics Therapeutics Inc","Company Type":"COMMERCIAL","GD Active Assets":3,"GD All Assets":3,"GD Phase II+":0,"Highest GD Stage":"IND/CTA Filed","Research Area Tags":"HAI, ABX, ICH","Bridging Tags":null,"Public Source":null,"GlobalData As-of":"2026-07-31","Data Interpretation":"GlobalData snapshot only; validate current asset status","Company ID":"CMP-4150496d6dc"}</t>
  </si>
  <si>
    <t>PR-ALL-CMP-265c33cbf4b</t>
  </si>
  <si>
    <t>CMP-265c33cbf4b</t>
  </si>
  <si>
    <t>Parr Biotechnology (Hebei) Co Ltd</t>
  </si>
  <si>
    <t>{"Tier":"LONG_TAIL","Company":"Parr Biotechnology (Hebei) Co Ltd","Company Type":"COMMERCIAL","GD Active Assets":3,"GD All Assets":3,"GD Phase II+":0,"Highest GD Stage":"IND/CTA Filed","Research Area Tags":"HEP, MUC, ICH","Bridging Tags":"VAC","Public Source":null,"GlobalData As-of":"2026-07-31","Data Interpretation":"GlobalData snapshot only; validate current asset status","Company ID":"CMP-265c33cbf4b"}</t>
  </si>
  <si>
    <t>PR-ALL-CMP-0824d4c50b1</t>
  </si>
  <si>
    <t>CMP-0824d4c50b1</t>
  </si>
  <si>
    <t>Sumitomo Pharma Co Ltd</t>
  </si>
  <si>
    <t>{"Tier":"LONG_TAIL","Company":"Sumitomo Pharma Co Ltd","Company Type":"COMMERCIAL","GD Active Assets":3,"GD All Assets":3,"GD Phase II+":0,"Highest GD Stage":"Phase I","Research Area Tags":"HAI, ABX, MUC","Bridging Tags":null,"Public Source":null,"GlobalData As-of":"2026-07-31","Data Interpretation":"GlobalData snapshot only; validate current asset status","Company ID":"CMP-0824d4c50b1"}</t>
  </si>
  <si>
    <t>PR-ALL-CMP-79649894244</t>
  </si>
  <si>
    <t>CMP-79649894244</t>
  </si>
  <si>
    <t>iNtRON Biotechnology Inc</t>
  </si>
  <si>
    <t>{"Tier":"LONG_TAIL","Company":"iNtRON Biotechnology Inc","Company Type":"COMMERCIAL","GD Active Assets":3,"GD All Assets":3,"GD Phase II+":0,"Highest GD Stage":"Phase I","Research Area Tags":"HAI, ABX, ICH","Bridging Tags":null,"Public Source":null,"GlobalData As-of":"2026-07-31","Data Interpretation":"GlobalData snapshot only; validate current asset status","Company ID":"CMP-79649894244"}</t>
  </si>
  <si>
    <t>PR-ALL-CMP-90e772a5114</t>
  </si>
  <si>
    <t>CMP-90e772a5114</t>
  </si>
  <si>
    <t>Asieris Pharmaceuticals (USA) Inc</t>
  </si>
  <si>
    <t>{"Tier":"LONG_TAIL","Company":"Asieris Pharmaceuticals (USA) Inc","Company Type":"COMMERCIAL","GD Active Assets":3,"GD All Assets":3,"GD Phase II+":1,"Highest GD Stage":"Phase II","Research Area Tags":"HAI, ABX","Bridging Tags":null,"Public Source":null,"GlobalData As-of":"2026-07-31","Data Interpretation":"GlobalData snapshot only; validate current asset status","Company ID":"CMP-90e772a5114"}</t>
  </si>
  <si>
    <t>PR-ALL-CMP-03d317c744a</t>
  </si>
  <si>
    <t>CMP-03d317c744a</t>
  </si>
  <si>
    <t>CastleVax Inc</t>
  </si>
  <si>
    <t>{"Tier":"LONG_TAIL","Company":"CastleVax Inc","Company Type":"COMMERCIAL","GD Active Assets":3,"GD All Assets":3,"GD Phase II+":1,"Highest GD Stage":"Phase II","Research Area Tags":"EMG, MUC","Bridging Tags":null,"Public Source":null,"GlobalData As-of":"2026-07-31","Data Interpretation":"GlobalData snapshot only; validate current asset status","Company ID":"CMP-03d317c744a"}</t>
  </si>
  <si>
    <t>PR-ALL-CMP-7d99c46b75b</t>
  </si>
  <si>
    <t>CMP-7d99c46b75b</t>
  </si>
  <si>
    <t>Genevax (Shanghai) Biological Products Co Ltd</t>
  </si>
  <si>
    <t>{"Tier":"LONG_TAIL","Company":"Genevax (Shanghai) Biological Products Co Ltd","Company Type":"COMMERCIAL","GD Active Assets":3,"GD All Assets":3,"GD Phase II+":1,"Highest GD Stage":"Phase III","Research Area Tags":"MUC, ICH","Bridging Tags":"VAC","Public Source":null,"GlobalData As-of":"2026-07-31","Data Interpretation":"GlobalData snapshot only; validate current asset status","Company ID":"CMP-7d99c46b75b"}</t>
  </si>
  <si>
    <t>PR-ALL-CMP-6aecf292a12</t>
  </si>
  <si>
    <t>CMP-6aecf292a12</t>
  </si>
  <si>
    <t>Suzhou Hepa Thera Biopharmaceutical Co Ltd</t>
  </si>
  <si>
    <t>{"Tier":"LONG_TAIL","Company":"Suzhou Hepa Thera Biopharmaceutical Co Ltd","Company Type":"COMMERCIAL","GD Active Assets":3,"GD All Assets":3,"GD Phase II+":3,"Highest GD Stage":"Phase II","Research Area Tags":"HEP","Bridging Tags":null,"Public Source":null,"GlobalData As-of":"2026-07-31","Data Interpretation":"GlobalData snapshot only; validate current asset status","Company ID":"CMP-6aecf292a12"}</t>
  </si>
  <si>
    <t>PR-ALL-CMP-65d7f7a0e48</t>
  </si>
  <si>
    <t>CMP-65d7f7a0e48</t>
  </si>
  <si>
    <t>Bioxytran Inc</t>
  </si>
  <si>
    <t>{"Tier":"LONG_TAIL","Company":"Bioxytran Inc","Company Type":"COMMERCIAL","GD Active Assets":2,"GD All Assets":2,"GD Phase II+":2,"Highest GD Stage":"Phase II","Research Area Tags":"EMG, MUC","Bridging Tags":null,"Public Source":null,"GlobalData As-of":"2026-07-31","Data Interpretation":"GlobalData snapshot only; validate current asset status","Company ID":"CMP-65d7f7a0e48"}</t>
  </si>
  <si>
    <t>PR-ALL-CMP-4f93e10b520</t>
  </si>
  <si>
    <t>CMP-4f93e10b520</t>
  </si>
  <si>
    <t>Blue Lake Biotechnology Inc</t>
  </si>
  <si>
    <t>{"Tier":"LONG_TAIL","Company":"Blue Lake Biotechnology Inc","Company Type":"COMMERCIAL","GD Active Assets":2,"GD All Assets":2,"GD Phase II+":2,"Highest GD Stage":"Phase II","Research Area Tags":"EMG, MUC","Bridging Tags":null,"Public Source":null,"GlobalData As-of":"2026-07-31","Data Interpretation":"GlobalData snapshot only; validate current asset status","Company ID":"CMP-4f93e10b520"}</t>
  </si>
  <si>
    <t>PR-ALL-CMP-eaf55e47f0b</t>
  </si>
  <si>
    <t>CMP-eaf55e47f0b</t>
  </si>
  <si>
    <t>Cisen Pharmaceutical Co Ltd</t>
  </si>
  <si>
    <t>{"Tier":"LONG_TAIL","Company":"Cisen Pharmaceutical Co Ltd","Company Type":"COMMERCIAL","GD Active Assets":2,"GD All Assets":2,"GD Phase II+":2,"Highest GD Stage":"Phase II","Research Area Tags":"MUC, ICH","Bridging Tags":null,"Public Source":null,"GlobalData As-of":"2026-07-31","Data Interpretation":"GlobalData snapshot only; validate current asset status","Company ID":"CMP-eaf55e47f0b"}</t>
  </si>
  <si>
    <t>PR-ALL-CMP-723737448ab</t>
  </si>
  <si>
    <t>CMP-723737448ab</t>
  </si>
  <si>
    <t>Cocrystal Pharma Inc</t>
  </si>
  <si>
    <t>{"Tier":"LONG_TAIL","Company":"Cocrystal Pharma Inc","Company Type":"COMMERCIAL","GD Active Assets":2,"GD All Assets":2,"GD Phase II+":2,"Highest GD Stage":"Phase II","Research Area Tags":"EMG, MUC","Bridging Tags":null,"Public Source":null,"GlobalData As-of":"2026-07-31","Data Interpretation":"GlobalData snapshot only; validate current asset status","Company ID":"CMP-723737448ab"}</t>
  </si>
  <si>
    <t>PR-ALL-CMP-f626ef91eff</t>
  </si>
  <si>
    <t>CMP-f626ef91eff</t>
  </si>
  <si>
    <t>Dompe Farmaceutici SpA</t>
  </si>
  <si>
    <t>{"Tier":"LONG_TAIL","Company":"Dompe Farmaceutici SpA","Company Type":"COMMERCIAL","GD Active Assets":2,"GD All Assets":2,"GD Phase II+":2,"Highest GD Stage":"Phase III","Research Area Tags":"EMG, MUC","Bridging Tags":null,"Public Source":null,"GlobalData As-of":"2026-07-31","Data Interpretation":"GlobalData snapshot only; validate current asset status","Company ID":"CMP-f626ef91eff"}</t>
  </si>
  <si>
    <t>PR-ALL-CMP-165c5e78f5f</t>
  </si>
  <si>
    <t>CMP-165c5e78f5f</t>
  </si>
  <si>
    <t>Eiger Inno Therapeutics Inc</t>
  </si>
  <si>
    <t>{"Tier":"LONG_TAIL","Company":"Eiger Inno Therapeutics Inc","Company Type":"COMMERCIAL","GD Active Assets":2,"GD All Assets":2,"GD Phase II+":2,"Highest GD Stage":"Phase III","Research Area Tags":"HEP, EMG","Bridging Tags":null,"Public Source":null,"GlobalData As-of":"2026-07-31","Data Interpretation":"GlobalData snapshot only; validate current asset status","Company ID":"CMP-165c5e78f5f"}</t>
  </si>
  <si>
    <t>PR-ALL-CMP-9958d78d1d7</t>
  </si>
  <si>
    <t>CMP-9958d78d1d7</t>
  </si>
  <si>
    <t>Human Biome SA</t>
  </si>
  <si>
    <t>{"Tier":"LONG_TAIL","Company":"Human Biome SA","Company Type":"COMMERCIAL","GD Active Assets":2,"GD All Assets":2,"GD Phase II+":2,"Highest GD Stage":"Phase II","Research Area Tags":"HAI, ABX","Bridging Tags":null,"Public Source":null,"GlobalData As-of":"2026-07-31","Data Interpretation":"GlobalData snapshot only; validate current asset status","Company ID":"CMP-9958d78d1d7"}</t>
  </si>
  <si>
    <t>PR-ALL-CMP-b47ce0557fe</t>
  </si>
  <si>
    <t>CMP-b47ce0557fe</t>
  </si>
  <si>
    <t>Kexing Biopharm Co Ltd</t>
  </si>
  <si>
    <t>{"Tier":"LONG_TAIL","Company":"Kexing Biopharm Co Ltd","Company Type":"COMMERCIAL","GD Active Assets":2,"GD All Assets":2,"GD Phase II+":2,"Highest GD Stage":"Phase III","Research Area Tags":"EMG, MUC","Bridging Tags":null,"Public Source":null,"GlobalData As-of":"2026-07-31","Data Interpretation":"GlobalData snapshot only; validate current asset status","Company ID":"CMP-b47ce0557fe"}</t>
  </si>
  <si>
    <t>PR-ALL-CMP-e14f29def08</t>
  </si>
  <si>
    <t>CMP-e14f29def08</t>
  </si>
  <si>
    <t>New York Medical College</t>
  </si>
  <si>
    <t>{"Tier":"LONG_TAIL","Company":"New York Medical College","Company Type":"COMMERCIAL","GD Active Assets":2,"GD All Assets":2,"GD Phase II+":2,"Highest GD Stage":"Phase II","Research Area Tags":"EMG, ICH","Bridging Tags":null,"Public Source":null,"GlobalData As-of":"2026-07-31","Data Interpretation":"GlobalData snapshot only; validate current asset status","Company ID":"CMP-e14f29def08"}</t>
  </si>
  <si>
    <t>PR-ALL-CMP-23d461597b9</t>
  </si>
  <si>
    <t>CMP-23d461597b9</t>
  </si>
  <si>
    <t>Shin Poong Pharm Co Ltd</t>
  </si>
  <si>
    <t>{"Tier":"LONG_TAIL","Company":"Shin Poong Pharm Co Ltd","Company Type":"COMMERCIAL","GD Active Assets":2,"GD All Assets":2,"GD Phase II+":2,"Highest GD Stage":"Phase III","Research Area Tags":"EMG, NTD","Bridging Tags":null,"Public Source":null,"GlobalData As-of":"2026-07-31","Data Interpretation":"GlobalData snapshot only; validate current asset status","Company ID":"CMP-23d461597b9"}</t>
  </si>
  <si>
    <t>PR-ALL-CMP-164988dbdb4</t>
  </si>
  <si>
    <t>CMP-164988dbdb4</t>
  </si>
  <si>
    <t>Traws Pharma Inc</t>
  </si>
  <si>
    <t>{"Tier":"LONG_TAIL","Company":"Traws Pharma Inc","Company Type":"COMMERCIAL","GD Active Assets":2,"GD All Assets":3,"GD Phase II+":2,"Highest GD Stage":"Phase III","Research Area Tags":"EMG, MUC","Bridging Tags":null,"Public Source":null,"GlobalData As-of":"2026-07-31","Data Interpretation":"GlobalData snapshot only; validate current asset status","Company ID":"CMP-164988dbdb4"}</t>
  </si>
  <si>
    <t>PR-ALL-CMP-548fabff999</t>
  </si>
  <si>
    <t>CMP-548fabff999</t>
  </si>
  <si>
    <t>Aegis Life Inc</t>
  </si>
  <si>
    <t>{"Tier":"LONG_TAIL","Company":"Aegis Life Inc","Company Type":"COMMERCIAL","GD Active Assets":3,"GD All Assets":3,"GD Phase II+":2,"Highest GD Stage":"Phase II","Research Area Tags":"EMG","Bridging Tags":null,"Public Source":null,"GlobalData As-of":"2026-07-31","Data Interpretation":"GlobalData snapshot only; validate current asset status","Company ID":"CMP-548fabff999"}</t>
  </si>
  <si>
    <t>PR-ALL-CMP-8a50a8cce1f</t>
  </si>
  <si>
    <t>CMP-8a50a8cce1f</t>
  </si>
  <si>
    <t>Beijing Health Guard Biotechnology Inc</t>
  </si>
  <si>
    <t>{"Tier":"LONG_TAIL","Company":"Beijing Health Guard Biotechnology Inc","Company Type":"COMMERCIAL","GD Active Assets":3,"GD All Assets":3,"GD Phase II+":2,"Highest GD Stage":"Phase III","Research Area Tags":"MUC","Bridging Tags":"VAC","Public Source":null,"GlobalData As-of":"2026-07-31","Data Interpretation":"GlobalData snapshot only; validate current asset status","Company ID":"CMP-8a50a8cce1f"}</t>
  </si>
  <si>
    <t>PR-ALL-CMP-cd1d3e634b1</t>
  </si>
  <si>
    <t>CMP-cd1d3e634b1</t>
  </si>
  <si>
    <t>Beijing Institute of Biological Products Co Ltd</t>
  </si>
  <si>
    <t>{"Tier":"LONG_TAIL","Company":"Beijing Institute of Biological Products Co Ltd","Company Type":"COMMERCIAL","GD Active Assets":3,"GD All Assets":3,"GD Phase II+":2,"Highest GD Stage":"Phase III","Research Area Tags":"EMG","Bridging Tags":"VAC","Public Source":null,"GlobalData As-of":"2026-07-31","Data Interpretation":"GlobalData snapshot only; validate current asset status","Company ID":"CMP-cd1d3e634b1"}</t>
  </si>
  <si>
    <t>PR-ALL-CMP-28cb1479046</t>
  </si>
  <si>
    <t>CMP-28cb1479046</t>
  </si>
  <si>
    <t>Center for Genetic Engineering and Biotechnology</t>
  </si>
  <si>
    <t>{"Tier":"LONG_TAIL","Company":"Center for Genetic Engineering and Biotechnology","Company Type":"COMMERCIAL","GD Active Assets":3,"GD All Assets":4,"GD Phase II+":2,"Highest GD Stage":"Phase II","Research Area Tags":"EMG","Bridging Tags":null,"Public Source":null,"GlobalData As-of":"2026-07-31","Data Interpretation":"GlobalData snapshot only; validate current asset status","Company ID":"CMP-28cb1479046"}</t>
  </si>
  <si>
    <t>PR-ALL-CMP-f266ab95a30</t>
  </si>
  <si>
    <t>CMP-f266ab95a30</t>
  </si>
  <si>
    <t>Defender Pharmaceuticals Inc</t>
  </si>
  <si>
    <t>{"Tier":"LONG_TAIL","Company":"Defender Pharmaceuticals Inc","Company Type":"COMMERCIAL","GD Active Assets":3,"GD All Assets":3,"GD Phase II+":2,"Highest GD Stage":"Phase II","Research Area Tags":"EMG","Bridging Tags":null,"Public Source":null,"GlobalData As-of":"2026-07-31","Data Interpretation":"GlobalData snapshot only; validate current asset status","Company ID":"CMP-f266ab95a30"}</t>
  </si>
  <si>
    <t>PR-ALL-CMP-16a9d1e5b7a</t>
  </si>
  <si>
    <t>CMP-16a9d1e5b7a</t>
  </si>
  <si>
    <t>Laboratorios Hipra SA</t>
  </si>
  <si>
    <t>{"Tier":"LONG_TAIL","Company":"Laboratorios Hipra SA","Company Type":"COMMERCIAL","GD Active Assets":3,"GD All Assets":3,"GD Phase II+":2,"Highest GD Stage":"Phase III","Research Area Tags":"EMG","Bridging Tags":"VAC","Public Source":null,"GlobalData As-of":"2026-07-31","Data Interpretation":"GlobalData snapshot only; validate current asset status","Company ID":"CMP-16a9d1e5b7a"}</t>
  </si>
  <si>
    <t>PR-ALL-CMP-bb285bb4683</t>
  </si>
  <si>
    <t>CMP-bb285bb4683</t>
  </si>
  <si>
    <t>Shanghai Ark Biopharmaceutical Co Ltd</t>
  </si>
  <si>
    <t>{"Tier":"LONG_TAIL","Company":"Shanghai Ark Biopharmaceutical Co Ltd","Company Type":"COMMERCIAL","GD Active Assets":3,"GD All Assets":3,"GD Phase II+":2,"Highest GD Stage":"Pre-Registration","Research Area Tags":"MUC","Bridging Tags":null,"Public Source":null,"GlobalData As-of":"2026-07-31","Data Interpretation":"GlobalData snapshot only; validate current asset status","Company ID":"CMP-bb285bb4683"}</t>
  </si>
  <si>
    <t>PR-ALL-CMP-b8bf4c15b5f</t>
  </si>
  <si>
    <t>CMP-b8bf4c15b5f</t>
  </si>
  <si>
    <t>Vac4All SAS</t>
  </si>
  <si>
    <t>{"Tier":"LONG_TAIL","Company":"Vac4All SAS","Company Type":"COMMERCIAL","GD Active Assets":3,"GD All Assets":3,"GD Phase II+":2,"Highest GD Stage":"Phase II","Research Area Tags":"NTD","Bridging Tags":null,"Public Source":null,"GlobalData As-of":"2026-07-31","Data Interpretation":"GlobalData snapshot only; validate current asset status","Company ID":"CMP-b8bf4c15b5f"}</t>
  </si>
  <si>
    <t>PR-ALL-CMP-b32c6412ff4</t>
  </si>
  <si>
    <t>CMP-b32c6412ff4</t>
  </si>
  <si>
    <t>AstriVax Therapeutics</t>
  </si>
  <si>
    <t>{"Tier":"LONG_TAIL","Company":"AstriVax Therapeutics","Company Type":"COMMERCIAL","GD Active Assets":4,"GD All Assets":4,"GD Phase II+":0,"Highest GD Stage":"Phase I","Research Area Tags":"HEP, NTD","Bridging Tags":"VAC","Public Source":null,"GlobalData As-of":"2026-07-31","Data Interpretation":"GlobalData snapshot only; validate current asset status","Company ID":"CMP-b32c6412ff4"}</t>
  </si>
  <si>
    <t>PR-ALL-CMP-bc6b7e09a69</t>
  </si>
  <si>
    <t>Vaxxas Pty Ltd</t>
  </si>
  <si>
    <t>{"Tier":"LONG_TAIL","Company":"Vaxxas Pty Ltd","Company Type":"COMMERCIAL","GD Active Assets":4,"GD All Assets":4,"GD Phase II+":0,"Highest GD Stage":"Phase I","Research Area Tags":"EMG, MUC","Bridging Tags":"VAC","Public Source":null,"GlobalData As-of":"2026-07-31","Data Interpretation":"GlobalData snapshot only; validate current asset status","Company ID":"CMP-bc6b7e09a69"}</t>
  </si>
  <si>
    <t>PR-ALL-CMP-4d8af4bdb99</t>
  </si>
  <si>
    <t>CMP-4d8af4bdb99</t>
  </si>
  <si>
    <t>AACT Inc</t>
  </si>
  <si>
    <t>{"Tier":"LONG_TAIL","Company":"AACT Inc","Company Type":"COMMERCIAL","GD Active Assets":2,"GD All Assets":2,"GD Phase II+":0,"Highest GD Stage":"Preclinical","Research Area Tags":"EMG, NTD, MUC","Bridging Tags":null,"Public Source":null,"GlobalData As-of":"2026-07-31","Data Interpretation":"GlobalData snapshot only; validate current asset status","Company ID":"CMP-4d8af4bdb99"}</t>
  </si>
  <si>
    <t>PR-ALL-CMP-da0e3b41447</t>
  </si>
  <si>
    <t>CMP-da0e3b41447</t>
  </si>
  <si>
    <t>AbGenics Life Sciences Pvt Ltd</t>
  </si>
  <si>
    <t>{"Tier":"LONG_TAIL","Company":"AbGenics Life Sciences Pvt Ltd","Company Type":"COMMERCIAL","GD Active Assets":2,"GD All Assets":2,"GD Phase II+":0,"Highest GD Stage":"Preclinical","Research Area Tags":"HAI, MUC, ICH","Bridging Tags":null,"Public Source":null,"GlobalData As-of":"2026-07-31","Data Interpretation":"GlobalData snapshot only; validate current asset status","Company ID":"CMP-da0e3b41447"}</t>
  </si>
  <si>
    <t>PR-ALL-CMP-27ff458c6a9</t>
  </si>
  <si>
    <t>CMP-27ff458c6a9</t>
  </si>
  <si>
    <t>Celestial Therapeutics Inc</t>
  </si>
  <si>
    <t>{"Tier":"LONG_TAIL","Company":"Celestial Therapeutics Inc","Company Type":"COMMERCIAL","GD Active Assets":2,"GD All Assets":2,"GD Phase II+":0,"Highest GD Stage":"Preclinical","Research Area Tags":"EMG, NTD, MUC","Bridging Tags":null,"Public Source":null,"GlobalData As-of":"2026-07-31","Data Interpretation":"GlobalData snapshot only; validate current asset status","Company ID":"CMP-27ff458c6a9"}</t>
  </si>
  <si>
    <t>PR-ALL-CMP-9a4f6fe0424</t>
  </si>
  <si>
    <t>CMP-9a4f6fe0424</t>
  </si>
  <si>
    <t>Jiangxi Jemincare Group Co Ltd</t>
  </si>
  <si>
    <t>{"Tier":"LONG_TAIL","Company":"Jiangxi Jemincare Group Co Ltd","Company Type":"COMMERCIAL","GD Active Assets":2,"GD All Assets":2,"GD Phase II+":0,"Highest GD Stage":"Phase I","Research Area Tags":"HAI, ABX, ICH","Bridging Tags":null,"Public Source":null,"GlobalData As-of":"2026-07-31","Data Interpretation":"GlobalData snapshot only; validate current asset status","Company ID":"CMP-9a4f6fe0424"}</t>
  </si>
  <si>
    <t>PR-ALL-CMP-db359038913</t>
  </si>
  <si>
    <t>CMP-db359038913</t>
  </si>
  <si>
    <t>Precisio Biotix Therapeutics Inc</t>
  </si>
  <si>
    <t>{"Tier":"LONG_TAIL","Company":"Precisio Biotix Therapeutics Inc","Company Type":"COMMERCIAL","GD Active Assets":2,"GD All Assets":2,"GD Phase II+":0,"Highest GD Stage":"IND/CTA Filed","Research Area Tags":"HAI, ABX, MUC","Bridging Tags":null,"Public Source":null,"GlobalData As-of":"2026-07-31","Data Interpretation":"GlobalData snapshot only; validate current asset status","Company ID":"CMP-db359038913"}</t>
  </si>
  <si>
    <t>PR-ALL-CMP-534f629bfac</t>
  </si>
  <si>
    <t>CMP-534f629bfac</t>
  </si>
  <si>
    <t>Sulfateq BV</t>
  </si>
  <si>
    <t>{"Tier":"LONG_TAIL","Company":"Sulfateq BV","Company Type":"COMMERCIAL","GD Active Assets":2,"GD All Assets":2,"GD Phase II+":0,"Highest GD Stage":"Preclinical","Research Area Tags":"HAI, ABX, ICH","Bridging Tags":null,"Public Source":null,"GlobalData As-of":"2026-07-31","Data Interpretation":"GlobalData snapshot only; validate current asset status","Company ID":"CMP-534f629bfac"}</t>
  </si>
  <si>
    <t>PR-ALL-CMP-58b87d18792</t>
  </si>
  <si>
    <t>Trellis Bioscience Inc</t>
  </si>
  <si>
    <t>{"Tier":"LONG_TAIL","Company":"Trellis Bioscience Inc","Company Type":"COMMERCIAL","GD Active Assets":2,"GD All Assets":2,"GD Phase II+":0,"Highest GD Stage":"Phase I","Research Area Tags":"HAI, ABX, ICH","Bridging Tags":null,"Public Source":null,"GlobalData As-of":"2026-07-31","Data Interpretation":"GlobalData snapshot only; validate current asset status","Company ID":"CMP-58b87d18792"}</t>
  </si>
  <si>
    <t>PR-ALL-CMP-848f6fe5a4b</t>
  </si>
  <si>
    <t>CMP-848f6fe5a4b</t>
  </si>
  <si>
    <t>Altesa Biosciences Inc</t>
  </si>
  <si>
    <t>{"Tier":"LONG_TAIL","Company":"Altesa Biosciences Inc","Company Type":"COMMERCIAL","GD Active Assets":2,"GD All Assets":2,"GD Phase II+":1,"Highest GD Stage":"Phase II","Research Area Tags":"HEP, MUC","Bridging Tags":null,"Public Source":null,"GlobalData As-of":"2026-07-31","Data Interpretation":"GlobalData snapshot only; validate current asset status","Company ID":"CMP-848f6fe5a4b"}</t>
  </si>
  <si>
    <t>PR-ALL-CMP-f0792b9d736</t>
  </si>
  <si>
    <t>CMP-f0792b9d736</t>
  </si>
  <si>
    <t>Amtixbio Co Ltd</t>
  </si>
  <si>
    <t>{"Tier":"LONG_TAIL","Company":"Amtixbio Co Ltd","Company Type":"COMMERCIAL","GD Active Assets":2,"GD All Assets":2,"GD Phase II+":1,"Highest GD Stage":"Phase II","Research Area Tags":"HAI, ICH","Bridging Tags":null,"Public Source":null,"GlobalData As-of":"2026-07-31","Data Interpretation":"GlobalData snapshot only; validate current asset status","Company ID":"CMP-f0792b9d736"}</t>
  </si>
  <si>
    <t>PR-ALL-CMP-2f8d073ee19</t>
  </si>
  <si>
    <t>CMP-2f8d073ee19</t>
  </si>
  <si>
    <t>BioMe Inc</t>
  </si>
  <si>
    <t>{"Tier":"LONG_TAIL","Company":"BioMe Inc","Company Type":"COMMERCIAL","GD Active Assets":2,"GD All Assets":2,"GD Phase II+":1,"Highest GD Stage":"Phase II","Research Area Tags":"HAI, ABX","Bridging Tags":null,"Public Source":null,"GlobalData As-of":"2026-07-31","Data Interpretation":"GlobalData snapshot only; validate current asset status","Company ID":"CMP-2f8d073ee19"}</t>
  </si>
  <si>
    <t>PR-ALL-CMP-4ac20212076</t>
  </si>
  <si>
    <t>CMP-4ac20212076</t>
  </si>
  <si>
    <t>Boryung Co Ltd</t>
  </si>
  <si>
    <t>{"Tier":"LONG_TAIL","Company":"Boryung Co Ltd","Company Type":"COMMERCIAL","GD Active Assets":2,"GD All Assets":2,"GD Phase II+":1,"Highest GD Stage":"Phase II","Research Area Tags":"ABX, MUC","Bridging Tags":null,"Public Source":null,"GlobalData As-of":"2026-07-31","Data Interpretation":"GlobalData snapshot only; validate current asset status","Company ID":"CMP-4ac20212076"}</t>
  </si>
  <si>
    <t>PR-ALL-CMP-1dd16271aec</t>
  </si>
  <si>
    <t>CMP-1dd16271aec</t>
  </si>
  <si>
    <t>Dana-Farber Cancer Institute Inc</t>
  </si>
  <si>
    <t>{"Tier":"LONG_TAIL","Company":"Dana-Farber Cancer Institute Inc","Company Type":"COMMERCIAL","GD Active Assets":2,"GD All Assets":2,"GD Phase II+":1,"Highest GD Stage":"Phase II","Research Area Tags":"EMG, ICH","Bridging Tags":null,"Public Source":null,"GlobalData As-of":"2026-07-31","Data Interpretation":"GlobalData snapshot only; validate current asset status","Company ID":"CMP-1dd16271aec"}</t>
  </si>
  <si>
    <t>PR-ALL-CMP-f4696dba733</t>
  </si>
  <si>
    <t>CMP-f4696dba733</t>
  </si>
  <si>
    <t>Fab’entech SA</t>
  </si>
  <si>
    <t>{"Tier":"LONG_TAIL","Company":"Fab’entech SA","Company Type":"COMMERCIAL","GD Active Assets":2,"GD All Assets":2,"GD Phase II+":1,"Highest GD Stage":"Phase II","Research Area Tags":"EMG, MUC","Bridging Tags":null,"Public Source":null,"GlobalData As-of":"2026-07-31","Data Interpretation":"GlobalData snapshot only; validate current asset status","Company ID":"CMP-f4696dba733"}</t>
  </si>
  <si>
    <t>PR-ALL-CMP-468bd689059</t>
  </si>
  <si>
    <t>CMP-468bd689059</t>
  </si>
  <si>
    <t>Helperby Therapeutics Group Ltd</t>
  </si>
  <si>
    <t>{"Tier":"LONG_TAIL","Company":"Helperby Therapeutics Group Ltd","Company Type":"COMMERCIAL","GD Active Assets":2,"GD All Assets":2,"GD Phase II+":1,"Highest GD Stage":"Phase II","Research Area Tags":"HAI, ABX","Bridging Tags":null,"Public Source":null,"GlobalData As-of":"2026-07-31","Data Interpretation":"GlobalData snapshot only; validate current asset status","Company ID":"CMP-468bd689059"}</t>
  </si>
  <si>
    <t>PR-ALL-CMP-c9152a95ab7</t>
  </si>
  <si>
    <t>CMP-c9152a95ab7</t>
  </si>
  <si>
    <t>Hudson Therapeutics Inc</t>
  </si>
  <si>
    <t>{"Tier":"LONG_TAIL","Company":"Hudson Therapeutics Inc","Company Type":"COMMERCIAL","GD Active Assets":2,"GD All Assets":3,"GD Phase II+":1,"Highest GD Stage":"Phase III","Research Area Tags":"EMG, MUC","Bridging Tags":null,"Public Source":null,"GlobalData As-of":"2026-07-31","Data Interpretation":"GlobalData snapshot only; validate current asset status","Company ID":"CMP-c9152a95ab7"}</t>
  </si>
  <si>
    <t>PR-ALL-CMP-0a3f319eb27</t>
  </si>
  <si>
    <t>CMP-0a3f319eb27</t>
  </si>
  <si>
    <t>Innorna Co Ltd</t>
  </si>
  <si>
    <t>{"Tier":"LONG_TAIL","Company":"Innorna Co Ltd","Company Type":"COMMERCIAL","GD Active Assets":2,"GD All Assets":2,"GD Phase II+":1,"Highest GD Stage":"Phase II","Research Area Tags":"MUC, ICH","Bridging Tags":null,"Public Source":null,"GlobalData As-of":"2026-07-31","Data Interpretation":"GlobalData snapshot only; validate current asset status","Company ID":"CMP-0a3f319eb27"}</t>
  </si>
  <si>
    <t>PR-ALL-CMP-f810bb4c9d4</t>
  </si>
  <si>
    <t>CMP-f810bb4c9d4</t>
  </si>
  <si>
    <t>Island Pharmaceuticals Ltd</t>
  </si>
  <si>
    <t>{"Tier":"LONG_TAIL","Company":"Island Pharmaceuticals Ltd","Company Type":"COMMERCIAL","GD Active Assets":2,"GD All Assets":2,"GD Phase II+":1,"Highest GD Stage":"Phase II","Research Area Tags":"EMG, NTD","Bridging Tags":null,"Public Source":null,"GlobalData As-of":"2026-07-31","Data Interpretation":"GlobalData snapshot only; validate current asset status","Company ID":"CMP-f810bb4c9d4"}</t>
  </si>
  <si>
    <t>PR-ALL-CMP-a3002b35b30</t>
  </si>
  <si>
    <t>CMP-a3002b35b30</t>
  </si>
  <si>
    <t>Leyden Laboratories BV</t>
  </si>
  <si>
    <t>{"Tier":"LONG_TAIL","Company":"Leyden Laboratories BV","Company Type":"COMMERCIAL","GD Active Assets":2,"GD All Assets":2,"GD Phase II+":1,"Highest GD Stage":"Phase II","Research Area Tags":"EMG, MUC","Bridging Tags":"VAC","Public Source":null,"GlobalData As-of":"2026-07-31","Data Interpretation":"GlobalData snapshot only; validate current asset status","Company ID":"CMP-a3002b35b30"}</t>
  </si>
  <si>
    <t>PR-ALL-CMP-b2aa965422d</t>
  </si>
  <si>
    <t>CMP-b2aa965422d</t>
  </si>
  <si>
    <t>Nanjing Yuandasai Weixin Biomedical Co Ltd</t>
  </si>
  <si>
    <t>{"Tier":"LONG_TAIL","Company":"Nanjing Yuandasai Weixin Biomedical Co Ltd","Company Type":"COMMERCIAL","GD Active Assets":2,"GD All Assets":2,"GD Phase II+":1,"Highest GD Stage":"Phase II","Research Area Tags":"HEP, ICH","Bridging Tags":null,"Public Source":null,"GlobalData As-of":"2026-07-31","Data Interpretation":"GlobalData snapshot only; validate current asset status","Company ID":"CMP-b2aa965422d"}</t>
  </si>
  <si>
    <t>PR-ALL-CMP-9d0c00c4933</t>
  </si>
  <si>
    <t>CMP-9d0c00c4933</t>
  </si>
  <si>
    <t>Osivax SAS</t>
  </si>
  <si>
    <t>{"Tier":"LONG_TAIL","Company":"Osivax SAS","Company Type":"COMMERCIAL","GD Active Assets":2,"GD All Assets":2,"GD Phase II+":1,"Highest GD Stage":"Phase II","Research Area Tags":"EMG, MUC","Bridging Tags":null,"Public Source":null,"GlobalData As-of":"2026-07-31","Data Interpretation":"GlobalData snapshot only; validate current asset status","Company ID":"CMP-9d0c00c4933"}</t>
  </si>
  <si>
    <t>PR-ALL-CMP-ae199ad0124</t>
  </si>
  <si>
    <t>CMP-ae199ad0124</t>
  </si>
  <si>
    <t>Shanghai Yidao Biological Technology Co Ltd</t>
  </si>
  <si>
    <t>{"Tier":"LONG_TAIL","Company":"Shanghai Yidao Biological Technology Co Ltd","Company Type":"COMMERCIAL","GD Active Assets":2,"GD All Assets":2,"GD Phase II+":1,"Highest GD Stage":"Pre-Registration","Research Area Tags":"MUC, ICH","Bridging Tags":"VAC","Public Source":null,"GlobalData As-of":"2026-07-31","Data Interpretation":"GlobalData snapshot only; validate current asset status","Company ID":"CMP-ae199ad0124"}</t>
  </si>
  <si>
    <t>PR-ALL-CMP-3bdba712c0e</t>
  </si>
  <si>
    <t>CMP-3bdba712c0e</t>
  </si>
  <si>
    <t>Starmab Biology (Suzhou) Co Ltd</t>
  </si>
  <si>
    <t>{"Tier":"LONG_TAIL","Company":"Starmab Biology (Suzhou) Co Ltd","Company Type":"COMMERCIAL","GD Active Assets":2,"GD All Assets":2,"GD Phase II+":1,"Highest GD Stage":"Phase II","Research Area Tags":"HAI, ABX","Bridging Tags":null,"Public Source":null,"GlobalData As-of":"2026-07-31","Data Interpretation":"GlobalData snapshot only; validate current asset status","Company ID":"CMP-3bdba712c0e"}</t>
  </si>
  <si>
    <t>PR-ALL-CMP-bf9d4e46b14</t>
  </si>
  <si>
    <t>CMP-bf9d4e46b14</t>
  </si>
  <si>
    <t>Suzhou Vigonvita Life Sciences Co Ltd</t>
  </si>
  <si>
    <t>{"Tier":"LONG_TAIL","Company":"Suzhou Vigonvita Life Sciences Co Ltd","Company Type":"COMMERCIAL","GD Active Assets":2,"GD All Assets":2,"GD Phase II+":1,"Highest GD Stage":"Phase III","Research Area Tags":"EMG, NTD","Bridging Tags":null,"Public Source":null,"GlobalData As-of":"2026-07-31","Data Interpretation":"GlobalData snapshot only; validate current asset status","Company ID":"CMP-bf9d4e46b14"}</t>
  </si>
  <si>
    <t>PR-ALL-CMP-7bd8890462e</t>
  </si>
  <si>
    <t>CMP-7bd8890462e</t>
  </si>
  <si>
    <t>Synermore Biologics Co Ltd</t>
  </si>
  <si>
    <t>{"Tier":"LONG_TAIL","Company":"Synermore Biologics Co Ltd","Company Type":"COMMERCIAL","GD Active Assets":2,"GD All Assets":2,"GD Phase II+":1,"Highest GD Stage":"Phase II","Research Area Tags":"HAI, ABX","Bridging Tags":null,"Public Source":null,"GlobalData As-of":"2026-07-31","Data Interpretation":"GlobalData snapshot only; validate current asset status","Company ID":"CMP-7bd8890462e"}</t>
  </si>
  <si>
    <t>PR-ALL-CMP-fb5ec981179</t>
  </si>
  <si>
    <t>CMP-fb5ec981179</t>
  </si>
  <si>
    <t>SyneuRx International (Taiwan) Corp</t>
  </si>
  <si>
    <t>{"Tier":"LONG_TAIL","Company":"SyneuRx International (Taiwan) Corp","Company Type":"COMMERCIAL","GD Active Assets":2,"GD All Assets":2,"GD Phase II+":1,"Highest GD Stage":"Phase II","Research Area Tags":"EMG, MUC","Bridging Tags":null,"Public Source":null,"GlobalData As-of":"2026-07-31","Data Interpretation":"GlobalData snapshot only; validate current asset status","Company ID":"CMP-fb5ec981179"}</t>
  </si>
  <si>
    <t>PR-ALL-CMP-598484c7a68</t>
  </si>
  <si>
    <t>CMP-598484c7a68</t>
  </si>
  <si>
    <t>Vanda Pharmaceuticals Inc</t>
  </si>
  <si>
    <t>{"Tier":"LONG_TAIL","Company":"Vanda Pharmaceuticals Inc","Company Type":"COMMERCIAL","GD Active Assets":2,"GD All Assets":3,"GD Phase II+":1,"Highest GD Stage":"Phase II","Research Area Tags":"ABX, MUC","Bridging Tags":null,"Public Source":null,"GlobalData As-of":"2026-07-31","Data Interpretation":"GlobalData snapshot only; validate current asset status","Company ID":"CMP-598484c7a68"}</t>
  </si>
  <si>
    <t>PR-ALL-CMP-e98131e24c3</t>
  </si>
  <si>
    <t>CMP-e98131e24c3</t>
  </si>
  <si>
    <t>ViferaXS GmbH</t>
  </si>
  <si>
    <t>{"Tier":"LONG_TAIL","Company":"ViferaXS GmbH","Company Type":"COMMERCIAL","GD Active Assets":2,"GD All Assets":2,"GD Phase II+":1,"Highest GD Stage":"Phase II","Research Area Tags":"EMG, ICH","Bridging Tags":null,"Public Source":null,"GlobalData As-of":"2026-07-31","Data Interpretation":"GlobalData snapshot only; validate current asset status","Company ID":"CMP-e98131e24c3"}</t>
  </si>
  <si>
    <t>PR-ALL-CMP-f19d47c2704</t>
  </si>
  <si>
    <t>CMP-f19d47c2704</t>
  </si>
  <si>
    <t>Vivaldi Biosciences Inc</t>
  </si>
  <si>
    <t>{"Tier":"LONG_TAIL","Company":"Vivaldi Biosciences Inc","Company Type":"COMMERCIAL","GD Active Assets":2,"GD All Assets":2,"GD Phase II+":1,"Highest GD Stage":"Phase II","Research Area Tags":"EMG, MUC","Bridging Tags":"VAC","Public Source":null,"GlobalData As-of":"2026-07-31","Data Interpretation":"GlobalData snapshot only; validate current asset status","Company ID":"CMP-f19d47c2704"}</t>
  </si>
  <si>
    <t>PR-ALL-CMP-6b2f5d4f5c7</t>
  </si>
  <si>
    <t>CMP-6b2f5d4f5c7</t>
  </si>
  <si>
    <t>Aptahem AB</t>
  </si>
  <si>
    <t>{"Tier":"LONG_TAIL","Company":"Aptahem AB","Company Type":"COMMERCIAL","GD Active Assets":1,"GD All Assets":1,"GD Phase II+":0,"Highest GD Stage":"Phase I","Research Area Tags":"HAI, ABX, EMG, ICH","Bridging Tags":null,"Public Source":null,"GlobalData As-of":"2026-07-31","Data Interpretation":"GlobalData snapshot only; validate current asset status","Company ID":"CMP-6b2f5d4f5c7"}</t>
  </si>
  <si>
    <t>PR-ALL-CMP-96e8950d859</t>
  </si>
  <si>
    <t>CMP-96e8950d859</t>
  </si>
  <si>
    <t>Modus Therapeutics AB</t>
  </si>
  <si>
    <t>{"Tier":"LONG_TAIL","Company":"Modus Therapeutics AB","Company Type":"COMMERCIAL","GD Active Assets":1,"GD All Assets":1,"GD Phase II+":0,"Highest GD Stage":"Phase I","Research Area Tags":"HAI, ABX, NTD, ICH","Bridging Tags":null,"Public Source":null,"GlobalData As-of":"2026-07-31","Data Interpretation":"GlobalData snapshot only; validate current asset status","Company ID":"CMP-96e8950d859"}</t>
  </si>
  <si>
    <t>PR-ALL-CMP-d7694b11aca</t>
  </si>
  <si>
    <t>CMP-d7694b11aca</t>
  </si>
  <si>
    <t>Provectus Biopharmaceuticals Inc</t>
  </si>
  <si>
    <t>{"Tier":"LONG_TAIL","Company":"Provectus Biopharmaceuticals Inc","Company Type":"COMMERCIAL","GD Active Assets":1,"GD All Assets":1,"GD Phase II+":0,"Highest GD Stage":"Preclinical","Research Area Tags":"HAI, ABX, EMG, ICH","Bridging Tags":null,"Public Source":null,"GlobalData As-of":"2026-07-31","Data Interpretation":"GlobalData snapshot only; validate current asset status","Company ID":"CMP-d7694b11aca"}</t>
  </si>
  <si>
    <t>PR-ALL-CMP-767c5cb00b8</t>
  </si>
  <si>
    <t>CMP-767c5cb00b8</t>
  </si>
  <si>
    <t>RegeneRx Biopharmaceuticals Inc</t>
  </si>
  <si>
    <t>{"Tier":"LONG_TAIL","Company":"RegeneRx Biopharmaceuticals Inc","Company Type":"COMMERCIAL","GD Active Assets":1,"GD All Assets":1,"GD Phase II+":0,"Highest GD Stage":"Preclinical","Research Area Tags":"HAI, ABX, EMG, ICH","Bridging Tags":null,"Public Source":null,"GlobalData As-of":"2026-07-31","Data Interpretation":"GlobalData snapshot only; validate current asset status","Company ID":"CMP-767c5cb00b8"}</t>
  </si>
  <si>
    <t>PR-ALL-CMP-6615f40cd13</t>
  </si>
  <si>
    <t>CMP-6615f40cd13</t>
  </si>
  <si>
    <t>Tetra Bio-Pharma Inc</t>
  </si>
  <si>
    <t>{"Tier":"LONG_TAIL","Company":"Tetra Bio-Pharma Inc","Company Type":"COMMERCIAL","GD Active Assets":1,"GD All Assets":1,"GD Phase II+":0,"Highest GD Stage":"IND/CTA Filed","Research Area Tags":"HAI, ABX, EMG, ICH","Bridging Tags":null,"Public Source":null,"GlobalData As-of":"2026-07-31","Data Interpretation":"GlobalData snapshot only; validate current asset status","Company ID":"CMP-6615f40cd13"}</t>
  </si>
  <si>
    <t>PR-ALL-CMP-5a00b2225cf</t>
  </si>
  <si>
    <t>CMP-5a00b2225cf</t>
  </si>
  <si>
    <t>Adrenomed AG</t>
  </si>
  <si>
    <t>{"Tier":"LONG_TAIL","Company":"Adrenomed AG","Company Type":"COMMERCIAL","GD Active Assets":1,"GD All Assets":1,"GD Phase II+":1,"Highest GD Stage":"Phase II","Research Area Tags":"HAI, ABX, ICH","Bridging Tags":null,"Public Source":null,"GlobalData As-of":"2026-07-31","Data Interpretation":"GlobalData snapshot only; validate current asset status","Company ID":"CMP-5a00b2225cf"}</t>
  </si>
  <si>
    <t>PR-ALL-CMP-e9b783d5087</t>
  </si>
  <si>
    <t>CMP-e9b783d5087</t>
  </si>
  <si>
    <t>Enlivex Ltd</t>
  </si>
  <si>
    <t>{"Tier":"LONG_TAIL","Company":"Enlivex Ltd","Company Type":"COMMERCIAL","GD Active Assets":1,"GD All Assets":1,"GD Phase II+":1,"Highest GD Stage":"Phase II","Research Area Tags":"HAI, ABX, ICH","Bridging Tags":null,"Public Source":null,"GlobalData As-of":"2026-07-31","Data Interpretation":"GlobalData snapshot only; validate current asset status","Company ID":"CMP-e9b783d5087"}</t>
  </si>
  <si>
    <t>PR-ALL-CMP-02efdffd60d</t>
  </si>
  <si>
    <t>CMP-02efdffd60d</t>
  </si>
  <si>
    <t>EveliQure Biotechnologies GmbH</t>
  </si>
  <si>
    <t>{"Tier":"LONG_TAIL","Company":"EveliQure Biotechnologies GmbH","Company Type":"COMMERCIAL","GD Active Assets":1,"GD All Assets":1,"GD Phase II+":1,"Highest GD Stage":"Phase II","Research Area Tags":"HAI, ABX, MUC","Bridging Tags":null,"Public Source":null,"GlobalData As-of":"2026-07-31","Data Interpretation":"GlobalData snapshot only; validate current asset status","Company ID":"CMP-02efdffd60d"}</t>
  </si>
  <si>
    <t>PR-ALL-CMP-51b4a6f7003</t>
  </si>
  <si>
    <t>CMP-51b4a6f7003</t>
  </si>
  <si>
    <t>Female Healthcare Purna</t>
  </si>
  <si>
    <t>{"Tier":"LONG_TAIL","Company":"Female Healthcare Purna","Company Type":"COMMERCIAL","GD Active Assets":1,"GD All Assets":1,"GD Phase II+":1,"Highest GD Stage":"Phase II","Research Area Tags":"ABX, MUC, ICH","Bridging Tags":null,"Public Source":null,"GlobalData As-of":"2026-07-31","Data Interpretation":"GlobalData snapshot only; validate current asset status","Company ID":"CMP-51b4a6f7003"}</t>
  </si>
  <si>
    <t>PR-ALL-CMP-1d59b93ee1f</t>
  </si>
  <si>
    <t>CMP-1d59b93ee1f</t>
  </si>
  <si>
    <t>GangaGen Biotechnologies Pvt Ltd</t>
  </si>
  <si>
    <t>{"Tier":"LONG_TAIL","Company":"GangaGen Biotechnologies Pvt Ltd","Company Type":"COMMERCIAL","GD Active Assets":1,"GD All Assets":1,"GD Phase II+":1,"Highest GD Stage":"Phase II","Research Area Tags":"HAI, ABX, ICH","Bridging Tags":null,"Public Source":null,"GlobalData As-of":"2026-07-31","Data Interpretation":"GlobalData snapshot only; validate current asset status","Company ID":"CMP-1d59b93ee1f"}</t>
  </si>
  <si>
    <t>PR-ALL-CMP-d826c64fe21</t>
  </si>
  <si>
    <t>CMP-d826c64fe21</t>
  </si>
  <si>
    <t>Golden Biotechnology Corp</t>
  </si>
  <si>
    <t>{"Tier":"LONG_TAIL","Company":"Golden Biotechnology Corp","Company Type":"COMMERCIAL","GD Active Assets":1,"GD All Assets":1,"GD Phase II+":1,"Highest GD Stage":"Phase II","Research Area Tags":"HEP, EMG, MUC","Bridging Tags":null,"Public Source":null,"GlobalData As-of":"2026-07-31","Data Interpretation":"GlobalData snapshot only; validate current asset status","Company ID":"CMP-d826c64fe21"}</t>
  </si>
  <si>
    <t>PR-ALL-CMP-290bfbecb2a</t>
  </si>
  <si>
    <t>CMP-290bfbecb2a</t>
  </si>
  <si>
    <t>Gufic BioSciences Ltd</t>
  </si>
  <si>
    <t>{"Tier":"LONG_TAIL","Company":"Gufic BioSciences Ltd","Company Type":"COMMERCIAL","GD Active Assets":1,"GD All Assets":1,"GD Phase II+":1,"Highest GD Stage":"Phase III","Research Area Tags":"HAI, ABX, ICH","Bridging Tags":null,"Public Source":null,"GlobalData As-of":"2026-07-31","Data Interpretation":"GlobalData snapshot only; validate current asset status","Company ID":"CMP-290bfbecb2a"}</t>
  </si>
  <si>
    <t>PR-ALL-CMP-f7bc020d1c2</t>
  </si>
  <si>
    <t>CMP-f7bc020d1c2</t>
  </si>
  <si>
    <t>Hyundai Bioscience Co Ltd</t>
  </si>
  <si>
    <t>{"Tier":"LONG_TAIL","Company":"Hyundai Bioscience Co Ltd","Company Type":"COMMERCIAL","GD Active Assets":1,"GD All Assets":1,"GD Phase II+":1,"Highest GD Stage":"Phase III","Research Area Tags":"EMG, NTD, MUC","Bridging Tags":null,"Public Source":null,"GlobalData As-of":"2026-07-31","Data Interpretation":"GlobalData snapshot only; validate current asset status","Company ID":"CMP-f7bc020d1c2"}</t>
  </si>
  <si>
    <t>PR-ALL-CMP-031e2228687</t>
  </si>
  <si>
    <t>CMP-031e2228687</t>
  </si>
  <si>
    <t>Innovation Pharmaceuticals Inc</t>
  </si>
  <si>
    <t>{"Tier":"LONG_TAIL","Company":"Innovation Pharmaceuticals Inc","Company Type":"COMMERCIAL","GD Active Assets":1,"GD All Assets":1,"GD Phase II+":1,"Highest GD Stage":"Phase II","Research Area Tags":"HAI, EMG, ICH","Bridging Tags":null,"Public Source":null,"GlobalData As-of":"2026-07-31","Data Interpretation":"GlobalData snapshot only; validate current asset status","Company ID":"CMP-031e2228687"}</t>
  </si>
  <si>
    <t>PR-ALL-CMP-b83b5a228ee</t>
  </si>
  <si>
    <t>CMP-b83b5a228ee</t>
  </si>
  <si>
    <t>Jiangsu Pacific Meinuoke Bio-Pharmarceutical Co Ltd</t>
  </si>
  <si>
    <t>{"Tier":"LONG_TAIL","Company":"Jiangsu Pacific Meinuoke Bio-Pharmarceutical Co Ltd","Company Type":"COMMERCIAL","GD Active Assets":1,"GD All Assets":1,"GD Phase II+":1,"Highest GD Stage":"Phase III","Research Area Tags":"EMG, NTD, MUC","Bridging Tags":null,"Public Source":null,"GlobalData As-of":"2026-07-31","Data Interpretation":"GlobalData snapshot only; validate current asset status","Company ID":"CMP-b83b5a228ee"}</t>
  </si>
  <si>
    <t>PR-ALL-CMP-173de517f4c</t>
  </si>
  <si>
    <t>CMP-173de517f4c</t>
  </si>
  <si>
    <t>Jiangsu ProteLight Pharmaceutical And Biotechnology Co Ltd</t>
  </si>
  <si>
    <t>{"Tier":"LONG_TAIL","Company":"Jiangsu ProteLight Pharmaceutical And Biotechnology Co Ltd","Company Type":"COMMERCIAL","GD Active Assets":1,"GD All Assets":2,"GD Phase II+":1,"Highest GD Stage":"Phase II","Research Area Tags":"ABX, MUC, ICH","Bridging Tags":null,"Public Source":null,"GlobalData As-of":"2026-07-31","Data Interpretation":"GlobalData snapshot only; validate current asset status","Company ID":"CMP-173de517f4c"}</t>
  </si>
  <si>
    <t>PR-ALL-CMP-c910b6e8dda</t>
  </si>
  <si>
    <t>Locus Biosciences Inc</t>
  </si>
  <si>
    <t>{"Tier":"LONG_TAIL","Company":"Locus Biosciences Inc","Company Type":"COMMERCIAL","GD Active Assets":1,"GD All Assets":1,"GD Phase II+":1,"Highest GD Stage":"Phase II","Research Area Tags":"HAI, ABX, MUC","Bridging Tags":null,"Public Source":null,"GlobalData As-of":"2026-07-31","Data Interpretation":"GlobalData snapshot only; validate current asset status","Company ID":"CMP-c910b6e8dda"}</t>
  </si>
  <si>
    <t>PR-ALL-CMP-ecd42a11a42</t>
  </si>
  <si>
    <t>CMP-ecd42a11a42</t>
  </si>
  <si>
    <t>Matisse Pharmaceuticals BV</t>
  </si>
  <si>
    <t>{"Tier":"LONG_TAIL","Company":"Matisse Pharmaceuticals BV","Company Type":"COMMERCIAL","GD Active Assets":1,"GD All Assets":1,"GD Phase II+":1,"Highest GD Stage":"Phase II","Research Area Tags":"HAI, ABX, ICH","Bridging Tags":null,"Public Source":null,"GlobalData As-of":"2026-07-31","Data Interpretation":"GlobalData snapshot only; validate current asset status","Company ID":"CMP-ecd42a11a42"}</t>
  </si>
  <si>
    <t>PR-ALL-CMP-469d56d9079</t>
  </si>
  <si>
    <t>CMP-469d56d9079</t>
  </si>
  <si>
    <t>Napp Pharmaceuticals Ltd</t>
  </si>
  <si>
    <t>{"Tier":"LONG_TAIL","Company":"Napp Pharmaceuticals Ltd","Company Type":"COMMERCIAL","GD Active Assets":1,"GD All Assets":1,"GD Phase II+":1,"Highest GD Stage":"Phase III","Research Area Tags":"HAI, MUC, ICH","Bridging Tags":null,"Public Source":null,"GlobalData As-of":"2026-07-31","Data Interpretation":"GlobalData snapshot only; validate current asset status","Company ID":"CMP-469d56d9079"}</t>
  </si>
  <si>
    <t>PR-ALL-CMP-f95219d6454</t>
  </si>
  <si>
    <t>CMP-f95219d6454</t>
  </si>
  <si>
    <t>Ono Pharmaceutical Co Ltd</t>
  </si>
  <si>
    <t>{"Tier":"LONG_TAIL","Company":"Ono Pharmaceutical Co Ltd","Company Type":"COMMERCIAL","GD Active Assets":1,"GD All Assets":1,"GD Phase II+":1,"Highest GD Stage":"Phase II","Research Area Tags":"HAI, ABX, ICH","Bridging Tags":null,"Public Source":null,"GlobalData As-of":"2026-07-31","Data Interpretation":"GlobalData snapshot only; validate current asset status","Company ID":"CMP-f95219d6454"}</t>
  </si>
  <si>
    <t>PR-ALL-CMP-532b7bd1ff6</t>
  </si>
  <si>
    <t>CMP-532b7bd1ff6</t>
  </si>
  <si>
    <t>SciClone Pharmaceuticals Holdings Ltd</t>
  </si>
  <si>
    <t>{"Tier":"LONG_TAIL","Company":"SciClone Pharmaceuticals Holdings Ltd","Company Type":"COMMERCIAL","GD Active Assets":1,"GD All Assets":2,"GD Phase II+":1,"Highest GD Stage":"Pre-Registration","Research Area Tags":"HAI, ABX, ICH","Bridging Tags":null,"Public Source":null,"GlobalData As-of":"2026-07-31","Data Interpretation":"GlobalData snapshot only; validate current asset status","Company ID":"CMP-532b7bd1ff6"}</t>
  </si>
  <si>
    <t>PR-ALL-CMP-97b023e8708</t>
  </si>
  <si>
    <t>CMP-97b023e8708</t>
  </si>
  <si>
    <t>SynAct Pharma AB</t>
  </si>
  <si>
    <t>{"Tier":"LONG_TAIL","Company":"SynAct Pharma AB","Company Type":"COMMERCIAL","GD Active Assets":1,"GD All Assets":1,"GD Phase II+":1,"Highest GD Stage":"Phase II","Research Area Tags":"EMG, NTD, MUC","Bridging Tags":null,"Public Source":null,"GlobalData As-of":"2026-07-31","Data Interpretation":"GlobalData snapshot only; validate current asset status","Company ID":"CMP-97b023e8708"}</t>
  </si>
  <si>
    <t>PR-ALL-CMP-d7b8bc2dbe8</t>
  </si>
  <si>
    <t>CMP-d7b8bc2dbe8</t>
  </si>
  <si>
    <t>Yabao Pharmaceutical Group Co Ltd</t>
  </si>
  <si>
    <t>{"Tier":"LONG_TAIL","Company":"Yabao Pharmaceutical Group Co Ltd","Company Type":"COMMERCIAL","GD Active Assets":1,"GD All Assets":1,"GD Phase II+":1,"Highest GD Stage":"Phase II","Research Area Tags":"HAI, ABX, ICH","Bridging Tags":null,"Public Source":null,"GlobalData As-of":"2026-07-31","Data Interpretation":"GlobalData snapshot only; validate current asset status","Company ID":"CMP-d7b8bc2dbe8"}</t>
  </si>
  <si>
    <t>PR-ALL-CMP-b8635a7f6ab</t>
  </si>
  <si>
    <t>CMP-b8635a7f6ab</t>
  </si>
  <si>
    <t>Zai Lab Ltd</t>
  </si>
  <si>
    <t>{"Tier":"LONG_TAIL","Company":"Zai Lab Ltd","Company Type":"COMMERCIAL","GD Active Assets":1,"GD All Assets":2,"GD Phase II+":1,"Highest GD Stage":"Phase III","Research Area Tags":"HAI, ABX, ICH","Bridging Tags":null,"Public Source":null,"GlobalData As-of":"2026-07-31","Data Interpretation":"GlobalData snapshot only; validate current asset status","Company ID":"CMP-b8635a7f6ab"}</t>
  </si>
  <si>
    <t>PR-ALL-CMP-2bdc969cb4d</t>
  </si>
  <si>
    <t>CMP-2bdc969cb4d</t>
  </si>
  <si>
    <t>AdjuTec Pharma AS</t>
  </si>
  <si>
    <t>{"Tier":"LONG_TAIL","Company":"AdjuTec Pharma AS","Company Type":"COMMERCIAL","GD Active Assets":3,"GD All Assets":3,"GD Phase II+":0,"Highest GD Stage":"Preclinical","Research Area Tags":"HAI, ABX","Bridging Tags":null,"Public Source":null,"GlobalData As-of":"2026-07-31","Data Interpretation":"GlobalData snapshot only; validate current asset status","Company ID":"CMP-2bdc969cb4d"}</t>
  </si>
  <si>
    <t>PR-ALL-CMP-a2cf617085c</t>
  </si>
  <si>
    <t>CMP-a2cf617085c</t>
  </si>
  <si>
    <t>Ciloa SAS</t>
  </si>
  <si>
    <t>{"Tier":"LONG_TAIL","Company":"Ciloa SAS","Company Type":"COMMERCIAL","GD Active Assets":3,"GD All Assets":3,"GD Phase II+":0,"Highest GD Stage":"Preclinical","Research Area Tags":"EMG, NTD","Bridging Tags":"VAC","Public Source":null,"GlobalData As-of":"2026-07-31","Data Interpretation":"GlobalData snapshot only; validate current asset status","Company ID":"CMP-a2cf617085c"}</t>
  </si>
  <si>
    <t>PR-ALL-CMP-f79d85f47c5</t>
  </si>
  <si>
    <t>CMP-f79d85f47c5</t>
  </si>
  <si>
    <t>EUPOP Life Sciences Inc</t>
  </si>
  <si>
    <t>{"Tier":"LONG_TAIL","Company":"EUPOP Life Sciences Inc","Company Type":"COMMERCIAL","GD Active Assets":3,"GD All Assets":3,"GD Phase II+":0,"Highest GD Stage":"Phase I","Research Area Tags":"MUC, ICH","Bridging Tags":"VAC","Public Source":null,"GlobalData As-of":"2026-07-31","Data Interpretation":"GlobalData snapshot only; validate current asset status","Company ID":"CMP-f79d85f47c5"}</t>
  </si>
  <si>
    <t>PR-ALL-CMP-c8c513786e1</t>
  </si>
  <si>
    <t>CMP-c8c513786e1</t>
  </si>
  <si>
    <t>Evotec SE</t>
  </si>
  <si>
    <t>{"Tier":"LONG_TAIL","Company":"Evotec SE","Company Type":"COMMERCIAL","GD Active Assets":3,"GD All Assets":3,"GD Phase II+":0,"Highest GD Stage":"Phase I","Research Area Tags":"EMG, NTD","Bridging Tags":null,"Public Source":null,"GlobalData As-of":"2026-07-31","Data Interpretation":"GlobalData snapshot only; validate current asset status","Company ID":"CMP-c8c513786e1"}</t>
  </si>
  <si>
    <t>PR-ALL-CMP-e8f08b91f32</t>
  </si>
  <si>
    <t>CMP-e8f08b91f32</t>
  </si>
  <si>
    <t>Gylden Pharma Limited</t>
  </si>
  <si>
    <t>{"Tier":"LONG_TAIL","Company":"Gylden Pharma Limited","Company Type":"COMMERCIAL","GD Active Assets":3,"GD All Assets":3,"GD Phase II+":0,"Highest GD Stage":"Phase I","Research Area Tags":"EMG, NTD","Bridging Tags":"VAC","Public Source":null,"GlobalData As-of":"2026-07-31","Data Interpretation":"GlobalData snapshot only; validate current asset status","Company ID":"CMP-e8f08b91f32"}</t>
  </si>
  <si>
    <t>PR-ALL-CMP-b949a8d49b5</t>
  </si>
  <si>
    <t>CMP-b949a8d49b5</t>
  </si>
  <si>
    <t>HDT Bio Corp</t>
  </si>
  <si>
    <t>{"Tier":"LONG_TAIL","Company":"HDT Bio Corp","Company Type":"COMMERCIAL","GD Active Assets":3,"GD All Assets":3,"GD Phase II+":0,"Highest GD Stage":"Phase I","Research Area Tags":"EMG, NTD","Bridging Tags":"VAC","Public Source":null,"GlobalData As-of":"2026-07-31","Data Interpretation":"GlobalData snapshot only; validate current asset status","Company ID":"CMP-b949a8d49b5"}</t>
  </si>
  <si>
    <t>PR-ALL-CMP-9232367f9fc</t>
  </si>
  <si>
    <t>CMP-9232367f9fc</t>
  </si>
  <si>
    <t>KBio Inc</t>
  </si>
  <si>
    <t>{"Tier":"LONG_TAIL","Company":"KBio Inc","Company Type":"COMMERCIAL","GD Active Assets":3,"GD All Assets":3,"GD Phase II+":0,"Highest GD Stage":"Phase I","Research Area Tags":"EMG, MUC","Bridging Tags":null,"Public Source":null,"GlobalData As-of":"2026-07-31","Data Interpretation":"GlobalData snapshot only; validate current asset status","Company ID":"CMP-9232367f9fc"}</t>
  </si>
  <si>
    <t>PR-ALL-CMP-f47f71b9566</t>
  </si>
  <si>
    <t>CMP-f47f71b9566</t>
  </si>
  <si>
    <t>Medicine Invention Design Inc</t>
  </si>
  <si>
    <t>{"Tier":"LONG_TAIL","Company":"Medicine Invention Design Inc","Company Type":"COMMERCIAL","GD Active Assets":3,"GD All Assets":3,"GD Phase II+":0,"Highest GD Stage":"Phase I","Research Area Tags":"HIV, EMG","Bridging Tags":"VAC","Public Source":null,"GlobalData As-of":"2026-07-31","Data Interpretation":"GlobalData snapshot only; validate current asset status","Company ID":"CMP-f47f71b9566"}</t>
  </si>
  <si>
    <t>PR-ALL-CMP-62101cb583e</t>
  </si>
  <si>
    <t>CMP-62101cb583e</t>
  </si>
  <si>
    <t>Najit Technologies Inc</t>
  </si>
  <si>
    <t>{"Tier":"LONG_TAIL","Company":"Najit Technologies Inc","Company Type":"COMMERCIAL","GD Active Assets":3,"GD All Assets":3,"GD Phase II+":0,"Highest GD Stage":"Phase I","Research Area Tags":"EMG, NTD","Bridging Tags":null,"Public Source":null,"GlobalData As-of":"2026-07-31","Data Interpretation":"GlobalData snapshot only; validate current asset status","Company ID":"CMP-62101cb583e"}</t>
  </si>
  <si>
    <t>PR-ALL-CMP-a00eabcd510</t>
  </si>
  <si>
    <t>CMP-a00eabcd510</t>
  </si>
  <si>
    <t>NextCell Pharma AB</t>
  </si>
  <si>
    <t>{"Tier":"LONG_TAIL","Company":"NextCell Pharma AB","Company Type":"COMMERCIAL","GD Active Assets":3,"GD All Assets":3,"GD Phase II+":0,"Highest GD Stage":"Phase I","Research Area Tags":"EMG, MUC","Bridging Tags":null,"Public Source":null,"GlobalData As-of":"2026-07-31","Data Interpretation":"GlobalData snapshot only; validate current asset status","Company ID":"CMP-a00eabcd510"}</t>
  </si>
  <si>
    <t>PR-ALL-CMP-1f8d87d22b9</t>
  </si>
  <si>
    <t>CMP-1f8d87d22b9</t>
  </si>
  <si>
    <t>RNAimmune Inc</t>
  </si>
  <si>
    <t>{"Tier":"LONG_TAIL","Company":"RNAimmune Inc","Company Type":"COMMERCIAL","GD Active Assets":3,"GD All Assets":3,"GD Phase II+":0,"Highest GD Stage":"Phase I","Research Area Tags":"EMG, MUC","Bridging Tags":null,"Public Source":null,"GlobalData As-of":"2026-07-31","Data Interpretation":"GlobalData snapshot only; validate current asset status","Company ID":"CMP-1f8d87d22b9"}</t>
  </si>
  <si>
    <t>PR-ALL-CMP-53fc1e7529d</t>
  </si>
  <si>
    <t>CMP-53fc1e7529d</t>
  </si>
  <si>
    <t>Reinovax Biologics Co Ltd</t>
  </si>
  <si>
    <t>{"Tier":"LONG_TAIL","Company":"Reinovax Biologics Co Ltd","Company Type":"COMMERCIAL","GD Active Assets":3,"GD All Assets":3,"GD Phase II+":0,"Highest GD Stage":"IND/CTA Filed","Research Area Tags":"ABX, MUC","Bridging Tags":"VAC","Public Source":null,"GlobalData As-of":"2026-07-31","Data Interpretation":"GlobalData snapshot only; validate current asset status","Company ID":"CMP-53fc1e7529d"}</t>
  </si>
  <si>
    <t>PR-ALL-CMP-eff85d74947</t>
  </si>
  <si>
    <t>CMP-eff85d74947</t>
  </si>
  <si>
    <t>SpyBiotech Ltd</t>
  </si>
  <si>
    <t>{"Tier":"LONG_TAIL","Company":"SpyBiotech Ltd","Company Type":"COMMERCIAL","GD Active Assets":3,"GD All Assets":3,"GD Phase II+":0,"Highest GD Stage":"Phase I","Research Area Tags":"EMG, ICH","Bridging Tags":"VAC","Public Source":null,"GlobalData As-of":"2026-07-31","Data Interpretation":"GlobalData snapshot only; validate current asset status","Company ID":"CMP-eff85d74947"}</t>
  </si>
  <si>
    <t>PR-ALL-CMP-9acfad69a15</t>
  </si>
  <si>
    <t>CMP-9acfad69a15</t>
  </si>
  <si>
    <t>Sumagen Canada Inc</t>
  </si>
  <si>
    <t>{"Tier":"LONG_TAIL","Company":"Sumagen Canada Inc","Company Type":"COMMERCIAL","GD Active Assets":3,"GD All Assets":3,"GD Phase II+":0,"Highest GD Stage":"Phase I","Research Area Tags":"HIV, EMG","Bridging Tags":"VAC","Public Source":null,"GlobalData As-of":"2026-07-31","Data Interpretation":"GlobalData snapshot only; validate current asset status","Company ID":"CMP-9acfad69a15"}</t>
  </si>
  <si>
    <t>PR-ALL-CMP-ee727d2d1da</t>
  </si>
  <si>
    <t>CMP-ee727d2d1da</t>
  </si>
  <si>
    <t>Vicebio Ltd</t>
  </si>
  <si>
    <t>{"Tier":"LONG_TAIL","Company":"Vicebio Ltd","Company Type":"COMMERCIAL","GD Active Assets":3,"GD All Assets":3,"GD Phase II+":0,"Highest GD Stage":"Phase I","Research Area Tags":"EMG, MUC","Bridging Tags":"VAC","Public Source":null,"GlobalData As-of":"2026-07-31","Data Interpretation":"GlobalData snapshot only; validate current asset status","Company ID":"CMP-ee727d2d1da"}</t>
  </si>
  <si>
    <t>PR-ALL-CMP-17f0999b088</t>
  </si>
  <si>
    <t>CMP-17f0999b088</t>
  </si>
  <si>
    <t>Zhejiang Tianyuan Bio-Pharmaceutical Co Ltd</t>
  </si>
  <si>
    <t>{"Tier":"LONG_TAIL","Company":"Zhejiang Tianyuan Bio-Pharmaceutical Co Ltd","Company Type":"COMMERCIAL","GD Active Assets":3,"GD All Assets":3,"GD Phase II+":1,"Highest GD Stage":"Phase III","Research Area Tags":"MUC","Bridging Tags":"VAC","Public Source":null,"GlobalData As-of":"2026-07-31","Data Interpretation":"GlobalData snapshot only; validate current asset status","Company ID":"CMP-17f0999b088"}</t>
  </si>
  <si>
    <t>PR-ALL-CMP-b20e945eeb1</t>
  </si>
  <si>
    <t>CMP-b20e945eeb1</t>
  </si>
  <si>
    <t>Biken Co Ltd</t>
  </si>
  <si>
    <t>{"Tier":"LONG_TAIL","Company":"Biken Co Ltd","Company Type":"COMMERCIAL","GD Active Assets":2,"GD All Assets":2,"GD Phase II+":2,"Highest GD Stage":"Pre-Registration","Research Area Tags":"MUC","Bridging Tags":null,"Public Source":null,"GlobalData As-of":"2026-07-31","Data Interpretation":"GlobalData snapshot only; validate current asset status","Company ID":"CMP-b20e945eeb1"}</t>
  </si>
  <si>
    <t>PR-ALL-CMP-5798ff4a818</t>
  </si>
  <si>
    <t>CMP-5798ff4a818</t>
  </si>
  <si>
    <t>CellTex Therapeutics Corp</t>
  </si>
  <si>
    <t>{"Tier":"LONG_TAIL","Company":"CellTex Therapeutics Corp","Company Type":"COMMERCIAL","GD Active Assets":2,"GD All Assets":2,"GD Phase II+":2,"Highest GD Stage":"Phase III","Research Area Tags":"EMG","Bridging Tags":null,"Public Source":null,"GlobalData As-of":"2026-07-31","Data Interpretation":"GlobalData snapshot only; validate current asset status","Company ID":"CMP-5798ff4a818"}</t>
  </si>
  <si>
    <t>PR-ALL-CMP-fafdc85610b</t>
  </si>
  <si>
    <t>CMP-fafdc85610b</t>
  </si>
  <si>
    <t>Daiichi Sankyo Co Ltd</t>
  </si>
  <si>
    <t>{"Tier":"LONG_TAIL","Company":"Daiichi Sankyo Co Ltd","Company Type":"COMMERCIAL","GD Active Assets":2,"GD All Assets":3,"GD Phase II+":2,"Highest GD Stage":"Phase III","Research Area Tags":"EMG","Bridging Tags":"VAC","Public Source":null,"GlobalData As-of":"2026-07-31","Data Interpretation":"GlobalData snapshot only; validate current asset status","Company ID":"CMP-fafdc85610b"}</t>
  </si>
  <si>
    <t>PR-ALL-CMP-5e01acf5b03</t>
  </si>
  <si>
    <t>CMP-5e01acf5b03</t>
  </si>
  <si>
    <t>Hope Biosciences LLC</t>
  </si>
  <si>
    <t>{"Tier":"LONG_TAIL","Company":"Hope Biosciences LLC","Company Type":"COMMERCIAL","GD Active Assets":2,"GD All Assets":2,"GD Phase II+":2,"Highest GD Stage":"Phase II","Research Area Tags":"EMG","Bridging Tags":null,"Public Source":null,"GlobalData As-of":"2026-07-31","Data Interpretation":"GlobalData snapshot only; validate current asset status","Company ID":"CMP-5e01acf5b03"}</t>
  </si>
  <si>
    <t>PR-ALL-CMP-b04ba9f859e</t>
  </si>
  <si>
    <t>CMP-b04ba9f859e</t>
  </si>
  <si>
    <t>Invivyd Inc</t>
  </si>
  <si>
    <t>{"Tier":"LONG_TAIL","Company":"Invivyd Inc","Company Type":"COMMERCIAL","GD Active Assets":2,"GD All Assets":2,"GD Phase II+":2,"Highest GD Stage":"Phase III","Research Area Tags":"EMG","Bridging Tags":null,"Public Source":null,"GlobalData As-of":"2026-07-31","Data Interpretation":"GlobalData snapshot only; validate current asset status","Company ID":"CMP-b04ba9f859e"}</t>
  </si>
  <si>
    <t>PR-ALL-CMP-9fc5e60bb91</t>
  </si>
  <si>
    <t>CMP-9fc5e60bb91</t>
  </si>
  <si>
    <t>MacroGenics Inc</t>
  </si>
  <si>
    <t>{"Tier":"LONG_TAIL","Company":"MacroGenics Inc","Company Type":"COMMERCIAL","GD Active Assets":2,"GD All Assets":2,"GD Phase II+":2,"Highest GD Stage":"Phase II","Research Area Tags":"HIV","Bridging Tags":null,"Public Source":null,"GlobalData As-of":"2026-07-31","Data Interpretation":"GlobalData snapshot only; validate current asset status","Company ID":"CMP-9fc5e60bb91"}</t>
  </si>
  <si>
    <t>PR-ALL-CMP-746b2e2cbae</t>
  </si>
  <si>
    <t>CMP-746b2e2cbae</t>
  </si>
  <si>
    <t>Medigen Vaccine Biologics Corp</t>
  </si>
  <si>
    <t>{"Tier":"LONG_TAIL","Company":"Medigen Vaccine Biologics Corp","Company Type":"COMMERCIAL","GD Active Assets":2,"GD All Assets":2,"GD Phase II+":2,"Highest GD Stage":"Phase III","Research Area Tags":"EMG","Bridging Tags":"VAC","Public Source":null,"GlobalData As-of":"2026-07-31","Data Interpretation":"GlobalData snapshot only; validate current asset status","Company ID":"CMP-746b2e2cbae"}</t>
  </si>
  <si>
    <t>PR-ALL-CMP-c6ef3c028f9</t>
  </si>
  <si>
    <t>CMP-c6ef3c028f9</t>
  </si>
  <si>
    <t>Novabiotics Ltd</t>
  </si>
  <si>
    <t>{"Tier":"LONG_TAIL","Company":"Novabiotics Ltd","Company Type":"COMMERCIAL","GD Active Assets":2,"GD All Assets":2,"GD Phase II+":2,"Highest GD Stage":"Phase III","Research Area Tags":"EMG","Bridging Tags":null,"Public Source":null,"GlobalData As-of":"2026-07-31","Data Interpretation":"GlobalData snapshot only; validate current asset status","Company ID":"CMP-c6ef3c028f9"}</t>
  </si>
  <si>
    <t>PR-ALL-CMP-3df854d958a</t>
  </si>
  <si>
    <t>CMP-3df854d958a</t>
  </si>
  <si>
    <t>TaiMed Biologics Inc</t>
  </si>
  <si>
    <t>{"Tier":"LONG_TAIL","Company":"TaiMed Biologics Inc","Company Type":"COMMERCIAL","GD Active Assets":2,"GD All Assets":2,"GD Phase II+":2,"Highest GD Stage":"Phase II","Research Area Tags":"HIV","Bridging Tags":null,"Public Source":null,"GlobalData As-of":"2026-07-31","Data Interpretation":"GlobalData snapshot only; validate current asset status","Company ID":"CMP-3df854d958a"}</t>
  </si>
  <si>
    <t>PR-ALL-CMP-59b5a4fed6a</t>
  </si>
  <si>
    <t>CMP-59b5a4fed6a</t>
  </si>
  <si>
    <t>U.S. Military HIV Research Program</t>
  </si>
  <si>
    <t>{"Tier":"LONG_TAIL","Company":"U.S. Military HIV Research Program","Company Type":"COMMERCIAL","GD Active Assets":2,"GD All Assets":2,"GD Phase II+":2,"Highest GD Stage":"Phase II","Research Area Tags":"HIV","Bridging Tags":"VAC","Public Source":null,"GlobalData As-of":"2026-07-31","Data Interpretation":"GlobalData snapshot only; validate current asset status","Company ID":"CMP-59b5a4fed6a"}</t>
  </si>
  <si>
    <t>PR-ALL-CMP-0921cd0e943</t>
  </si>
  <si>
    <t>CMP-0921cd0e943</t>
  </si>
  <si>
    <t>AB2 Therapeutics</t>
  </si>
  <si>
    <t>{"Tier":"LONG_TAIL","Company":"AB2 Therapeutics","Company Type":"COMMERCIAL","GD Active Assets":0,"GD All Assets":0,"GD Phase II+":0,"Highest GD Stage":"-","Research Area Tags":"HAI, ABX, ICH","Bridging Tags":"MAB","Public Source":"https://beam-alliance.eu/members/","GlobalData As-of":"2026-07-31","Data Interpretation":"Public thematic source; not present in source GlobalData","Company ID":"CMP-0921cd0e943"}</t>
  </si>
  <si>
    <t>PR-ALL-CMP-a47fdf9d380</t>
  </si>
  <si>
    <t>CMP-a47fdf9d380</t>
  </si>
  <si>
    <t>AdjuTec Pharma</t>
  </si>
  <si>
    <t>{"Tier":"LONG_TAIL","Company":"AdjuTec Pharma","Company Type":"COMMERCIAL","GD Active Assets":0,"GD All Assets":0,"GD Phase II+":0,"Highest GD Stage":"-","Research Area Tags":"HAI, ABX, ICH","Bridging Tags":"SMD","Public Source":"https://beam-alliance.eu/members/","GlobalData As-of":"2026-07-31","Data Interpretation":"Public thematic source; not present in source GlobalData","Company ID":"CMP-a47fdf9d380"}</t>
  </si>
  <si>
    <t>PR-ALL-CMP-e154712f6fc</t>
  </si>
  <si>
    <t>CMP-e154712f6fc</t>
  </si>
  <si>
    <t>Abera Bioscience AB</t>
  </si>
  <si>
    <t>{"Tier":"LONG_TAIL","Company":"Abera Bioscience AB","Company Type":"COMMERCIAL","GD Active Assets":2,"GD All Assets":2,"GD Phase II+":0,"Highest GD Stage":"Preclinical","Research Area Tags":"ABX, EMG","Bridging Tags":"VAC","Public Source":null,"GlobalData As-of":"2026-07-31","Data Interpretation":"GlobalData snapshot only; validate current asset status","Company ID":"CMP-e154712f6fc"}</t>
  </si>
  <si>
    <t>PR-ALL-CMP-9814e5d62dd</t>
  </si>
  <si>
    <t>CMP-9814e5d62dd</t>
  </si>
  <si>
    <t>Apros Therapeutics Inc</t>
  </si>
  <si>
    <t>{"Tier":"LONG_TAIL","Company":"Apros Therapeutics Inc","Company Type":"COMMERCIAL","GD Active Assets":2,"GD All Assets":2,"GD Phase II+":0,"Highest GD Stage":"Phase I","Research Area Tags":"HEP, EMG","Bridging Tags":null,"Public Source":null,"GlobalData As-of":"2026-07-31","Data Interpretation":"GlobalData snapshot only; validate current asset status","Company ID":"CMP-9814e5d62dd"}</t>
  </si>
  <si>
    <t>PR-ALL-CMP-31a187dfd20</t>
  </si>
  <si>
    <t>CMP-31a187dfd20</t>
  </si>
  <si>
    <t>Arctic Therapeutics ehf</t>
  </si>
  <si>
    <t>{"Tier":"LONG_TAIL","Company":"Arctic Therapeutics ehf","Company Type":"COMMERCIAL","GD Active Assets":2,"GD All Assets":2,"GD Phase II+":0,"Highest GD Stage":"Preclinical","Research Area Tags":"EMG, MUC","Bridging Tags":null,"Public Source":null,"GlobalData As-of":"2026-07-31","Data Interpretation":"GlobalData snapshot only; validate current asset status","Company ID":"CMP-31a187dfd20"}</t>
  </si>
  <si>
    <t>PR-ALL-CMP-37b3da7d795</t>
  </si>
  <si>
    <t>Assembly Biosciences Inc</t>
  </si>
  <si>
    <t>{"Tier":"LONG_TAIL","Company":"Assembly Biosciences Inc","Company Type":"COMMERCIAL","GD Active Assets":2,"GD All Assets":2,"GD Phase II+":0,"Highest GD Stage":"Phase I","Research Area Tags":"HEP, ICH","Bridging Tags":"SMD","Public Source":null,"GlobalData As-of":"2026-07-31","Data Interpretation":"GlobalData snapshot only; validate current asset status","Company ID":"CMP-37b3da7d795"}</t>
  </si>
  <si>
    <t>PR-ALL-CMP-8a9fcbfd7b3</t>
  </si>
  <si>
    <t>CMP-8a9fcbfd7b3</t>
  </si>
  <si>
    <t>Avocet Bio GmbH</t>
  </si>
  <si>
    <t>{"Tier":"LONG_TAIL","Company":"Avocet Bio GmbH","Company Type":"COMMERCIAL","GD Active Assets":2,"GD All Assets":2,"GD Phase II+":0,"Highest GD Stage":"Preclinical","Research Area Tags":"EMG, MUC","Bridging Tags":null,"Public Source":null,"GlobalData As-of":"2026-07-31","Data Interpretation":"GlobalData snapshot only; validate current asset status","Company ID":"CMP-8a9fcbfd7b3"}</t>
  </si>
  <si>
    <t>PR-ALL-CMP-720715732b2</t>
  </si>
  <si>
    <t>CMP-720715732b2</t>
  </si>
  <si>
    <t>BravoVax Co Ltd</t>
  </si>
  <si>
    <t>{"Tier":"LONG_TAIL","Company":"BravoVax Co Ltd","Company Type":"COMMERCIAL","GD Active Assets":2,"GD All Assets":2,"GD Phase II+":0,"Highest GD Stage":"Preclinical","Research Area Tags":"EMG, ICH","Bridging Tags":"VAC","Public Source":null,"GlobalData As-of":"2026-07-31","Data Interpretation":"GlobalData snapshot only; validate current asset status","Company ID":"CMP-720715732b2"}</t>
  </si>
  <si>
    <t>PR-ALL-CMP-f3f8ba80f1f</t>
  </si>
  <si>
    <t>CMP-f3f8ba80f1f</t>
  </si>
  <si>
    <t>COSCIENS Biopharma Inc</t>
  </si>
  <si>
    <t>{"Tier":"LONG_TAIL","Company":"COSCIENS Biopharma Inc","Company Type":"COMMERCIAL","GD Active Assets":2,"GD All Assets":2,"GD Phase II+":0,"Highest GD Stage":"Preclinical","Research Area Tags":"ABX, EMG","Bridging Tags":"VAC","Public Source":null,"GlobalData As-of":"2026-07-31","Data Interpretation":"GlobalData snapshot only; validate current asset status","Company ID":"CMP-f3f8ba80f1f"}</t>
  </si>
  <si>
    <t>PR-ALL-CMP-92379c726cf</t>
  </si>
  <si>
    <t>CMP-92379c726cf</t>
  </si>
  <si>
    <t>Chengdu WestGene Biopharma Co Ltd</t>
  </si>
  <si>
    <t>{"Tier":"LONG_TAIL","Company":"Chengdu WestGene Biopharma Co Ltd","Company Type":"COMMERCIAL","GD Active Assets":2,"GD All Assets":2,"GD Phase II+":0,"Highest GD Stage":"Phase I","Research Area Tags":"HEP, ICH","Bridging Tags":null,"Public Source":null,"GlobalData As-of":"2026-07-31","Data Interpretation":"GlobalData snapshot only; validate current asset status","Company ID":"CMP-92379c726cf"}</t>
  </si>
  <si>
    <t>PR-ALL-CMP-d0798c3b245</t>
  </si>
  <si>
    <t>CMP-d0798c3b245</t>
  </si>
  <si>
    <t>Cryptyx Bioscience Inc</t>
  </si>
  <si>
    <t>{"Tier":"LONG_TAIL","Company":"Cryptyx Bioscience Inc","Company Type":"COMMERCIAL","GD Active Assets":2,"GD All Assets":2,"GD Phase II+":0,"Highest GD Stage":"Preclinical","Research Area Tags":"HAI, ABX","Bridging Tags":null,"Public Source":null,"GlobalData As-of":"2026-07-31","Data Interpretation":"GlobalData snapshot only; validate current asset status","Company ID":"CMP-d0798c3b245"}</t>
  </si>
  <si>
    <t>PR-ALL-CMP-f0c21384b8b</t>
  </si>
  <si>
    <t>CMP-f0c21384b8b</t>
  </si>
  <si>
    <t>DIOSynVax Ltd</t>
  </si>
  <si>
    <t>{"Tier":"LONG_TAIL","Company":"DIOSynVax Ltd","Company Type":"COMMERCIAL","GD Active Assets":2,"GD All Assets":2,"GD Phase II+":0,"Highest GD Stage":"Phase I","Research Area Tags":"EMG, MUC","Bridging Tags":"VAC","Public Source":null,"GlobalData As-of":"2026-07-31","Data Interpretation":"GlobalData snapshot only; validate current asset status","Company ID":"CMP-f0c21384b8b"}</t>
  </si>
  <si>
    <t>PR-ALL-CMP-6972c42f2fa</t>
  </si>
  <si>
    <t>CMP-6972c42f2fa</t>
  </si>
  <si>
    <t>HEC Pharm Group</t>
  </si>
  <si>
    <t>{"Tier":"LONG_TAIL","Company":"HEC Pharm Group","Company Type":"COMMERCIAL","GD Active Assets":2,"GD All Assets":2,"GD Phase II+":0,"Highest GD Stage":"Phase I","Research Area Tags":"HEP, EMG","Bridging Tags":null,"Public Source":null,"GlobalData As-of":"2026-07-31","Data Interpretation":"GlobalData snapshot only; validate current asset status","Company ID":"CMP-6972c42f2fa"}</t>
  </si>
  <si>
    <t>PR-ALL-CMP-946dea8b6dc</t>
  </si>
  <si>
    <t>CMP-946dea8b6dc</t>
  </si>
  <si>
    <t>Helmholtz Centre for Infection Research</t>
  </si>
  <si>
    <t>{"Tier":"LONG_TAIL","Company":"Helmholtz Centre for Infection Research","Company Type":"COMMERCIAL","GD Active Assets":2,"GD All Assets":2,"GD Phase II+":0,"Highest GD Stage":"Preclinical","Research Area Tags":"ABX, NTD","Bridging Tags":"VAC","Public Source":null,"GlobalData As-of":"2026-07-31","Data Interpretation":"GlobalData snapshot only; validate current asset status","Company ID":"CMP-946dea8b6dc"}</t>
  </si>
  <si>
    <t>PR-ALL-CMP-4966fa00eca</t>
  </si>
  <si>
    <t>CMP-4966fa00eca</t>
  </si>
  <si>
    <t>Inimmune Corp</t>
  </si>
  <si>
    <t>{"Tier":"LONG_TAIL","Company":"Inimmune Corp","Company Type":"COMMERCIAL","GD Active Assets":2,"GD All Assets":2,"GD Phase II+":0,"Highest GD Stage":"Preclinical","Research Area Tags":"EMG, MUC","Bridging Tags":null,"Public Source":null,"GlobalData As-of":"2026-07-31","Data Interpretation":"GlobalData snapshot only; validate current asset status","Company ID":"CMP-4966fa00eca"}</t>
  </si>
  <si>
    <t>PR-ALL-CMP-737d01d5364</t>
  </si>
  <si>
    <t>CMP-737d01d5364</t>
  </si>
  <si>
    <t>Pinion Immunotherapeutics</t>
  </si>
  <si>
    <t>{"Tier":"LONG_TAIL","Company":"Pinion Immunotherapeutics","Company Type":"COMMERCIAL","GD Active Assets":2,"GD All Assets":2,"GD Phase II+":0,"Highest GD Stage":"Preclinical","Research Area Tags":"HEP, ICH","Bridging Tags":null,"Public Source":null,"GlobalData As-of":"2026-07-31","Data Interpretation":"GlobalData snapshot only; validate current asset status","Company ID":"CMP-737d01d5364"}</t>
  </si>
  <si>
    <t>PR-ALL-CMP-1bced8d8997</t>
  </si>
  <si>
    <t>CMP-1bced8d8997</t>
  </si>
  <si>
    <t>Shenzhen Chipscreen Biosciences Co Ltd</t>
  </si>
  <si>
    <t>{"Tier":"LONG_TAIL","Company":"Shenzhen Chipscreen Biosciences Co Ltd","Company Type":"COMMERCIAL","GD Active Assets":2,"GD All Assets":3,"GD Phase II+":0,"Highest GD Stage":"Phase I","Research Area Tags":"HEP, EMG","Bridging Tags":null,"Public Source":null,"GlobalData As-of":"2026-07-31","Data Interpretation":"GlobalData snapshot only; validate current asset status","Company ID":"CMP-1bced8d8997"}</t>
  </si>
  <si>
    <t>PR-ALL-CMP-95107219b47</t>
  </si>
  <si>
    <t>CMP-95107219b47</t>
  </si>
  <si>
    <t>Virometix AG</t>
  </si>
  <si>
    <t>{"Tier":"LONG_TAIL","Company":"Virometix AG","Company Type":"COMMERCIAL","GD Active Assets":2,"GD All Assets":2,"GD Phase II+":0,"Highest GD Stage":"Phase I","Research Area Tags":"EMG, MUC","Bridging Tags":"VAC","Public Source":null,"GlobalData As-of":"2026-07-31","Data Interpretation":"GlobalData snapshot only; validate current asset status","Company ID":"CMP-95107219b47"}</t>
  </si>
  <si>
    <t>PR-ALL-CMP-67c60112c16</t>
  </si>
  <si>
    <t>CMP-67c60112c16</t>
  </si>
  <si>
    <t>iosBio Ltd</t>
  </si>
  <si>
    <t>{"Tier":"LONG_TAIL","Company":"iosBio Ltd","Company Type":"COMMERCIAL","GD Active Assets":2,"GD All Assets":2,"GD Phase II+":0,"Highest GD Stage":"Preclinical","Research Area Tags":"EMG, MUC","Bridging Tags":"VAC","Public Source":null,"GlobalData As-of":"2026-07-31","Data Interpretation":"GlobalData snapshot only; validate current asset status","Company ID":"CMP-67c60112c16"}</t>
  </si>
  <si>
    <t>PR-ALL-CMP-0c4fb4ab435</t>
  </si>
  <si>
    <t>{"Tier":"LONG_TAIL","Company":"AiCuris Anti-infective Cures AG","Company Type":"COMMERCIAL","GD Active Assets":2,"GD All Assets":2,"GD Phase II+":1,"Highest GD Stage":"Pre-Registration","Research Area Tags":"ICH","Bridging Tags":"SMD","Public Source":null,"GlobalData As-of":"2026-07-31","Data Interpretation":"GlobalData snapshot only; validate current asset status","Company ID":"CMP-0c4fb4ab435"}</t>
  </si>
  <si>
    <t>PR-ALL-CMP-e8c44286c9c</t>
  </si>
  <si>
    <t>CMP-e8c44286c9c</t>
  </si>
  <si>
    <t>Appili Therapeutics Inc</t>
  </si>
  <si>
    <t>{"Tier":"LONG_TAIL","Company":"Appili Therapeutics Inc","Company Type":"COMMERCIAL","GD Active Assets":2,"GD All Assets":2,"GD Phase II+":1,"Highest GD Stage":"Phase III","Research Area Tags":"NTD","Bridging Tags":null,"Public Source":null,"GlobalData As-of":"2026-07-31","Data Interpretation":"GlobalData snapshot only; validate current asset status","Company ID":"CMP-e8c44286c9c"}</t>
  </si>
  <si>
    <t>PR-ALL-CMP-6d45963b5e5</t>
  </si>
  <si>
    <t>CMP-6d45963b5e5</t>
  </si>
  <si>
    <t>Arbutus Biopharma Corp</t>
  </si>
  <si>
    <t>{"Tier":"LONG_TAIL","Company":"Arbutus Biopharma Corp","Company Type":"COMMERCIAL","GD Active Assets":2,"GD All Assets":2,"GD Phase II+":1,"Highest GD Stage":"Phase II","Research Area Tags":"HEP","Bridging Tags":"SMD","Public Source":null,"GlobalData As-of":"2026-07-31","Data Interpretation":"GlobalData snapshot only; validate current asset status","Company ID":"CMP-6d45963b5e5"}</t>
  </si>
  <si>
    <t>PR-ALL-CMP-9a49ec81461</t>
  </si>
  <si>
    <t>CMP-9a49ec81461</t>
  </si>
  <si>
    <t>Beijing Advaccine Biotechnology Company Ltd</t>
  </si>
  <si>
    <t>{"Tier":"LONG_TAIL","Company":"Beijing Advaccine Biotechnology Company Ltd","Company Type":"COMMERCIAL","GD Active Assets":2,"GD All Assets":2,"GD Phase II+":1,"Highest GD Stage":"Phase II","Research Area Tags":"MUC","Bridging Tags":null,"Public Source":null,"GlobalData As-of":"2026-07-31","Data Interpretation":"GlobalData snapshot only; validate current asset status","Company ID":"CMP-9a49ec81461"}</t>
  </si>
  <si>
    <t>PR-ALL-CMP-31c1f220af5</t>
  </si>
  <si>
    <t>CMP-31c1f220af5</t>
  </si>
  <si>
    <t>Beijing Zhifei Lvzhu Biopharmaceutical Co Ltd</t>
  </si>
  <si>
    <t>{"Tier":"LONG_TAIL","Company":"Beijing Zhifei Lvzhu Biopharmaceutical Co Ltd","Company Type":"COMMERCIAL","GD Active Assets":2,"GD All Assets":2,"GD Phase II+":1,"Highest GD Stage":"Phase III","Research Area Tags":"MUC","Bridging Tags":"VAC","Public Source":null,"GlobalData As-of":"2026-07-31","Data Interpretation":"GlobalData snapshot only; validate current asset status","Company ID":"CMP-31c1f220af5"}</t>
  </si>
  <si>
    <t>PR-ALL-CMP-a236f923906</t>
  </si>
  <si>
    <t>CMP-a236f923906</t>
  </si>
  <si>
    <t>Bio-Modeling Systems SAS</t>
  </si>
  <si>
    <t>{"Tier":"LONG_TAIL","Company":"Bio-Modeling Systems SAS","Company Type":"COMMERCIAL","GD Active Assets":2,"GD All Assets":2,"GD Phase II+":1,"Highest GD Stage":"Phase II","Research Area Tags":"ABX","Bridging Tags":null,"Public Source":null,"GlobalData As-of":"2026-07-31","Data Interpretation":"GlobalData snapshot only; validate current asset status","Company ID":"CMP-a236f923906"}</t>
  </si>
  <si>
    <t>PR-ALL-CMP-c639e742b9c</t>
  </si>
  <si>
    <t>CMP-c639e742b9c</t>
  </si>
  <si>
    <t>Changchun Institute of Biological Products Co Ltd</t>
  </si>
  <si>
    <t>{"Tier":"LONG_TAIL","Company":"Changchun Institute of Biological Products Co Ltd","Company Type":"COMMERCIAL","GD Active Assets":2,"GD All Assets":3,"GD Phase II+":1,"Highest GD Stage":"Phase II","Research Area Tags":"MUC","Bridging Tags":"VAC","Public Source":null,"GlobalData As-of":"2026-07-31","Data Interpretation":"GlobalData snapshot only; validate current asset status","Company ID":"CMP-c639e742b9c"}</t>
  </si>
  <si>
    <t>PR-ALL-CMP-2c15621d53c</t>
  </si>
  <si>
    <t>CMP-2c15621d53c</t>
  </si>
  <si>
    <t>Daewoong Pharmaceutical Co Ltd</t>
  </si>
  <si>
    <t>{"Tier":"LONG_TAIL","Company":"Daewoong Pharmaceutical Co Ltd","Company Type":"COMMERCIAL","GD Active Assets":2,"GD All Assets":2,"GD Phase II+":1,"Highest GD Stage":"Phase II","Research Area Tags":"EMG","Bridging Tags":null,"Public Source":null,"GlobalData As-of":"2026-07-31","Data Interpretation":"GlobalData snapshot only; validate current asset status","Company ID":"CMP-2c15621d53c"}</t>
  </si>
  <si>
    <t>PR-ALL-CMP-c6669d39b6d</t>
  </si>
  <si>
    <t>CMP-c6669d39b6d</t>
  </si>
  <si>
    <t>Expres2ion Biotechnologies ApS</t>
  </si>
  <si>
    <t>{"Tier":"LONG_TAIL","Company":"Expres2ion Biotechnologies ApS","Company Type":"COMMERCIAL","GD Active Assets":2,"GD All Assets":2,"GD Phase II+":1,"Highest GD Stage":"Phase II","Research Area Tags":"NTD","Bridging Tags":"VAC","Public Source":null,"GlobalData As-of":"2026-07-31","Data Interpretation":"GlobalData snapshot only; validate current asset status","Company ID":"CMP-c6669d39b6d"}</t>
  </si>
  <si>
    <t>PR-ALL-CMP-db5cdbae3be</t>
  </si>
  <si>
    <t>CMP-db5cdbae3be</t>
  </si>
  <si>
    <t>Microgen</t>
  </si>
  <si>
    <t>{"Tier":"LONG_TAIL","Company":"Microgen","Company Type":"COMMERCIAL","GD Active Assets":2,"GD All Assets":2,"GD Phase II+":1,"Highest GD Stage":"Phase III","Research Area Tags":"EMG","Bridging Tags":null,"Public Source":null,"GlobalData As-of":"2026-07-31","Data Interpretation":"GlobalData snapshot only; validate current asset status","Company ID":"CMP-db5cdbae3be"}</t>
  </si>
  <si>
    <t>PR-ALL-CMP-fdbb1c227d8</t>
  </si>
  <si>
    <t>CMP-fdbb1c227d8</t>
  </si>
  <si>
    <t>Mirum Pharmaceuticals Inc</t>
  </si>
  <si>
    <t>{"Tier":"LONG_TAIL","Company":"Mirum Pharmaceuticals Inc","Company Type":"COMMERCIAL","GD Active Assets":2,"GD All Assets":2,"GD Phase II+":1,"Highest GD Stage":"Phase III","Research Area Tags":"HEP","Bridging Tags":null,"Public Source":null,"GlobalData As-of":"2026-07-31","Data Interpretation":"GlobalData snapshot only; validate current asset status","Company ID":"CMP-fdbb1c227d8"}</t>
  </si>
  <si>
    <t>PR-ALL-CMP-c6ece434e66</t>
  </si>
  <si>
    <t>CMP-c6ece434e66</t>
  </si>
  <si>
    <t>Ocugen Inc</t>
  </si>
  <si>
    <t>{"Tier":"LONG_TAIL","Company":"Ocugen Inc","Company Type":"COMMERCIAL","GD Active Assets":2,"GD All Assets":2,"GD Phase II+":1,"Highest GD Stage":"Phase III","Research Area Tags":"EMG","Bridging Tags":"VAC","Public Source":null,"GlobalData As-of":"2026-07-31","Data Interpretation":"GlobalData snapshot only; validate current asset status","Company ID":"CMP-c6ece434e66"}</t>
  </si>
  <si>
    <t>PR-ALL-CMP-75303a5191b</t>
  </si>
  <si>
    <t>CMP-75303a5191b</t>
  </si>
  <si>
    <t>PharmaEssentia Corp</t>
  </si>
  <si>
    <t>{"Tier":"LONG_TAIL","Company":"PharmaEssentia Corp","Company Type":"COMMERCIAL","GD Active Assets":2,"GD All Assets":2,"GD Phase II+":1,"Highest GD Stage":"Phase III","Research Area Tags":"HEP","Bridging Tags":null,"Public Source":null,"GlobalData As-of":"2026-07-31","Data Interpretation":"GlobalData snapshot only; validate current asset status","Company ID":"CMP-75303a5191b"}</t>
  </si>
  <si>
    <t>PR-ALL-CMP-90c007cc915</t>
  </si>
  <si>
    <t>CMP-90c007cc915</t>
  </si>
  <si>
    <t>SJP Biotec GmbH</t>
  </si>
  <si>
    <t>{"Tier":"LONG_TAIL","Company":"SJP Biotec GmbH","Company Type":"COMMERCIAL","GD Active Assets":2,"GD All Assets":2,"GD Phase II+":1,"Highest GD Stage":"Phase II","Research Area Tags":"EMG","Bridging Tags":null,"Public Source":null,"GlobalData As-of":"2026-07-31","Data Interpretation":"GlobalData snapshot only; validate current asset status","Company ID":"CMP-90c007cc915"}</t>
  </si>
  <si>
    <t>PR-ALL-CMP-43f1b4cd5ac</t>
  </si>
  <si>
    <t>CMP-43f1b4cd5ac</t>
  </si>
  <si>
    <t>Shanghai Zhimeng Biopharma Inc</t>
  </si>
  <si>
    <t>{"Tier":"LONG_TAIL","Company":"Shanghai Zhimeng Biopharma Inc","Company Type":"COMMERCIAL","GD Active Assets":2,"GD All Assets":2,"GD Phase II+":1,"Highest GD Stage":"Phase III","Research Area Tags":"HEP","Bridging Tags":null,"Public Source":null,"GlobalData As-of":"2026-07-31","Data Interpretation":"GlobalData snapshot only; validate current asset status","Company ID":"CMP-43f1b4cd5ac"}</t>
  </si>
  <si>
    <t>PR-ALL-CMP-0cbc2a2ae1f</t>
  </si>
  <si>
    <t>CMP-0cbc2a2ae1f</t>
  </si>
  <si>
    <t>Shenzhen Evergreen Therapeutics Co Ltd</t>
  </si>
  <si>
    <t>{"Tier":"LONG_TAIL","Company":"Shenzhen Evergreen Therapeutics Co Ltd","Company Type":"COMMERCIAL","GD Active Assets":2,"GD All Assets":2,"GD Phase II+":1,"Highest GD Stage":"Phase II","Research Area Tags":"EMG","Bridging Tags":null,"Public Source":null,"GlobalData As-of":"2026-07-31","Data Interpretation":"GlobalData snapshot only; validate current asset status","Company ID":"CMP-0cbc2a2ae1f"}</t>
  </si>
  <si>
    <t>PR-ALL-CMP-6139e3a0465</t>
  </si>
  <si>
    <t>CMP-6139e3a0465</t>
  </si>
  <si>
    <t>Sinopharm Group Co Ltd</t>
  </si>
  <si>
    <t>{"Tier":"LONG_TAIL","Company":"Sinopharm Group Co Ltd","Company Type":"COMMERCIAL","GD Active Assets":2,"GD All Assets":2,"GD Phase II+":1,"Highest GD Stage":"Phase III","Research Area Tags":"EMG","Bridging Tags":"VAC","Public Source":null,"GlobalData As-of":"2026-07-31","Data Interpretation":"GlobalData snapshot only; validate current asset status","Company ID":"CMP-6139e3a0465"}</t>
  </si>
  <si>
    <t>PR-ALL-CMP-26465946c43</t>
  </si>
  <si>
    <t>CMP-26465946c43</t>
  </si>
  <si>
    <t>VLP Therapeutics Japan Inc</t>
  </si>
  <si>
    <t>{"Tier":"LONG_TAIL","Company":"VLP Therapeutics Japan Inc","Company Type":"COMMERCIAL","GD Active Assets":2,"GD All Assets":2,"GD Phase II+":1,"Highest GD Stage":"Phase II","Research Area Tags":"EMG","Bridging Tags":null,"Public Source":null,"GlobalData As-of":"2026-07-31","Data Interpretation":"GlobalData snapshot only; validate current asset status","Company ID":"CMP-26465946c43"}</t>
  </si>
  <si>
    <t>PR-ALL-CMP-aa0e1b20bbf</t>
  </si>
  <si>
    <t>CMP-aa0e1b20bbf</t>
  </si>
  <si>
    <t>Vabiotech</t>
  </si>
  <si>
    <t>{"Tier":"LONG_TAIL","Company":"Vabiotech","Company Type":"COMMERCIAL","GD Active Assets":2,"GD All Assets":2,"GD Phase II+":1,"Highest GD Stage":"Phase III","Research Area Tags":"EMG","Bridging Tags":"VAC","Public Source":null,"GlobalData As-of":"2026-07-31","Data Interpretation":"GlobalData snapshot only; validate current asset status","Company ID":"CMP-aa0e1b20bbf"}</t>
  </si>
  <si>
    <t>PR-ALL-CMP-7bbb92c8f54</t>
  </si>
  <si>
    <t>CMP-7bbb92c8f54</t>
  </si>
  <si>
    <t>Xi'an Xintong Pharmaceutical Research Co Ltd</t>
  </si>
  <si>
    <t>{"Tier":"LONG_TAIL","Company":"Xi'an Xintong Pharmaceutical Research Co Ltd","Company Type":"COMMERCIAL","GD Active Assets":2,"GD All Assets":2,"GD Phase II+":1,"Highest GD Stage":"Phase III","Research Area Tags":"HEP","Bridging Tags":null,"Public Source":null,"GlobalData As-of":"2026-07-31","Data Interpretation":"GlobalData snapshot only; validate current asset status","Company ID":"CMP-7bbb92c8f54"}</t>
  </si>
  <si>
    <t>PR-ALL-CMP-849faa751e1</t>
  </si>
  <si>
    <t>CMP-849faa751e1</t>
  </si>
  <si>
    <t>32 Biosciences Inc</t>
  </si>
  <si>
    <t>{"Tier":"LONG_TAIL","Company":"32 Biosciences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ID":"CMP-849faa751e1"}</t>
  </si>
  <si>
    <t>PR-ALL-CMP-f54a4a70590</t>
  </si>
  <si>
    <t>CMP-f54a4a70590</t>
  </si>
  <si>
    <t>ABIONYX Pharma SA</t>
  </si>
  <si>
    <t>{"Tier":"LONG_TAIL","Company":"ABIONYX Pharma SA","Company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ID":"CMP-f54a4a70590"}</t>
  </si>
  <si>
    <t>PR-ALL-CMP-af304d87966</t>
  </si>
  <si>
    <t>CMP-af304d87966</t>
  </si>
  <si>
    <t>Accendatech Co Ltd</t>
  </si>
  <si>
    <t>{"Tier":"LONG_TAIL","Company":"Accendatech Co Ltd","Company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ID":"CMP-af304d87966"}</t>
  </si>
  <si>
    <t>PR-ALL-CMP-e2d37d45ae2</t>
  </si>
  <si>
    <t>CMP-e2d37d45ae2</t>
  </si>
  <si>
    <t>AliquantumRx Inc</t>
  </si>
  <si>
    <t>{"Tier":"LONG_TAIL","Company":"AliquantumRx Inc","Company Type":"COMMERCIAL","GD Active Assets":1,"GD All Assets":1,"GD Phase II+":0,"Highest GD Stage":"Preclinical","Research Area Tags":"ABX, NTD, ICH","Bridging Tags":null,"Public Source":null,"GlobalData As-of":"2026-07-31","Data Interpretation":"GlobalData snapshot only; validate current asset status","Company ID":"CMP-e2d37d45ae2"}</t>
  </si>
  <si>
    <t>PR-ALL-CMP-163ad23b70b</t>
  </si>
  <si>
    <t>CMP-163ad23b70b</t>
  </si>
  <si>
    <t>Allele Biotechnology and Pharmaceuticals Inc</t>
  </si>
  <si>
    <t>{"Tier":"LONG_TAIL","Company":"Allele Biotechnology and Pharmaceuticals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ID":"CMP-163ad23b70b"}</t>
  </si>
  <si>
    <t>PR-ALL-CMP-3ae7d0ab6ea</t>
  </si>
  <si>
    <t>CMP-3ae7d0ab6ea</t>
  </si>
  <si>
    <t>Axceso Biopharma Co Ltd</t>
  </si>
  <si>
    <t>{"Tier":"LONG_TAIL","Company":"Axceso Biopharma Co Ltd","Company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ID":"CMP-3ae7d0ab6ea"}</t>
  </si>
  <si>
    <t>PR-ALL-CMP-c516cfa5e81</t>
  </si>
  <si>
    <t>CMP-c516cfa5e81</t>
  </si>
  <si>
    <t>Ayuvis Research Inc</t>
  </si>
  <si>
    <t>{"Tier":"LONG_TAIL","Company":"Ayuvis Research Inc","Company Type":"COMMERCIAL","GD Active Assets":1,"GD All Assets":2,"GD Phase II+":0,"Highest GD Stage":"Preclinical","Research Area Tags":"HAI, ABX, ICH","Bridging Tags":null,"Public Source":null,"GlobalData As-of":"2026-07-31","Data Interpretation":"GlobalData snapshot only; validate current asset status","Company ID":"CMP-c516cfa5e81"}</t>
  </si>
  <si>
    <t>PR-ALL-CMP-4c909f1520f</t>
  </si>
  <si>
    <t>CMP-4c909f1520f</t>
  </si>
  <si>
    <t>Benfovir AG</t>
  </si>
  <si>
    <t>{"Tier":"LONG_TAIL","Company":"Benfovir AG","Company Type":"COMMERCIAL","GD Active Assets":1,"GD All Assets":1,"GD Phase II+":0,"Highest GD Stage":"Discovery","Research Area Tags":"HAI, ABX, ICH","Bridging Tags":null,"Public Source":null,"GlobalData As-of":"2026-07-31","Data Interpretation":"GlobalData snapshot only; validate current asset status","Company ID":"CMP-4c909f1520f"}</t>
  </si>
  <si>
    <t>PR-ALL-CMP-30b5047daf5</t>
  </si>
  <si>
    <t>CMP-30b5047daf5</t>
  </si>
  <si>
    <t>BioPROVAR Corp</t>
  </si>
  <si>
    <t>{"Tier":"LONG_TAIL","Company":"BioPROVAR Corp","Company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ID":"CMP-30b5047daf5"}</t>
  </si>
  <si>
    <t>PR-ALL-CMP-35f06571bbc</t>
  </si>
  <si>
    <t>CMP-35f06571bbc</t>
  </si>
  <si>
    <t>CHO Pharma Inc</t>
  </si>
  <si>
    <t>{"Tier":"LONG_TAIL","Company":"CHO Pharma Inc","Company Type":"COMMERCIAL","GD Active Assets":1,"GD All Assets":1,"GD Phase II+":0,"Highest GD Stage":"Phase I","Research Area Tags":"HAI, ABX, MUC","Bridging Tags":null,"Public Source":null,"GlobalData As-of":"2026-07-31","Data Interpretation":"GlobalData snapshot only; validate current asset status","Company ID":"CMP-35f06571bbc"}</t>
  </si>
  <si>
    <t>PR-ALL-CMP-93389939496</t>
  </si>
  <si>
    <t>CMP-93389939496</t>
  </si>
  <si>
    <t>Cellivery Therapeutics Inc</t>
  </si>
  <si>
    <t>{"Tier":"LONG_TAIL","Company":"Cellivery Therapeutics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ID":"CMP-93389939496"}</t>
  </si>
  <si>
    <t>PR-ALL-CMP-b46341accbc</t>
  </si>
  <si>
    <t>CMP-b46341accbc</t>
  </si>
  <si>
    <t>Celloram Inc</t>
  </si>
  <si>
    <t>{"Tier":"LONG_TAIL","Company":"Celloram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ID":"CMP-b46341accbc"}</t>
  </si>
  <si>
    <t>PR-ALL-CMP-eca60131371</t>
  </si>
  <si>
    <t>CMP-eca60131371</t>
  </si>
  <si>
    <t>Cenyx Biotech Inc</t>
  </si>
  <si>
    <t>{"Tier":"LONG_TAIL","Company":"Cenyx Biotech Inc","Company Type":"COMMERCIAL","GD Active Assets":1,"GD All Assets":1,"GD Phase II+":0,"Highest GD Stage":"IND/CTA Filed","Research Area Tags":"HAI, ABX, ICH","Bridging Tags":null,"Public Source":null,"GlobalData As-of":"2026-07-31","Data Interpretation":"GlobalData snapshot only; validate current asset status","Company ID":"CMP-eca60131371"}</t>
  </si>
  <si>
    <t>PR-ALL-CMP-5be02e0529d</t>
  </si>
  <si>
    <t>CMP-5be02e0529d</t>
  </si>
  <si>
    <t>Dong-A ST Co Ltd</t>
  </si>
  <si>
    <t>{"Tier":"LONG_TAIL","Company":"Dong-A ST Co Ltd","Company Type":"COMMERCIAL","GD Active Assets":1,"GD All Assets":1,"GD Phase II+":0,"Highest GD Stage":"Preclinical","Research Area Tags":"HAI, ABX, MUC","Bridging Tags":null,"Public Source":null,"GlobalData As-of":"2026-07-31","Data Interpretation":"GlobalData snapshot only; validate current asset status","Company ID":"CMP-5be02e0529d"}</t>
  </si>
  <si>
    <t>PR-ALL-CMP-acd7cb8f0d9</t>
  </si>
  <si>
    <t>CMP-acd7cb8f0d9</t>
  </si>
  <si>
    <t>Exponential Biotherapies Inc</t>
  </si>
  <si>
    <t>{"Tier":"LONG_TAIL","Company":"Exponential Biotherapies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ID":"CMP-acd7cb8f0d9"}</t>
  </si>
  <si>
    <t>PR-ALL-CMP-7104bc2902b</t>
  </si>
  <si>
    <t>CMP-7104bc2902b</t>
  </si>
  <si>
    <t>Genfit SA</t>
  </si>
  <si>
    <t>{"Tier":"LONG_TAIL","Company":"Genfit SA","Company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ID":"CMP-7104bc2902b"}</t>
  </si>
  <si>
    <t>PR-ALL-CMP-25e6aaca933</t>
  </si>
  <si>
    <t>CMP-25e6aaca933</t>
  </si>
  <si>
    <t>HC Synthetic Pharmaceutical Co Ltd</t>
  </si>
  <si>
    <t>{"Tier":"LONG_TAIL","Company":"HC Synthetic Pharmaceutical Co Ltd","Company Type":"COMMERCIAL","GD Active Assets":1,"GD All Assets":1,"GD Phase II+":0,"Highest GD Stage":"Phase I","Research Area Tags":"HAI, MUC, ICH","Bridging Tags":null,"Public Source":null,"GlobalData As-of":"2026-07-31","Data Interpretation":"GlobalData snapshot only; validate current asset status","Company ID":"CMP-25e6aaca933"}</t>
  </si>
  <si>
    <t>PR-ALL-CMP-2d73307cd46</t>
  </si>
  <si>
    <t>CMP-2d73307cd46</t>
  </si>
  <si>
    <t>HLB Science Inc</t>
  </si>
  <si>
    <t>{"Tier":"LONG_TAIL","Company":"HLB Science Inc","Company Type":"COMMERCIAL","GD Active Assets":1,"GD All Assets":1,"GD Phase II+":0,"Highest GD Stage":"Phase I","Research Area Tags":"HAI, ABX, ICH","Bridging Tags":null,"Public Source":null,"GlobalData As-of":"2026-07-31","Data Interpretation":"GlobalData snapshot only; validate current asset status","Company ID":"CMP-2d73307cd46"}</t>
  </si>
  <si>
    <t>PR-ALL-CMP-0ad2970631a</t>
  </si>
  <si>
    <t>CMP-0ad2970631a</t>
  </si>
  <si>
    <t>Hangzhou Grand Biologic Pharmaceutical Inc</t>
  </si>
  <si>
    <t>{"Tier":"LONG_TAIL","Company":"Hangzhou Grand Biologic Pharmaceutical Inc","Company Type":"COMMERCIAL","GD Active Assets":1,"GD All Assets":1,"GD Phase II+":0,"Highest GD Stage":"Phase I","Research Area Tags":"ABX, MUC, ICH","Bridging Tags":null,"Public Source":null,"GlobalData As-of":"2026-07-31","Data Interpretation":"GlobalData snapshot only; validate current asset status","Company ID":"CMP-0ad2970631a"}</t>
  </si>
  <si>
    <t>PR-ALL-CMP-43172cef7b8</t>
  </si>
  <si>
    <t>CMP-43172cef7b8</t>
  </si>
  <si>
    <t>ILIAS Biologics Inc</t>
  </si>
  <si>
    <t>{"Tier":"LONG_TAIL","Company":"ILIAS Biologics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ID":"CMP-43172cef7b8"}</t>
  </si>
  <si>
    <t>PR-ALL-CMP-7600f73ad69</t>
  </si>
  <si>
    <t>CMP-7600f73ad69</t>
  </si>
  <si>
    <t>Microbiotix Co Ltd</t>
  </si>
  <si>
    <t>{"Tier":"LONG_TAIL","Company":"Microbiotix Co Ltd","Company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ID":"CMP-7600f73ad69"}</t>
  </si>
  <si>
    <t>PR-ALL-CMP-c0ebd3152ea</t>
  </si>
  <si>
    <t>CMP-c0ebd3152ea</t>
  </si>
  <si>
    <t>Model Medicines Inc</t>
  </si>
  <si>
    <t>{"Tier":"LONG_TAIL","Company":"Model Medicines Inc","Company Type":"COMMERCIAL","GD Active Assets":1,"GD All Assets":1,"GD Phase II+":0,"Highest GD Stage":"Phase I","Research Area Tags":"HEP, EMG, MUC","Bridging Tags":null,"Public Source":null,"GlobalData As-of":"2026-07-31","Data Interpretation":"GlobalData snapshot only; validate current asset status","Company ID":"CMP-c0ebd3152ea"}</t>
  </si>
  <si>
    <t>PR-ALL-CMP-6d578171e79</t>
  </si>
  <si>
    <t>CMP-6d578171e79</t>
  </si>
  <si>
    <t>Noveome Biotherapeutics Inc</t>
  </si>
  <si>
    <t>{"Tier":"LONG_TAIL","Company":"Noveome Biotherapeutics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ID":"CMP-6d578171e79"}</t>
  </si>
  <si>
    <t>PR-ALL-CMP-790fe11d6ae</t>
  </si>
  <si>
    <t>CMP-790fe11d6ae</t>
  </si>
  <si>
    <t>Op-T LLC</t>
  </si>
  <si>
    <t>{"Tier":"LONG_TAIL","Company":"Op-T LLC","Company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ID":"CMP-790fe11d6ae"}</t>
  </si>
  <si>
    <t>PR-ALL-CMP-e6ab9dae735</t>
  </si>
  <si>
    <t>CMP-e6ab9dae735</t>
  </si>
  <si>
    <t>PHIOGEN INC</t>
  </si>
  <si>
    <t>{"Tier":"LONG_TAIL","Company":"PHIOGEN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ID":"CMP-e6ab9dae735"}</t>
  </si>
  <si>
    <t>PR-ALL-CMP-b3d42da0244</t>
  </si>
  <si>
    <t>CMP-b3d42da0244</t>
  </si>
  <si>
    <t>Partner Therapeutics Inc</t>
  </si>
  <si>
    <t>{"Tier":"LONG_TAIL","Company":"Partner Therapeutics Inc","Company Type":"COMMERCIAL","GD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ID":"CMP-b3d42da0244"}</t>
  </si>
  <si>
    <t>PR-ALL-CMP-a2b9d04c282</t>
  </si>
  <si>
    <t>CMP-a2b9d04c282</t>
  </si>
  <si>
    <t>Peptilogics Inc</t>
  </si>
  <si>
    <t>{"Tier":"LONG_TAIL","Company":"Peptilogics Inc","Company Type":"COMMERCIAL","GD Active Assets":1,"GD All Assets":1,"GD Phase II+":0,"Highest GD Stage":"Phase I","Research Area Tags":"HAI, ABX, MUC","Bridging Tags":null,"Public Source":null,"GlobalData As-of":"2026-07-31","Data Interpretation":"GlobalData snapshot only; validate current asset status","Company ID":"CMP-a2b9d04c282"}</t>
  </si>
  <si>
    <t>PR-ALL-CMP-05f7713d62a</t>
  </si>
  <si>
    <t>CMP-05f7713d62a</t>
  </si>
  <si>
    <t>Phoenix Biotechnology Inc</t>
  </si>
  <si>
    <t>{"Tier":"LONG_TAIL","Company":"Phoenix Biotechnology Inc","Company Type":"COMMERCIAL","GD Active Assets":1,"GD All Assets":1,"GD Phase II+":0,"Highest GD Stage":"Preclinical","Research Area Tags":"HIV, EMG, ICH","Bridging Tags":null,"Public Source":null,"GlobalData As-of":"2026-07-31","Data Interpretation":"GlobalData snapshot only; validate current asset status","Company ID":"CMP-05f7713d62a"}</t>
  </si>
  <si>
    <t>PR-ALL-CMP-870cb65f483</t>
  </si>
  <si>
    <t>CMP-870cb65f483</t>
  </si>
  <si>
    <t>Saol Therapeutics Inc</t>
  </si>
  <si>
    <t>{"Tier":"LONG_TAIL","Company":"Saol Therapeutics Inc","Company Type":"COMMERCIAL","GD Active Assets":1,"GD All Assets":1,"GD Phase II+":0,"Highest GD Stage":"Discovery","Research Area Tags":"HAI, ABX, ICH","Bridging Tags":null,"Public Source":null,"GlobalData As-of":"2026-07-31","Data Interpretation":"GlobalData snapshot only; validate current asset status","Company ID":"CMP-870cb65f483"}</t>
  </si>
  <si>
    <t>PR-ALL-CMP-a89421ad0bb</t>
  </si>
  <si>
    <t>CMP-a89421ad0bb</t>
  </si>
  <si>
    <t>Scynexis Inc</t>
  </si>
  <si>
    <t>{"Tier":"LONG_TAIL","Company":"Scynexis Inc","Company Type":"COMMERCIAL","GD Active Assets":1,"GD All Assets":1,"GD Phase II+":0,"Highest GD Stage":"Phase I","Research Area Tags":"HAI, MUC, ICH","Bridging Tags":null,"Public Source":null,"GlobalData As-of":"2026-07-31","Data Interpretation":"GlobalData snapshot only; validate current asset status","Company ID":"CMP-a89421ad0bb"}</t>
  </si>
  <si>
    <t>PR-ALL-CMP-ce111a62056</t>
  </si>
  <si>
    <t>CMP-ce111a62056</t>
  </si>
  <si>
    <t>Telomir Pharmaceuticals Inc</t>
  </si>
  <si>
    <t>{"Tier":"LONG_TAIL","Company":"Telomir Pharmaceuticals Inc","Company Type":"COMMERCIAL","GD Active Assets":1,"GD All Assets":1,"GD Phase II+":0,"Highest GD Stage":"Preclinical","Research Area Tags":"ABX, EMG, MUC","Bridging Tags":null,"Public Source":null,"GlobalData As-of":"2026-07-31","Data Interpretation":"GlobalData snapshot only; validate current asset status","Company ID":"CMP-ce111a62056"}</t>
  </si>
  <si>
    <t>PR-ALL-CMP-b08d4bed494</t>
  </si>
  <si>
    <t>CMP-b08d4bed494</t>
  </si>
  <si>
    <t>Topelia Aust Ltd</t>
  </si>
  <si>
    <t>{"Tier":"LONG_TAIL","Company":"Topelia Aust Ltd","Company Type":"COMMERCIAL","GD Active Assets":1,"GD All Assets":1,"GD Phase II+":0,"Highest GD Stage":"Phase I","Research Area Tags":"EMG, NTD, MUC","Bridging Tags":null,"Public Source":null,"GlobalData As-of":"2026-07-31","Data Interpretation":"GlobalData snapshot only; validate current asset status","Company ID":"CMP-b08d4bed494"}</t>
  </si>
  <si>
    <t>PR-ALL-CMP-f7d41a189a8</t>
  </si>
  <si>
    <t>Vaxcyte Inc</t>
  </si>
  <si>
    <t>{"Tier":"LONG_TAIL","Company":"Vaxcyte Inc","Company Type":"COMMERCIAL","GD Active Assets":1,"GD All Assets":1,"GD Phase II+":0,"Highest GD Stage":"Phase I","Research Area Tags":"HAI, ABX, MUC","Bridging Tags":"VAC","Public Source":null,"GlobalData As-of":"2026-07-31","Data Interpretation":"GlobalData snapshot only; validate current asset status","Company ID":"CMP-f7d41a189a8"}</t>
  </si>
  <si>
    <t>PR-ALL-CMP-46a27c7f7d5</t>
  </si>
  <si>
    <t>CMP-46a27c7f7d5</t>
  </si>
  <si>
    <t>Zhejiang Pharmaceutical Co Ltd</t>
  </si>
  <si>
    <t>{"Tier":"LONG_TAIL","Company":"Zhejiang Pharmaceutical Co Ltd","Company Type":"COMMERCIAL","GD Active Assets":1,"GD All Assets":1,"GD Phase II+":0,"Highest GD Stage":"IND/CTA Filed","Research Area Tags":"HAI, ABX, ICH","Bridging Tags":null,"Public Source":null,"GlobalData As-of":"2026-07-31","Data Interpretation":"GlobalData snapshot only; validate current asset status","Company ID":"CMP-46a27c7f7d5"}</t>
  </si>
  <si>
    <t>PR-ALL-CMP-e75ece63f64</t>
  </si>
  <si>
    <t>CMP-e75ece63f64</t>
  </si>
  <si>
    <t>Zhejiang Wolwo Bio-Pharmaceutical Co Ltd</t>
  </si>
  <si>
    <t>{"Tier":"LONG_TAIL","Company":"Zhejiang Wolwo Bio-Pharmaceutical Co Ltd","Company Type":"COMMERCIAL","GD Active Assets":1,"GD All Assets":1,"GD Phase II+":0,"Highest GD Stage":"IND/CTA Filed","Research Area Tags":"HAI, ABX, ICH","Bridging Tags":null,"Public Source":null,"GlobalData As-of":"2026-07-31","Data Interpretation":"GlobalData snapshot only; validate current asset status","Company ID":"CMP-e75ece63f64"}</t>
  </si>
  <si>
    <t>PR-ALL-CMP-f5bc9bf7abc</t>
  </si>
  <si>
    <t>CMP-f5bc9bf7abc</t>
  </si>
  <si>
    <t>AbViro LLC</t>
  </si>
  <si>
    <t>{"Tier":"LONG_TAIL","Company":"AbViro LLC","Company Type":"COMMERCIAL","GD Active Assets":1,"GD All Assets":1,"GD Phase II+":1,"Highest GD Stage":"Phase II","Research Area Tags":"EMG, NTD","Bridging Tags":null,"Public Source":null,"GlobalData As-of":"2026-07-31","Data Interpretation":"GlobalData snapshot only; validate current asset status","Company ID":"CMP-f5bc9bf7abc"}</t>
  </si>
  <si>
    <t>PR-ALL-CMP-6faa88c7b78</t>
  </si>
  <si>
    <t>CMP-6faa88c7b78</t>
  </si>
  <si>
    <t>Ansun Biopharma Inc</t>
  </si>
  <si>
    <t>{"Tier":"LONG_TAIL","Company":"Ansun Biopharma Inc","Company Type":"COMMERCIAL","GD Active Assets":1,"GD All Assets":1,"GD Phase II+":1,"Highest GD Stage":"Phase III","Research Area Tags":"EMG, MUC","Bridging Tags":null,"Public Source":null,"GlobalData As-of":"2026-07-31","Data Interpretation":"GlobalData snapshot only; validate current asset status","Company ID":"CMP-6faa88c7b78"}</t>
  </si>
  <si>
    <t>PR-ALL-CMP-4e9ad4cb71d</t>
  </si>
  <si>
    <t>CMP-4e9ad4cb71d</t>
  </si>
  <si>
    <t>AtoGen Co Ltd</t>
  </si>
  <si>
    <t>{"Tier":"LONG_TAIL","Company":"AtoGen Co Ltd","Company Type":"COMMERCIAL","GD Active Assets":1,"GD All Assets":1,"GD Phase II+":1,"Highest GD Stage":"Phase II","Research Area Tags":"ABX, MUC","Bridging Tags":null,"Public Source":null,"GlobalData As-of":"2026-07-31","Data Interpretation":"GlobalData snapshot only; validate current asset status","Company ID":"CMP-4e9ad4cb71d"}</t>
  </si>
  <si>
    <t>PR-ALL-CMP-b12310b519d</t>
  </si>
  <si>
    <t>CMP-b12310b519d</t>
  </si>
  <si>
    <t>Botanix Pharmaceuticals Ltd</t>
  </si>
  <si>
    <t>{"Tier":"LONG_TAIL","Company":"Botanix Pharmaceuticals Ltd","Company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ID":"CMP-b12310b519d"}</t>
  </si>
  <si>
    <t>PR-ALL-CMP-68f7a934cf6</t>
  </si>
  <si>
    <t>CMP-68f7a934cf6</t>
  </si>
  <si>
    <t>Chengdu Brilliant Pharmaceutical Co Ltd</t>
  </si>
  <si>
    <t>{"Tier":"LONG_TAIL","Company":"Chengdu Brilliant Pharmaceutical Co Ltd","Company Type":"COMMERCIAL","GD Active Assets":1,"GD All Assets":1,"GD Phase II+":1,"Highest GD Stage":"Phase II","Research Area Tags":"ABX, MUC","Bridging Tags":null,"Public Source":null,"GlobalData As-of":"2026-07-31","Data Interpretation":"GlobalData snapshot only; validate current asset status","Company ID":"CMP-68f7a934cf6"}</t>
  </si>
  <si>
    <t>PR-ALL-CMP-cab2ab28d95</t>
  </si>
  <si>
    <t>CMP-cab2ab28d95</t>
  </si>
  <si>
    <t>China National Biotec Group</t>
  </si>
  <si>
    <t>{"Tier":"LONG_TAIL","Company":"China National Biotec Group","Company Type":"COMMERCIAL","GD Active Assets":1,"GD All Assets":1,"GD Phase II+":1,"Highest GD Stage":"Phase III","Research Area Tags":"EMG, MUC","Bridging Tags":"VAC","Public Source":null,"GlobalData As-of":"2026-07-31","Data Interpretation":"GlobalData snapshot only; validate current asset status","Company ID":"CMP-cab2ab28d95"}</t>
  </si>
  <si>
    <t>PR-ALL-CMP-307bbb8dbb8</t>
  </si>
  <si>
    <t>CMP-307bbb8dbb8</t>
  </si>
  <si>
    <t>Citospin SL</t>
  </si>
  <si>
    <t>{"Tier":"LONG_TAIL","Company":"Citospin SL","Company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ID":"CMP-307bbb8dbb8"}</t>
  </si>
  <si>
    <t>PR-ALL-CMP-7951c99ecbd</t>
  </si>
  <si>
    <t>CMP-7951c99ecbd</t>
  </si>
  <si>
    <t>Cumberland Pharmaceuticals Inc</t>
  </si>
  <si>
    <t>{"Tier":"LONG_TAIL","Company":"Cumberland Pharmaceuticals Inc","Company Type":"COMMERCIAL","GD Active Assets":1,"GD All Assets":1,"GD Phase II+":1,"Highest GD Stage":"Pre-Registration","Research Area Tags":"HAI, ABX","Bridging Tags":null,"Public Source":null,"GlobalData As-of":"2026-07-31","Data Interpretation":"GlobalData snapshot only; validate current asset status","Company ID":"CMP-7951c99ecbd"}</t>
  </si>
  <si>
    <t>PR-ALL-CMP-47e71807be0</t>
  </si>
  <si>
    <t>CMP-47e71807be0</t>
  </si>
  <si>
    <t>Destiny Pharma Ltd</t>
  </si>
  <si>
    <t>{"Tier":"LONG_TAIL","Company":"Destiny Pharma Ltd","Company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ID":"CMP-47e71807be0"}</t>
  </si>
  <si>
    <t>PR-ALL-CMP-4e6cdd2ad79</t>
  </si>
  <si>
    <t>CMP-4e6cdd2ad79</t>
  </si>
  <si>
    <t>Edesa Biotech Inc</t>
  </si>
  <si>
    <t>{"Tier":"LONG_TAIL","Company":"Edesa Biotech Inc","Company Type":"COMMERCIAL","GD Active Assets":1,"GD All Assets":2,"GD Phase II+":1,"Highest GD Stage":"Phase III","Research Area Tags":"EMG, MUC","Bridging Tags":null,"Public Source":null,"GlobalData As-of":"2026-07-31","Data Interpretation":"GlobalData snapshot only; validate current asset status","Company ID":"CMP-4e6cdd2ad79"}</t>
  </si>
  <si>
    <t>PR-ALL-CMP-3d4eedeeed7</t>
  </si>
  <si>
    <t>Eli Lilly and Co</t>
  </si>
  <si>
    <t>{"Tier":"LONG_TAIL","Company":"Eli Lilly and Co","Company Type":"COMMERCIAL","GD Active Assets":1,"GD All Assets":3,"GD Phase II+":1,"Highest GD Stage":"Pre-Registration","Research Area Tags":"HIV, EMG","Bridging Tags":null,"Public Source":null,"GlobalData As-of":"2026-07-31","Data Interpretation":"GlobalData snapshot only; validate current asset status","Company ID":"CMP-3d4eedeeed7"}</t>
  </si>
  <si>
    <t>PR-ALL-CMP-ebec5cdb20c</t>
  </si>
  <si>
    <t>Elion Therapeutics Inc</t>
  </si>
  <si>
    <t>{"Tier":"LONG_TAIL","Company":"Elion Therapeutics Inc","Company Type":"COMMERCIAL","GD Active Assets":1,"GD All Assets":1,"GD Phase II+":1,"Highest GD Stage":"Phase II","Research Area Tags":"HAI, ICH","Bridging Tags":null,"Public Source":null,"GlobalData As-of":"2026-07-31","Data Interpretation":"GlobalData snapshot only; validate current asset status","Company ID":"CMP-ebec5cdb20c"}</t>
  </si>
  <si>
    <t>PR-ALL-CMP-e7c179f2aa4</t>
  </si>
  <si>
    <t>CMP-e7c179f2aa4</t>
  </si>
  <si>
    <t>Emergo Therapeutics Inc</t>
  </si>
  <si>
    <t>{"Tier":"LONG_TAIL","Company":"Emergo Therapeutics Inc","Company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ID":"CMP-e7c179f2aa4"}</t>
  </si>
  <si>
    <t>PR-ALL-CMP-25cccdc1a00</t>
  </si>
  <si>
    <t>CMP-25cccdc1a00</t>
  </si>
  <si>
    <t>Enzychem Lifesciences Corp</t>
  </si>
  <si>
    <t>{"Tier":"LONG_TAIL","Company":"Enzychem Lifesciences Corp","Company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ID":"CMP-25cccdc1a00"}</t>
  </si>
  <si>
    <t>PR-ALL-CMP-eaca7d8e905</t>
  </si>
  <si>
    <t>CMP-eaca7d8e905</t>
  </si>
  <si>
    <t>Exeliom Biosciences SAS</t>
  </si>
  <si>
    <t>{"Tier":"LONG_TAIL","Company":"Exeliom Biosciences SAS","Company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ID":"CMP-eaca7d8e905"}</t>
  </si>
  <si>
    <t>PR-ALL-CMP-3bb0e046f0e</t>
  </si>
  <si>
    <t>CMP-3bb0e046f0e</t>
  </si>
  <si>
    <t>Finlay Institute</t>
  </si>
  <si>
    <t>{"Tier":"LONG_TAIL","Company":"Finlay Institute","Company Type":"COMMERCIAL","GD Active Assets":1,"GD All Assets":1,"GD Phase II+":1,"Highest GD Stage":"Phase II","Research Area Tags":"ABX, MUC","Bridging Tags":"VAC","Public Source":null,"GlobalData As-of":"2026-07-31","Data Interpretation":"GlobalData snapshot only; validate current asset status","Company ID":"CMP-3bb0e046f0e"}</t>
  </si>
  <si>
    <t>PR-ALL-CMP-53efe55f842</t>
  </si>
  <si>
    <t>CMP-53efe55f842</t>
  </si>
  <si>
    <t>Freya Biosciences ApS</t>
  </si>
  <si>
    <t>{"Tier":"LONG_TAIL","Company":"Freya Biosciences ApS","Company Type":"COMMERCIAL","GD Active Assets":1,"GD All Assets":1,"GD Phase II+":1,"Highest GD Stage":"Phase II","Research Area Tags":"ABX, MUC","Bridging Tags":null,"Public Source":null,"GlobalData As-of":"2026-07-31","Data Interpretation":"GlobalData snapshot only; validate current asset status","Company ID":"CMP-53efe55f842"}</t>
  </si>
  <si>
    <t>PR-ALL-CMP-0caa61301d7</t>
  </si>
  <si>
    <t>CMP-0caa61301d7</t>
  </si>
  <si>
    <t>Guangdong Longchuangji Pharmaceutical Co Ltd</t>
  </si>
  <si>
    <t>{"Tier":"LONG_TAIL","Company":"Guangdong Longchuangji Pharmaceutical Co Ltd","Company Type":"COMMERCIAL","GD Active Assets":1,"GD All Assets":1,"GD Phase II+":1,"Highest GD Stage":"Phase III","Research Area Tags":"ABX, MUC","Bridging Tags":null,"Public Source":null,"GlobalData As-of":"2026-07-31","Data Interpretation":"GlobalData snapshot only; validate current asset status","Company ID":"CMP-0caa61301d7"}</t>
  </si>
  <si>
    <t>PR-ALL-CMP-cbc1df525df</t>
  </si>
  <si>
    <t>CMP-cbc1df525df</t>
  </si>
  <si>
    <t>Guangdong Raynovent Biotech Co Ltd</t>
  </si>
  <si>
    <t>{"Tier":"LONG_TAIL","Company":"Guangdong Raynovent Biotech Co Ltd","Company Type":"COMMERCIAL","GD Active Assets":1,"GD All Assets":1,"GD Phase II+":1,"Highest GD Stage":"Pre-Registration","Research Area Tags":"EMG, MUC","Bridging Tags":null,"Public Source":null,"GlobalData As-of":"2026-07-31","Data Interpretation":"GlobalData snapshot only; validate current asset status","Company ID":"CMP-cbc1df525df"}</t>
  </si>
  <si>
    <t>PR-ALL-CMP-cb417297846</t>
  </si>
  <si>
    <t>CMP-cb417297846</t>
  </si>
  <si>
    <t>Hetero Healthcare Ltd</t>
  </si>
  <si>
    <t>{"Tier":"LONG_TAIL","Company":"Hetero Healthcare Ltd","Company Type":"COMMERCIAL","GD Active Assets":1,"GD All Assets":1,"GD Phase II+":1,"Highest GD Stage":"Phase III","Research Area Tags":"MUC, ICH","Bridging Tags":null,"Public Source":null,"GlobalData As-of":"2026-07-31","Data Interpretation":"GlobalData snapshot only; validate current asset status","Company ID":"CMP-cb417297846"}</t>
  </si>
  <si>
    <t>PR-ALL-CMP-6c7dc4ebc6d</t>
  </si>
  <si>
    <t>CMP-6c7dc4ebc6d</t>
  </si>
  <si>
    <t>Hong Kong Universal Biologicals Co Ltd</t>
  </si>
  <si>
    <t>{"Tier":"LONG_TAIL","Company":"Hong Kong Universal Biologicals Co Ltd","Company Type":"COMMERCIAL","GD Active Assets":1,"GD All Assets":1,"GD Phase II+":1,"Highest GD Stage":"Phase III","Research Area Tags":"EMG, MUC","Bridging Tags":"VAC","Public Source":null,"GlobalData As-of":"2026-07-31","Data Interpretation":"GlobalData snapshot only; validate current asset status","Company ID":"CMP-6c7dc4ebc6d"}</t>
  </si>
  <si>
    <t>PR-ALL-CMP-0bc80e24c42</t>
  </si>
  <si>
    <t>CMP-0bc80e24c42</t>
  </si>
  <si>
    <t>Inner Mongolia Shuangqi Pharmaceutical Co Ltd</t>
  </si>
  <si>
    <t>{"Tier":"LONG_TAIL","Company":"Inner Mongolia Shuangqi Pharmaceutical Co Ltd","Company Type":"COMMERCIAL","GD Active Assets":1,"GD All Assets":1,"GD Phase II+":1,"Highest GD Stage":"Phase II","Research Area Tags":"ABX, MUC","Bridging Tags":null,"Public Source":null,"GlobalData As-of":"2026-07-31","Data Interpretation":"GlobalData snapshot only; validate current asset status","Company ID":"CMP-0bc80e24c42"}</t>
  </si>
  <si>
    <t>PR-ALL-CMP-2bd57aecd94</t>
  </si>
  <si>
    <t>CMP-2bd57aecd94</t>
  </si>
  <si>
    <t>Innovative Molecules Gmbh</t>
  </si>
  <si>
    <t>{"Tier":"LONG_TAIL","Company":"Innovative Molecules Gmbh","Company Type":"COMMERCIAL","GD Active Assets":1,"GD All Assets":1,"GD Phase II+":1,"Highest GD Stage":"Phase II","Research Area Tags":"MUC, ICH","Bridging Tags":null,"Public Source":null,"GlobalData As-of":"2026-07-31","Data Interpretation":"GlobalData snapshot only; validate current asset status","Company ID":"CMP-2bd57aecd94"}</t>
  </si>
  <si>
    <t>PR-ALL-CMP-1b32f69f556</t>
  </si>
  <si>
    <t>CMP-1b32f69f556</t>
  </si>
  <si>
    <t>Jiangsu Sinorda Biomedicine Co Ltd</t>
  </si>
  <si>
    <t>{"Tier":"LONG_TAIL","Company":"Jiangsu Sinorda Biomedicine Co Ltd","Company Type":"COMMERCIAL","GD Active Assets":1,"GD All Assets":1,"GD Phase II+":1,"Highest GD Stage":"Phase III","Research Area Tags":"ABX, MUC","Bridging Tags":null,"Public Source":null,"GlobalData As-of":"2026-07-31","Data Interpretation":"GlobalData snapshot only; validate current asset status","Company ID":"CMP-1b32f69f556"}</t>
  </si>
  <si>
    <t>PR-ALL-CMP-fcbcdbdc8b1</t>
  </si>
  <si>
    <t>CMP-fcbcdbdc8b1</t>
  </si>
  <si>
    <t>Kuvatris Therapeutics Inc</t>
  </si>
  <si>
    <t>{"Tier":"LONG_TAIL","Company":"Kuvatris Therapeutics Inc","Company Type":"COMMERCIAL","GD Active Assets":1,"GD All Assets":1,"GD Phase II+":1,"Highest GD Stage":"Phase III","Research Area Tags":"EMG, NTD","Bridging Tags":null,"Public Source":null,"GlobalData As-of":"2026-07-31","Data Interpretation":"GlobalData snapshot only; validate current asset status","Company ID":"CMP-fcbcdbdc8b1"}</t>
  </si>
  <si>
    <t>PR-ALL-CMP-2ba18675aa9</t>
  </si>
  <si>
    <t>CMP-2ba18675aa9</t>
  </si>
  <si>
    <t>LimmaTech Biologics AG</t>
  </si>
  <si>
    <t>{"Tier":"LONG_TAIL","Company":"LimmaTech Biologics AG","Company Type":"COMMERCIAL","GD Active Assets":1,"GD All Assets":1,"GD Phase II+":1,"Highest GD Stage":"Phase II","Research Area Tags":"MUC, ICH","Bridging Tags":null,"Public Source":null,"GlobalData As-of":"2026-07-31","Data Interpretation":"GlobalData snapshot only; validate current asset status","Company ID":"CMP-2ba18675aa9"}</t>
  </si>
  <si>
    <t>PR-ALL-CMP-49b9db697e1</t>
  </si>
  <si>
    <t>CMP-49b9db697e1</t>
  </si>
  <si>
    <t>Link Medical Products Pty Ltd</t>
  </si>
  <si>
    <t>{"Tier":"LONG_TAIL","Company":"Link Medical Products Pty Ltd","Company Type":"COMMERCIAL","GD Active Assets":1,"GD All Assets":1,"GD Phase II+":1,"Highest GD Stage":"Pre-Registration","Research Area Tags":"HAI, ABX","Bridging Tags":null,"Public Source":null,"GlobalData As-of":"2026-07-31","Data Interpretation":"GlobalData snapshot only; validate current asset status","Company ID":"CMP-49b9db697e1"}</t>
  </si>
  <si>
    <t>PR-ALL-CMP-955e02e37c9</t>
  </si>
  <si>
    <t>CMP-955e02e37c9</t>
  </si>
  <si>
    <t>Lupin Ltd</t>
  </si>
  <si>
    <t>{"Tier":"LONG_TAIL","Company":"Lupin Ltd","Company Type":"COMMERCIAL","GD Active Assets":1,"GD All Assets":2,"GD Phase II+":1,"Highest GD Stage":"Pre-Registration","Research Area Tags":"ABX, MUC","Bridging Tags":null,"Public Source":null,"GlobalData As-of":"2026-07-31","Data Interpretation":"GlobalData snapshot only; validate current asset status","Company ID":"CMP-955e02e37c9"}</t>
  </si>
  <si>
    <t>PR-ALL-CMP-9252030b3d6</t>
  </si>
  <si>
    <t>CMP-9252030b3d6</t>
  </si>
  <si>
    <t>MB Pharma Sro</t>
  </si>
  <si>
    <t>{"Tier":"LONG_TAIL","Company":"MB Pharma Sro","Company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ID":"CMP-9252030b3d6"}</t>
  </si>
  <si>
    <t>PR-ALL-CMP-f198d5106ce</t>
  </si>
  <si>
    <t>CMP-f198d5106ce</t>
  </si>
  <si>
    <t>Magle Chemoswed Holding AB</t>
  </si>
  <si>
    <t>{"Tier":"LONG_TAIL","Company":"Magle Chemoswed Holding AB","Company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ID":"CMP-f198d5106ce"}</t>
  </si>
  <si>
    <t>PR-ALL-CMP-232f00a5b8c</t>
  </si>
  <si>
    <t>CMP-232f00a5b8c</t>
  </si>
  <si>
    <t>Medesis Pharma SA</t>
  </si>
  <si>
    <t>{"Tier":"LONG_TAIL","Company":"Medesis Pharma SA","Company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ID":"CMP-232f00a5b8c"}</t>
  </si>
  <si>
    <t>PR-ALL-CMP-8955ddf0ce4</t>
  </si>
  <si>
    <t>CMP-8955ddf0ce4</t>
  </si>
  <si>
    <t>MediciNova Inc</t>
  </si>
  <si>
    <t>{"Tier":"LONG_TAIL","Company":"MediciNova Inc","Company Type":"COMMERCIAL","GD Active Assets":1,"GD All Assets":1,"GD Phase II+":1,"Highest GD Stage":"Phase III","Research Area Tags":"EMG, MUC","Bridging Tags":null,"Public Source":null,"GlobalData As-of":"2026-07-31","Data Interpretation":"GlobalData snapshot only; validate current asset status","Company ID":"CMP-8955ddf0ce4"}</t>
  </si>
  <si>
    <t>PR-ALL-CMP-98976391fc6</t>
  </si>
  <si>
    <t>CMP-98976391fc6</t>
  </si>
  <si>
    <t>Micreos BV</t>
  </si>
  <si>
    <t>{"Tier":"LONG_TAIL","Company":"Micreos BV","Company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ID":"CMP-98976391fc6"}</t>
  </si>
  <si>
    <t>PR-ALL-CMP-f2adab74b35</t>
  </si>
  <si>
    <t>CMP-f2adab74b35</t>
  </si>
  <si>
    <t>Middle East Gene Therapy Corp</t>
  </si>
  <si>
    <t>{"Tier":"LONG_TAIL","Company":"Middle East Gene Therapy Corp","Company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ID":"CMP-f2adab74b35"}</t>
  </si>
  <si>
    <t>PR-ALL-CMP-7bddd983db2</t>
  </si>
  <si>
    <t>Minervax ApS</t>
  </si>
  <si>
    <t>{"Tier":"LONG_TAIL","Company":"Minervax ApS","Company Type":"COMMERCIAL","GD Active Assets":1,"GD All Assets":1,"GD Phase II+":1,"Highest GD Stage":"Phase III","Research Area Tags":"ABX, MUC","Bridging Tags":"VAC","Public Source":null,"GlobalData As-of":"2026-07-31","Data Interpretation":"GlobalData snapshot only; validate current asset status","Company ID":"CMP-7bddd983db2"}</t>
  </si>
  <si>
    <t>PR-ALL-CMP-03e91ea7362</t>
  </si>
  <si>
    <t>CMP-03e91ea7362</t>
  </si>
  <si>
    <t>Mirror Biologics Inc</t>
  </si>
  <si>
    <t>{"Tier":"LONG_TAIL","Company":"Mirror Biologics Inc","Company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ID":"CMP-03e91ea7362"}</t>
  </si>
  <si>
    <t>PR-ALL-CMP-6c67ef282ca</t>
  </si>
  <si>
    <t>CMP-6c67ef282ca</t>
  </si>
  <si>
    <t>Napo Pharmaceuticals Inc</t>
  </si>
  <si>
    <t>{"Tier":"LONG_TAIL","Company":"Napo Pharmaceuticals Inc","Company Type":"COMMERCIAL","GD Active Assets":1,"GD All Assets":1,"GD Phase II+":1,"Highest GD Stage":"Phase II","Research Area Tags":"ABX, MUC","Bridging Tags":null,"Public Source":null,"GlobalData As-of":"2026-07-31","Data Interpretation":"GlobalData snapshot only; validate current asset status","Company ID":"CMP-6c67ef282ca"}</t>
  </si>
  <si>
    <t>PR-ALL-CMP-e3b76032945</t>
  </si>
  <si>
    <t>CMP-e3b76032945</t>
  </si>
  <si>
    <t>Nature Cell Co., Ltd.</t>
  </si>
  <si>
    <t>{"Tier":"LONG_TAIL","Company":"Nature Cell Co., Ltd.","Company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ID":"CMP-e3b76032945"}</t>
  </si>
  <si>
    <t>PR-ALL-CMP-f90acc1f73f</t>
  </si>
  <si>
    <t>CMP-f90acc1f73f</t>
  </si>
  <si>
    <t>NorthLinks Bio Inc</t>
  </si>
  <si>
    <t>{"Tier":"LONG_TAIL","Company":"NorthLinks Bio Inc","Company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ID":"CMP-f90acc1f73f"}</t>
  </si>
  <si>
    <t>PR-ALL-CMP-6b6f47083f1</t>
  </si>
  <si>
    <t>CMP-6b6f47083f1</t>
  </si>
  <si>
    <t>Oryzon Genomics SA</t>
  </si>
  <si>
    <t>{"Tier":"LONG_TAIL","Company":"Oryzon Genomics SA","Company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ID":"CMP-6b6f47083f1"}</t>
  </si>
  <si>
    <t>PR-ALL-CMP-4ecca8ed469</t>
  </si>
  <si>
    <t>CMP-4ecca8ed469</t>
  </si>
  <si>
    <t>Paradigm Biopharmaceuticals Ltd</t>
  </si>
  <si>
    <t>{"Tier":"LONG_TAIL","Company":"Paradigm Biopharmaceuticals Ltd","Company Type":"COMMERCIAL","GD Active Assets":1,"GD All Assets":1,"GD Phase II+":1,"Highest GD Stage":"Phase II","Research Area Tags":"EMG, NTD","Bridging Tags":null,"Public Source":null,"GlobalData As-of":"2026-07-31","Data Interpretation":"GlobalData snapshot only; validate current asset status","Company ID":"CMP-4ecca8ed469"}</t>
  </si>
  <si>
    <t>PR-ALL-CMP-8fd3a5c55bd</t>
  </si>
  <si>
    <t>CMP-8fd3a5c55bd</t>
  </si>
  <si>
    <t>Paratek Pharmaceuticals Inc</t>
  </si>
  <si>
    <t>{"Tier":"LONG_TAIL","Company":"Paratek Pharmaceuticals Inc","Company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ID":"CMP-8fd3a5c55bd"}</t>
  </si>
  <si>
    <t>PR-ALL-CMP-58e0711cacb</t>
  </si>
  <si>
    <t>CMP-58e0711cacb</t>
  </si>
  <si>
    <t>Respirion Pharmaceuticals Pty Ltd</t>
  </si>
  <si>
    <t>{"Tier":"LONG_TAIL","Company":"Respirion Pharmaceuticals Pty Ltd","Company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ID":"CMP-58e0711cacb"}</t>
  </si>
  <si>
    <t>PR-ALL-CMP-7b8ec4488f9</t>
  </si>
  <si>
    <t>CMP-7b8ec4488f9</t>
  </si>
  <si>
    <t>SaNOtize Research and Development Corp</t>
  </si>
  <si>
    <t>{"Tier":"LONG_TAIL","Company":"SaNOtize Research and Development Corp","Company Type":"COMMERCIAL","GD Active Assets":1,"GD All Assets":1,"GD Phase II+":1,"Highest GD Stage":"Phase II","Research Area Tags":"MUC, ICH","Bridging Tags":null,"Public Source":null,"GlobalData As-of":"2026-07-31","Data Interpretation":"GlobalData snapshot only; validate current asset status","Company ID":"CMP-7b8ec4488f9"}</t>
  </si>
  <si>
    <t>PR-ALL-CMP-d65fbac334e</t>
  </si>
  <si>
    <t>CMP-d65fbac334e</t>
  </si>
  <si>
    <t>Sano Chemicals Inc</t>
  </si>
  <si>
    <t>{"Tier":"LONG_TAIL","Company":"Sano Chemicals Inc","Company Type":"COMMERCIAL","GD Active Assets":1,"GD All Assets":1,"GD Phase II+":1,"Highest GD Stage":"Phase II","Research Area Tags":"MUC, ICH","Bridging Tags":null,"Public Source":null,"GlobalData As-of":"2026-07-31","Data Interpretation":"GlobalData snapshot only; validate current asset status","Company ID":"CMP-d65fbac334e"}</t>
  </si>
  <si>
    <t>PR-ALL-CMP-bed616e45d5</t>
  </si>
  <si>
    <t>CMP-bed616e45d5</t>
  </si>
  <si>
    <t>Shanghai High-Tech Bioengineering Co Ltd</t>
  </si>
  <si>
    <t>{"Tier":"LONG_TAIL","Company":"Shanghai High-Tech Bioengineering Co Ltd","Company Type":"COMMERCIAL","GD Active Assets":1,"GD All Assets":1,"GD Phase II+":1,"Highest GD Stage":"Phase III","Research Area Tags":"HAI, ABX","Bridging Tags":null,"Public Source":null,"GlobalData As-of":"2026-07-31","Data Interpretation":"GlobalData snapshot only; validate current asset status","Company ID":"CMP-bed616e45d5"}</t>
  </si>
  <si>
    <t>PR-ALL-CMP-cd2e8cfef5f</t>
  </si>
  <si>
    <t>CMP-cd2e8cfef5f</t>
  </si>
  <si>
    <t>Shanghai SIMR Biotech Co Ltd</t>
  </si>
  <si>
    <t>{"Tier":"LONG_TAIL","Company":"Shanghai SIMR Biotech Co Ltd","Company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ID":"CMP-cd2e8cfef5f"}</t>
  </si>
  <si>
    <t>PR-ALL-CMP-747cdca60d2</t>
  </si>
  <si>
    <t>CMP-747cdca60d2</t>
  </si>
  <si>
    <t>Shenzhen Sungening Biological Co Ltd</t>
  </si>
  <si>
    <t>{"Tier":"LONG_TAIL","Company":"Shenzhen Sungening Biological Co Ltd","Company Type":"COMMERCIAL","GD Active Assets":1,"GD All Assets":1,"GD Phase II+":1,"Highest GD Stage":"Phase II","Research Area Tags":"HAI, ICH","Bridging Tags":null,"Public Source":null,"GlobalData As-of":"2026-07-31","Data Interpretation":"GlobalData snapshot only; validate current asset status","Company ID":"CMP-747cdca60d2"}</t>
  </si>
  <si>
    <t>PR-ALL-CMP-f965a31a15d</t>
  </si>
  <si>
    <t>CMP-f965a31a15d</t>
  </si>
  <si>
    <t>Shulov Innovative Science Ltd</t>
  </si>
  <si>
    <t>{"Tier":"LONG_TAIL","Company":"Shulov Innovative Science Ltd","Company Type":"COMMERCIAL","GD Active Assets":1,"GD All Assets":1,"GD Phase II+":1,"Highest GD Stage":"Phase II","Research Area Tags":"MUC, ICH","Bridging Tags":null,"Public Source":null,"GlobalData As-of":"2026-07-31","Data Interpretation":"GlobalData snapshot only; validate current asset status","Company ID":"CMP-f965a31a15d"}</t>
  </si>
  <si>
    <t>PR-ALL-CMP-e394c3b0421</t>
  </si>
  <si>
    <t>CMP-e394c3b0421</t>
  </si>
  <si>
    <t>Singlomics (Beijing DanXu) Biopharmaceuticals Co Ltd</t>
  </si>
  <si>
    <t>{"Tier":"LONG_TAIL","Company":"Singlomics (Beijing DanXu) Biopharmaceuticals Co Ltd","Company Type":"COMMERCIAL","GD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ID":"CMP-e394c3b0421"}</t>
  </si>
  <si>
    <t>PR-ALL-CMP-acf14aadf4d</t>
  </si>
  <si>
    <t>CMP-acf14aadf4d</t>
  </si>
  <si>
    <t>Suzhou Ousai Weike Biomedical Technology Co Ltd</t>
  </si>
  <si>
    <t>{"Tier":"LONG_TAIL","Company":"Suzhou Ousai Weike Biomedical Technology Co Ltd","Company Type":"COMMERCIAL","GD Active Assets":1,"GD All Assets":1,"GD Phase II+":1,"Highest GD Stage":"Phase III","Research Area Tags":"ABX, MUC","Bridging Tags":null,"Public Source":null,"GlobalData As-of":"2026-07-31","Data Interpretation":"GlobalData snapshot only; validate current asset status","Company ID":"CMP-acf14aadf4d"}</t>
  </si>
  <si>
    <t>PR-ALL-CMP-b067361b91a</t>
  </si>
  <si>
    <t>CMP-b067361b91a</t>
  </si>
  <si>
    <t>Theriva Biologics Inc</t>
  </si>
  <si>
    <t>{"Tier":"LONG_TAIL","Company":"Theriva Biologics Inc","Company Type":"COMMERCIAL","GD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ID":"CMP-b067361b91a"}</t>
  </si>
  <si>
    <t>PR-ALL-CMP-d81e7156874</t>
  </si>
  <si>
    <t>CMP-d81e7156874</t>
  </si>
  <si>
    <t>TrippBio Inc</t>
  </si>
  <si>
    <t>{"Tier":"LONG_TAIL","Company":"TrippBio Inc","Company Type":"COMMERCIAL","GD Active Assets":1,"GD All Assets":1,"GD Phase II+":1,"Highest GD Stage":"Phase III","Research Area Tags":"EMG, MUC","Bridging Tags":null,"Public Source":null,"GlobalData As-of":"2026-07-31","Data Interpretation":"GlobalData snapshot only; validate current asset status","Company ID":"CMP-d81e7156874"}</t>
  </si>
  <si>
    <t>PR-ALL-CMP-3bfdfec7fd6</t>
  </si>
  <si>
    <t>CMP-3bfdfec7fd6</t>
  </si>
  <si>
    <t>Visterra Inc</t>
  </si>
  <si>
    <t>{"Tier":"LONG_TAIL","Company":"Visterra Inc","Company Type":"COMMERCIAL","GD Active Assets":1,"GD All Assets":1,"GD Phase II+":1,"Highest GD Stage":"Phase II","Research Area Tags":"EMG, NTD","Bridging Tags":null,"Public Source":null,"GlobalData As-of":"2026-07-31","Data Interpretation":"GlobalData snapshot only; validate current asset status","Company ID":"CMP-3bfdfec7fd6"}</t>
  </si>
  <si>
    <t>PR-ALL-CMP-dff97b04593</t>
  </si>
  <si>
    <t>CMP-dff97b04593</t>
  </si>
  <si>
    <t>Xuanzhu Biotechnology Co Ltd</t>
  </si>
  <si>
    <t>{"Tier":"LONG_TAIL","Company":"Xuanzhu Biotechnology Co Ltd","Company Type":"COMMERCIAL","GD Active Assets":1,"GD All Assets":1,"GD Phase II+":1,"Highest GD Stage":"Phase III","Research Area Tags":"ABX, MUC","Bridging Tags":null,"Public Source":null,"GlobalData As-of":"2026-07-31","Data Interpretation":"GlobalData snapshot only; validate current asset status","Company ID":"CMP-dff97b04593"}</t>
  </si>
  <si>
    <t>PR-ALL-CMP-72e16b50737</t>
  </si>
  <si>
    <t>CMP-72e16b50737</t>
  </si>
  <si>
    <t>Zhejiang Xinlifei Biotechnology Co Ltd</t>
  </si>
  <si>
    <t>{"Tier":"LONG_TAIL","Company":"Zhejiang Xinlifei Biotechnology Co Ltd","Company Type":"COMMERCIAL","GD Active Assets":1,"GD All Assets":1,"GD Phase II+":1,"Highest GD Stage":"Phase III","Research Area Tags":"ABX, MUC","Bridging Tags":null,"Public Source":null,"GlobalData As-of":"2026-07-31","Data Interpretation":"GlobalData snapshot only; validate current asset status","Company ID":"CMP-72e16b50737"}</t>
  </si>
  <si>
    <t>PR-ALL-CMP-e5aa93e5fca</t>
  </si>
  <si>
    <t>CMP-e5aa93e5fca</t>
  </si>
  <si>
    <t>Addimmune</t>
  </si>
  <si>
    <t>{"Tier":"LONG_TAIL","Company":"Addimmune","Company Type":"COMMERCIAL","GD Active Assets":3,"GD All Assets":3,"GD Phase II+":0,"Highest GD Stage":"Phase I","Research Area Tags":"HIV","Bridging Tags":null,"Public Source":null,"GlobalData As-of":"2026-07-31","Data Interpretation":"GlobalData snapshot only; validate current asset status","Company ID":"CMP-e5aa93e5fca"}</t>
  </si>
  <si>
    <t>PR-ALL-CMP-99ae24ac6a9</t>
  </si>
  <si>
    <t>CMP-99ae24ac6a9</t>
  </si>
  <si>
    <t>Centro Nacional de Biotecnologia</t>
  </si>
  <si>
    <t>{"Tier":"LONG_TAIL","Company":"Centro Nacional de Biotecnologia","Company Type":"COMMERCIAL","GD Active Assets":3,"GD All Assets":3,"GD Phase II+":0,"Highest GD Stage":"Preclinical","Research Area Tags":"EMG","Bridging Tags":"VAC","Public Source":null,"GlobalData As-of":"2026-07-31","Data Interpretation":"GlobalData snapshot only; validate current asset status","Company ID":"CMP-99ae24ac6a9"}</t>
  </si>
  <si>
    <t>PR-ALL-CMP-f5e69082549</t>
  </si>
  <si>
    <t>CMP-f5e69082549</t>
  </si>
  <si>
    <t>Karolinska Institute</t>
  </si>
  <si>
    <t>{"Tier":"LONG_TAIL","Company":"Karolinska Institute","Company Type":"COMMERCIAL","GD Active Assets":3,"GD All Assets":3,"GD Phase II+":0,"Highest GD Stage":"Phase I","Research Area Tags":"EMG","Bridging Tags":"VAC","Public Source":null,"GlobalData As-of":"2026-07-31","Data Interpretation":"GlobalData snapshot only; validate current asset status","Company ID":"CMP-f5e69082549"}</t>
  </si>
  <si>
    <t>PR-ALL-CMP-a0ead7d3955</t>
  </si>
  <si>
    <t>CMP-a0ead7d3955</t>
  </si>
  <si>
    <t>Uvax Bio LLC</t>
  </si>
  <si>
    <t>{"Tier":"LONG_TAIL","Company":"Uvax Bio LLC","Company Type":"COMMERCIAL","GD Active Assets":3,"GD All Assets":3,"GD Phase II+":0,"Highest GD Stage":"Phase I","Research Area Tags":"HIV","Bridging Tags":null,"Public Source":null,"GlobalData As-of":"2026-07-31","Data Interpretation":"GlobalData snapshot only; validate current asset status","Company ID":"CMP-a0ead7d3955"}</t>
  </si>
  <si>
    <t>PR-ALL-CMP-f288656c8fa</t>
  </si>
  <si>
    <t>CMP-f288656c8fa</t>
  </si>
  <si>
    <t>Chengdu Institute of Biological Products Co Ltd</t>
  </si>
  <si>
    <t>{"Tier":"LONG_TAIL","Company":"Chengdu Institute of Biological Products Co Ltd","Company Type":"COMMERCIAL","GD Active Assets":2,"GD All Assets":2,"GD Phase II+":2,"Highest GD Stage":"Phase III","Research Area Tags":null,"Bridging Tags":"VAC","Public Source":null,"GlobalData As-of":"2026-07-31","Data Interpretation":"GlobalData snapshot only; validate current asset status","Company ID":"CMP-f288656c8fa"}</t>
  </si>
  <si>
    <t>PR-ALL-CMP-d54192de5c5</t>
  </si>
  <si>
    <t>CMP-d54192de5c5</t>
  </si>
  <si>
    <t>KinoPharma Inc</t>
  </si>
  <si>
    <t>{"Tier":"LONG_TAIL","Company":"KinoPharma Inc","Company Type":"COMMERCIAL","GD Active Assets":2,"GD All Assets":2,"GD Phase II+":2,"Highest GD Stage":"Phase II","Research Area Tags":null,"Bridging Tags":null,"Public Source":null,"GlobalData As-of":"2026-07-31","Data Interpretation":"GlobalData snapshot only; validate current asset status","Company ID":"CMP-d54192de5c5"}</t>
  </si>
  <si>
    <t>PR-ALL-CMP-865512635ea</t>
  </si>
  <si>
    <t>CMP-865512635ea</t>
  </si>
  <si>
    <t>Pelthos Therapeutics Inc</t>
  </si>
  <si>
    <t>{"Tier":"LONG_TAIL","Company":"Pelthos Therapeutics Inc","Company Type":"COMMERCIAL","GD Active Assets":2,"GD All Assets":3,"GD Phase II+":2,"Highest GD Stage":"Phase III","Research Area Tags":null,"Bridging Tags":null,"Public Source":null,"GlobalData As-of":"2026-07-31","Data Interpretation":"GlobalData snapshot only; validate current asset status","Company ID":"CMP-865512635ea"}</t>
  </si>
  <si>
    <t>PR-ALL-CMP-e87dd205ec4</t>
  </si>
  <si>
    <t>CMP-e87dd205ec4</t>
  </si>
  <si>
    <t>Shanghai Qingsai Biotechnology Co Ltd</t>
  </si>
  <si>
    <t>{"Tier":"LONG_TAIL","Company":"Shanghai Qingsai Biotechnology Co Ltd","Company Type":"COMMERCIAL","GD Active Assets":2,"GD All Assets":2,"GD Phase II+":2,"Highest GD Stage":"Phase III","Research Area Tags":null,"Bridging Tags":"VAC","Public Source":null,"GlobalData As-of":"2026-07-31","Data Interpretation":"GlobalData snapshot only; validate current asset status","Company ID":"CMP-e87dd205ec4"}</t>
  </si>
  <si>
    <t>PR-ALL-CMP-4052585383c</t>
  </si>
  <si>
    <t>CMP-4052585383c</t>
  </si>
  <si>
    <t>Thomas Advanced Medical LLC</t>
  </si>
  <si>
    <t>{"Tier":"LONG_TAIL","Company":"Thomas Advanced Medical LLC","Company Type":"COMMERCIAL","GD Active Assets":2,"GD All Assets":2,"GD Phase II+":2,"Highest GD Stage":"Phase II","Research Area Tags":null,"Bridging Tags":null,"Public Source":null,"GlobalData As-of":"2026-07-31","Data Interpretation":"GlobalData snapshot only; validate current asset status","Company ID":"CMP-4052585383c"}</t>
  </si>
  <si>
    <t>PR-ALL-CMP-0e5c0937329</t>
  </si>
  <si>
    <t>CMP-0e5c0937329</t>
  </si>
  <si>
    <t>Akthelia</t>
  </si>
  <si>
    <t>{"Tier":"LONG_TAIL","Company":"Akthelia","Company Type":"COMMERCIAL","GD Active Assets":0,"GD All Assets":0,"GD Phase II+":0,"Highest GD Stage":"-","Research Area Tags":"HAI, ICH","Bridging Tags":null,"Public Source":"https://beam-alliance.eu/members/","GlobalData As-of":"2026-07-31","Data Interpretation":"Public thematic source; not present in source GlobalData","Company ID":"CMP-0e5c0937329"}</t>
  </si>
  <si>
    <t>PR-ALL-CMP-d0d59518328</t>
  </si>
  <si>
    <t>CMP-d0d59518328</t>
  </si>
  <si>
    <t>DevsHealth</t>
  </si>
  <si>
    <t>{"Tier":"LONG_TAIL","Company":"DevsHealth","Company Type":"COMMERCIAL","GD Active Assets":0,"GD All Assets":0,"GD Phase II+":0,"Highest GD Stage":"-","Research Area Tags":"HAI, ABX","Bridging Tags":"SMD","Public Source":"https://beam-alliance.eu/members/","GlobalData As-of":"2026-07-31","Data Interpretation":"Public thematic source; not present in source GlobalData","Company ID":"CMP-d0d59518328"}</t>
  </si>
  <si>
    <t>PR-ALL-CMP-58b69578b8f</t>
  </si>
  <si>
    <t>CMP-58b69578b8f</t>
  </si>
  <si>
    <t>Selmod</t>
  </si>
  <si>
    <t>{"Tier":"LONG_TAIL","Company":"Selmod","Company Type":"COMMERCIAL","GD Active Assets":0,"GD All Assets":0,"GD Phase II+":0,"Highest GD Stage":"-","Research Area Tags":"HAI, ABX","Bridging Tags":"SMD","Public Source":"https://beam-alliance.eu/members/","GlobalData As-of":"2026-07-31","Data Interpretation":"Public thematic source; not present in source GlobalData","Company ID":"CMP-58b69578b8f"}</t>
  </si>
  <si>
    <t>PR-ALL-CMP-670cb485657</t>
  </si>
  <si>
    <t>CMP-670cb485657</t>
  </si>
  <si>
    <t>7 Hills Pharma LLC</t>
  </si>
  <si>
    <t>{"Tier":"LONG_TAIL","Company":"7 Hills Pharma LLC","Company Type":"COMMERCIAL","GD Active Assets":2,"GD All Assets":2,"GD Phase II+":0,"Highest GD Stage":"Preclinical","Research Area Tags":"NTD","Bridging Tags":"VAC","Public Source":null,"GlobalData As-of":"2026-07-31","Data Interpretation":"GlobalData snapshot only; validate current asset status","Company ID":"CMP-670cb485657"}</t>
  </si>
  <si>
    <t>PR-ALL-CMP-9460a2817b5</t>
  </si>
  <si>
    <t>CMP-9460a2817b5</t>
  </si>
  <si>
    <t>ACON Pharmaceuticals Inc</t>
  </si>
  <si>
    <t>{"Tier":"LONG_TAIL","Company":"ACON Pharmaceuticals Inc","Company Type":"COMMERCIAL","GD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ID":"CMP-9460a2817b5"}</t>
  </si>
  <si>
    <t>PR-ALL-CMP-a6850d8b993</t>
  </si>
  <si>
    <t>CMP-a6850d8b993</t>
  </si>
  <si>
    <t>Accuitis Inc</t>
  </si>
  <si>
    <t>{"Tier":"LONG_TAIL","Company":"Accuitis Inc","Company Type":"COMMERCIAL","GD Active Assets":2,"GD All Assets":2,"GD Phase II+":0,"Highest GD Stage":"Preclinical","Research Area Tags":"HIV","Bridging Tags":null,"Public Source":null,"GlobalData As-of":"2026-07-31","Data Interpretation":"GlobalData snapshot only; validate current asset status","Company ID":"CMP-a6850d8b993"}</t>
  </si>
  <si>
    <t>PR-ALL-CMP-08ad8425815</t>
  </si>
  <si>
    <t>CMP-08ad8425815</t>
  </si>
  <si>
    <t>Axon Neuroscience SE</t>
  </si>
  <si>
    <t>{"Tier":"LONG_TAIL","Company":"Axon Neuroscience SE","Company Type":"COMMERCIAL","GD Active Assets":2,"GD All Assets":2,"GD Phase II+":0,"Highest GD Stage":"Preclinical","Research Area Tags":"EMG","Bridging Tags":null,"Public Source":null,"GlobalData As-of":"2026-07-31","Data Interpretation":"GlobalData snapshot only; validate current asset status","Company ID":"CMP-08ad8425815"}</t>
  </si>
  <si>
    <t>PR-ALL-CMP-324e40bc1ea</t>
  </si>
  <si>
    <t>CMP-324e40bc1ea</t>
  </si>
  <si>
    <t>Boaovax Biotechnology Co Ltd</t>
  </si>
  <si>
    <t>{"Tier":"LONG_TAIL","Company":"Boaovax Biotechnology Co Ltd","Company Type":"COMMERCIAL","GD Active Assets":2,"GD All Assets":2,"GD Phase II+":0,"Highest GD Stage":"IND/CTA Filed","Research Area Tags":"ICH","Bridging Tags":"VAC","Public Source":null,"GlobalData As-of":"2026-07-31","Data Interpretation":"GlobalData snapshot only; validate current asset status","Company ID":"CMP-324e40bc1ea"}</t>
  </si>
  <si>
    <t>PR-ALL-CMP-0e77a24e77e</t>
  </si>
  <si>
    <t>CMP-0e77a24e77e</t>
  </si>
  <si>
    <t>Caregen Co Ltd</t>
  </si>
  <si>
    <t>{"Tier":"LONG_TAIL","Company":"Caregen Co Ltd","Company Type":"COMMERCIAL","GD Active Assets":2,"GD All Assets":2,"GD Phase II+":0,"Highest GD Stage":"Phase I","Research Area Tags":"EMG","Bridging Tags":null,"Public Source":null,"GlobalData As-of":"2026-07-31","Data Interpretation":"GlobalData snapshot only; validate current asset status","Company ID":"CMP-0e77a24e77e"}</t>
  </si>
  <si>
    <t>PR-ALL-CMP-a620a9873dc</t>
  </si>
  <si>
    <t>CMP-a620a9873dc</t>
  </si>
  <si>
    <t>Cellid Co Ltd</t>
  </si>
  <si>
    <t>{"Tier":"LONG_TAIL","Company":"Cellid Co Ltd","Company Type":"COMMERCIAL","GD Active Assets":2,"GD All Assets":2,"GD Phase II+":0,"Highest GD Stage":"IND/CTA Filed","Research Area Tags":"EMG","Bridging Tags":"VAC","Public Source":null,"GlobalData As-of":"2026-07-31","Data Interpretation":"GlobalData snapshot only; validate current asset status","Company ID":"CMP-a620a9873dc"}</t>
  </si>
  <si>
    <t>PR-ALL-CMP-9fda370db04</t>
  </si>
  <si>
    <t>CMP-9fda370db04</t>
  </si>
  <si>
    <t>ClearB Therapeutics Inc</t>
  </si>
  <si>
    <t>{"Tier":"LONG_TAIL","Company":"ClearB Therapeutics Inc","Company Type":"COMMERCIAL","GD Active Assets":2,"GD All Assets":2,"GD Phase II+":0,"Highest GD Stage":"Phase I","Research Area Tags":"HEP","Bridging Tags":null,"Public Source":null,"GlobalData As-of":"2026-07-31","Data Interpretation":"GlobalData snapshot only; validate current asset status","Company ID":"CMP-9fda370db04"}</t>
  </si>
  <si>
    <t>PR-ALL-CMP-b37eb7b7071</t>
  </si>
  <si>
    <t>CMP-b37eb7b7071</t>
  </si>
  <si>
    <t>Curative Biotechnology Inc</t>
  </si>
  <si>
    <t>{"Tier":"LONG_TAIL","Company":"Curative Biotechnology Inc","Company Type":"COMMERCIAL","GD Active Assets":2,"GD All Assets":2,"GD Phase II+":0,"Highest GD Stage":"IND/CTA Filed","Research Area Tags":"EMG","Bridging Tags":"VAC","Public Source":null,"GlobalData As-of":"2026-07-31","Data Interpretation":"GlobalData snapshot only; validate current asset status","Company ID":"CMP-b37eb7b7071"}</t>
  </si>
  <si>
    <t>PR-ALL-CMP-6ff001c3038</t>
  </si>
  <si>
    <t>CMP-6ff001c3038</t>
  </si>
  <si>
    <t>Decoy Therapeutics Inc</t>
  </si>
  <si>
    <t>{"Tier":"LONG_TAIL","Company":"Decoy Therapeutics Inc","Company Type":"COMMERCIAL","GD Active Assets":2,"GD All Assets":2,"GD Phase II+":0,"Highest GD Stage":"Preclinical","Research Area Tags":"EMG","Bridging Tags":null,"Public Source":null,"GlobalData As-of":"2026-07-31","Data Interpretation":"GlobalData snapshot only; validate current asset status","Company ID":"CMP-6ff001c3038"}</t>
  </si>
  <si>
    <t>PR-ALL-CMP-b6c1a25c99f</t>
  </si>
  <si>
    <t>CMP-b6c1a25c99f</t>
  </si>
  <si>
    <t>Guangzhou Diqi Pharmaceutical Technology Co Ltd</t>
  </si>
  <si>
    <t>{"Tier":"LONG_TAIL","Company":"Guangzhou Diqi Pharmaceutical Technology Co Ltd","Company Type":"COMMERCIAL","GD Active Assets":2,"GD All Assets":2,"GD Phase II+":0,"Highest GD Stage":"Preclinical","Research Area Tags":"HEP","Bridging Tags":null,"Public Source":null,"GlobalData As-of":"2026-07-31","Data Interpretation":"GlobalData snapshot only; validate current asset status","Company ID":"CMP-b6c1a25c99f"}</t>
  </si>
  <si>
    <t>PR-ALL-CMP-5ee274a63e9</t>
  </si>
  <si>
    <t>CMP-5ee274a63e9</t>
  </si>
  <si>
    <t>Hualan Biological Vaccine Inc</t>
  </si>
  <si>
    <t>{"Tier":"LONG_TAIL","Company":"Hualan Biological Vaccine Inc","Company Type":"COMMERCIAL","GD Active Assets":2,"GD All Assets":2,"GD Phase II+":0,"Highest GD Stage":"Phase I","Research Area Tags":"MUC","Bridging Tags":"VAC","Public Source":null,"GlobalData As-of":"2026-07-31","Data Interpretation":"GlobalData snapshot only; validate current asset status","Company ID":"CMP-5ee274a63e9"}</t>
  </si>
  <si>
    <t>PR-ALL-CMP-21d78ceab14</t>
  </si>
  <si>
    <t>CMP-21d78ceab14</t>
  </si>
  <si>
    <t>Human Life CORD Japan Inc</t>
  </si>
  <si>
    <t>{"Tier":"LONG_TAIL","Company":"Human Life CORD Japan Inc","Company Type":"COMMERCIAL","GD Active Assets":2,"GD All Assets":2,"GD Phase II+":0,"Highest GD Stage":"Phase I","Research Area Tags":"EMG","Bridging Tags":null,"Public Source":null,"GlobalData As-of":"2026-07-31","Data Interpretation":"GlobalData snapshot only; validate current asset status","Company ID":"CMP-21d78ceab14"}</t>
  </si>
  <si>
    <t>PR-ALL-CMP-f47db53307f</t>
  </si>
  <si>
    <t>CMP-f47db53307f</t>
  </si>
  <si>
    <t>Mapp Biopharmaceutical Inc</t>
  </si>
  <si>
    <t>{"Tier":"LONG_TAIL","Company":"Mapp Biopharmaceutical Inc","Company Type":"COMMERCIAL","GD Active Assets":2,"GD All Assets":2,"GD Phase II+":0,"Highest GD Stage":"Phase I","Research Area Tags":"EMG","Bridging Tags":null,"Public Source":null,"GlobalData As-of":"2026-07-31","Data Interpretation":"GlobalData snapshot only; validate current asset status","Company ID":"CMP-f47db53307f"}</t>
  </si>
  <si>
    <t>PR-ALL-CMP-07263ea9227</t>
  </si>
  <si>
    <t>CMP-07263ea9227</t>
  </si>
  <si>
    <t>ModeX Therapeutics Inc</t>
  </si>
  <si>
    <t>{"Tier":"LONG_TAIL","Company":"ModeX Therapeutics Inc","Company Type":"COMMERCIAL","GD Active Assets":2,"GD All Assets":3,"GD Phase II+":0,"Highest GD Stage":"Phase I","Research Area Tags":"EMG","Bridging Tags":"MAB","Public Source":null,"GlobalData As-of":"2026-07-31","Data Interpretation":"GlobalData snapshot only; validate current asset status","Company ID":"CMP-07263ea9227"}</t>
  </si>
  <si>
    <t>PR-ALL-CMP-ee308f997dc</t>
  </si>
  <si>
    <t>CMP-ee308f997dc</t>
  </si>
  <si>
    <t>NES Biotechnology Co Ltd</t>
  </si>
  <si>
    <t>{"Tier":"LONG_TAIL","Company":"NES Biotechnology Co Ltd","Company Type":"COMMERCIAL","GD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ID":"CMP-ee308f997dc"}</t>
  </si>
  <si>
    <t>PR-ALL-CMP-166034ea7ae</t>
  </si>
  <si>
    <t>CMP-166034ea7ae</t>
  </si>
  <si>
    <t>North China Pharmaceutical Jintan Biotechnology Co Ltd</t>
  </si>
  <si>
    <t>{"Tier":"LONG_TAIL","Company":"North China Pharmaceutical Jintan Biotechnology Co Ltd","Company Type":"COMMERCIAL","GD Active Assets":2,"GD All Assets":2,"GD Phase II+":0,"Highest GD Stage":"IND/CTA Filed","Research Area Tags":"MUC","Bridging Tags":"VAC","Public Source":null,"GlobalData As-of":"2026-07-31","Data Interpretation":"GlobalData snapshot only; validate current asset status","Company ID":"CMP-166034ea7ae"}</t>
  </si>
  <si>
    <t>PR-ALL-CMP-bde82d01256</t>
  </si>
  <si>
    <t>CMP-bde82d01256</t>
  </si>
  <si>
    <t>RongCan Shanghai Biotech Co Ltd</t>
  </si>
  <si>
    <t>{"Tier":"LONG_TAIL","Company":"RongCan Shanghai Biotech Co Ltd","Company Type":"COMMERCIAL","GD Active Assets":2,"GD All Assets":2,"GD Phase II+":0,"Highest GD Stage":"IND/CTA Filed","Research Area Tags":"EMG","Bridging Tags":"VAC","Public Source":null,"GlobalData As-of":"2026-07-31","Data Interpretation":"GlobalData snapshot only; validate current asset status","Company ID":"CMP-bde82d01256"}</t>
  </si>
  <si>
    <t>PR-ALL-CMP-00bd1953e1c</t>
  </si>
  <si>
    <t>CMP-00bd1953e1c</t>
  </si>
  <si>
    <t>SVF Vaccines AB</t>
  </si>
  <si>
    <t>{"Tier":"LONG_TAIL","Company":"SVF Vaccines AB","Company Type":"COMMERCIAL","GD Active Assets":2,"GD All Assets":2,"GD Phase II+":0,"Highest GD Stage":"Phase I","Research Area Tags":"EMG","Bridging Tags":"VAC","Public Source":null,"GlobalData As-of":"2026-07-31","Data Interpretation":"GlobalData snapshot only; validate current asset status","Company ID":"CMP-00bd1953e1c"}</t>
  </si>
  <si>
    <t>PR-ALL-CMP-f96f6a5749a</t>
  </si>
  <si>
    <t>CMP-f96f6a5749a</t>
  </si>
  <si>
    <t>Shandong Dyne Marine Biopharmaceutical Co Ltd</t>
  </si>
  <si>
    <t>{"Tier":"LONG_TAIL","Company":"Shandong Dyne Marine Biopharmaceutical Co Ltd","Company Type":"COMMERCIAL","GD Active Assets":2,"GD All Assets":2,"GD Phase II+":0,"Highest GD Stage":"Phase I","Research Area Tags":"ICH","Bridging Tags":null,"Public Source":null,"GlobalData As-of":"2026-07-31","Data Interpretation":"GlobalData snapshot only; validate current asset status","Company ID":"CMP-f96f6a5749a"}</t>
  </si>
  <si>
    <t>PR-ALL-CMP-c6a57423cfc</t>
  </si>
  <si>
    <t>CMP-c6a57423cfc</t>
  </si>
  <si>
    <t>Theralase Technologies Inc</t>
  </si>
  <si>
    <t>{"Tier":"LONG_TAIL","Company":"Theralase Technologies Inc","Company Type":"COMMERCIAL","GD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ID":"CMP-c6a57423cfc"}</t>
  </si>
  <si>
    <t>PR-ALL-CMP-5fab9b55233</t>
  </si>
  <si>
    <t>CMP-5fab9b55233</t>
  </si>
  <si>
    <t>Tonix Pharmaceuticals Holding Corp</t>
  </si>
  <si>
    <t>{"Tier":"LONG_TAIL","Company":"Tonix Pharmaceuticals Holding Corp","Company Type":"COMMERCIAL","GD Active Assets":2,"GD All Assets":3,"GD Phase II+":0,"Highest GD Stage":"Phase I","Research Area Tags":"EMG","Bridging Tags":null,"Public Source":null,"GlobalData As-of":"2026-07-31","Data Interpretation":"GlobalData snapshot only; validate current asset status","Company ID":"CMP-5fab9b55233"}</t>
  </si>
  <si>
    <t>PR-ALL-CMP-4cfa1fd73ec</t>
  </si>
  <si>
    <t>CMP-4cfa1fd73ec</t>
  </si>
  <si>
    <t>Zalgen Labs LLC</t>
  </si>
  <si>
    <t>{"Tier":"LONG_TAIL","Company":"Zalgen Labs LLC","Company Type":"COMMERCIAL","GD Active Assets":2,"GD All Assets":2,"GD Phase II+":0,"Highest GD Stage":"Preclinical","Research Area Tags":"EMG","Bridging Tags":null,"Public Source":null,"GlobalData As-of":"2026-07-31","Data Interpretation":"GlobalData snapshot only; validate current asset status","Company ID":"CMP-4cfa1fd73ec"}</t>
  </si>
  <si>
    <t>PR-ALL-CMP-7276b00c8fb</t>
  </si>
  <si>
    <t>CMP-7276b00c8fb</t>
  </si>
  <si>
    <t>Laboratories Ojer Pharma SL</t>
  </si>
  <si>
    <t>{"Tier":"LONG_TAIL","Company":"Laboratories Ojer Pharma SL","Company Type":"COMMERCIAL","GD Active Assets":2,"GD All Assets":2,"GD Phase II+":1,"Highest GD Stage":"Phase III","Research Area Tags":null,"Bridging Tags":null,"Public Source":null,"GlobalData As-of":"2026-07-31","Data Interpretation":"GlobalData snapshot only; validate current asset status","Company ID":"CMP-7276b00c8fb"}</t>
  </si>
  <si>
    <t>PR-ALL-CMP-6b1ca2cfc1b</t>
  </si>
  <si>
    <t>CMP-6b1ca2cfc1b</t>
  </si>
  <si>
    <t>SK Chemicals Co Ltd</t>
  </si>
  <si>
    <t>{"Tier":"LONG_TAIL","Company":"SK Chemicals Co Ltd","Company Type":"COMMERCIAL","GD Active Assets":2,"GD All Assets":2,"GD Phase II+":1,"Highest GD Stage":"Pre-Registration","Research Area Tags":null,"Bridging Tags":"VAC","Public Source":null,"GlobalData As-of":"2026-07-31","Data Interpretation":"GlobalData snapshot only; validate current asset status","Company ID":"CMP-6b1ca2cfc1b"}</t>
  </si>
  <si>
    <t>PR-ALL-CMP-6480bf1f602</t>
  </si>
  <si>
    <t>CMP-6480bf1f602</t>
  </si>
  <si>
    <t>A. Menarini Industrie Farmaceutiche Riunite Srl</t>
  </si>
  <si>
    <t>{"Tier":"LONG_TAIL","Company":"A. Menarini Industrie Farmaceutiche Riunite Srl","Company Type":"COMMERCIAL","GD Active Assets":1,"GD All Assets":2,"GD Phase II+":0,"Highest GD Stage":"Phase I","Research Area Tags":"HAI, ABX","Bridging Tags":null,"Public Source":null,"GlobalData As-of":"2026-07-31","Data Interpretation":"GlobalData snapshot only; validate current asset status","Company ID":"CMP-6480bf1f602"}</t>
  </si>
  <si>
    <t>PR-ALL-CMP-15367ca8a33</t>
  </si>
  <si>
    <t>CMP-15367ca8a33</t>
  </si>
  <si>
    <t>AVM Biotechnology LLC</t>
  </si>
  <si>
    <t>{"Tier":"LONG_TAIL","Company":"AVM Biotechnology LLC","Company Type":"COMMERCIAL","GD Active Assets":1,"GD All Assets":1,"GD Phase II+":0,"Highest GD Stage":"IND/CTA Filed","Research Area Tags":"EMG, MUC","Bridging Tags":null,"Public Source":null,"GlobalData As-of":"2026-07-31","Data Interpretation":"GlobalData snapshot only; validate current asset status","Company ID":"CMP-15367ca8a33"}</t>
  </si>
  <si>
    <t>PR-ALL-CMP-bd7175bb032</t>
  </si>
  <si>
    <t>CMP-bd7175bb032</t>
  </si>
  <si>
    <t>AcadeMab Biomedical Inc</t>
  </si>
  <si>
    <t>{"Tier":"LONG_TAIL","Company":"AcadeMab Biomedical Inc","Company Type":"COMMERCIAL","GD Active Assets":1,"GD All Assets":1,"GD Phase II+":0,"Highest GD Stage":"Preclinical","Research Area Tags":"EMG, NTD","Bridging Tags":null,"Public Source":null,"GlobalData As-of":"2026-07-31","Data Interpretation":"GlobalData snapshot only; validate current asset status","Company ID":"CMP-bd7175bb032"}</t>
  </si>
  <si>
    <t>PR-ALL-CMP-1dc49b69dc2</t>
  </si>
  <si>
    <t>CMP-1dc49b69dc2</t>
  </si>
  <si>
    <t>Access to Advanced Health Institute</t>
  </si>
  <si>
    <t>{"Tier":"LONG_TAIL","Company":"Access to Advanced Health Institute","Company Type":"COMMERCIAL","GD Active Assets":1,"GD All Assets":1,"GD Phase II+":0,"Highest GD Stage":"Preclinical","Research Area Tags":"EMG, NTD","Bridging Tags":"VAC","Public Source":null,"GlobalData As-of":"2026-07-31","Data Interpretation":"GlobalData snapshot only; validate current asset status","Company ID":"CMP-1dc49b69dc2"}</t>
  </si>
  <si>
    <t>PR-ALL-CMP-15418902319</t>
  </si>
  <si>
    <t>CMP-15418902319</t>
  </si>
  <si>
    <t>Adjane BV</t>
  </si>
  <si>
    <t>{"Tier":"LONG_TAIL","Company":"Adjane BV","Company Type":"COMMERCIAL","GD Active Assets":1,"GD All Assets":1,"GD Phase II+":0,"Highest GD Stage":"Preclinical","Research Area Tags":"ABX, MUC","Bridging Tags":null,"Public Source":null,"GlobalData As-of":"2026-07-31","Data Interpretation":"GlobalData snapshot only; validate current asset status","Company ID":"CMP-15418902319"}</t>
  </si>
  <si>
    <t>PR-ALL-CMP-40662931903</t>
  </si>
  <si>
    <t>CMP-40662931903</t>
  </si>
  <si>
    <t>Agastiya Biotech LLC</t>
  </si>
  <si>
    <t>{"Tier":"LONG_TAIL","Company":"Agastiya Biotech LLC","Company Type":"COMMERCIAL","GD Active Assets":1,"GD All Assets":2,"GD Phase II+":0,"Highest GD Stage":"Preclinical","Research Area Tags":"EMG, NTD","Bridging Tags":null,"Public Source":null,"GlobalData As-of":"2026-07-31","Data Interpretation":"GlobalData snapshot only; validate current asset status","Company ID":"CMP-40662931903"}</t>
  </si>
  <si>
    <t>PR-ALL-CMP-d63185075f2</t>
  </si>
  <si>
    <t>CMP-d63185075f2</t>
  </si>
  <si>
    <t>Airway Therapeutics Inc</t>
  </si>
  <si>
    <t>{"Tier":"LONG_TAIL","Company":"Airway Therapeutics Inc","Company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ID":"CMP-d63185075f2"}</t>
  </si>
  <si>
    <t>PR-ALL-CMP-f19b080d160</t>
  </si>
  <si>
    <t>CMP-f19b080d160</t>
  </si>
  <si>
    <t>Amytrx Therapeutics Inc</t>
  </si>
  <si>
    <t>{"Tier":"LONG_TAIL","Company":"Amytrx Therapeutics Inc","Company Type":"COMMERCIAL","GD Active Assets":1,"GD All Assets":1,"GD Phase II+":0,"Highest GD Stage":"Phase I","Research Area Tags":"EMG, ICH","Bridging Tags":null,"Public Source":null,"GlobalData As-of":"2026-07-31","Data Interpretation":"GlobalData snapshot only; validate current asset status","Company ID":"CMP-f19b080d160"}</t>
  </si>
  <si>
    <t>PR-ALL-CMP-1a319a119c8</t>
  </si>
  <si>
    <t>Arcturus Therapeutics Holdings Inc</t>
  </si>
  <si>
    <t>{"Tier":"LONG_TAIL","Company":"Arcturus Therapeutics Holdings Inc","Company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ID":"CMP-1a319a119c8"}</t>
  </si>
  <si>
    <t>PR-ALL-CMP-54a44d6031b</t>
  </si>
  <si>
    <t>CMP-54a44d6031b</t>
  </si>
  <si>
    <t>Arrowhead Pharmaceuticals Inc</t>
  </si>
  <si>
    <t>{"Tier":"LONG_TAIL","Company":"Arrowhead Pharmaceuticals Inc","Company Type":"COMMERCIAL","GD Active Assets":1,"GD All Assets":1,"GD Phase II+":0,"Highest GD Stage":"Preclinical","Research Area Tags":"EMG, MUC","Bridging Tags":null,"Public Source":null,"GlobalData As-of":"2026-07-31","Data Interpretation":"GlobalData snapshot only; validate current asset status","Company ID":"CMP-54a44d6031b"}</t>
  </si>
  <si>
    <t>PR-ALL-CMP-98efde9c1e0</t>
  </si>
  <si>
    <t>CMP-98efde9c1e0</t>
  </si>
  <si>
    <t>Artgen Biotech</t>
  </si>
  <si>
    <t>{"Tier":"LONG_TAIL","Company":"Artgen Biotech","Company Type":"COMMERCIAL","GD Active Assets":1,"GD All Assets":1,"GD Phase II+":0,"Highest GD Stage":"Preclinical","Research Area Tags":"EMG, MUC","Bridging Tags":"VAC","Public Source":null,"GlobalData As-of":"2026-07-31","Data Interpretation":"GlobalData snapshot only; validate current asset status","Company ID":"CMP-98efde9c1e0"}</t>
  </si>
  <si>
    <t>PR-ALL-CMP-cb94391ed0b</t>
  </si>
  <si>
    <t>CMP-cb94391ed0b</t>
  </si>
  <si>
    <t>Aurora Oncology Inc</t>
  </si>
  <si>
    <t>{"Tier":"LONG_TAIL","Company":"Aurora Oncology Inc","Company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ID":"CMP-cb94391ed0b"}</t>
  </si>
  <si>
    <t>PR-ALL-CMP-8088f634a9a</t>
  </si>
  <si>
    <t>CMP-8088f634a9a</t>
  </si>
  <si>
    <t>Autoimmune Technologies LLC</t>
  </si>
  <si>
    <t>{"Tier":"LONG_TAIL","Company":"Autoimmune Technologies LLC","Company Type":"COMMERCIAL","GD Active Assets":1,"GD All Assets":1,"GD Phase II+":0,"Highest GD Stage":"Preclinical","Research Area Tags":"MUC, ICH","Bridging Tags":"VAC","Public Source":null,"GlobalData As-of":"2026-07-31","Data Interpretation":"GlobalData snapshot only; validate current asset status","Company ID":"CMP-8088f634a9a"}</t>
  </si>
  <si>
    <t>PR-ALL-CMP-e715b4f1b36</t>
  </si>
  <si>
    <t>CMP-e715b4f1b36</t>
  </si>
  <si>
    <t>Avecho Biotechnology Ltd</t>
  </si>
  <si>
    <t>{"Tier":"LONG_TAIL","Company":"Avecho Biotechnology Ltd","Company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ID":"CMP-e715b4f1b36"}</t>
  </si>
  <si>
    <t>PR-ALL-CMP-03f120da19a</t>
  </si>
  <si>
    <t>CMP-03f120da19a</t>
  </si>
  <si>
    <t>Bio-Thera Solutions Ltd</t>
  </si>
  <si>
    <t>{"Tier":"LONG_TAIL","Company":"Bio-Thera Solutions Ltd","Company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ID":"CMP-03f120da19a"}</t>
  </si>
  <si>
    <t>PR-ALL-CMP-2444428740f</t>
  </si>
  <si>
    <t>CMP-2444428740f</t>
  </si>
  <si>
    <t>BioMed Commercialization Center</t>
  </si>
  <si>
    <t>{"Tier":"LONG_TAIL","Company":"BioMed Commercialization Center","Company Type":"COMMERCIAL","GD Active Assets":1,"GD All Assets":1,"GD Phase II+":0,"Highest GD Stage":"Preclinical","Research Area Tags":"HAI, ABX","Bridging Tags":"VAC","Public Source":null,"GlobalData As-of":"2026-07-31","Data Interpretation":"GlobalData snapshot only; validate current asset status","Company ID":"CMP-2444428740f"}</t>
  </si>
  <si>
    <t>PR-ALL-CMP-040620e99bb</t>
  </si>
  <si>
    <t>CMP-040620e99bb</t>
  </si>
  <si>
    <t>Biocon Ltd</t>
  </si>
  <si>
    <t>{"Tier":"LONG_TAIL","Company":"Biocon Ltd","Company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ID":"CMP-040620e99bb"}</t>
  </si>
  <si>
    <t>PR-ALL-CMP-f4f1555319b</t>
  </si>
  <si>
    <t>CMP-f4f1555319b</t>
  </si>
  <si>
    <t>Bioorg3.14 LLC</t>
  </si>
  <si>
    <t>{"Tier":"LONG_TAIL","Company":"Bioorg3.14 LLC","Company Type":"COMMERCIAL","GD Active Assets":1,"GD All Assets":1,"GD Phase II+":0,"Highest GD Stage":"Preclinical","Research Area Tags":"ABX, MUC","Bridging Tags":null,"Public Source":null,"GlobalData As-of":"2026-07-31","Data Interpretation":"GlobalData snapshot only; validate current asset status","Company ID":"CMP-f4f1555319b"}</t>
  </si>
  <si>
    <t>PR-ALL-CMP-4a365a56d5a</t>
  </si>
  <si>
    <t>CMP-4a365a56d5a</t>
  </si>
  <si>
    <t>BlueWillow Biologics Inc</t>
  </si>
  <si>
    <t>{"Tier":"LONG_TAIL","Company":"BlueWillow Biologics Inc","Company Type":"COMMERCIAL","GD Active Assets":1,"GD All Assets":1,"GD Phase II+":0,"Highest GD Stage":"Phase I","Research Area Tags":"EMG, MUC","Bridging Tags":"VAC","Public Source":null,"GlobalData As-of":"2026-07-31","Data Interpretation":"GlobalData snapshot only; validate current asset status","Company ID":"CMP-4a365a56d5a"}</t>
  </si>
  <si>
    <t>PR-ALL-CMP-bab1b1ecde5</t>
  </si>
  <si>
    <t>CMP-bab1b1ecde5</t>
  </si>
  <si>
    <t>Boston Pharmaceuticals Inc</t>
  </si>
  <si>
    <t>{"Tier":"LONG_TAIL","Company":"Boston Pharmaceuticals Inc","Company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ID":"CMP-bab1b1ecde5"}</t>
  </si>
  <si>
    <t>PR-ALL-CMP-8dd8f490342</t>
  </si>
  <si>
    <t>{"Tier":"LONG_TAIL","Company":"Bugworks Research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ID":"CMP-8dd8f490342"}</t>
  </si>
  <si>
    <t>PR-ALL-CMP-294d2fd6623</t>
  </si>
  <si>
    <t>CMP-294d2fd6623</t>
  </si>
  <si>
    <t>Celdara Medical LLC</t>
  </si>
  <si>
    <t>{"Tier":"LONG_TAIL","Company":"Celdara Medical LLC","Company Type":"COMMERCIAL","GD Active Assets":1,"GD All Assets":1,"GD Phase II+":0,"Highest GD Stage":"Preclinical","Research Area Tags":"EMG, MUC","Bridging Tags":null,"Public Source":null,"GlobalData As-of":"2026-07-31","Data Interpretation":"GlobalData snapshot only; validate current asset status","Company ID":"CMP-294d2fd6623"}</t>
  </si>
  <si>
    <t>PR-ALL-CMP-41a54006729</t>
  </si>
  <si>
    <t>CMP-41a54006729</t>
  </si>
  <si>
    <t>Centauri Therapeutics Ltd</t>
  </si>
  <si>
    <t>{"Tier":"LONG_TAIL","Company":"Centauri Therapeutics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ID":"CMP-41a54006729"}</t>
  </si>
  <si>
    <t>PR-ALL-CMP-0cee790063b</t>
  </si>
  <si>
    <t>CMP-0cee790063b</t>
  </si>
  <si>
    <t>Centivax Inc</t>
  </si>
  <si>
    <t>{"Tier":"LONG_TAIL","Company":"Centivax Inc","Company Type":"COMMERCIAL","GD Active Assets":1,"GD All Assets":1,"GD Phase II+":0,"Highest GD Stage":"Phase I","Research Area Tags":"EMG, MUC","Bridging Tags":"VAC","Public Source":null,"GlobalData As-of":"2026-07-31","Data Interpretation":"GlobalData snapshot only; validate current asset status","Company ID":"CMP-0cee790063b"}</t>
  </si>
  <si>
    <t>PR-ALL-CMP-9af1ba07d11</t>
  </si>
  <si>
    <t>CMP-9af1ba07d11</t>
  </si>
  <si>
    <t>Changchun GeneScience Pharmaceutical Co Ltd</t>
  </si>
  <si>
    <t>{"Tier":"LONG_TAIL","Company":"Changchun GeneScience Pharmaceutical Co Ltd","Company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ID":"CMP-9af1ba07d11"}</t>
  </si>
  <si>
    <t>PR-ALL-CMP-5e8bcbd0b3d</t>
  </si>
  <si>
    <t>CMP-5e8bcbd0b3d</t>
  </si>
  <si>
    <t>Cinclus Pharma Holding AB</t>
  </si>
  <si>
    <t>{"Tier":"LONG_TAIL","Company":"Cinclus Pharma Holding AB","Company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ID":"CMP-5e8bcbd0b3d"}</t>
  </si>
  <si>
    <t>PR-ALL-CMP-4f35f6a8e06</t>
  </si>
  <si>
    <t>CMP-4f35f6a8e06</t>
  </si>
  <si>
    <t>Cobik</t>
  </si>
  <si>
    <t>{"Tier":"LONG_TAIL","Company":"Cobik","Company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ID":"CMP-4f35f6a8e06"}</t>
  </si>
  <si>
    <t>PR-ALL-CMP-aae9dacabcb</t>
  </si>
  <si>
    <t>CMP-aae9dacabcb</t>
  </si>
  <si>
    <t>Coeptis Holdings Inc</t>
  </si>
  <si>
    <t>{"Tier":"LONG_TAIL","Company":"Coeptis Holdings Inc","Company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ID":"CMP-aae9dacabcb"}</t>
  </si>
  <si>
    <t>PR-ALL-CMP-85d7754bd61</t>
  </si>
  <si>
    <t>CMP-85d7754bd61</t>
  </si>
  <si>
    <t>Creative Biotherapeutics LLC</t>
  </si>
  <si>
    <t>{"Tier":"LONG_TAIL","Company":"Creative Biotherapeutics LLC","Company Type":"COMMERCIAL","GD Active Assets":1,"GD All Assets":1,"GD Phase II+":0,"Highest GD Stage":"Preclinical","Research Area Tags":"EMG, MUC","Bridging Tags":null,"Public Source":null,"GlobalData As-of":"2026-07-31","Data Interpretation":"GlobalData snapshot only; validate current asset status","Company ID":"CMP-85d7754bd61"}</t>
  </si>
  <si>
    <t>PR-ALL-CMP-0b7523b1c07</t>
  </si>
  <si>
    <t>CMP-0b7523b1c07</t>
  </si>
  <si>
    <t>CytoMed Therapeutics Ltd</t>
  </si>
  <si>
    <t>{"Tier":"LONG_TAIL","Company":"CytoMed Therapeutics Ltd","Company Type":"COMMERCIAL","GD Active Assets":1,"GD All Assets":1,"GD Phase II+":0,"Highest GD Stage":"Discovery","Research Area Tags":"EMG, MUC","Bridging Tags":null,"Public Source":null,"GlobalData As-of":"2026-07-31","Data Interpretation":"GlobalData snapshot only; validate current asset status","Company ID":"CMP-0b7523b1c07"}</t>
  </si>
  <si>
    <t>PR-ALL-CMP-813e1365977</t>
  </si>
  <si>
    <t>CMP-813e1365977</t>
  </si>
  <si>
    <t>DeNovaMed Inc</t>
  </si>
  <si>
    <t>{"Tier":"LONG_TAIL","Company":"DeNovaMed Inc","Company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ID":"CMP-813e1365977"}</t>
  </si>
  <si>
    <t>PR-ALL-CMP-c628a5f55eb</t>
  </si>
  <si>
    <t>CMP-c628a5f55eb</t>
  </si>
  <si>
    <t>Debiopharm International SA</t>
  </si>
  <si>
    <t>{"Tier":"LONG_TAIL","Company":"Debiopharm International SA","Company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ID":"CMP-c628a5f55eb"}</t>
  </si>
  <si>
    <t>PR-ALL-CMP-6439343ae40</t>
  </si>
  <si>
    <t>CMP-6439343ae40</t>
  </si>
  <si>
    <t>Delonix Bioworks Ltd</t>
  </si>
  <si>
    <t>{"Tier":"LONG_TAIL","Company":"Delonix Bioworks Ltd","Company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ID":"CMP-6439343ae40"}</t>
  </si>
  <si>
    <t>PR-ALL-CMP-f0f99a93927</t>
  </si>
  <si>
    <t>CMP-f0f99a93927</t>
  </si>
  <si>
    <t>Dianthus Therapeutics Inc</t>
  </si>
  <si>
    <t>{"Tier":"LONG_TAIL","Company":"Dianthus Therapeutics Inc","Company Type":"COMMERCIAL","GD Active Assets":1,"GD All Assets":1,"GD Phase II+":0,"Highest GD Stage":"Discovery","Research Area Tags":"ABX, MUC","Bridging Tags":null,"Public Source":null,"GlobalData As-of":"2026-07-31","Data Interpretation":"GlobalData snapshot only; validate current asset status","Company ID":"CMP-f0f99a93927"}</t>
  </si>
  <si>
    <t>PR-ALL-CMP-d755ed8090f</t>
  </si>
  <si>
    <t>CMP-d755ed8090f</t>
  </si>
  <si>
    <t>Dorinano Inc</t>
  </si>
  <si>
    <t>{"Tier":"LONG_TAIL","Company":"Dorinano Inc","Company Type":"COMMERCIAL","GD Active Assets":1,"GD All Assets":1,"GD Phase II+":0,"Highest GD Stage":"Preclinical","Research Area Tags":"EMG, MUC","Bridging Tags":"VAC","Public Source":null,"GlobalData As-of":"2026-07-31","Data Interpretation":"GlobalData snapshot only; validate current asset status","Company ID":"CMP-d755ed8090f"}</t>
  </si>
  <si>
    <t>PR-ALL-CMP-9bc5bc0b417</t>
  </si>
  <si>
    <t>CMP-9bc5bc0b417</t>
  </si>
  <si>
    <t>DreamTec Ltd</t>
  </si>
  <si>
    <t>{"Tier":"LONG_TAIL","Company":"DreamTec Ltd","Company Type":"COMMERCIAL","GD Active Assets":1,"GD All Assets":1,"GD Phase II+":0,"Highest GD Stage":"Phase I","Research Area Tags":"EMG, MUC","Bridging Tags":"VAC","Public Source":null,"GlobalData As-of":"2026-07-31","Data Interpretation":"GlobalData snapshot only; validate current asset status","Company ID":"CMP-9bc5bc0b417"}</t>
  </si>
  <si>
    <t>PR-ALL-CMP-cb9abb8c4d9</t>
  </si>
  <si>
    <t>CMP-cb9abb8c4d9</t>
  </si>
  <si>
    <t>Gateway Pharmaceutical LLC</t>
  </si>
  <si>
    <t>{"Tier":"LONG_TAIL","Company":"Gateway Pharmaceutical LLC","Company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ID":"CMP-cb9abb8c4d9"}</t>
  </si>
  <si>
    <t>PR-ALL-CMP-0cf93a6c4a0</t>
  </si>
  <si>
    <t>CMP-0cf93a6c4a0</t>
  </si>
  <si>
    <t>Genentech Inc</t>
  </si>
  <si>
    <t>{"Tier":"LONG_TAIL","Company":"Genentech Inc","Company Type":"COMMERCIAL","GD Active Assets":1,"GD All Assets":2,"GD Phase II+":0,"Highest GD Stage":"Phase I","Research Area Tags":"HAI, ABX","Bridging Tags":null,"Public Source":null,"GlobalData As-of":"2026-07-31","Data Interpretation":"GlobalData snapshot only; validate current asset status","Company ID":"CMP-0cf93a6c4a0"}</t>
  </si>
  <si>
    <t>PR-ALL-CMP-d20b785c74f</t>
  </si>
  <si>
    <t>CMP-d20b785c74f</t>
  </si>
  <si>
    <t>Guangdong Good Medicine and Health Technology Co Ltd</t>
  </si>
  <si>
    <t>{"Tier":"LONG_TAIL","Company":"Guangdong Good Medicine and Health Technology Co Ltd","Company Type":"COMMERCIAL","GD Active Assets":1,"GD All Assets":1,"GD Phase II+":0,"Highest GD Stage":"Phase I","Research Area Tags":"ABX, TB","Bridging Tags":null,"Public Source":null,"GlobalData As-of":"2026-07-31","Data Interpretation":"GlobalData snapshot only; validate current asset status","Company ID":"CMP-d20b785c74f"}</t>
  </si>
  <si>
    <t>PR-ALL-CMP-e0482e8ddc2</t>
  </si>
  <si>
    <t>CMP-e0482e8ddc2</t>
  </si>
  <si>
    <t>Howard Hughes Medical Institute</t>
  </si>
  <si>
    <t>{"Tier":"LONG_TAIL","Company":"Howard Hughes Medical Institute","Company Type":"COMMERCIAL","GD Active Assets":1,"GD All Assets":1,"GD Phase II+":0,"Highest GD Stage":"Preclinical","Research Area Tags":"ABX, MUC","Bridging Tags":"VAC","Public Source":null,"GlobalData As-of":"2026-07-31","Data Interpretation":"GlobalData snapshot only; validate current asset status","Company ID":"CMP-e0482e8ddc2"}</t>
  </si>
  <si>
    <t>PR-ALL-CMP-e0d67f0b31c</t>
  </si>
  <si>
    <t>CMP-e0d67f0b31c</t>
  </si>
  <si>
    <t>Huons Co Ltd</t>
  </si>
  <si>
    <t>{"Tier":"LONG_TAIL","Company":"Huons Co Ltd","Company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ID":"CMP-e0d67f0b31c"}</t>
  </si>
  <si>
    <t>PR-ALL-CMP-971037ed904</t>
  </si>
  <si>
    <t>CMP-971037ed904</t>
  </si>
  <si>
    <t>HyPharm GmbH</t>
  </si>
  <si>
    <t>{"Tier":"LONG_TAIL","Company":"HyPharm GmbH","Company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ID":"CMP-971037ed904"}</t>
  </si>
  <si>
    <t>PR-ALL-CMP-47530b3571e</t>
  </si>
  <si>
    <t>CMP-47530b3571e</t>
  </si>
  <si>
    <t>Idorsia Pharmaceutical Ltd</t>
  </si>
  <si>
    <t>{"Tier":"LONG_TAIL","Company":"Idorsia Pharmaceutical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ID":"CMP-47530b3571e"}</t>
  </si>
  <si>
    <t>PR-ALL-CMP-75e5aab4c2d</t>
  </si>
  <si>
    <t>CMP-75e5aab4c2d</t>
  </si>
  <si>
    <t>Iguana Biotechnology GmbH</t>
  </si>
  <si>
    <t>{"Tier":"LONG_TAIL","Company":"Iguana Biotechnology GmbH","Company Type":"COMMERCIAL","GD Active Assets":1,"GD All Assets":1,"GD Phase II+":0,"Highest GD Stage":"Preclinical","Research Area Tags":"ABX, MUC","Bridging Tags":null,"Public Source":null,"GlobalData As-of":"2026-07-31","Data Interpretation":"GlobalData snapshot only; validate current asset status","Company ID":"CMP-75e5aab4c2d"}</t>
  </si>
  <si>
    <t>PR-ALL-CMP-ffe9fc2e471</t>
  </si>
  <si>
    <t>CMP-ffe9fc2e471</t>
  </si>
  <si>
    <t>Immupharma Plc</t>
  </si>
  <si>
    <t>{"Tier":"LONG_TAIL","Company":"Immupharma Plc","Company Type":"COMMERCIAL","GD Active Assets":1,"GD All Assets":1,"GD Phase II+":0,"Highest GD Stage":"Preclinical","Research Area Tags":"HAI, ICH","Bridging Tags":null,"Public Source":null,"GlobalData As-of":"2026-07-31","Data Interpretation":"GlobalData snapshot only; validate current asset status","Company ID":"CMP-ffe9fc2e471"}</t>
  </si>
  <si>
    <t>PR-ALL-CMP-f976e550ce8</t>
  </si>
  <si>
    <t>CMP-f976e550ce8</t>
  </si>
  <si>
    <t>ImunoTera Therapeutic Solutions</t>
  </si>
  <si>
    <t>{"Tier":"LONG_TAIL","Company":"ImunoTera Therapeutic Solutions","Company Type":"COMMERCIAL","GD Active Assets":1,"GD All Assets":1,"GD Phase II+":0,"Highest GD Stage":"Preclinical","Research Area Tags":"EMG, NTD","Bridging Tags":null,"Public Source":null,"GlobalData As-of":"2026-07-31","Data Interpretation":"GlobalData snapshot only; validate current asset status","Company ID":"CMP-f976e550ce8"}</t>
  </si>
  <si>
    <t>PR-ALL-CMP-7c83c9403d0</t>
  </si>
  <si>
    <t>CMP-7c83c9403d0</t>
  </si>
  <si>
    <t>Indaptus Therapeutics Inc</t>
  </si>
  <si>
    <t>{"Tier":"LONG_TAIL","Company":"Indaptus Therapeutics Inc","Company Type":"COMMERCIAL","GD Active Assets":1,"GD All Assets":1,"GD Phase II+":0,"Highest GD Stage":"Preclinical","Research Area Tags":"HIV, HEP","Bridging Tags":null,"Public Source":null,"GlobalData As-of":"2026-07-31","Data Interpretation":"GlobalData snapshot only; validate current asset status","Company ID":"CMP-7c83c9403d0"}</t>
  </si>
  <si>
    <t>PR-ALL-CMP-7f92972b63f</t>
  </si>
  <si>
    <t>CMP-7f92972b63f</t>
  </si>
  <si>
    <t>Innoviva Inc</t>
  </si>
  <si>
    <t>{"Tier":"LONG_TAIL","Company":"Innoviva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ID":"CMP-7f92972b63f"}</t>
  </si>
  <si>
    <t>PR-ALL-CMP-e2ecaa4b921</t>
  </si>
  <si>
    <t>CMP-e2ecaa4b921</t>
  </si>
  <si>
    <t>IntegerBio Inc</t>
  </si>
  <si>
    <t>{"Tier":"LONG_TAIL","Company":"IntegerBio Inc","Company Type":"COMMERCIAL","GD Active Assets":1,"GD All Assets":1,"GD Phase II+":0,"Highest GD Stage":"Phase I","Research Area Tags":"HEP, MUC","Bridging Tags":null,"Public Source":null,"GlobalData As-of":"2026-07-31","Data Interpretation":"GlobalData snapshot only; validate current asset status","Company ID":"CMP-e2ecaa4b921"}</t>
  </si>
  <si>
    <t>PR-ALL-CMP-ccca022dd5a</t>
  </si>
  <si>
    <t>CMP-ccca022dd5a</t>
  </si>
  <si>
    <t>Integral Molecular Inc</t>
  </si>
  <si>
    <t>{"Tier":"LONG_TAIL","Company":"Integral Molecular Inc","Company Type":"COMMERCIAL","GD Active Assets":1,"GD All Assets":1,"GD Phase II+":0,"Highest GD Stage":"Preclinical","Research Area Tags":"EMG, NTD","Bridging Tags":"MAB","Public Source":null,"GlobalData As-of":"2026-07-31","Data Interpretation":"GlobalData snapshot only; validate current asset status","Company ID":"CMP-ccca022dd5a"}</t>
  </si>
  <si>
    <t>PR-ALL-CMP-211f10fef4a</t>
  </si>
  <si>
    <t>CMP-211f10fef4a</t>
  </si>
  <si>
    <t>J. Craig Venter Institute</t>
  </si>
  <si>
    <t>{"Tier":"LONG_TAIL","Company":"J. Craig Venter Institute","Company Type":"COMMERCIAL","GD Active Assets":1,"GD All Assets":1,"GD Phase II+":0,"Highest GD Stage":"Preclinical","Research Area Tags":"EMG, NTD","Bridging Tags":null,"Public Source":null,"GlobalData As-of":"2026-07-31","Data Interpretation":"GlobalData snapshot only; validate current asset status","Company ID":"CMP-211f10fef4a"}</t>
  </si>
  <si>
    <t>PR-ALL-CMP-44a7851d7aa</t>
  </si>
  <si>
    <t>CMP-44a7851d7aa</t>
  </si>
  <si>
    <t>Jiangsu Aosaikang Pharmaceutical Co Ltd</t>
  </si>
  <si>
    <t>{"Tier":"LONG_TAIL","Company":"Jiangsu Aosaikang Pharmaceutical Co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ID":"CMP-44a7851d7aa"}</t>
  </si>
  <si>
    <t>PR-ALL-CMP-58c6ee3f0f0</t>
  </si>
  <si>
    <t>CMP-58c6ee3f0f0</t>
  </si>
  <si>
    <t>Jodas Expoim Pvt Ltd</t>
  </si>
  <si>
    <t>{"Tier":"LONG_TAIL","Company":"Jodas Expoim Pvt Ltd","Company Type":"COMMERCIAL","GD Active Assets":1,"GD All Assets":1,"GD Phase II+":0,"Highest GD Stage":"Phase I","Research Area Tags":"ABX, TB","Bridging Tags":null,"Public Source":null,"GlobalData As-of":"2026-07-31","Data Interpretation":"GlobalData snapshot only; validate current asset status","Company ID":"CMP-58c6ee3f0f0"}</t>
  </si>
  <si>
    <t>PR-ALL-CMP-666a9e31512</t>
  </si>
  <si>
    <t>CMP-666a9e31512</t>
  </si>
  <si>
    <t>KBP Biosciences Co Ltd</t>
  </si>
  <si>
    <t>{"Tier":"LONG_TAIL","Company":"KBP Biosciences Co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ID":"CMP-666a9e31512"}</t>
  </si>
  <si>
    <t>PR-ALL-CMP-36982a9225e</t>
  </si>
  <si>
    <t>CMP-36982a9225e</t>
  </si>
  <si>
    <t>KamTek Inc</t>
  </si>
  <si>
    <t>{"Tier":"LONG_TAIL","Company":"KamTek Inc","Company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ID":"CMP-36982a9225e"}</t>
  </si>
  <si>
    <t>PR-ALL-CMP-4a360257a10</t>
  </si>
  <si>
    <t>CMP-4a360257a10</t>
  </si>
  <si>
    <t>Kimer Med Ltd</t>
  </si>
  <si>
    <t>{"Tier":"LONG_TAIL","Company":"Kimer Med Ltd","Company Type":"COMMERCIAL","GD Active Assets":1,"GD All Assets":1,"GD Phase II+":0,"Highest GD Stage":"Preclinical","Research Area Tags":"EMG, NTD","Bridging Tags":null,"Public Source":null,"GlobalData As-of":"2026-07-31","Data Interpretation":"GlobalData snapshot only; validate current asset status","Company ID":"CMP-4a360257a10"}</t>
  </si>
  <si>
    <t>PR-ALL-CMP-6698398c318</t>
  </si>
  <si>
    <t>CMP-6698398c318</t>
  </si>
  <si>
    <t>L2 Diagnostics LLC</t>
  </si>
  <si>
    <t>{"Tier":"LONG_TAIL","Company":"L2 Diagnostics LLC","Company Type":"COMMERCIAL","GD Active Assets":1,"GD All Assets":1,"GD Phase II+":0,"Highest GD Stage":"Preclinical","Research Area Tags":"EMG, NTD","Bridging Tags":"VAC","Public Source":null,"GlobalData As-of":"2026-07-31","Data Interpretation":"GlobalData snapshot only; validate current asset status","Company ID":"CMP-6698398c318"}</t>
  </si>
  <si>
    <t>PR-ALL-CMP-a03dd6aa24d</t>
  </si>
  <si>
    <t>CMP-a03dd6aa24d</t>
  </si>
  <si>
    <t>Lateral Pharma Pty Ltd</t>
  </si>
  <si>
    <t>{"Tier":"LONG_TAIL","Company":"Lateral Pharma Pty Ltd","Company Type":"COMMERCIAL","GD Active Assets":1,"GD All Assets":1,"GD Phase II+":0,"Highest GD Stage":"Preclinical","Research Area Tags":"EMG, MUC","Bridging Tags":null,"Public Source":null,"GlobalData As-of":"2026-07-31","Data Interpretation":"GlobalData snapshot only; validate current asset status","Company ID":"CMP-a03dd6aa24d"}</t>
  </si>
  <si>
    <t>PR-ALL-CMP-62ea57c83dc</t>
  </si>
  <si>
    <t>CMP-62ea57c83dc</t>
  </si>
  <si>
    <t>Lexaria Bioscience Corp</t>
  </si>
  <si>
    <t>{"Tier":"LONG_TAIL","Company":"Lexaria Bioscience Corp","Company Type":"COMMERCIAL","GD Active Assets":1,"GD All Assets":1,"GD Phase II+":0,"Highest GD Stage":"Preclinical","Research Area Tags":"HIV, EMG","Bridging Tags":null,"Public Source":null,"GlobalData As-of":"2026-07-31","Data Interpretation":"GlobalData snapshot only; validate current asset status","Company ID":"CMP-62ea57c83dc"}</t>
  </si>
  <si>
    <t>PR-ALL-CMP-221fefbe246</t>
  </si>
  <si>
    <t>CMP-221fefbe246</t>
  </si>
  <si>
    <t>Ligand Pharmaceuticals Inc</t>
  </si>
  <si>
    <t>{"Tier":"LONG_TAIL","Company":"Ligand Pharmaceuticals Inc","Company Type":"COMMERCIAL","GD Active Assets":1,"GD All Assets":2,"GD Phase II+":0,"Highest GD Stage":"Phase I","Research Area Tags":"EMG, MUC","Bridging Tags":null,"Public Source":null,"GlobalData As-of":"2026-07-31","Data Interpretation":"GlobalData snapshot only; validate current asset status","Company ID":"CMP-221fefbe246"}</t>
  </si>
  <si>
    <t>PR-ALL-CMP-85d7ea1d1d0</t>
  </si>
  <si>
    <t>CMP-85d7ea1d1d0</t>
  </si>
  <si>
    <t>Lixa Pty Ltd</t>
  </si>
  <si>
    <t>{"Tier":"LONG_TAIL","Company":"Lixa Pty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ID":"CMP-85d7ea1d1d0"}</t>
  </si>
  <si>
    <t>PR-ALL-CMP-3f4afc7af0d</t>
  </si>
  <si>
    <t>CMP-3f4afc7af0d</t>
  </si>
  <si>
    <t>Lpoxy Therapeutics Inc</t>
  </si>
  <si>
    <t>{"Tier":"LONG_TAIL","Company":"Lpoxy Therapeutics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ID":"CMP-3f4afc7af0d"}</t>
  </si>
  <si>
    <t>PR-ALL-CMP-6def6cde680</t>
  </si>
  <si>
    <t>CMP-6def6cde680</t>
  </si>
  <si>
    <t>Medigen Inc</t>
  </si>
  <si>
    <t>{"Tier":"LONG_TAIL","Company":"Medigen Inc","Company Type":"COMMERCIAL","GD Active Assets":1,"GD All Assets":1,"GD Phase II+":0,"Highest GD Stage":"Preclinical","Research Area Tags":"EMG, NTD","Bridging Tags":"VAC","Public Source":null,"GlobalData As-of":"2026-07-31","Data Interpretation":"GlobalData snapshot only; validate current asset status","Company ID":"CMP-6def6cde680"}</t>
  </si>
  <si>
    <t>PR-ALL-CMP-77819f52837</t>
  </si>
  <si>
    <t>CMP-77819f52837</t>
  </si>
  <si>
    <t>Molecular Express Inc</t>
  </si>
  <si>
    <t>{"Tier":"LONG_TAIL","Company":"Molecular Express Inc","Company Type":"COMMERCIAL","GD Active Assets":1,"GD All Assets":1,"GD Phase II+":0,"Highest GD Stage":"Preclinical","Research Area Tags":"HAI, ICH","Bridging Tags":"VAC","Public Source":null,"GlobalData As-of":"2026-07-31","Data Interpretation":"GlobalData snapshot only; validate current asset status","Company ID":"CMP-77819f52837"}</t>
  </si>
  <si>
    <t>PR-ALL-CMP-54265b83976</t>
  </si>
  <si>
    <t>CMP-54265b83976</t>
  </si>
  <si>
    <t>Moleculin Biotech Inc</t>
  </si>
  <si>
    <t>{"Tier":"LONG_TAIL","Company":"Moleculin Biotech Inc","Company Type":"COMMERCIAL","GD Active Assets":1,"GD All Assets":1,"GD Phase II+":0,"Highest GD Stage":"IND/CTA Filed","Research Area Tags":"HIV, EMG","Bridging Tags":null,"Public Source":null,"GlobalData As-of":"2026-07-31","Data Interpretation":"GlobalData snapshot only; validate current asset status","Company ID":"CMP-54265b83976"}</t>
  </si>
  <si>
    <t>PR-ALL-CMP-b609466366c</t>
  </si>
  <si>
    <t>CMP-b609466366c</t>
  </si>
  <si>
    <t>MyBiotics Pharma Ltd</t>
  </si>
  <si>
    <t>{"Tier":"LONG_TAIL","Company":"MyBiotics Pharma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ID":"CMP-b609466366c"}</t>
  </si>
  <si>
    <t>PR-ALL-CMP-6b9d347298c</t>
  </si>
  <si>
    <t>CMP-6b9d347298c</t>
  </si>
  <si>
    <t>NanoViricides Inc</t>
  </si>
  <si>
    <t>{"Tier":"LONG_TAIL","Company":"NanoViricides Inc","Company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ID":"CMP-6b9d347298c"}</t>
  </si>
  <si>
    <t>PR-ALL-CMP-9846ce18d15</t>
  </si>
  <si>
    <t>CMP-9846ce18d15</t>
  </si>
  <si>
    <t>National Immunobiological Company</t>
  </si>
  <si>
    <t>{"Tier":"LONG_TAIL","Company":"National Immunobiological Company","Company Type":"COMMERCIAL","GD Active Assets":1,"GD All Assets":1,"GD Phase II+":0,"Highest GD Stage":"Preclinical","Research Area Tags":"EMG, MUC","Bridging Tags":"VAC","Public Source":null,"GlobalData As-of":"2026-07-31","Data Interpretation":"GlobalData snapshot only; validate current asset status","Company ID":"CMP-9846ce18d15"}</t>
  </si>
  <si>
    <t>PR-ALL-CMP-ad359b3332c</t>
  </si>
  <si>
    <t>CMP-ad359b3332c</t>
  </si>
  <si>
    <t>Nob Hill Therapeutics Inc</t>
  </si>
  <si>
    <t>{"Tier":"LONG_TAIL","Company":"Nob Hill Therapeutics Inc","Company Type":"COMMERCIAL","GD Active Assets":1,"GD All Assets":1,"GD Phase II+":0,"Highest GD Stage":"Preclinical","Research Area Tags":"HAI, ICH","Bridging Tags":null,"Public Source":null,"GlobalData As-of":"2026-07-31","Data Interpretation":"GlobalData snapshot only; validate current asset status","Company ID":"CMP-ad359b3332c"}</t>
  </si>
  <si>
    <t>PR-ALL-CMP-7f3c20cc621</t>
  </si>
  <si>
    <t>CMP-7f3c20cc621</t>
  </si>
  <si>
    <t>Nubiyota LLC</t>
  </si>
  <si>
    <t>{"Tier":"LONG_TAIL","Company":"Nubiyota LLC","Company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ID":"CMP-7f3c20cc621"}</t>
  </si>
  <si>
    <t>PR-ALL-CMP-ecf079e4340</t>
  </si>
  <si>
    <t>CMP-ecf079e4340</t>
  </si>
  <si>
    <t>Oak Therapeutics Inc</t>
  </si>
  <si>
    <t>{"Tier":"LONG_TAIL","Company":"Oak Therapeutics Inc","Company Type":"COMMERCIAL","GD Active Assets":1,"GD All Assets":1,"GD Phase II+":0,"Highest GD Stage":"Preclinical","Research Area Tags":"ABX, TB","Bridging Tags":null,"Public Source":null,"GlobalData As-of":"2026-07-31","Data Interpretation":"GlobalData snapshot only; validate current asset status","Company ID":"CMP-ecf079e4340"}</t>
  </si>
  <si>
    <t>PR-ALL-CMP-23fcce31004</t>
  </si>
  <si>
    <t>CMP-23fcce31004</t>
  </si>
  <si>
    <t>Oblita Therapeutics BVBA</t>
  </si>
  <si>
    <t>{"Tier":"LONG_TAIL","Company":"Oblita Therapeutics BVBA","Company Type":"COMMERCIAL","GD Active Assets":1,"GD All Assets":1,"GD Phase II+":0,"Highest GD Stage":"Phase I","Research Area Tags":"NTD, ICH","Bridging Tags":null,"Public Source":null,"GlobalData As-of":"2026-07-31","Data Interpretation":"GlobalData snapshot only; validate current asset status","Company ID":"CMP-23fcce31004"}</t>
  </si>
  <si>
    <t>PR-ALL-CMP-d5b918b18a4</t>
  </si>
  <si>
    <t>CMP-d5b918b18a4</t>
  </si>
  <si>
    <t>Omnix Medical Ltd</t>
  </si>
  <si>
    <t>{"Tier":"LONG_TAIL","Company":"Omnix Medical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ID":"CMP-d5b918b18a4"}</t>
  </si>
  <si>
    <t>PR-ALL-CMP-45242133c07</t>
  </si>
  <si>
    <t>CMP-45242133c07</t>
  </si>
  <si>
    <t>Omvax Inc</t>
  </si>
  <si>
    <t>{"Tier":"LONG_TAIL","Company":"Omvax Inc","Company Type":"COMMERCIAL","GD Active Assets":1,"GD All Assets":1,"GD Phase II+":0,"Highest GD Stage":"Preclinical","Research Area Tags":"ABX, MUC","Bridging Tags":"VAC","Public Source":null,"GlobalData As-of":"2026-07-31","Data Interpretation":"GlobalData snapshot only; validate current asset status","Company ID":"CMP-45242133c07"}</t>
  </si>
  <si>
    <t>PR-ALL-CMP-ae6ec9b11b1</t>
  </si>
  <si>
    <t>CMP-ae6ec9b11b1</t>
  </si>
  <si>
    <t>OncoC4 Inc</t>
  </si>
  <si>
    <t>{"Tier":"LONG_TAIL","Company":"OncoC4 Inc","Company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ID":"CMP-ae6ec9b11b1"}</t>
  </si>
  <si>
    <t>PR-ALL-CMP-d4dda013c2c</t>
  </si>
  <si>
    <t>CMP-d4dda013c2c</t>
  </si>
  <si>
    <t>POP Biotechnologies Inc</t>
  </si>
  <si>
    <t>{"Tier":"LONG_TAIL","Company":"POP Biotechnologies Inc","Company Type":"COMMERCIAL","GD Active Assets":1,"GD All Assets":1,"GD Phase II+":0,"Highest GD Stage":"Preclinical","Research Area Tags":"MUC, ICH","Bridging Tags":"VAC","Public Source":null,"GlobalData As-of":"2026-07-31","Data Interpretation":"GlobalData snapshot only; validate current asset status","Company ID":"CMP-d4dda013c2c"}</t>
  </si>
  <si>
    <t>PR-ALL-CMP-29f573102e4</t>
  </si>
  <si>
    <t>CMP-29f573102e4</t>
  </si>
  <si>
    <t>Pai Life Sciences Inc</t>
  </si>
  <si>
    <t>{"Tier":"LONG_TAIL","Company":"Pai Life Sciences Inc","Company Type":"COMMERCIAL","GD Active Assets":1,"GD All Assets":1,"GD Phase II+":0,"Highest GD Stage":"Preclinical","Research Area Tags":"ABX, TB","Bridging Tags":null,"Public Source":null,"GlobalData As-of":"2026-07-31","Data Interpretation":"GlobalData snapshot only; validate current asset status","Company ID":"CMP-29f573102e4"}</t>
  </si>
  <si>
    <t>PR-ALL-CMP-13a675d83ce</t>
  </si>
  <si>
    <t>CMP-13a675d83ce</t>
  </si>
  <si>
    <t>PhagePro Inc</t>
  </si>
  <si>
    <t>{"Tier":"LONG_TAIL","Company":"PhagePro Inc","Company Type":"COMMERCIAL","GD Active Assets":1,"GD All Assets":1,"GD Phase II+":0,"Highest GD Stage":"Preclinical","Research Area Tags":"ABX, MUC","Bridging Tags":null,"Public Source":null,"GlobalData As-of":"2026-07-31","Data Interpretation":"GlobalData snapshot only; validate current asset status","Company ID":"CMP-13a675d83ce"}</t>
  </si>
  <si>
    <t>PR-ALL-CMP-69ffdbaa8c9</t>
  </si>
  <si>
    <t>CMP-69ffdbaa8c9</t>
  </si>
  <si>
    <t>PharmaPlanter Technologies Inc</t>
  </si>
  <si>
    <t>{"Tier":"LONG_TAIL","Company":"PharmaPlanter Technologies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ID":"CMP-69ffdbaa8c9"}</t>
  </si>
  <si>
    <t>PR-ALL-CMP-b85ef56974a</t>
  </si>
  <si>
    <t>CMP-b85ef56974a</t>
  </si>
  <si>
    <t>PlumeStars Srl</t>
  </si>
  <si>
    <t>{"Tier":"LONG_TAIL","Company":"PlumeStars Srl","Company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ID":"CMP-b85ef56974a"}</t>
  </si>
  <si>
    <t>PR-ALL-CMP-46ea1a6630f</t>
  </si>
  <si>
    <t>CMP-46ea1a6630f</t>
  </si>
  <si>
    <t>Prokaryotics Inc</t>
  </si>
  <si>
    <t>{"Tier":"LONG_TAIL","Company":"Prokaryotics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ID":"CMP-46ea1a6630f"}</t>
  </si>
  <si>
    <t>PR-ALL-CMP-0f27c05ea82</t>
  </si>
  <si>
    <t>CMP-0f27c05ea82</t>
  </si>
  <si>
    <t>Protibea Therapeutics Inc</t>
  </si>
  <si>
    <t>{"Tier":"LONG_TAIL","Company":"Protibea Therapeutics Inc","Company Type":"COMMERCIAL","GD Active Assets":1,"GD All Assets":1,"GD Phase II+":0,"Highest GD Stage":"Preclinical","Research Area Tags":"ABX, TB","Bridging Tags":null,"Public Source":null,"GlobalData As-of":"2026-07-31","Data Interpretation":"GlobalData snapshot only; validate current asset status","Company ID":"CMP-0f27c05ea82"}</t>
  </si>
  <si>
    <t>PR-ALL-CMP-9be5eb4111c</t>
  </si>
  <si>
    <t>CMP-9be5eb4111c</t>
  </si>
  <si>
    <t>Pulmocide Ltd</t>
  </si>
  <si>
    <t>{"Tier":"LONG_TAIL","Company":"Pulmocide Ltd","Company Type":"COMMERCIAL","GD Active Assets":1,"GD All Assets":1,"GD Phase II+":0,"Highest GD Stage":"Preclinical","Research Area Tags":"HAI, ICH","Bridging Tags":null,"Public Source":null,"GlobalData As-of":"2026-07-31","Data Interpretation":"GlobalData snapshot only; validate current asset status","Company ID":"CMP-9be5eb4111c"}</t>
  </si>
  <si>
    <t>PR-ALL-CMP-96dd01fa956</t>
  </si>
  <si>
    <t>CMP-96dd01fa956</t>
  </si>
  <si>
    <t>PureIMS BV</t>
  </si>
  <si>
    <t>{"Tier":"LONG_TAIL","Company":"PureIMS BV","Company Type":"COMMERCIAL","GD Active Assets":1,"GD All Assets":1,"GD Phase II+":0,"Highest GD Stage":"Phase I","Research Area Tags":"ABX, TB","Bridging Tags":null,"Public Source":null,"GlobalData As-of":"2026-07-31","Data Interpretation":"GlobalData snapshot only; validate current asset status","Company ID":"CMP-96dd01fa956"}</t>
  </si>
  <si>
    <t>PR-ALL-CMP-dc8d0a44e4f</t>
  </si>
  <si>
    <t>CMP-dc8d0a44e4f</t>
  </si>
  <si>
    <t>Pylum Biosciences Inc</t>
  </si>
  <si>
    <t>{"Tier":"LONG_TAIL","Company":"Pylum Biosciences Inc","Company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ID":"CMP-dc8d0a44e4f"}</t>
  </si>
  <si>
    <t>PR-ALL-CMP-632ed32a6d9</t>
  </si>
  <si>
    <t>CMP-632ed32a6d9</t>
  </si>
  <si>
    <t>ReeLabs Pvt Ltd</t>
  </si>
  <si>
    <t>{"Tier":"LONG_TAIL","Company":"ReeLabs Pvt Ltd","Company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ID":"CMP-632ed32a6d9"}</t>
  </si>
  <si>
    <t>PR-ALL-CMP-726216bd134</t>
  </si>
  <si>
    <t>CMP-726216bd134</t>
  </si>
  <si>
    <t>RemAb Therapeutics SL</t>
  </si>
  <si>
    <t>{"Tier":"LONG_TAIL","Company":"RemAb Therapeutics SL","Company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ID":"CMP-726216bd134"}</t>
  </si>
  <si>
    <t>PR-ALL-CMP-1bb02784165</t>
  </si>
  <si>
    <t>CMP-1bb02784165</t>
  </si>
  <si>
    <t>Revadix</t>
  </si>
  <si>
    <t>{"Tier":"LONG_TAIL","Company":"Revadix","Company Type":"COMMERCIAL","GD Active Assets":1,"GD All Assets":1,"GD Phase II+":0,"Highest GD Stage":"Preclinical","Research Area Tags":"EMG, MUC","Bridging Tags":null,"Public Source":null,"GlobalData As-of":"2026-07-31","Data Interpretation":"GlobalData snapshot only; validate current asset status","Company ID":"CMP-1bb02784165"}</t>
  </si>
  <si>
    <t>PR-ALL-CMP-ffffeb5580c</t>
  </si>
  <si>
    <t>CMP-ffffeb5580c</t>
  </si>
  <si>
    <t>SL Bigen Co Ltd</t>
  </si>
  <si>
    <t>{"Tier":"LONG_TAIL","Company":"SL Bigen Co Ltd","Company Type":"COMMERCIAL","GD Active Assets":1,"GD All Assets":1,"GD Phase II+":0,"Highest GD Stage":"Phase I","Research Area Tags":"ABX, TB","Bridging Tags":null,"Public Source":null,"GlobalData As-of":"2026-07-31","Data Interpretation":"GlobalData snapshot only; validate current asset status","Company ID":"CMP-ffffeb5580c"}</t>
  </si>
  <si>
    <t>PR-ALL-CMP-c84266686ea</t>
  </si>
  <si>
    <t>CMP-c84266686ea</t>
  </si>
  <si>
    <t>Selva Therapeutics Inc</t>
  </si>
  <si>
    <t>{"Tier":"LONG_TAIL","Company":"Selva Therapeutics Inc","Company Type":"COMMERCIAL","GD Active Assets":1,"GD All Assets":1,"GD Phase II+":0,"Highest GD Stage":"Phase I","Research Area Tags":"EMG, NTD","Bridging Tags":null,"Public Source":null,"GlobalData As-of":"2026-07-31","Data Interpretation":"GlobalData snapshot only; validate current asset status","Company ID":"CMP-c84266686ea"}</t>
  </si>
  <si>
    <t>PR-ALL-CMP-0c872450ad6</t>
  </si>
  <si>
    <t>CMP-0c872450ad6</t>
  </si>
  <si>
    <t>Seren Pharmaceuticals Inc</t>
  </si>
  <si>
    <t>{"Tier":"LONG_TAIL","Company":"Seren Pharmaceuticals Inc","Company Type":"COMMERCIAL","GD Active Assets":1,"GD All Assets":1,"GD Phase II+":0,"Highest GD Stage":"Phase I","Research Area Tags":"MUC, ICH","Bridging Tags":null,"Public Source":null,"GlobalData As-of":"2026-07-31","Data Interpretation":"GlobalData snapshot only; validate current asset status","Company ID":"CMP-0c872450ad6"}</t>
  </si>
  <si>
    <t>PR-ALL-CMP-c7860c7c24d</t>
  </si>
  <si>
    <t>CMP-c7860c7c24d</t>
  </si>
  <si>
    <t>Shanghai Haini Pharmaceutical Co Ltd</t>
  </si>
  <si>
    <t>{"Tier":"LONG_TAIL","Company":"Shanghai Haini Pharmaceutical Co Ltd","Company Type":"COMMERCIAL","GD Active Assets":1,"GD All Assets":1,"GD Phase II+":0,"Highest GD Stage":"IND/CTA Filed","Research Area Tags":"ABX, MUC","Bridging Tags":null,"Public Source":null,"GlobalData As-of":"2026-07-31","Data Interpretation":"GlobalData snapshot only; validate current asset status","Company ID":"CMP-c7860c7c24d"}</t>
  </si>
  <si>
    <t>PR-ALL-CMP-a78e0a7c137</t>
  </si>
  <si>
    <t>CMP-a78e0a7c137</t>
  </si>
  <si>
    <t>Shanghai Haishi Biopharmaceutical Co Ltd</t>
  </si>
  <si>
    <t>{"Tier":"LONG_TAIL","Company":"Shanghai Haishi Biopharmaceutical Co Ltd","Company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ID":"CMP-a78e0a7c137"}</t>
  </si>
  <si>
    <t>PR-ALL-CMP-f281f221efe</t>
  </si>
  <si>
    <t>CMP-f281f221efe</t>
  </si>
  <si>
    <t>Shanghai Sine Pharmaceutical Laboratories Co Ltd</t>
  </si>
  <si>
    <t>{"Tier":"LONG_TAIL","Company":"Shanghai Sine Pharmaceutical Laboratories Co Ltd","Company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ID":"CMP-f281f221efe"}</t>
  </si>
  <si>
    <t>PR-ALL-CMP-9115fdfc1f3</t>
  </si>
  <si>
    <t>CMP-9115fdfc1f3</t>
  </si>
  <si>
    <t>Shanghai Yunsheng Yanxin Biotechnology Co Ltd</t>
  </si>
  <si>
    <t>{"Tier":"LONG_TAIL","Company":"Shanghai Yunsheng Yanxin Biotechnology Co Ltd","Company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ID":"CMP-9115fdfc1f3"}</t>
  </si>
  <si>
    <t>PR-ALL-CMP-01a9aca8dcf</t>
  </si>
  <si>
    <t>CMP-01a9aca8dcf</t>
  </si>
  <si>
    <t>Shenzhen Carbon Cloud Peptide Pharmaceutical Technology Co Ltd</t>
  </si>
  <si>
    <t>{"Tier":"LONG_TAIL","Company":"Shenzhen Carbon Cloud Peptide Pharmaceutical Technology Co Ltd","Company Type":"COMMERCIAL","GD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ID":"CMP-01a9aca8dcf"}</t>
  </si>
  <si>
    <t>PR-ALL-CMP-e0c1604d28b</t>
  </si>
  <si>
    <t>CMP-e0c1604d28b</t>
  </si>
  <si>
    <t>Shenzhen Salubris Pharmaceuticals Co Ltd</t>
  </si>
  <si>
    <t>{"Tier":"LONG_TAIL","Company":"Shenzhen Salubris Pharmaceuticals Co Ltd","Company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ID":"CMP-e0c1604d28b"}</t>
  </si>
  <si>
    <t>PR-ALL-CMP-19e61e5bae2</t>
  </si>
  <si>
    <t>CMP-19e61e5bae2</t>
  </si>
  <si>
    <t>Sino Biopharmaceutical Ltd</t>
  </si>
  <si>
    <t>{"Tier":"LONG_TAIL","Company":"Sino Biopharmaceutical Ltd","Company Type":"COMMERCIAL","GD Active Assets":1,"GD All Assets":1,"GD Phase II+":0,"Highest GD Stage":"Phase I","Research Area Tags":"EMG, MUC","Bridging Tags":null,"Public Source":null,"GlobalData As-of":"2026-07-31","Data Interpretation":"GlobalData snapshot only; validate current asset status","Company ID":"CMP-19e61e5bae2"}</t>
  </si>
  <si>
    <t>PR-ALL-CMP-ab59aff55d1</t>
  </si>
  <si>
    <t>CMP-ab59aff55d1</t>
  </si>
  <si>
    <t>Spexis AG</t>
  </si>
  <si>
    <t>{"Tier":"LONG_TAIL","Company":"Spexis AG","Company Type":"COMMERCIAL","GD Active Assets":1,"GD All Assets":2,"GD Phase II+":0,"Highest GD Stage":"Phase I","Research Area Tags":"HAI, ABX","Bridging Tags":null,"Public Source":null,"GlobalData As-of":"2026-07-31","Data Interpretation":"GlobalData snapshot only; validate current asset status","Company ID":"CMP-ab59aff55d1"}</t>
  </si>
  <si>
    <t>PR-ALL-CMP-6d1d6a8847c</t>
  </si>
  <si>
    <t>CMP-6d1d6a8847c</t>
  </si>
  <si>
    <t>Suzhou Zelgen Biopharmaceutical Co Ltd</t>
  </si>
  <si>
    <t>{"Tier":"LONG_TAIL","Company":"Suzhou Zelgen Biopharmaceutical Co Ltd","Company Type":"COMMERCIAL","GD Active Assets":1,"GD All Assets":1,"GD Phase II+":0,"Highest GD Stage":"Phase 0","Research Area Tags":"EMG, MUC","Bridging Tags":null,"Public Source":null,"GlobalData As-of":"2026-07-31","Data Interpretation":"GlobalData snapshot only; validate current asset status","Company ID":"CMP-6d1d6a8847c"}</t>
  </si>
  <si>
    <t>PR-ALL-CMP-88e03e107b9</t>
  </si>
  <si>
    <t>CMP-88e03e107b9</t>
  </si>
  <si>
    <t>TAXIS Pharmaceuticals Inc</t>
  </si>
  <si>
    <t>{"Tier":"LONG_TAIL","Company":"TAXIS Pharmaceuticals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ID":"CMP-88e03e107b9"}</t>
  </si>
  <si>
    <t>PR-ALL-CMP-f9000c964c0</t>
  </si>
  <si>
    <t>CMP-f9000c964c0</t>
  </si>
  <si>
    <t>Telum Therapeutics SL</t>
  </si>
  <si>
    <t>{"Tier":"LONG_TAIL","Company":"Telum Therapeutics SL","Company Type":"COMMERCIAL","GD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ID":"CMP-f9000c964c0"}</t>
  </si>
  <si>
    <t>PR-ALL-CMP-0dc62d291d6</t>
  </si>
  <si>
    <t>CMP-0dc62d291d6</t>
  </si>
  <si>
    <t>The United Laboratories International Holdings Ltd</t>
  </si>
  <si>
    <t>{"Tier":"LONG_TAIL","Company":"The United Laboratories International Holdings Ltd","Company Type":"COMMERCIAL","GD Active Assets":1,"GD All Assets":1,"GD Phase II+":0,"Highest GD Stage":"IND/CTA Filed","Research Area Tags":"HAI, ABX","Bridging Tags":null,"Public Source":null,"GlobalData As-of":"2026-07-31","Data Interpretation":"GlobalData snapshot only; validate current asset status","Company ID":"CMP-0dc62d291d6"}</t>
  </si>
  <si>
    <t>PR-ALL-CMP-7b116df8f56</t>
  </si>
  <si>
    <t>CMP-7b116df8f56</t>
  </si>
  <si>
    <t>Trove Therapeutics Inc</t>
  </si>
  <si>
    <t>{"Tier":"LONG_TAIL","Company":"Trove Therapeutics Inc","Company Type":"COMMERCIAL","GD Active Assets":1,"GD All Assets":1,"GD Phase II+":0,"Highest GD Stage":"Preclinical","Research Area Tags":"EMG, MUC","Bridging Tags":null,"Public Source":null,"GlobalData As-of":"2026-07-31","Data Interpretation":"GlobalData snapshot only; validate current asset status","Company ID":"CMP-7b116df8f56"}</t>
  </si>
  <si>
    <t>PR-ALL-CMP-12f40f511e0</t>
  </si>
  <si>
    <t>CMP-12f40f511e0</t>
  </si>
  <si>
    <t>Vacunax Inc</t>
  </si>
  <si>
    <t>{"Tier":"LONG_TAIL","Company":"Vacunax Inc","Company Type":"COMMERCIAL","GD Active Assets":1,"GD All Assets":1,"GD Phase II+":0,"Highest GD Stage":"Preclinical","Research Area Tags":"EMG, NTD","Bridging Tags":"VAC","Public Source":null,"GlobalData As-of":"2026-07-31","Data Interpretation":"GlobalData snapshot only; validate current asset status","Company ID":"CMP-12f40f511e0"}</t>
  </si>
  <si>
    <t>PR-ALL-CMP-c24a9e0d3e5</t>
  </si>
  <si>
    <t>CMP-c24a9e0d3e5</t>
  </si>
  <si>
    <t>XBiotech Inc</t>
  </si>
  <si>
    <t>{"Tier":"LONG_TAIL","Company":"XBiotech Inc","Company Type":"COMMERCIAL","GD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ID":"CMP-c24a9e0d3e5"}</t>
  </si>
  <si>
    <t>PR-ALL-CMP-58959278bad</t>
  </si>
  <si>
    <t>CMP-58959278bad</t>
  </si>
  <si>
    <t>Xinnate AB</t>
  </si>
  <si>
    <t>{"Tier":"LONG_TAIL","Company":"Xinnate AB","Company Type":"COMMERCIAL","GD Active Assets":1,"GD All Assets":1,"GD Phase II+":0,"Highest GD Stage":"Preclinical","Research Area Tags":"MUC, ICH","Bridging Tags":null,"Public Source":null,"GlobalData As-of":"2026-07-31","Data Interpretation":"GlobalData snapshot only; validate current asset status","Company ID":"CMP-58959278bad"}</t>
  </si>
  <si>
    <t>PR-ALL-CMP-a0010a971d3</t>
  </si>
  <si>
    <t>CMP-a0010a971d3</t>
  </si>
  <si>
    <t>Zhejiang Cuize Pharmaceutical Technology Co Ltd</t>
  </si>
  <si>
    <t>{"Tier":"LONG_TAIL","Company":"Zhejiang Cuize Pharmaceutical Technology Co Ltd","Company Type":"COMMERCIAL","GD Active Assets":1,"GD All Assets":1,"GD Phase II+":0,"Highest GD Stage":"Phase I","Research Area Tags":"HAI, ICH","Bridging Tags":null,"Public Source":null,"GlobalData As-of":"2026-07-31","Data Interpretation":"GlobalData snapshot only; validate current asset status","Company ID":"CMP-a0010a971d3"}</t>
  </si>
  <si>
    <t>PR-ALL-CMP-4e2d2afbd92</t>
  </si>
  <si>
    <t>CMP-4e2d2afbd92</t>
  </si>
  <si>
    <t>Zhongshan Zhiben Pharmaceutical Technology Co Ltd</t>
  </si>
  <si>
    <t>{"Tier":"LONG_TAIL","Company":"Zhongshan Zhiben Pharmaceutical Technology Co Ltd","Company Type":"COMMERCIAL","GD Active Assets":1,"GD All Assets":1,"GD Phase II+":0,"Highest GD Stage":"IND/CTA Filed","Research Area Tags":"ABX, MUC","Bridging Tags":null,"Public Source":null,"GlobalData As-of":"2026-07-31","Data Interpretation":"GlobalData snapshot only; validate current asset status","Company ID":"CMP-4e2d2afbd92"}</t>
  </si>
  <si>
    <t>PR-ALL-CMP-5e915e0079e</t>
  </si>
  <si>
    <t>CMP-5e915e0079e</t>
  </si>
  <si>
    <t>nCage Therapeutics Sp Zoo</t>
  </si>
  <si>
    <t>{"Tier":"LONG_TAIL","Company":"nCage Therapeutics Sp Zoo","Company Type":"COMMERCIAL","GD Active Assets":1,"GD All Assets":1,"GD Phase II+":0,"Highest GD Stage":"Preclinical","Research Area Tags":"EMG, MUC","Bridging Tags":"VAC","Public Source":null,"GlobalData As-of":"2026-07-31","Data Interpretation":"GlobalData snapshot only; validate current asset status","Company ID":"CMP-5e915e0079e"}</t>
  </si>
  <si>
    <t>PR-ALL-CMP-1ef83c15ded</t>
  </si>
  <si>
    <t>CMP-1ef83c15ded</t>
  </si>
  <si>
    <t>101 Therapeutics Ltd</t>
  </si>
  <si>
    <t>{"Tier":"LONG_TAIL","Company":"101 Therapeutics Ltd","Company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ID":"CMP-1ef83c15ded"}</t>
  </si>
  <si>
    <t>PR-ALL-CMP-ffe9a3c1b13</t>
  </si>
  <si>
    <t>CMP-ffe9a3c1b13</t>
  </si>
  <si>
    <t>AB Science SA</t>
  </si>
  <si>
    <t>{"Tier":"LONG_TAIL","Company":"AB Science SA","Company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ID":"CMP-ffe9a3c1b13"}</t>
  </si>
  <si>
    <t>PR-ALL-CMP-b0f121293c1</t>
  </si>
  <si>
    <t>CMP-b0f121293c1</t>
  </si>
  <si>
    <t>Abivax SA</t>
  </si>
  <si>
    <t>{"Tier":"LONG_TAIL","Company":"Abivax SA","Company Type":"COMMERCIAL","GD Active Assets":1,"GD All Assets":2,"GD Phase II+":1,"Highest GD Stage":"Phase II","Research Area Tags":"HEP","Bridging Tags":null,"Public Source":null,"GlobalData As-of":"2026-07-31","Data Interpretation":"GlobalData snapshot only; validate current asset status","Company ID":"CMP-b0f121293c1"}</t>
  </si>
  <si>
    <t>PR-ALL-CMP-ec537b9ae06</t>
  </si>
  <si>
    <t>CMP-ec537b9ae06</t>
  </si>
  <si>
    <t>Aceragen Inc</t>
  </si>
  <si>
    <t>{"Tier":"LONG_TAIL","Company":"Aceragen Inc","Company Type":"COMMERCIAL","GD Active Assets":1,"GD All Assets":1,"GD Phase II+":1,"Highest GD Stage":"Phase II","Research Area Tags":"ABX","Bridging Tags":null,"Public Source":null,"GlobalData As-of":"2026-07-31","Data Interpretation":"GlobalData snapshot only; validate current asset status","Company ID":"CMP-ec537b9ae06"}</t>
  </si>
  <si>
    <t>PR-ALL-CMP-9c35f71149c</t>
  </si>
  <si>
    <t>CMP-9c35f71149c</t>
  </si>
  <si>
    <t>Acticor Biotech SAS</t>
  </si>
  <si>
    <t>{"Tier":"LONG_TAIL","Company":"Acticor Biotech SAS","Company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ID":"CMP-9c35f71149c"}</t>
  </si>
  <si>
    <t>PR-ALL-CMP-1fbe6ee8dcd</t>
  </si>
  <si>
    <t>CMP-1fbe6ee8dcd</t>
  </si>
  <si>
    <t>Aelix Therapeutics SL</t>
  </si>
  <si>
    <t>{"Tier":"LONG_TAIL","Company":"Aelix Therapeutics SL","Company Type":"COMMERCIAL","GD Active Assets":1,"GD All Assets":1,"GD Phase II+":1,"Highest GD Stage":"Phase II","Research Area Tags":"HIV","Bridging Tags":"VAC","Public Source":null,"GlobalData As-of":"2026-07-31","Data Interpretation":"GlobalData snapshot only; validate current asset status","Company ID":"CMP-1fbe6ee8dcd"}</t>
  </si>
  <si>
    <t>PR-ALL-CMP-19891aa70de</t>
  </si>
  <si>
    <t>CMP-19891aa70de</t>
  </si>
  <si>
    <t>Ainos Inc</t>
  </si>
  <si>
    <t>{"Tier":"LONG_TAIL","Company":"Ainos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ID":"CMP-19891aa70de"}</t>
  </si>
  <si>
    <t>PR-ALL-CMP-65897bd2b0b</t>
  </si>
  <si>
    <t>CMP-65897bd2b0b</t>
  </si>
  <si>
    <t>Akebia Therapeutics Inc</t>
  </si>
  <si>
    <t>{"Tier":"LONG_TAIL","Company":"Akebia Therapeutics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ID":"CMP-65897bd2b0b"}</t>
  </si>
  <si>
    <t>PR-ALL-CMP-8a4c40ff289</t>
  </si>
  <si>
    <t>CMP-8a4c40ff289</t>
  </si>
  <si>
    <t>Allina Health United Medical Specialties Clinic</t>
  </si>
  <si>
    <t>{"Tier":"LONG_TAIL","Company":"Allina Health United Medical Specialties Clinic","Company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ID":"CMP-8a4c40ff289"}</t>
  </si>
  <si>
    <t>PR-ALL-CMP-3bb3486e856</t>
  </si>
  <si>
    <t>CMP-3bb3486e856</t>
  </si>
  <si>
    <t>Alloksys Life Sciences BV</t>
  </si>
  <si>
    <t>{"Tier":"LONG_TAIL","Company":"Alloksys Life Sciences BV","Company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ID":"CMP-3bb3486e856"}</t>
  </si>
  <si>
    <t>PR-ALL-CMP-5758ca10868</t>
  </si>
  <si>
    <t>CMP-5758ca10868</t>
  </si>
  <si>
    <t>Amicogen Inc</t>
  </si>
  <si>
    <t>{"Tier":"LONG_TAIL","Company":"Amicogen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ID":"CMP-5758ca10868"}</t>
  </si>
  <si>
    <t>PR-ALL-CMP-9e15609f0a3</t>
  </si>
  <si>
    <t>CMP-9e15609f0a3</t>
  </si>
  <si>
    <t>Andikang (Wuxi) Biotechnology Co Ltd</t>
  </si>
  <si>
    <t>{"Tier":"LONG_TAIL","Company":"Andikang (Wuxi) Biotechnology Co Ltd","Company Type":"COMMERCIAL","GD Active Assets":1,"GD All Assets":1,"GD Phase II+":1,"Highest GD Stage":"Pre-Registration","Research Area Tags":"MUC","Bridging Tags":null,"Public Source":null,"GlobalData As-of":"2026-07-31","Data Interpretation":"GlobalData snapshot only; validate current asset status","Company ID":"CMP-9e15609f0a3"}</t>
  </si>
  <si>
    <t>PR-ALL-CMP-26c17809ea6</t>
  </si>
  <si>
    <t>CMP-26c17809ea6</t>
  </si>
  <si>
    <t>Aphios Corp</t>
  </si>
  <si>
    <t>{"Tier":"LONG_TAIL","Company":"Aphios Corp","Company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ID":"CMP-26c17809ea6"}</t>
  </si>
  <si>
    <t>PR-ALL-CMP-4cc2e78fcbf</t>
  </si>
  <si>
    <t>CMP-4cc2e78fcbf</t>
  </si>
  <si>
    <t>Aramis Biotechnologies Inc</t>
  </si>
  <si>
    <t>{"Tier":"LONG_TAIL","Company":"Aramis Biotechnologies Inc","Company Type":"COMMERCIAL","GD Active Assets":1,"GD All Assets":1,"GD Phase II+":1,"Highest GD Stage":"Phase II","Research Area Tags":"MUC","Bridging Tags":"VAC","Public Source":null,"GlobalData As-of":"2026-07-31","Data Interpretation":"GlobalData snapshot only; validate current asset status","Company ID":"CMP-4cc2e78fcbf"}</t>
  </si>
  <si>
    <t>PR-ALL-CMP-e544a19f820</t>
  </si>
  <si>
    <t>CMP-e544a19f820</t>
  </si>
  <si>
    <t>Ashlins Pharmaceuticals Inc</t>
  </si>
  <si>
    <t>{"Tier":"LONG_TAIL","Company":"Ashlins Pharmaceuticals Inc","Company Type":"COMMERCIAL","GD Active Assets":1,"GD All Assets":1,"GD Phase II+":1,"Highest GD Stage":"Phase III","Research Area Tags":"ICH","Bridging Tags":null,"Public Source":null,"GlobalData As-of":"2026-07-31","Data Interpretation":"GlobalData snapshot only; validate current asset status","Company ID":"CMP-e544a19f820"}</t>
  </si>
  <si>
    <t>PR-ALL-CMP-34a3935b749</t>
  </si>
  <si>
    <t>CMP-34a3935b749</t>
  </si>
  <si>
    <t>Atticus Medical Pty Ltd</t>
  </si>
  <si>
    <t>{"Tier":"LONG_TAIL","Company":"Atticus Medical Pty Ltd","Company Type":"COMMERCIAL","GD Active Assets":1,"GD All Assets":1,"GD Phase II+":1,"Highest GD Stage":"Phase III","Research Area Tags":"NTD","Bridging Tags":null,"Public Source":null,"GlobalData As-of":"2026-07-31","Data Interpretation":"GlobalData snapshot only; validate current asset status","Company ID":"CMP-34a3935b749"}</t>
  </si>
  <si>
    <t>PR-ALL-CMP-ca7e7b4a9e6</t>
  </si>
  <si>
    <t>CMP-ca7e7b4a9e6</t>
  </si>
  <si>
    <t>BIONET Therapeutics Corp</t>
  </si>
  <si>
    <t>{"Tier":"LONG_TAIL","Company":"BIONET Therapeutics Corp","Company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ID":"CMP-ca7e7b4a9e6"}</t>
  </si>
  <si>
    <t>PR-ALL-CMP-ec010014c26</t>
  </si>
  <si>
    <t>CMP-ec010014c26</t>
  </si>
  <si>
    <t>Bausch Health Companies Inc</t>
  </si>
  <si>
    <t>{"Tier":"LONG_TAIL","Company":"Bausch Health Companies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ID":"CMP-ec010014c26"}</t>
  </si>
  <si>
    <t>PR-ALL-CMP-437eb2bc80f</t>
  </si>
  <si>
    <t>CMP-437eb2bc80f</t>
  </si>
  <si>
    <t>Beijing Tri-Prime Genetic Engineering Co Ltd</t>
  </si>
  <si>
    <t>{"Tier":"LONG_TAIL","Company":"Beijing Tri-Prime Genetic Engineering Co Ltd","Company Type":"COMMERCIAL","GD Active Assets":1,"GD All Assets":2,"GD Phase II+":1,"Highest GD Stage":"Phase II","Research Area Tags":"HEP","Bridging Tags":null,"Public Source":null,"GlobalData As-of":"2026-07-31","Data Interpretation":"GlobalData snapshot only; validate current asset status","Company ID":"CMP-437eb2bc80f"}</t>
  </si>
  <si>
    <t>PR-ALL-CMP-056c42a41ae</t>
  </si>
  <si>
    <t>CMP-056c42a41ae</t>
  </si>
  <si>
    <t>Berlin Cures Holding AG</t>
  </si>
  <si>
    <t>{"Tier":"LONG_TAIL","Company":"Berlin Cures Holding AG","Company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ID":"CMP-056c42a41ae"}</t>
  </si>
  <si>
    <t>PR-ALL-CMP-079a80a2761</t>
  </si>
  <si>
    <t>CMP-079a80a2761</t>
  </si>
  <si>
    <t>Betuvax</t>
  </si>
  <si>
    <t>{"Tier":"LONG_TAIL","Company":"Betuvax","Company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ID":"CMP-079a80a2761"}</t>
  </si>
  <si>
    <t>PR-ALL-CMP-7ee55930ca5</t>
  </si>
  <si>
    <t>CMP-7ee55930ca5</t>
  </si>
  <si>
    <t>BioVie Inc</t>
  </si>
  <si>
    <t>{"Tier":"LONG_TAIL","Company":"BioVie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ID":"CMP-7ee55930ca5"}</t>
  </si>
  <si>
    <t>PR-ALL-CMP-09939735c21</t>
  </si>
  <si>
    <t>CMP-09939735c21</t>
  </si>
  <si>
    <t>Biomed Industries Inc</t>
  </si>
  <si>
    <t>{"Tier":"LONG_TAIL","Company":"Biomed Industries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ID":"CMP-09939735c21"}</t>
  </si>
  <si>
    <t>PR-ALL-CMP-123fd6e1d6d</t>
  </si>
  <si>
    <t>CMP-123fd6e1d6d</t>
  </si>
  <si>
    <t>Bluejay Therapeutics Inc</t>
  </si>
  <si>
    <t>{"Tier":"LONG_TAIL","Company":"Bluejay Therapeutics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ID":"CMP-123fd6e1d6d"}</t>
  </si>
  <si>
    <t>PR-ALL-CMP-e89d79d5abd</t>
  </si>
  <si>
    <t>CMP-e89d79d5abd</t>
  </si>
  <si>
    <t>Bonus BioGroup Ltd</t>
  </si>
  <si>
    <t>{"Tier":"LONG_TAIL","Company":"Bonus BioGroup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ID":"CMP-e89d79d5abd"}</t>
  </si>
  <si>
    <t>PR-ALL-CMP-d0e95cc380a</t>
  </si>
  <si>
    <t>CMP-d0e95cc380a</t>
  </si>
  <si>
    <t>CAPRISA eThekwini Clinical Research Clinic</t>
  </si>
  <si>
    <t>{"Tier":"LONG_TAIL","Company":"CAPRISA eThekwini Clinical Research Clinic","Company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ID":"CMP-d0e95cc380a"}</t>
  </si>
  <si>
    <t>PR-ALL-CMP-d84ff0f3316</t>
  </si>
  <si>
    <t>CMP-d84ff0f3316</t>
  </si>
  <si>
    <t>CEBINA GmbH</t>
  </si>
  <si>
    <t>{"Tier":"LONG_TAIL","Company":"CEBINA GmbH","Company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ID":"CMP-d84ff0f3316"}</t>
  </si>
  <si>
    <t>PR-ALL-CMP-66ad4c84d65</t>
  </si>
  <si>
    <t>CMP-66ad4c84d65</t>
  </si>
  <si>
    <t>Cantex Pharmaceuticals Inc</t>
  </si>
  <si>
    <t>{"Tier":"LONG_TAIL","Company":"Cantex Pharmaceuticals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ID":"CMP-66ad4c84d65"}</t>
  </si>
  <si>
    <t>PR-ALL-CMP-4071e629888</t>
  </si>
  <si>
    <t>CMP-4071e629888</t>
  </si>
  <si>
    <t>Cell Energy Life Sciences Group Co Ltd</t>
  </si>
  <si>
    <t>{"Tier":"LONG_TAIL","Company":"Cell Energy Life Sciences Group Co Ltd","Company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ID":"CMP-4071e629888"}</t>
  </si>
  <si>
    <t>PR-ALL-CMP-b90bc43d7d3</t>
  </si>
  <si>
    <t>CMP-b90bc43d7d3</t>
  </si>
  <si>
    <t>Cell Gene Medicine Co</t>
  </si>
  <si>
    <t>{"Tier":"LONG_TAIL","Company":"Cell Gene Medicine Co","Company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ID":"CMP-b90bc43d7d3"}</t>
  </si>
  <si>
    <t>PR-ALL-CMP-cd42f9d4410</t>
  </si>
  <si>
    <t>CMP-cd42f9d4410</t>
  </si>
  <si>
    <t>Cellex Gesellschaft fur Zellgewinnung mbH</t>
  </si>
  <si>
    <t>{"Tier":"LONG_TAIL","Company":"Cellex Gesellschaft fur Zellgewinnung mbH","Company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ID":"CMP-cd42f9d4410"}</t>
  </si>
  <si>
    <t>PR-ALL-CMP-4f11b45b29e</t>
  </si>
  <si>
    <t>CMP-4f11b45b29e</t>
  </si>
  <si>
    <t>Champion Pharmaceutics Inc</t>
  </si>
  <si>
    <t>{"Tier":"LONG_TAIL","Company":"Champion Pharmaceutics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ID":"CMP-4f11b45b29e"}</t>
  </si>
  <si>
    <t>PR-ALL-CMP-35230ab2725</t>
  </si>
  <si>
    <t>CMP-35230ab2725</t>
  </si>
  <si>
    <t>Chengdu Baoling Biomedical Technology Co Ltd</t>
  </si>
  <si>
    <t>{"Tier":"LONG_TAIL","Company":"Chengdu Baoling Biomedical Technology Co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ID":"CMP-35230ab2725"}</t>
  </si>
  <si>
    <t>PR-ALL-CMP-c184c8325f3</t>
  </si>
  <si>
    <t>CMP-c184c8325f3</t>
  </si>
  <si>
    <t>Chinese Center for Disease Control and Prevention</t>
  </si>
  <si>
    <t>{"Tier":"LONG_TAIL","Company":"Chinese Center for Disease Control and Prevention","Company Type":"COMMERCIAL","GD Active Assets":1,"GD All Assets":1,"GD Phase II+":1,"Highest GD Stage":"Phase II","Research Area Tags":"HIV","Bridging Tags":"VAC","Public Source":null,"GlobalData As-of":"2026-07-31","Data Interpretation":"GlobalData snapshot only; validate current asset status","Company ID":"CMP-c184c8325f3"}</t>
  </si>
  <si>
    <t>PR-ALL-CMP-fe76f97e27b</t>
  </si>
  <si>
    <t>CMP-fe76f97e27b</t>
  </si>
  <si>
    <t>Chula VRC</t>
  </si>
  <si>
    <t>{"Tier":"LONG_TAIL","Company":"Chula VRC","Company Type":"COMMERCIAL","GD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ID":"CMP-fe76f97e27b"}</t>
  </si>
  <si>
    <t>PR-ALL-CMP-8d32dab1ec9</t>
  </si>
  <si>
    <t>CMP-8d32dab1ec9</t>
  </si>
  <si>
    <t>Creative Medical Technology Holdings Inc</t>
  </si>
  <si>
    <t>{"Tier":"LONG_TAIL","Company":"Creative Medical Technology Holdings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ID":"CMP-8d32dab1ec9"}</t>
  </si>
  <si>
    <t>PR-ALL-CMP-26e3dd1b668</t>
  </si>
  <si>
    <t>CMP-26e3dd1b668</t>
  </si>
  <si>
    <t>Curevo Inc</t>
  </si>
  <si>
    <t>{"Tier":"LONG_TAIL","Company":"Curevo Inc","Company Type":"COMMERCIAL","GD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ID":"CMP-26e3dd1b668"}</t>
  </si>
  <si>
    <t>PR-ALL-CMP-4af2dc241bb</t>
  </si>
  <si>
    <t>CMP-4af2dc241bb</t>
  </si>
  <si>
    <t>Cytodyn Inc</t>
  </si>
  <si>
    <t>{"Tier":"LONG_TAIL","Company":"Cytodyn Inc","Company Type":"COMMERCIAL","GD Active Assets":1,"GD All Assets":1,"GD Phase II+":1,"Highest GD Stage":"Phase III","Research Area Tags":"HIV","Bridging Tags":null,"Public Source":null,"GlobalData As-of":"2026-07-31","Data Interpretation":"GlobalData snapshot only; validate current asset status","Company ID":"CMP-4af2dc241bb"}</t>
  </si>
  <si>
    <t>PR-ALL-CMP-7cbf81216d4</t>
  </si>
  <si>
    <t>CMP-7cbf81216d4</t>
  </si>
  <si>
    <t>DalCor Pharmaceuticals Inc</t>
  </si>
  <si>
    <t>{"Tier":"LONG_TAIL","Company":"DalCor Pharmaceuticals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ID":"CMP-7cbf81216d4"}</t>
  </si>
  <si>
    <t>PR-ALL-CMP-757cf2ff51c</t>
  </si>
  <si>
    <t>CMP-757cf2ff51c</t>
  </si>
  <si>
    <t>Delta 4 GmbH</t>
  </si>
  <si>
    <t>{"Tier":"LONG_TAIL","Company":"Delta 4 GmbH","Company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ID":"CMP-757cf2ff51c"}</t>
  </si>
  <si>
    <t>PR-ALL-CMP-df99b5de58e</t>
  </si>
  <si>
    <t>CMP-df99b5de58e</t>
  </si>
  <si>
    <t>Diadexus Inc</t>
  </si>
  <si>
    <t>{"Tier":"LONG_TAIL","Company":"Diadexus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ID":"CMP-df99b5de58e"}</t>
  </si>
  <si>
    <t>PR-ALL-CMP-7858a381382</t>
  </si>
  <si>
    <t>CMP-7858a381382</t>
  </si>
  <si>
    <t>Dogwood Therapeutics Inc</t>
  </si>
  <si>
    <t>{"Tier":"LONG_TAIL","Company":"Dogwood Therapeutics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ID":"CMP-7858a381382"}</t>
  </si>
  <si>
    <t>PR-ALL-CMP-3ffb5b29ff0</t>
  </si>
  <si>
    <t>CMP-3ffb5b29ff0</t>
  </si>
  <si>
    <t>Dong-A Socio Holdings Co Ltd</t>
  </si>
  <si>
    <t>{"Tier":"LONG_TAIL","Company":"Dong-A Socio Holdings Co Ltd","Company Type":"COMMERCIAL","GD Active Assets":1,"GD All Assets":1,"GD Phase II+":1,"Highest GD Stage":"Pre-Registration","Research Area Tags":"HAI","Bridging Tags":null,"Public Source":null,"GlobalData As-of":"2026-07-31","Data Interpretation":"GlobalData snapshot only; validate current asset status","Company ID":"CMP-3ffb5b29ff0"}</t>
  </si>
  <si>
    <t>PR-ALL-CMP-edbf6e589de</t>
  </si>
  <si>
    <t>CMP-edbf6e589de</t>
  </si>
  <si>
    <t>Dongguan HEC TaiGen Biopharmaceuticals Co Ltd</t>
  </si>
  <si>
    <t>{"Tier":"LONG_TAIL","Company":"Dongguan HEC TaiGen Biopharmaceuticals Co Ltd","Company Type":"COMMERCIAL","GD Active Assets":1,"GD All Assets":1,"GD Phase II+":1,"Highest GD Stage":"Phase III","Research Area Tags":"HEP","Bridging Tags":null,"Public Source":null,"GlobalData As-of":"2026-07-31","Data Interpretation":"GlobalData snapshot only; validate current asset status","Company ID":"CMP-edbf6e589de"}</t>
  </si>
  <si>
    <t>PR-ALL-CMP-9163f704e09</t>
  </si>
  <si>
    <t>CMP-9163f704e09</t>
  </si>
  <si>
    <t>Drug Farm Inc</t>
  </si>
  <si>
    <t>{"Tier":"LONG_TAIL","Company":"Drug Farm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ID":"CMP-9163f704e09"}</t>
  </si>
  <si>
    <t>PR-ALL-CMP-531cce3a105</t>
  </si>
  <si>
    <t>CMP-531cce3a105</t>
  </si>
  <si>
    <t>ENA Respiratory Pty Ltd</t>
  </si>
  <si>
    <t>{"Tier":"LONG_TAIL","Company":"ENA Respiratory Pty Ltd","Company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ID":"CMP-531cce3a105"}</t>
  </si>
  <si>
    <t>PR-ALL-CMP-0e7b20c6389</t>
  </si>
  <si>
    <t>CMP-0e7b20c6389</t>
  </si>
  <si>
    <t>EmphyCorp Inc</t>
  </si>
  <si>
    <t>{"Tier":"LONG_TAIL","Company":"EmphyCorp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ID":"CMP-0e7b20c6389"}</t>
  </si>
  <si>
    <t>PR-ALL-CMP-0b2366df129</t>
  </si>
  <si>
    <t>CMP-0b2366df129</t>
  </si>
  <si>
    <t>Enalare Therapeutics Inc</t>
  </si>
  <si>
    <t>{"Tier":"LONG_TAIL","Company":"Enalare Therapeutics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ID":"CMP-0b2366df129"}</t>
  </si>
  <si>
    <t>PR-ALL-CMP-9040f6af729</t>
  </si>
  <si>
    <t>CMP-9040f6af729</t>
  </si>
  <si>
    <t>Eradivir Inc</t>
  </si>
  <si>
    <t>{"Tier":"LONG_TAIL","Company":"Eradivir Inc","Company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ID":"CMP-9040f6af729"}</t>
  </si>
  <si>
    <t>PR-ALL-CMP-40a2faa9589</t>
  </si>
  <si>
    <t>CMP-40a2faa9589</t>
  </si>
  <si>
    <t>Ever Supreme Bio Technology Co Ltd</t>
  </si>
  <si>
    <t>{"Tier":"LONG_TAIL","Company":"Ever Supreme Bio Technology Co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ID":"CMP-40a2faa9589"}</t>
  </si>
  <si>
    <t>PR-ALL-CMP-b0f5a65e4b1</t>
  </si>
  <si>
    <t>CMP-b0f5a65e4b1</t>
  </si>
  <si>
    <t>Excision BioTherapeutics Inc</t>
  </si>
  <si>
    <t>{"Tier":"LONG_TAIL","Company":"Excision BioTherapeutics Inc","Company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ID":"CMP-b0f5a65e4b1"}</t>
  </si>
  <si>
    <t>PR-ALL-CMP-ca1e492055b</t>
  </si>
  <si>
    <t>CMP-ca1e492055b</t>
  </si>
  <si>
    <t>F4 Pharma GmbH</t>
  </si>
  <si>
    <t>{"Tier":"LONG_TAIL","Company":"F4 Pharma GmbH","Company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ID":"CMP-ca1e492055b"}</t>
  </si>
  <si>
    <t>PR-ALL-CMP-6a87fcc6503</t>
  </si>
  <si>
    <t>CMP-6a87fcc6503</t>
  </si>
  <si>
    <t>Farmoquimica SA</t>
  </si>
  <si>
    <t>{"Tier":"LONG_TAIL","Company":"Farmoquimica SA","Company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ID":"CMP-6a87fcc6503"}</t>
  </si>
  <si>
    <t>PR-ALL-CMP-5e29d34943a</t>
  </si>
  <si>
    <t>CMP-5e29d34943a</t>
  </si>
  <si>
    <t>Finlay Vaccine Institute</t>
  </si>
  <si>
    <t>{"Tier":"LONG_TAIL","Company":"Finlay Vaccine Institute","Company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ID":"CMP-5e29d34943a"}</t>
  </si>
  <si>
    <t>PR-ALL-CMP-7bb77813ff2</t>
  </si>
  <si>
    <t>CMP-7bb77813ff2</t>
  </si>
  <si>
    <t>Galactica Pharmaceuticals Inc</t>
  </si>
  <si>
    <t>{"Tier":"LONG_TAIL","Company":"Galactica Pharmaceuticals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ID":"CMP-7bb77813ff2"}</t>
  </si>
  <si>
    <t>PR-ALL-CMP-a76e51da0df</t>
  </si>
  <si>
    <t>CMP-a76e51da0df</t>
  </si>
  <si>
    <t>Genetic Immunity Inc</t>
  </si>
  <si>
    <t>{"Tier":"LONG_TAIL","Company":"Genetic Immunity Inc","Company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ID":"CMP-a76e51da0df"}</t>
  </si>
  <si>
    <t>PR-ALL-CMP-b995d39dc2b</t>
  </si>
  <si>
    <t>CMP-b995d39dc2b</t>
  </si>
  <si>
    <t>Genova Biotech Company Ltd</t>
  </si>
  <si>
    <t>{"Tier":"LONG_TAIL","Company":"Genova Biotech Company Ltd","Company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ID":"CMP-b995d39dc2b"}</t>
  </si>
  <si>
    <t>PR-ALL-CMP-2c115a02832</t>
  </si>
  <si>
    <t>CMP-2c115a02832</t>
  </si>
  <si>
    <t>Gentize Biopharmaceuticals (Nanjing) Co Ltd</t>
  </si>
  <si>
    <t>{"Tier":"LONG_TAIL","Company":"Gentize Biopharmaceuticals (Nanjing) Co Ltd","Company Type":"COMMERCIAL","GD Active Assets":1,"GD All Assets":1,"GD Phase II+":1,"Highest GD Stage":"Phase II","Research Area Tags":"ICH","Bridging Tags":"VAC","Public Source":null,"GlobalData As-of":"2026-07-31","Data Interpretation":"GlobalData snapshot only; validate current asset status","Company ID":"CMP-2c115a02832"}</t>
  </si>
  <si>
    <t>PR-ALL-CMP-70415af8080</t>
  </si>
  <si>
    <t>CMP-70415af8080</t>
  </si>
  <si>
    <t>Geropharm</t>
  </si>
  <si>
    <t>{"Tier":"LONG_TAIL","Company":"Geropharm","Company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ID":"CMP-70415af8080"}</t>
  </si>
  <si>
    <t>PR-ALL-CMP-0d27c1be2e1</t>
  </si>
  <si>
    <t>CMP-0d27c1be2e1</t>
  </si>
  <si>
    <t>Green Cross Holdings Corp</t>
  </si>
  <si>
    <t>{"Tier":"LONG_TAIL","Company":"Green Cross Holdings Corp","Company Type":"COMMERCIAL","GD Active Assets":1,"GD All Assets":1,"GD Phase II+":1,"Highest GD Stage":"Phase II","Research Area Tags":"ABX","Bridging Tags":"VAC","Public Source":null,"GlobalData As-of":"2026-07-31","Data Interpretation":"GlobalData snapshot only; validate current asset status","Company ID":"CMP-0d27c1be2e1"}</t>
  </si>
  <si>
    <t>PR-ALL-CMP-512f87767d1</t>
  </si>
  <si>
    <t>CMP-512f87767d1</t>
  </si>
  <si>
    <t>HEC Pharma Co Ltd</t>
  </si>
  <si>
    <t>{"Tier":"LONG_TAIL","Company":"HEC Pharma Co Ltd","Company Type":"COMMERCIAL","GD Active Assets":1,"GD All Assets":1,"GD Phase II+":1,"Highest GD Stage":"Phase III","Research Area Tags":"HEP","Bridging Tags":null,"Public Source":null,"GlobalData As-of":"2026-07-31","Data Interpretation":"GlobalData snapshot only; validate current asset status","Company ID":"CMP-512f87767d1"}</t>
  </si>
  <si>
    <t>PR-ALL-CMP-d4e25128f80</t>
  </si>
  <si>
    <t>CMP-d4e25128f80</t>
  </si>
  <si>
    <t>Hangzhou Sciwind Biosciences Co Ltd</t>
  </si>
  <si>
    <t>{"Tier":"LONG_TAIL","Company":"Hangzhou Sciwind Biosciences Co Ltd","Company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ID":"CMP-d4e25128f80"}</t>
  </si>
  <si>
    <t>PR-ALL-CMP-9a6eeb01574</t>
  </si>
  <si>
    <t>CMP-9a6eeb01574</t>
  </si>
  <si>
    <t>Hangzhou Zenshine Pharmaceuticals Co Ltd</t>
  </si>
  <si>
    <t>{"Tier":"LONG_TAIL","Company":"Hangzhou Zenshine Pharmaceuticals Co Ltd","Company Type":"COMMERCIAL","GD Active Assets":1,"GD All Assets":1,"GD Phase II+":1,"Highest GD Stage":"Phase III","Research Area Tags":"MUC","Bridging Tags":null,"Public Source":null,"GlobalData As-of":"2026-07-31","Data Interpretation":"GlobalData snapshot only; validate current asset status","Company ID":"CMP-9a6eeb01574"}</t>
  </si>
  <si>
    <t>PR-ALL-CMP-69ba09d5d08</t>
  </si>
  <si>
    <t>CMP-69ba09d5d08</t>
  </si>
  <si>
    <t>Healios KK</t>
  </si>
  <si>
    <t>{"Tier":"LONG_TAIL","Company":"Healios KK","Company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ID":"CMP-69ba09d5d08"}</t>
  </si>
  <si>
    <t>PR-ALL-CMP-56b435d2fa2</t>
  </si>
  <si>
    <t>CMP-56b435d2fa2</t>
  </si>
  <si>
    <t>Helmholtz-Zentrum fur Umweltforschung GmbH</t>
  </si>
  <si>
    <t>{"Tier":"LONG_TAIL","Company":"Helmholtz-Zentrum fur Umweltforschung GmbH","Company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ID":"CMP-56b435d2fa2"}</t>
  </si>
  <si>
    <t>PR-ALL-CMP-6c46685eb2d</t>
  </si>
  <si>
    <t>CMP-6c46685eb2d</t>
  </si>
  <si>
    <t>Hetero Drugs Ltd</t>
  </si>
  <si>
    <t>{"Tier":"LONG_TAIL","Company":"Hetero Drugs Ltd","Company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ID":"CMP-6c46685eb2d"}</t>
  </si>
  <si>
    <t>PR-ALL-CMP-5cd6df22366</t>
  </si>
  <si>
    <t>CMP-5cd6df22366</t>
  </si>
  <si>
    <t>Hubei Langtian Pharmaceutical Co Ltd</t>
  </si>
  <si>
    <t>{"Tier":"LONG_TAIL","Company":"Hubei Langtian Pharmaceutical Co Ltd","Company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ID":"CMP-5cd6df22366"}</t>
  </si>
  <si>
    <t>PR-ALL-CMP-5c71cf3f418</t>
  </si>
  <si>
    <t>CMP-5c71cf3f418</t>
  </si>
  <si>
    <t>Humanetics Corp</t>
  </si>
  <si>
    <t>{"Tier":"LONG_TAIL","Company":"Humanetics Corp","Company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ID":"CMP-5c71cf3f418"}</t>
  </si>
  <si>
    <t>PR-ALL-CMP-76f66c92efd</t>
  </si>
  <si>
    <t>CMP-76f66c92efd</t>
  </si>
  <si>
    <t>Hybio Pharmaceutical Co Ltd</t>
  </si>
  <si>
    <t>{"Tier":"LONG_TAIL","Company":"Hybio Pharmaceutical Co Ltd","Company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ID":"CMP-76f66c92efd"}</t>
  </si>
  <si>
    <t>PR-ALL-CMP-dcd9f71d517</t>
  </si>
  <si>
    <t>CMP-dcd9f71d517</t>
  </si>
  <si>
    <t>ISA Pharmaceuticals BV</t>
  </si>
  <si>
    <t>{"Tier":"LONG_TAIL","Company":"ISA Pharmaceuticals BV","Company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ID":"CMP-dcd9f71d517"}</t>
  </si>
  <si>
    <t>PR-ALL-CMP-5a359af5ac6</t>
  </si>
  <si>
    <t>CMP-5a359af5ac6</t>
  </si>
  <si>
    <t>Immunocore Holdings Plc</t>
  </si>
  <si>
    <t>{"Tier":"LONG_TAIL","Company":"Immunocore Holdings Plc","Company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ID":"CMP-5a359af5ac6"}</t>
  </si>
  <si>
    <t>PR-ALL-CMP-f00cdc9e9e6</t>
  </si>
  <si>
    <t>CMP-f00cdc9e9e6</t>
  </si>
  <si>
    <t>Inflammx Therapeutics Inc</t>
  </si>
  <si>
    <t>{"Tier":"LONG_TAIL","Company":"Inflammx Therapeutics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ID":"CMP-f00cdc9e9e6"}</t>
  </si>
  <si>
    <t>PR-ALL-CMP-26d8bf994ad</t>
  </si>
  <si>
    <t>CMP-26d8bf994ad</t>
  </si>
  <si>
    <t>Inhalon Biopharma Inc</t>
  </si>
  <si>
    <t>{"Tier":"LONG_TAIL","Company":"Inhalon Biopharma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ID":"CMP-26d8bf994ad"}</t>
  </si>
  <si>
    <t>PR-ALL-CMP-53c16447208</t>
  </si>
  <si>
    <t>CMP-53c16447208</t>
  </si>
  <si>
    <t>Instituto de investigacion sanitaria Marques de Valdecilla</t>
  </si>
  <si>
    <t>{"Tier":"LONG_TAIL","Company":"Instituto de investigacion sanitaria Marques de Valdecilla","Company Type":"COMMERCIAL","GD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ID":"CMP-53c16447208"}</t>
  </si>
  <si>
    <t>PR-ALL-CMP-6e15b5673af</t>
  </si>
  <si>
    <t>CMP-6e15b5673af</t>
  </si>
  <si>
    <t>Jazz Pharmaceuticals Plc</t>
  </si>
  <si>
    <t>{"Tier":"LONG_TAIL","Company":"Jazz Pharmaceuticals Plc","Company Type":"COMMERCIAL","GD Active Assets":1,"GD All Assets":2,"GD Phase II+":1,"Highest GD Stage":"Phase II","Research Area Tags":"EMG","Bridging Tags":null,"Public Source":null,"GlobalData As-of":"2026-07-31","Data Interpretation":"GlobalData snapshot only; validate current asset status","Company ID":"CMP-6e15b5673af"}</t>
  </si>
  <si>
    <t>PR-ALL-CMP-2526c2729a2</t>
  </si>
  <si>
    <t>CMP-2526c2729a2</t>
  </si>
  <si>
    <t>Jiangsu Jindike Biotechnology Co Ltd</t>
  </si>
  <si>
    <t>{"Tier":"LONG_TAIL","Company":"Jiangsu Jindike Biotechnology Co Ltd","Company Type":"COMMERCIAL","GD Active Assets":1,"GD All Assets":1,"GD Phase II+":1,"Highest GD Stage":"Phase III","Research Area Tags":"MUC","Bridging Tags":"VAC","Public Source":null,"GlobalData As-of":"2026-07-31","Data Interpretation":"GlobalData snapshot only; validate current asset status","Company ID":"CMP-2526c2729a2"}</t>
  </si>
  <si>
    <t>PR-ALL-CMP-196f1c1dacb</t>
  </si>
  <si>
    <t>CMP-196f1c1dacb</t>
  </si>
  <si>
    <t>Jiangsu Kangrun Biological Technology Co Ltd</t>
  </si>
  <si>
    <t>{"Tier":"LONG_TAIL","Company":"Jiangsu Kangrun Biological Technology Co Ltd","Company Type":"COMMERCIAL","GD Active Assets":1,"GD All Assets":1,"GD Phase II+":1,"Highest GD Stage":"Phase III","Research Area Tags":"MUC","Bridging Tags":"VAC","Public Source":null,"GlobalData As-of":"2026-07-31","Data Interpretation":"GlobalData snapshot only; validate current asset status","Company ID":"CMP-196f1c1dacb"}</t>
  </si>
  <si>
    <t>PR-ALL-CMP-4ee40a0b634</t>
  </si>
  <si>
    <t>CMP-4ee40a0b634</t>
  </si>
  <si>
    <t>Karveer Meditech Pvt Ltd</t>
  </si>
  <si>
    <t>{"Tier":"LONG_TAIL","Company":"Karveer Meditech Pvt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ID":"CMP-4ee40a0b634"}</t>
  </si>
  <si>
    <t>PR-ALL-CMP-83c2f013862</t>
  </si>
  <si>
    <t>CMP-83c2f013862</t>
  </si>
  <si>
    <t>Khondrion BV</t>
  </si>
  <si>
    <t>{"Tier":"LONG_TAIL","Company":"Khondrion BV","Company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ID":"CMP-83c2f013862"}</t>
  </si>
  <si>
    <t>PR-ALL-CMP-ce75a7ee137</t>
  </si>
  <si>
    <t>CMP-ce75a7ee137</t>
  </si>
  <si>
    <t>La Jolla Pharmaceutical Company</t>
  </si>
  <si>
    <t>{"Tier":"LONG_TAIL","Company":"La Jolla Pharmaceutical Company","Company Type":"COMMERCIAL","GD Active Assets":1,"GD All Assets":1,"GD Phase II+":1,"Highest GD Stage":"Pre-Registration","Research Area Tags":"HAI","Bridging Tags":null,"Public Source":null,"GlobalData As-of":"2026-07-31","Data Interpretation":"GlobalData snapshot only; validate current asset status","Company ID":"CMP-ce75a7ee137"}</t>
  </si>
  <si>
    <t>PR-ALL-CMP-51465187c38</t>
  </si>
  <si>
    <t>CMP-51465187c38</t>
  </si>
  <si>
    <t>Laboratorio Avi-Mex SA de CV</t>
  </si>
  <si>
    <t>{"Tier":"LONG_TAIL","Company":"Laboratorio Avi-Mex SA de CV","Company Type":"COMMERCIAL","GD Active Assets":1,"GD All Assets":1,"GD Phase II+":1,"Highest GD Stage":"Phase III","Research Area Tags":"EMG","Bridging Tags":"VAC","Public Source":null,"GlobalData As-of":"2026-07-31","Data Interpretation":"GlobalData snapshot only; validate current asset status","Company ID":"CMP-51465187c38"}</t>
  </si>
  <si>
    <t>PR-ALL-CMP-be770708901</t>
  </si>
  <si>
    <t>CMP-be770708901</t>
  </si>
  <si>
    <t>Laurent Pharmaceuticals Inc</t>
  </si>
  <si>
    <t>{"Tier":"LONG_TAIL","Company":"Laurent Pharmaceuticals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ID":"CMP-be770708901"}</t>
  </si>
  <si>
    <t>PR-ALL-CMP-31b135848de</t>
  </si>
  <si>
    <t>CMP-31b135848de</t>
  </si>
  <si>
    <t>Laxai Life Sciences Pvt Ltd</t>
  </si>
  <si>
    <t>{"Tier":"LONG_TAIL","Company":"Laxai Life Sciences Pvt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ID":"CMP-31b135848de"}</t>
  </si>
  <si>
    <t>PR-ALL-CMP-2ff532141bd</t>
  </si>
  <si>
    <t>CMP-2ff532141bd</t>
  </si>
  <si>
    <t>Lentigen Technology Inc</t>
  </si>
  <si>
    <t>{"Tier":"LONG_TAIL","Company":"Lentigen Technology Inc","Company Type":"COMMERCIAL","GD Active Assets":1,"GD All Assets":1,"GD Phase II+":1,"Highest GD Stage":"Phase II","Research Area Tags":"HIV","Bridging Tags":"CGT","Public Source":null,"GlobalData As-of":"2026-07-31","Data Interpretation":"GlobalData snapshot only; validate current asset status","Company ID":"CMP-2ff532141bd"}</t>
  </si>
  <si>
    <t>PR-ALL-CMP-26e8040d9bf</t>
  </si>
  <si>
    <t>CMP-26e8040d9bf</t>
  </si>
  <si>
    <t>Life Sciences Institute</t>
  </si>
  <si>
    <t>{"Tier":"LONG_TAIL","Company":"Life Sciences Institute","Company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ID":"CMP-26e8040d9bf"}</t>
  </si>
  <si>
    <t>PR-ALL-CMP-37185e9de66</t>
  </si>
  <si>
    <t>CMP-37185e9de66</t>
  </si>
  <si>
    <t>LiteVax BV</t>
  </si>
  <si>
    <t>{"Tier":"LONG_TAIL","Company":"LiteVax BV","Company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ID":"CMP-37185e9de66"}</t>
  </si>
  <si>
    <t>PR-ALL-CMP-e3539deb44b</t>
  </si>
  <si>
    <t>CMP-e3539deb44b</t>
  </si>
  <si>
    <t>Longwood Biopharmaceuticals Co Ltd</t>
  </si>
  <si>
    <t>{"Tier":"LONG_TAIL","Company":"Longwood Biopharmaceuticals Co Ltd","Company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ID":"CMP-e3539deb44b"}</t>
  </si>
  <si>
    <t>PR-ALL-CMP-4e92c702eb2</t>
  </si>
  <si>
    <t>CMP-4e92c702eb2</t>
  </si>
  <si>
    <t>LovalTech</t>
  </si>
  <si>
    <t>{"Tier":"LONG_TAIL","Company":"LovalTech","Company Type":"COMMERCIAL","GD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ID":"CMP-4e92c702eb2"}</t>
  </si>
  <si>
    <t>PR-ALL-CMP-6a5bd5f47fa</t>
  </si>
  <si>
    <t>CMP-6a5bd5f47fa</t>
  </si>
  <si>
    <t>MOA Life Plus Co Ltd</t>
  </si>
  <si>
    <t>{"Tier":"LONG_TAIL","Company":"MOA Life Plus Co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ID":"CMP-6a5bd5f47fa"}</t>
  </si>
  <si>
    <t>PR-ALL-CMP-7b017f95efe</t>
  </si>
  <si>
    <t>CMP-7b017f95efe</t>
  </si>
  <si>
    <t>Mabxience Holding SL</t>
  </si>
  <si>
    <t>{"Tier":"LONG_TAIL","Company":"Mabxience Holding SL","Company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ID":"CMP-7b017f95efe"}</t>
  </si>
  <si>
    <t>PR-ALL-CMP-decf83513c1</t>
  </si>
  <si>
    <t>CMP-decf83513c1</t>
  </si>
  <si>
    <t>Memo Therapeutics AG</t>
  </si>
  <si>
    <t>{"Tier":"LONG_TAIL","Company":"Memo Therapeutics AG","Company Type":"COMMERCIAL","GD Active Assets":1,"GD All Assets":1,"GD Phase II+":1,"Highest GD Stage":"Phase III","Research Area Tags":"ICH","Bridging Tags":null,"Public Source":null,"GlobalData As-of":"2026-07-31","Data Interpretation":"GlobalData snapshot only; validate current asset status","Company ID":"CMP-decf83513c1"}</t>
  </si>
  <si>
    <t>PR-ALL-CMP-f957a46fbf2</t>
  </si>
  <si>
    <t>CMP-f957a46fbf2</t>
  </si>
  <si>
    <t>Metro International Biotech LLC</t>
  </si>
  <si>
    <t>{"Tier":"LONG_TAIL","Company":"Metro International Biotech LLC","Company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ID":"CMP-f957a46fbf2"}</t>
  </si>
  <si>
    <t>PR-ALL-CMP-fb4a1753429</t>
  </si>
  <si>
    <t>CMP-fb4a1753429</t>
  </si>
  <si>
    <t>Mudanjiang Youbo Pharmaceutical Co Ltd</t>
  </si>
  <si>
    <t>{"Tier":"LONG_TAIL","Company":"Mudanjiang Youbo Pharmaceutical Co Ltd","Company Type":"COMMERCIAL","GD Active Assets":1,"GD All Assets":1,"GD Phase II+":1,"Highest GD Stage":"Phase II","Research Area Tags":"HAI","Bridging Tags":null,"Public Source":null,"GlobalData As-of":"2026-07-31","Data Interpretation":"GlobalData snapshot only; validate current asset status","Company ID":"CMP-fb4a1753429"}</t>
  </si>
  <si>
    <t>PR-ALL-CMP-33ffcddc25f</t>
  </si>
  <si>
    <t>CMP-33ffcddc25f</t>
  </si>
  <si>
    <t>Mycovia Pharmaceuticals Inc</t>
  </si>
  <si>
    <t>{"Tier":"LONG_TAIL","Company":"Mycovia Pharmaceuticals Inc","Company Type":"COMMERCIAL","GD Active Assets":1,"GD All Assets":1,"GD Phase II+":1,"Highest GD Stage":"Phase III","Research Area Tags":"ICH","Bridging Tags":null,"Public Source":null,"GlobalData As-of":"2026-07-31","Data Interpretation":"GlobalData snapshot only; validate current asset status","Company ID":"CMP-33ffcddc25f"}</t>
  </si>
  <si>
    <t>PR-ALL-CMP-7ab103d78e0</t>
  </si>
  <si>
    <t>CMP-7ab103d78e0</t>
  </si>
  <si>
    <t>NacuGen Therapeutics Inc</t>
  </si>
  <si>
    <t>{"Tier":"LONG_TAIL","Company":"NacuGen Therapeutics Inc","Company Type":"COMMERCIAL","GD Active Assets":1,"GD All Assets":1,"GD Phase II+":1,"Highest GD Stage":"Pre-Registration","Research Area Tags":"HAI","Bridging Tags":null,"Public Source":null,"GlobalData As-of":"2026-07-31","Data Interpretation":"GlobalData snapshot only; validate current asset status","Company ID":"CMP-7ab103d78e0"}</t>
  </si>
  <si>
    <t>PR-ALL-CMP-ae36eb541b4</t>
  </si>
  <si>
    <t>CMP-ae36eb541b4</t>
  </si>
  <si>
    <t>Nano24 Ltd</t>
  </si>
  <si>
    <t>{"Tier":"LONG_TAIL","Company":"Nano24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ID":"CMP-ae36eb541b4"}</t>
  </si>
  <si>
    <t>PR-ALL-CMP-9d29c571d13</t>
  </si>
  <si>
    <t>CMP-9d29c571d13</t>
  </si>
  <si>
    <t>NanoRibo (Shanghai) Biotechnology Co Ltd</t>
  </si>
  <si>
    <t>{"Tier":"LONG_TAIL","Company":"NanoRibo (Shanghai) Biotechnology Co Ltd","Company Type":"COMMERCIAL","GD Active Assets":1,"GD All Assets":1,"GD Phase II+":1,"Highest GD Stage":"Phase II","Research Area Tags":"MUC","Bridging Tags":"VAC","Public Source":null,"GlobalData As-of":"2026-07-31","Data Interpretation":"GlobalData snapshot only; validate current asset status","Company ID":"CMP-9d29c571d13"}</t>
  </si>
  <si>
    <t>PR-ALL-CMP-7629d2feaf5</t>
  </si>
  <si>
    <t>CMP-7629d2feaf5</t>
  </si>
  <si>
    <t>Nippon Shinyaku Co Ltd</t>
  </si>
  <si>
    <t>{"Tier":"LONG_TAIL","Company":"Nippon Shinyaku Co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ID":"CMP-7629d2feaf5"}</t>
  </si>
  <si>
    <t>PR-ALL-CMP-cd25d3c69c0</t>
  </si>
  <si>
    <t>CMP-cd25d3c69c0</t>
  </si>
  <si>
    <t>Norgine Ltd</t>
  </si>
  <si>
    <t>{"Tier":"LONG_TAIL","Company":"Norgine Ltd","Company Type":"COMMERCIAL","GD Active Assets":1,"GD All Assets":1,"GD Phase II+":1,"Highest GD Stage":"Phase III","Research Area Tags":"HEP","Bridging Tags":null,"Public Source":null,"GlobalData As-of":"2026-07-31","Data Interpretation":"GlobalData snapshot only; validate current asset status","Company ID":"CMP-cd25d3c69c0"}</t>
  </si>
  <si>
    <t>PR-ALL-CMP-9ff2b63cdd6</t>
  </si>
  <si>
    <t>CMP-9ff2b63cdd6</t>
  </si>
  <si>
    <t>Notable Labs Ltd</t>
  </si>
  <si>
    <t>{"Tier":"LONG_TAIL","Company":"Notable Labs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ID":"CMP-9ff2b63cdd6"}</t>
  </si>
  <si>
    <t>PR-ALL-CMP-65b80d06a52</t>
  </si>
  <si>
    <t>CMP-65b80d06a52</t>
  </si>
  <si>
    <t>Okogen Inc</t>
  </si>
  <si>
    <t>{"Tier":"LONG_TAIL","Company":"Okogen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ID":"CMP-65b80d06a52"}</t>
  </si>
  <si>
    <t>PR-ALL-CMP-275d797a1dc</t>
  </si>
  <si>
    <t>CMP-275d797a1dc</t>
  </si>
  <si>
    <t>Omeros Corp</t>
  </si>
  <si>
    <t>{"Tier":"LONG_TAIL","Company":"Omeros Corp","Company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ID":"CMP-275d797a1dc"}</t>
  </si>
  <si>
    <t>PR-ALL-CMP-8bf03acfb88</t>
  </si>
  <si>
    <t>CMP-8bf03acfb88</t>
  </si>
  <si>
    <t>Oncovir Inc</t>
  </si>
  <si>
    <t>{"Tier":"LONG_TAIL","Company":"Oncovir Inc","Company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ID":"CMP-8bf03acfb88"}</t>
  </si>
  <si>
    <t>PR-ALL-CMP-1de1cf6f974</t>
  </si>
  <si>
    <t>CMP-1de1cf6f974</t>
  </si>
  <si>
    <t>Oneness Biotech Co Ltd</t>
  </si>
  <si>
    <t>{"Tier":"LONG_TAIL","Company":"Oneness Biotech Co Ltd","Company Type":"COMMERCIAL","GD Active Assets":1,"GD All Assets":2,"GD Phase II+":1,"Highest GD Stage":"Phase II","Research Area Tags":"EMG","Bridging Tags":null,"Public Source":null,"GlobalData As-of":"2026-07-31","Data Interpretation":"GlobalData snapshot only; validate current asset status","Company ID":"CMP-1de1cf6f974"}</t>
  </si>
  <si>
    <t>PR-ALL-CMP-fd7371cb16b</t>
  </si>
  <si>
    <t>CMP-fd7371cb16b</t>
  </si>
  <si>
    <t>Orbsen Therapeutics Ltd</t>
  </si>
  <si>
    <t>{"Tier":"LONG_TAIL","Company":"Orbsen Therapeutics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ID":"CMP-fd7371cb16b"}</t>
  </si>
  <si>
    <t>PR-ALL-CMP-05352a75fb5</t>
  </si>
  <si>
    <t>CMP-05352a75fb5</t>
  </si>
  <si>
    <t>Oxfendazole Development Group</t>
  </si>
  <si>
    <t>{"Tier":"LONG_TAIL","Company":"Oxfendazole Development Group","Company Type":"COMMERCIAL","GD Active Assets":1,"GD All Assets":1,"GD Phase II+":1,"Highest GD Stage":"Phase II","Research Area Tags":"NTD","Bridging Tags":null,"Public Source":null,"GlobalData As-of":"2026-07-31","Data Interpretation":"GlobalData snapshot only; validate current asset status","Company ID":"CMP-05352a75fb5"}</t>
  </si>
  <si>
    <t>PR-ALL-CMP-6593449831d</t>
  </si>
  <si>
    <t>CMP-6593449831d</t>
  </si>
  <si>
    <t>Palo Alto pharmaceuticals Inc</t>
  </si>
  <si>
    <t>{"Tier":"LONG_TAIL","Company":"Palo Alto pharmaceuticals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ID":"CMP-6593449831d"}</t>
  </si>
  <si>
    <t>PR-ALL-CMP-11c81071e2d</t>
  </si>
  <si>
    <t>CMP-11c81071e2d</t>
  </si>
  <si>
    <t>Pharma Mar SA</t>
  </si>
  <si>
    <t>{"Tier":"LONG_TAIL","Company":"Pharma Mar SA","Company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ID":"CMP-11c81071e2d"}</t>
  </si>
  <si>
    <t>PR-ALL-CMP-0b7c1213910</t>
  </si>
  <si>
    <t>CMP-0b7c1213910</t>
  </si>
  <si>
    <t>Pharmenterprises</t>
  </si>
  <si>
    <t>{"Tier":"LONG_TAIL","Company":"Pharmenterprises","Company Type":"COMMERCIAL","GD Active Assets":1,"GD All Assets":1,"GD Phase II+":1,"Highest GD Stage":"Phase III","Research Area Tags":"MUC","Bridging Tags":null,"Public Source":null,"GlobalData As-of":"2026-07-31","Data Interpretation":"GlobalData snapshot only; validate current asset status","Company ID":"CMP-0b7c1213910"}</t>
  </si>
  <si>
    <t>PR-ALL-CMP-c76e8fa656a</t>
  </si>
  <si>
    <t>CMP-c76e8fa656a</t>
  </si>
  <si>
    <t>Ping An Shionogi Co Ltd</t>
  </si>
  <si>
    <t>{"Tier":"LONG_TAIL","Company":"Ping An Shionogi Co Ltd","Company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ID":"CMP-c76e8fa656a"}</t>
  </si>
  <si>
    <t>PR-ALL-CMP-77539ecee8a</t>
  </si>
  <si>
    <t>CMP-77539ecee8a</t>
  </si>
  <si>
    <t>PolyPid Ltd</t>
  </si>
  <si>
    <t>{"Tier":"LONG_TAIL","Company":"PolyPid Ltd","Company Type":"COMMERCIAL","GD Active Assets":1,"GD All Assets":1,"GD Phase II+":1,"Highest GD Stage":"Pre-Registration","Research Area Tags":"HAI","Bridging Tags":null,"Public Source":null,"GlobalData As-of":"2026-07-31","Data Interpretation":"GlobalData snapshot only; validate current asset status","Company ID":"CMP-77539ecee8a"}</t>
  </si>
  <si>
    <t>PR-ALL-CMP-cb6708093dc</t>
  </si>
  <si>
    <t>Precision Biosciences Inc</t>
  </si>
  <si>
    <t>{"Tier":"LONG_TAIL","Company":"Precision Biosciences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ID":"CMP-cb6708093dc"}</t>
  </si>
  <si>
    <t>PR-ALL-CMP-c6c62284992</t>
  </si>
  <si>
    <t>CMP-c6c62284992</t>
  </si>
  <si>
    <t>Prime Vector Technologies GmbH</t>
  </si>
  <si>
    <t>{"Tier":"LONG_TAIL","Company":"Prime Vector Technologies GmbH","Company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ID":"CMP-c6c62284992"}</t>
  </si>
  <si>
    <t>PR-ALL-CMP-24930e4a7e4</t>
  </si>
  <si>
    <t>CMP-24930e4a7e4</t>
  </si>
  <si>
    <t>Pulmonem Inc</t>
  </si>
  <si>
    <t>{"Tier":"LONG_TAIL","Company":"Pulmonem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ID":"CMP-24930e4a7e4"}</t>
  </si>
  <si>
    <t>PR-ALL-CMP-0c339991340</t>
  </si>
  <si>
    <t>CMP-0c339991340</t>
  </si>
  <si>
    <t>Qingfeng Pharmaceutical Group Co Ltd</t>
  </si>
  <si>
    <t>{"Tier":"LONG_TAIL","Company":"Qingfeng Pharmaceutical Group Co Ltd","Company Type":"COMMERCIAL","GD Active Assets":1,"GD All Assets":1,"GD Phase II+":1,"Highest GD Stage":"Phase III","Research Area Tags":"MUC","Bridging Tags":null,"Public Source":null,"GlobalData As-of":"2026-07-31","Data Interpretation":"GlobalData snapshot only; validate current asset status","Company ID":"CMP-0c339991340"}</t>
  </si>
  <si>
    <t>PR-ALL-CMP-caad9340dc9</t>
  </si>
  <si>
    <t>CMP-caad9340dc9</t>
  </si>
  <si>
    <t>Qu Biologics Inc</t>
  </si>
  <si>
    <t>{"Tier":"LONG_TAIL","Company":"Qu Biologics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ID":"CMP-caad9340dc9"}</t>
  </si>
  <si>
    <t>PR-ALL-CMP-1e6c1d59aae</t>
  </si>
  <si>
    <t>CMP-1e6c1d59aae</t>
  </si>
  <si>
    <t>ROMEG Therapeutics LLC</t>
  </si>
  <si>
    <t>{"Tier":"LONG_TAIL","Company":"ROMEG Therapeutics LLC","Company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ID":"CMP-1e6c1d59aae"}</t>
  </si>
  <si>
    <t>PR-ALL-CMP-ab1f23410c1</t>
  </si>
  <si>
    <t>CMP-ab1f23410c1</t>
  </si>
  <si>
    <t>Recordati SpA</t>
  </si>
  <si>
    <t>{"Tier":"LONG_TAIL","Company":"Recordati SpA","Company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ID":"CMP-ab1f23410c1"}</t>
  </si>
  <si>
    <t>PR-ALL-CMP-765a70e519f</t>
  </si>
  <si>
    <t>CMP-765a70e519f</t>
  </si>
  <si>
    <t>Reliance Life Sciences Pvt Ltd</t>
  </si>
  <si>
    <t>{"Tier":"LONG_TAIL","Company":"Reliance Life Sciences Pvt Ltd","Company Type":"COMMERCIAL","GD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ID":"CMP-765a70e519f"}</t>
  </si>
  <si>
    <t>PR-ALL-CMP-74d08ae473a</t>
  </si>
  <si>
    <t>CMP-74d08ae473a</t>
  </si>
  <si>
    <t>Replicor Inc</t>
  </si>
  <si>
    <t>{"Tier":"LONG_TAIL","Company":"Replicor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ID":"CMP-74d08ae473a"}</t>
  </si>
  <si>
    <t>PR-ALL-CMP-6cedd096919</t>
  </si>
  <si>
    <t>CMP-6cedd096919</t>
  </si>
  <si>
    <t>Resolve Therapeutics LLC</t>
  </si>
  <si>
    <t>{"Tier":"LONG_TAIL","Company":"Resolve Therapeutics LLC","Company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ID":"CMP-6cedd096919"}</t>
  </si>
  <si>
    <t>PR-ALL-CMP-cc128910fd7</t>
  </si>
  <si>
    <t>CMP-cc128910fd7</t>
  </si>
  <si>
    <t>Resverlogix Corp</t>
  </si>
  <si>
    <t>{"Tier":"LONG_TAIL","Company":"Resverlogix Corp","Company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ID":"CMP-cc128910fd7"}</t>
  </si>
  <si>
    <t>PR-ALL-CMP-4a7425e5256</t>
  </si>
  <si>
    <t>CMP-4a7425e5256</t>
  </si>
  <si>
    <t>Ruiyang (Suzhou) Biotechnology Co Ltd</t>
  </si>
  <si>
    <t>{"Tier":"LONG_TAIL","Company":"Ruiyang (Suzhou) Biotechnology Co Ltd","Company Type":"COMMERCIAL","GD Active Assets":1,"GD All Assets":1,"GD Phase II+":1,"Highest GD Stage":"Phase III","Research Area Tags":"MUC","Bridging Tags":null,"Public Source":null,"GlobalData As-of":"2026-07-31","Data Interpretation":"GlobalData snapshot only; validate current asset status","Company ID":"CMP-4a7425e5256"}</t>
  </si>
  <si>
    <t>PR-ALL-CMP-9c9eec4b642</t>
  </si>
  <si>
    <t>CMP-9c9eec4b642</t>
  </si>
  <si>
    <t>Rus Biopharm</t>
  </si>
  <si>
    <t>{"Tier":"LONG_TAIL","Company":"Rus Biopharm","Company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ID":"CMP-9c9eec4b642"}</t>
  </si>
  <si>
    <t>PR-ALL-CMP-6d817998744</t>
  </si>
  <si>
    <t>CMP-6d817998744</t>
  </si>
  <si>
    <t>SAB BIO</t>
  </si>
  <si>
    <t>{"Tier":"LONG_TAIL","Company":"SAB BIO","Company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ID":"CMP-6d817998744"}</t>
  </si>
  <si>
    <t>PR-ALL-CMP-436729bd6cc</t>
  </si>
  <si>
    <t>CMP-436729bd6cc</t>
  </si>
  <si>
    <t>SCG Cell Therapy Pte Ltd</t>
  </si>
  <si>
    <t>{"Tier":"LONG_TAIL","Company":"SCG Cell Therapy Pte Ltd","Company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ID":"CMP-436729bd6cc"}</t>
  </si>
  <si>
    <t>PR-ALL-CMP-70e428b0e86</t>
  </si>
  <si>
    <t>CMP-70e428b0e86</t>
  </si>
  <si>
    <t>SIGA Technologies Inc</t>
  </si>
  <si>
    <t>{"Tier":"LONG_TAIL","Company":"SIGA Technologies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ID":"CMP-70e428b0e86"}</t>
  </si>
  <si>
    <t>PR-ALL-CMP-6491da22c08</t>
  </si>
  <si>
    <t>CMP-6491da22c08</t>
  </si>
  <si>
    <t>ST Pharm Co Ltd</t>
  </si>
  <si>
    <t>{"Tier":"LONG_TAIL","Company":"ST Pharm Co Ltd","Company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ID":"CMP-6491da22c08"}</t>
  </si>
  <si>
    <t>PR-ALL-CMP-020cd589f5d</t>
  </si>
  <si>
    <t>CMP-020cd589f5d</t>
  </si>
  <si>
    <t>Sen-Jam Pharmaceutical Inc</t>
  </si>
  <si>
    <t>{"Tier":"LONG_TAIL","Company":"Sen-Jam Pharmaceutical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ID":"CMP-020cd589f5d"}</t>
  </si>
  <si>
    <t>PR-ALL-CMP-8828f4aa7fd</t>
  </si>
  <si>
    <t>CMP-8828f4aa7fd</t>
  </si>
  <si>
    <t>Senai Cimatec</t>
  </si>
  <si>
    <t>{"Tier":"LONG_TAIL","Company":"Senai Cimatec","Company Type":"COMMERCIAL","GD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ID":"CMP-8828f4aa7fd"}</t>
  </si>
  <si>
    <t>PR-ALL-CMP-cf6eddc53c3</t>
  </si>
  <si>
    <t>CMP-cf6eddc53c3</t>
  </si>
  <si>
    <t>Shanghai Argo Pharmaceutical Co Ltd</t>
  </si>
  <si>
    <t>{"Tier":"LONG_TAIL","Company":"Shanghai Argo Pharmaceutical Co Ltd","Company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ID":"CMP-cf6eddc53c3"}</t>
  </si>
  <si>
    <t>PR-ALL-CMP-5f5bd0b96ea</t>
  </si>
  <si>
    <t>CMP-5f5bd0b96ea</t>
  </si>
  <si>
    <t>Shanghai HEP Pharmaceutical Co Ltd</t>
  </si>
  <si>
    <t>{"Tier":"LONG_TAIL","Company":"Shanghai HEP Pharmaceutical Co Ltd","Company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ID":"CMP-5f5bd0b96ea"}</t>
  </si>
  <si>
    <t>PR-ALL-CMP-3a01cd23e11</t>
  </si>
  <si>
    <t>CMP-3a01cd23e11</t>
  </si>
  <si>
    <t>Shanghai Shangyao Xinya Pharmaceutical Co Ltd</t>
  </si>
  <si>
    <t>{"Tier":"LONG_TAIL","Company":"Shanghai Shangyao Xinya Pharmaceutical Co Ltd","Company Type":"COMMERCIAL","GD Active Assets":1,"GD All Assets":1,"GD Phase II+":1,"Highest GD Stage":"Phase II","Research Area Tags":"ABX","Bridging Tags":null,"Public Source":null,"GlobalData As-of":"2026-07-31","Data Interpretation":"GlobalData snapshot only; validate current asset status","Company ID":"CMP-3a01cd23e11"}</t>
  </si>
  <si>
    <t>PR-ALL-CMP-d1988023ce5</t>
  </si>
  <si>
    <t>CMP-d1988023ce5</t>
  </si>
  <si>
    <t>Shifa Pharmed Industrial Group</t>
  </si>
  <si>
    <t>{"Tier":"LONG_TAIL","Company":"Shifa Pharmed Industrial Group","Company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ID":"CMP-d1988023ce5"}</t>
  </si>
  <si>
    <t>PR-ALL-CMP-42cb5f3027c</t>
  </si>
  <si>
    <t>CMP-42cb5f3027c</t>
  </si>
  <si>
    <t>Sichuan Huiyang Life Science and Technology Corp</t>
  </si>
  <si>
    <t>{"Tier":"LONG_TAIL","Company":"Sichuan Huiyang Life Science and Technology Corp","Company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ID":"CMP-42cb5f3027c"}</t>
  </si>
  <si>
    <t>PR-ALL-CMP-e709971b93b</t>
  </si>
  <si>
    <t>CMP-e709971b93b</t>
  </si>
  <si>
    <t>Simcere Pharmaceutical Group Ltd</t>
  </si>
  <si>
    <t>{"Tier":"LONG_TAIL","Company":"Simcere Pharmaceutical Group Ltd","Company Type":"COMMERCIAL","GD Active Assets":1,"GD All Assets":1,"GD Phase II+":1,"Highest GD Stage":"Phase III","Research Area Tags":"MUC","Bridging Tags":null,"Public Source":null,"GlobalData As-of":"2026-07-31","Data Interpretation":"GlobalData snapshot only; validate current asset status","Company ID":"CMP-e709971b93b"}</t>
  </si>
  <si>
    <t>PR-ALL-CMP-dcea1a720d0</t>
  </si>
  <si>
    <t>CMP-dcea1a720d0</t>
  </si>
  <si>
    <t>Sound Pharmaceuticals Inc</t>
  </si>
  <si>
    <t>{"Tier":"LONG_TAIL","Company":"Sound Pharmaceuticals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ID":"CMP-dcea1a720d0"}</t>
  </si>
  <si>
    <t>PR-ALL-CMP-ffc2589a6c4</t>
  </si>
  <si>
    <t>CMP-ffc2589a6c4</t>
  </si>
  <si>
    <t>StemCyte Inc</t>
  </si>
  <si>
    <t>{"Tier":"LONG_TAIL","Company":"StemCyte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ID":"CMP-ffc2589a6c4"}</t>
  </si>
  <si>
    <t>PR-ALL-CMP-cb03ccfe37e</t>
  </si>
  <si>
    <t>CMP-cb03ccfe37e</t>
  </si>
  <si>
    <t>Stemedica Cell Technologies Inc</t>
  </si>
  <si>
    <t>{"Tier":"LONG_TAIL","Company":"Stemedica Cell Technologies Inc","Company Type":"COMMERCIAL","GD Active Assets":1,"GD All Assets":2,"GD Phase II+":1,"Highest GD Stage":"Phase II","Research Area Tags":"EMG","Bridging Tags":null,"Public Source":null,"GlobalData As-of":"2026-07-31","Data Interpretation":"GlobalData snapshot only; validate current asset status","Company ID":"CMP-cb03ccfe37e"}</t>
  </si>
  <si>
    <t>PR-ALL-CMP-02968fc0afb</t>
  </si>
  <si>
    <t>CMP-02968fc0afb</t>
  </si>
  <si>
    <t>Suzhou Biomissile Biopharmaceutical Co Ltd</t>
  </si>
  <si>
    <t>{"Tier":"LONG_TAIL","Company":"Suzhou Biomissile Biopharmaceutical Co Ltd","Company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ID":"CMP-02968fc0afb"}</t>
  </si>
  <si>
    <t>PR-ALL-CMP-f2d15e06539</t>
  </si>
  <si>
    <t>CMP-f2d15e06539</t>
  </si>
  <si>
    <t>Suzhou Ribo Life Sciences Co Ltd</t>
  </si>
  <si>
    <t>{"Tier":"LONG_TAIL","Company":"Suzhou Ribo Life Sciences Co Ltd","Company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ID":"CMP-f2d15e06539"}</t>
  </si>
  <si>
    <t>PR-ALL-CMP-3bf9814166a</t>
  </si>
  <si>
    <t>CMP-3bf9814166a</t>
  </si>
  <si>
    <t>SymBio Pharmaceuticals Ltd</t>
  </si>
  <si>
    <t>{"Tier":"LONG_TAIL","Company":"SymBio Pharmaceuticals Ltd","Company Type":"COMMERCIAL","GD Active Assets":1,"GD All Assets":1,"GD Phase II+":1,"Highest GD Stage":"Phase III","Research Area Tags":"ICH","Bridging Tags":null,"Public Source":null,"GlobalData As-of":"2026-07-31","Data Interpretation":"GlobalData snapshot only; validate current asset status","Company ID":"CMP-3bf9814166a"}</t>
  </si>
  <si>
    <t>PR-ALL-CMP-b8262357ea0</t>
  </si>
  <si>
    <t>CMP-b8262357ea0</t>
  </si>
  <si>
    <t>Talphera Inc</t>
  </si>
  <si>
    <t>{"Tier":"LONG_TAIL","Company":"Talphera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ID":"CMP-b8262357ea0"}</t>
  </si>
  <si>
    <t>PR-ALL-CMP-4008006878e</t>
  </si>
  <si>
    <t>CMP-4008006878e</t>
  </si>
  <si>
    <t>Tarsus Pharmaceuticals Inc</t>
  </si>
  <si>
    <t>{"Tier":"LONG_TAIL","Company":"Tarsus Pharmaceuticals Inc","Company Type":"COMMERCIAL","GD Active Assets":1,"GD All Assets":1,"GD Phase II+":1,"Highest GD Stage":"Phase II","Research Area Tags":"NTD","Bridging Tags":null,"Public Source":null,"GlobalData As-of":"2026-07-31","Data Interpretation":"GlobalData snapshot only; validate current asset status","Company ID":"CMP-4008006878e"}</t>
  </si>
  <si>
    <t>PR-ALL-CMP-eeb7dddd722</t>
  </si>
  <si>
    <t>CMP-eeb7dddd722</t>
  </si>
  <si>
    <t>Tasly Pharmaceutical Group Co Ltd</t>
  </si>
  <si>
    <t>{"Tier":"LONG_TAIL","Company":"Tasly Pharmaceutical Group Co Ltd","Company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ID":"CMP-eeb7dddd722"}</t>
  </si>
  <si>
    <t>PR-ALL-CMP-2a325ead5fa</t>
  </si>
  <si>
    <t>CMP-2a325ead5fa</t>
  </si>
  <si>
    <t>The Scientific and Technological Research Council of Turkey</t>
  </si>
  <si>
    <t>{"Tier":"LONG_TAIL","Company":"The Scientific and Technological Research Council of Turkey","Company Type":"COMMERCIAL","GD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ID":"CMP-2a325ead5fa"}</t>
  </si>
  <si>
    <t>PR-ALL-CMP-0136cdc18ee</t>
  </si>
  <si>
    <t>CMP-0136cdc18ee</t>
  </si>
  <si>
    <t>TheraBioPharma Inc</t>
  </si>
  <si>
    <t>{"Tier":"LONG_TAIL","Company":"TheraBioPharma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ID":"CMP-0136cdc18ee"}</t>
  </si>
  <si>
    <t>PR-ALL-CMP-24ff376b09a</t>
  </si>
  <si>
    <t>CMP-24ff376b09a</t>
  </si>
  <si>
    <t>Tune Therapeutics Inc</t>
  </si>
  <si>
    <t>{"Tier":"LONG_TAIL","Company":"Tune Therapeutics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ID":"CMP-24ff376b09a"}</t>
  </si>
  <si>
    <t>PR-ALL-CMP-8849e9d095d</t>
  </si>
  <si>
    <t>CMP-8849e9d095d</t>
  </si>
  <si>
    <t>United Biomedical Inc</t>
  </si>
  <si>
    <t>{"Tier":"LONG_TAIL","Company":"United Biomedical Inc","Company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ID":"CMP-8849e9d095d"}</t>
  </si>
  <si>
    <t>PR-ALL-CMP-f5a905c9946</t>
  </si>
  <si>
    <t>CMP-f5a905c9946</t>
  </si>
  <si>
    <t>VINS Bioproducts Ltd</t>
  </si>
  <si>
    <t>{"Tier":"LONG_TAIL","Company":"VINS Bioproducts Ltd","Company Type":"COMMERCIAL","GD Active Assets":1,"GD All Assets":1,"GD Phase II+":1,"Highest GD Stage":"Phase II","Research Area Tags":"EMG","Bridging Tags":"MAB","Public Source":null,"GlobalData As-of":"2026-07-31","Data Interpretation":"GlobalData snapshot only; validate current asset status","Company ID":"CMP-f5a905c9946"}</t>
  </si>
  <si>
    <t>PR-ALL-CMP-e008303b643</t>
  </si>
  <si>
    <t>CMP-e008303b643</t>
  </si>
  <si>
    <t>Valenta Pharm</t>
  </si>
  <si>
    <t>{"Tier":"LONG_TAIL","Company":"Valenta Pharm","Company Type":"COMMERCIAL","GD Active Assets":1,"GD All Assets":1,"GD Phase II+":1,"Highest GD Stage":"Phase II","Research Area Tags":"MUC","Bridging Tags":null,"Public Source":null,"GlobalData As-of":"2026-07-31","Data Interpretation":"GlobalData snapshot only; validate current asset status","Company ID":"CMP-e008303b643"}</t>
  </si>
  <si>
    <t>PR-ALL-CMP-055b1260b8e</t>
  </si>
  <si>
    <t>CMP-055b1260b8e</t>
  </si>
  <si>
    <t>Vall d'Hebron Institute of Oncology (VHIO)</t>
  </si>
  <si>
    <t>{"Tier":"LONG_TAIL","Company":"Vall d'Hebron Institute of Oncology (VHIO)","Company Type":"COMMERCIAL","GD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ID":"CMP-055b1260b8e"}</t>
  </si>
  <si>
    <t>PR-ALL-CMP-3629f56a9d3</t>
  </si>
  <si>
    <t>CMP-3629f56a9d3</t>
  </si>
  <si>
    <t>Vaxine Pty Ltd</t>
  </si>
  <si>
    <t>{"Tier":"LONG_TAIL","Company":"Vaxine Pty Ltd","Company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ID":"CMP-3629f56a9d3"}</t>
  </si>
  <si>
    <t>PR-ALL-CMP-4c90b1198d9</t>
  </si>
  <si>
    <t>CMP-4c90b1198d9</t>
  </si>
  <si>
    <t>Vaxxinity Inc</t>
  </si>
  <si>
    <t>{"Tier":"LONG_TAIL","Company":"Vaxxinity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ID":"CMP-4c90b1198d9"}</t>
  </si>
  <si>
    <t>PR-ALL-CMP-b10c0a28042</t>
  </si>
  <si>
    <t>CMP-b10c0a28042</t>
  </si>
  <si>
    <t>Vera Therapeutics Inc</t>
  </si>
  <si>
    <t>{"Tier":"LONG_TAIL","Company":"Vera Therapeutics Inc","Company Type":"COMMERCIAL","GD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ID":"CMP-b10c0a28042"}</t>
  </si>
  <si>
    <t>PR-ALL-CMP-2dd63b67162</t>
  </si>
  <si>
    <t>CMP-2dd63b67162</t>
  </si>
  <si>
    <t>Viatris Inc</t>
  </si>
  <si>
    <t>{"Tier":"LONG_TAIL","Company":"Viatris Inc","Company Type":"COMMERCIAL","GD Active Assets":1,"GD All Assets":1,"GD Phase II+":1,"Highest GD Stage":"Phase III","Research Area Tags":"MUC","Bridging Tags":"VAC","Public Source":null,"GlobalData As-of":"2026-07-31","Data Interpretation":"GlobalData snapshot only; validate current asset status","Company ID":"CMP-2dd63b67162"}</t>
  </si>
  <si>
    <t>PR-ALL-CMP-6cdcf9e410d</t>
  </si>
  <si>
    <t>CMP-6cdcf9e410d</t>
  </si>
  <si>
    <t>Viracta Therapeutics Inc</t>
  </si>
  <si>
    <t>{"Tier":"LONG_TAIL","Company":"Viracta Therapeutics Inc","Company Type":"COMMERCIAL","GD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ID":"CMP-6cdcf9e410d"}</t>
  </si>
  <si>
    <t>PR-ALL-CMP-ff58855ad2e</t>
  </si>
  <si>
    <t>CMP-ff58855ad2e</t>
  </si>
  <si>
    <t>Vitti Labs LLC</t>
  </si>
  <si>
    <t>{"Tier":"LONG_TAIL","Company":"Vitti Labs LLC","Company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ID":"CMP-ff58855ad2e"}</t>
  </si>
  <si>
    <t>PR-ALL-CMP-ae7af1bbecb</t>
  </si>
  <si>
    <t>CMP-ae7af1bbecb</t>
  </si>
  <si>
    <t>WinSanTor Inc</t>
  </si>
  <si>
    <t>{"Tier":"LONG_TAIL","Company":"WinSanTor Inc","Company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ID":"CMP-ae7af1bbecb"}</t>
  </si>
  <si>
    <t>PR-ALL-CMP-326c5ccc9f2</t>
  </si>
  <si>
    <t>CMP-326c5ccc9f2</t>
  </si>
  <si>
    <t>Wistar Institute</t>
  </si>
  <si>
    <t>{"Tier":"LONG_TAIL","Company":"Wistar Institute","Company Type":"COMMERCIAL","GD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ID":"CMP-326c5ccc9f2"}</t>
  </si>
  <si>
    <t>PR-ALL-CMP-a1c1db7f907</t>
  </si>
  <si>
    <t>CMP-a1c1db7f907</t>
  </si>
  <si>
    <t>Wockhardt Ltd</t>
  </si>
  <si>
    <t>{"Tier":"LONG_TAIL","Company":"Wockhardt Ltd","Company Type":"COMMERCIAL","GD Active Assets":1,"GD All Assets":2,"GD Phase II+":1,"Highest GD Stage":"Phase III","Research Area Tags":"HAI","Bridging Tags":null,"Public Source":null,"GlobalData As-of":"2026-07-31","Data Interpretation":"GlobalData snapshot only; validate current asset status","Company ID":"CMP-a1c1db7f907"}</t>
  </si>
  <si>
    <t>PR-ALL-CMP-f1e7ce9a7e5</t>
  </si>
  <si>
    <t>CMP-f1e7ce9a7e5</t>
  </si>
  <si>
    <t>XORTX Therapeutics Inc</t>
  </si>
  <si>
    <t>{"Tier":"LONG_TAIL","Company":"XORTX Therapeutics Inc","Company Type":"COMMERCIAL","GD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ID":"CMP-f1e7ce9a7e5"}</t>
  </si>
  <si>
    <t>PR-ALL-CMP-6ea1d7e5fb4</t>
  </si>
  <si>
    <t>CMP-6ea1d7e5fb4</t>
  </si>
  <si>
    <t>Yantai Patronus Biotech Co Ltd</t>
  </si>
  <si>
    <t>{"Tier":"LONG_TAIL","Company":"Yantai Patronus Biotech Co Ltd","Company Type":"COMMERCIAL","GD Active Assets":1,"GD All Assets":1,"GD Phase II+":1,"Highest GD Stage":"Phase III","Research Area Tags":"EMG","Bridging Tags":"VAC","Public Source":null,"GlobalData As-of":"2026-07-31","Data Interpretation":"GlobalData snapshot only; validate current asset status","Company ID":"CMP-6ea1d7e5fb4"}</t>
  </si>
  <si>
    <t>PR-ALL-CMP-1f3b812b0c7</t>
  </si>
  <si>
    <t>CMP-1f3b812b0c7</t>
  </si>
  <si>
    <t>ZEO ScientifiX Inc</t>
  </si>
  <si>
    <t>{"Tier":"LONG_TAIL","Company":"ZEO ScientifiX Inc","Company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ID":"CMP-1f3b812b0c7"}</t>
  </si>
  <si>
    <t>PR-ALL-CMP-613e2b586ef</t>
  </si>
  <si>
    <t>CMP-613e2b586ef</t>
  </si>
  <si>
    <t>Zero Point Five Therapeutics Inc</t>
  </si>
  <si>
    <t>{"Tier":"LONG_TAIL","Company":"Zero Point Five Therapeutics Inc","Company Type":"COMMERCIAL","GD Active Assets":1,"GD All Assets":1,"GD Phase II+":1,"Highest GD Stage":"Phase III","Research Area Tags":"NTD","Bridging Tags":null,"Public Source":null,"GlobalData As-of":"2026-07-31","Data Interpretation":"GlobalData snapshot only; validate current asset status","Company ID":"CMP-613e2b586ef"}</t>
  </si>
  <si>
    <t>PR-ALL-CMP-2484d462835</t>
  </si>
  <si>
    <t>CMP-2484d462835</t>
  </si>
  <si>
    <t>hVIVO Plc</t>
  </si>
  <si>
    <t>{"Tier":"LONG_TAIL","Company":"hVIVO Plc","Company Type":"COMMERCIAL","GD Active Assets":1,"GD All Assets":1,"GD Phase II+":1,"Highest GD Stage":"Phase II","Research Area Tags":"MUC","Bridging Tags":"VAC","Public Source":null,"GlobalData As-of":"2026-07-31","Data Interpretation":"GlobalData snapshot only; validate current asset status","Company ID":"CMP-2484d462835"}</t>
  </si>
  <si>
    <t>PR-ALL-CMP-bb78210932c</t>
  </si>
  <si>
    <t>CMP-bb78210932c</t>
  </si>
  <si>
    <t>nChroma Bio Inc</t>
  </si>
  <si>
    <t>{"Tier":"LONG_TAIL","Company":"nChroma Bio Inc","Company Type":"COMMERCIAL","GD Active Assets":1,"GD All Assets":1,"GD Phase II+":1,"Highest GD Stage":"Phase II","Research Area Tags":"HEP","Bridging Tags":null,"Public Source":null,"GlobalData As-of":"2026-07-31","Data Interpretation":"GlobalData snapshot only; validate current asset status","Company ID":"CMP-bb78210932c"}</t>
  </si>
  <si>
    <t>PR-ALL-CMP-11c5eb508c5</t>
  </si>
  <si>
    <t>CMP-11c5eb508c5</t>
  </si>
  <si>
    <t>pharmaand GmbH</t>
  </si>
  <si>
    <t>{"Tier":"LONG_TAIL","Company":"pharmaand GmbH","Company Type":"COMMERCIAL","GD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ID":"CMP-11c5eb508c5"}</t>
  </si>
  <si>
    <t>PR-ALL-CMP-1cf3aa1c746</t>
  </si>
  <si>
    <t>CMP-1cf3aa1c746</t>
  </si>
  <si>
    <t>tiakis BIOTECH AG</t>
  </si>
  <si>
    <t>{"Tier":"LONG_TAIL","Company":"tiakis BIOTECH AG","Company Type":"COMMERCIAL","GD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ID":"CMP-1cf3aa1c746"}</t>
  </si>
  <si>
    <t>PR-ALL-CMP-a42816a7f1b</t>
  </si>
  <si>
    <t>CMP-a42816a7f1b</t>
  </si>
  <si>
    <t>Brigid Bio</t>
  </si>
  <si>
    <t>{"Tier":"LONG_TAIL","Company":"Brigid Bio","Company Type":"COMMERCIAL","GD Active Assets":0,"GD All Assets":0,"GD Phase II+":0,"Highest GD Stage":"-","Research Area Tags":"ICH","Bridging Tags":"MAB","Public Source":"https://beam-alliance.eu/members/","GlobalData As-of":"2026-07-31","Data Interpretation":"Public thematic source; not present in source GlobalData","Company ID":"CMP-a42816a7f1b"}</t>
  </si>
  <si>
    <t>PR-ALL-CMP-5a9f59e2196</t>
  </si>
  <si>
    <t>CMP-5a9f59e2196</t>
  </si>
  <si>
    <t>Corepharm Bio Co Ltd</t>
  </si>
  <si>
    <t>{"Tier":"LONG_TAIL","Company":"Corepharm Bio Co Ltd","Company Type":"COMMERCIAL","GD Active Assets":2,"GD All Assets":2,"GD Phase II+":0,"Highest GD Stage":"Phase I","Research Area Tags":null,"Bridging Tags":null,"Public Source":null,"GlobalData As-of":"2026-07-31","Data Interpretation":"GlobalData snapshot only; validate current asset status","Company ID":"CMP-5a9f59e2196"}</t>
  </si>
  <si>
    <t>PR-ALL-CMP-bb82bc384f2</t>
  </si>
  <si>
    <t>CMP-bb82bc384f2</t>
  </si>
  <si>
    <t>Revelation Biosciences Inc</t>
  </si>
  <si>
    <t>{"Tier":"LONG_TAIL","Company":"Revelation Biosciences Inc","Company Type":"COMMERCIAL","GD Active Assets":2,"GD All Assets":2,"GD Phase II+":0,"Highest GD Stage":"Phase I","Research Area Tags":null,"Bridging Tags":null,"Public Source":null,"GlobalData As-of":"2026-07-31","Data Interpretation":"GlobalData snapshot only; validate current asset status","Company ID":"CMP-bb82bc384f2"}</t>
  </si>
  <si>
    <t>PR-ALL-CMP-4ef21106858</t>
  </si>
  <si>
    <t>CMP-4ef21106858</t>
  </si>
  <si>
    <t>Suzhou Ruotai Pharmaceutical Technology Co Ltd</t>
  </si>
  <si>
    <t>{"Tier":"LONG_TAIL","Company":"Suzhou Ruotai Pharmaceutical Technology Co Ltd","Company Type":"COMMERCIAL","GD Active Assets":2,"GD All Assets":2,"GD Phase II+":0,"Highest GD Stage":"Phase I","Research Area Tags":null,"Bridging Tags":null,"Public Source":null,"GlobalData As-of":"2026-07-31","Data Interpretation":"GlobalData snapshot only; validate current asset status","Company ID":"CMP-4ef21106858"}</t>
  </si>
  <si>
    <t>PR-ALL-CMP-d4b0814c1ec</t>
  </si>
  <si>
    <t>CMP-d4b0814c1ec</t>
  </si>
  <si>
    <t>ACM Biolabs Pte Ltd</t>
  </si>
  <si>
    <t>{"Tier":"LONG_TAIL","Company":"ACM Biolabs Pte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ID":"CMP-d4b0814c1ec"}</t>
  </si>
  <si>
    <t>PR-ALL-CMP-452f616e490</t>
  </si>
  <si>
    <t>CMP-452f616e490</t>
  </si>
  <si>
    <t>AIM ImmunoTech Inc</t>
  </si>
  <si>
    <t>{"Tier":"LONG_TAIL","Company":"AIM ImmunoTech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ID":"CMP-452f616e490"}</t>
  </si>
  <si>
    <t>PR-ALL-CMP-a428465131a</t>
  </si>
  <si>
    <t>CMP-a428465131a</t>
  </si>
  <si>
    <t>APITBIO Co Ltd</t>
  </si>
  <si>
    <t>{"Tier":"LONG_TAIL","Company":"APITBIO Co Ltd","Company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ID":"CMP-a428465131a"}</t>
  </si>
  <si>
    <t>PR-ALL-CMP-4fbb2b63f95</t>
  </si>
  <si>
    <t>CMP-4fbb2b63f95</t>
  </si>
  <si>
    <t>ARIVA Med GmbH</t>
  </si>
  <si>
    <t>{"Tier":"LONG_TAIL","Company":"ARIVA Med GmbH","Company Type":"COMMERCIAL","GD Active Assets":1,"GD All Assets":1,"GD Phase II+":0,"Highest GD Stage":"Phase I","Research Area Tags":"HAI","Bridging Tags":null,"Public Source":null,"GlobalData As-of":"2026-07-31","Data Interpretation":"GlobalData snapshot only; validate current asset status","Company ID":"CMP-4fbb2b63f95"}</t>
  </si>
  <si>
    <t>PR-ALL-CMP-2a9d19ff9d9</t>
  </si>
  <si>
    <t>CMP-2a9d19ff9d9</t>
  </si>
  <si>
    <t>AUM LifeTech Inc</t>
  </si>
  <si>
    <t>{"Tier":"LONG_TAIL","Company":"AUM LifeTech Inc","Company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ID":"CMP-2a9d19ff9d9"}</t>
  </si>
  <si>
    <t>PR-ALL-CMP-f19d9de7cc5</t>
  </si>
  <si>
    <t>CMP-f19d9de7cc5</t>
  </si>
  <si>
    <t>AbVision Inc</t>
  </si>
  <si>
    <t>{"Tier":"LONG_TAIL","Company":"AbVision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ID":"CMP-f19d9de7cc5"}</t>
  </si>
  <si>
    <t>PR-ALL-CMP-02e52e69965</t>
  </si>
  <si>
    <t>CMP-02e52e69965</t>
  </si>
  <si>
    <t>Academia Sinica</t>
  </si>
  <si>
    <t>{"Tier":"LONG_TAIL","Company":"Academia Sinica","Company Type":"COMMERCIAL","GD Active Assets":1,"GD All Assets":1,"GD Phase II+":0,"Highest GD Stage":"Preclinical","Research Area Tags":"HEP","Bridging Tags":"MAB","Public Source":null,"GlobalData As-of":"2026-07-31","Data Interpretation":"GlobalData snapshot only; validate current asset status","Company ID":"CMP-02e52e69965"}</t>
  </si>
  <si>
    <t>PR-ALL-CMP-01e0a5badbe</t>
  </si>
  <si>
    <t>CMP-01e0a5badbe</t>
  </si>
  <si>
    <t>Achelois BioPharma Inc</t>
  </si>
  <si>
    <t>{"Tier":"LONG_TAIL","Company":"Achelois BioPharma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ID":"CMP-01e0a5badbe"}</t>
  </si>
  <si>
    <t>PR-ALL-CMP-59143a8c565</t>
  </si>
  <si>
    <t>CMP-59143a8c565</t>
  </si>
  <si>
    <t>AdaptVac ApS</t>
  </si>
  <si>
    <t>{"Tier":"LONG_TAIL","Company":"AdaptVac ApS","Company Type":"COMMERCIAL","GD Active Assets":1,"GD All Assets":1,"GD Phase II+":0,"Highest GD Stage":"Phase I","Research Area Tags":"NTD","Bridging Tags":null,"Public Source":null,"GlobalData As-of":"2026-07-31","Data Interpretation":"GlobalData snapshot only; validate current asset status","Company ID":"CMP-59143a8c565"}</t>
  </si>
  <si>
    <t>PR-ALL-CMP-140d0e0864d</t>
  </si>
  <si>
    <t>CMP-140d0e0864d</t>
  </si>
  <si>
    <t>Afrigen Biologics Pty Ltd</t>
  </si>
  <si>
    <t>{"Tier":"LONG_TAIL","Company":"Afrigen Biologics Pty Ltd","Company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ID":"CMP-140d0e0864d"}</t>
  </si>
  <si>
    <t>PR-ALL-CMP-9e4dcebfd06</t>
  </si>
  <si>
    <t>CMP-9e4dcebfd06</t>
  </si>
  <si>
    <t>Alfasigma SpA</t>
  </si>
  <si>
    <t>{"Tier":"LONG_TAIL","Company":"Alfasigma SpA","Company Type":"COMMERCIAL","GD Active Assets":1,"GD All Assets":3,"GD Phase II+":0,"Highest GD Stage":"Phase I","Research Area Tags":"ICH","Bridging Tags":null,"Public Source":null,"GlobalData As-of":"2026-07-31","Data Interpretation":"GlobalData snapshot only; validate current asset status","Company ID":"CMP-9e4dcebfd06"}</t>
  </si>
  <si>
    <t>PR-ALL-CMP-d37c34644b6</t>
  </si>
  <si>
    <t>CMP-d37c34644b6</t>
  </si>
  <si>
    <t>Alira Health</t>
  </si>
  <si>
    <t>{"Tier":"LONG_TAIL","Company":"Alira Health","Company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ID":"CMP-d37c34644b6"}</t>
  </si>
  <si>
    <t>PR-ALL-CMP-42d54bd73a9</t>
  </si>
  <si>
    <t>CMP-42d54bd73a9</t>
  </si>
  <si>
    <t>Almac Discovery Ltd</t>
  </si>
  <si>
    <t>{"Tier":"LONG_TAIL","Company":"Almac Discovery Ltd","Company Type":"COMMERCIAL","GD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ID":"CMP-42d54bd73a9"}</t>
  </si>
  <si>
    <t>PR-ALL-CMP-559b647c657</t>
  </si>
  <si>
    <t>CMP-559b647c657</t>
  </si>
  <si>
    <t>Am Sciences</t>
  </si>
  <si>
    <t>{"Tier":"LONG_TAIL","Company":"Am Sciences","Company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ID":"CMP-559b647c657"}</t>
  </si>
  <si>
    <t>PR-ALL-CMP-bc3961acbc5</t>
  </si>
  <si>
    <t>CMP-bc3961acbc5</t>
  </si>
  <si>
    <t>Amivas LLC</t>
  </si>
  <si>
    <t>{"Tier":"LONG_TAIL","Company":"Amivas LLC","Company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ID":"CMP-bc3961acbc5"}</t>
  </si>
  <si>
    <t>PR-ALL-CMP-f0f8bd99749</t>
  </si>
  <si>
    <t>CMP-f0f8bd99749</t>
  </si>
  <si>
    <t>Anelleo Inc</t>
  </si>
  <si>
    <t>{"Tier":"LONG_TAIL","Company":"Anelleo Inc","Company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ID":"CMP-f0f8bd99749"}</t>
  </si>
  <si>
    <t>PR-ALL-CMP-b9c09f88dc6</t>
  </si>
  <si>
    <t>CMP-b9c09f88dc6</t>
  </si>
  <si>
    <t>Anterogen Co Ltd</t>
  </si>
  <si>
    <t>{"Tier":"LONG_TAIL","Company":"Anterogen Co Ltd","Company Type":"COMMERCIAL","GD Active Assets":1,"GD All Assets":2,"GD Phase II+":0,"Highest GD Stage":"Preclinical","Research Area Tags":"ICH","Bridging Tags":null,"Public Source":null,"GlobalData As-of":"2026-07-31","Data Interpretation":"GlobalData snapshot only; validate current asset status","Company ID":"CMP-b9c09f88dc6"}</t>
  </si>
  <si>
    <t>PR-ALL-CMP-03368eba40d</t>
  </si>
  <si>
    <t>CMP-03368eba40d</t>
  </si>
  <si>
    <t>Apimeds Inc</t>
  </si>
  <si>
    <t>{"Tier":"LONG_TAIL","Company":"Apimeds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ID":"CMP-03368eba40d"}</t>
  </si>
  <si>
    <t>PR-ALL-CMP-5d819b44732</t>
  </si>
  <si>
    <t>CMP-5d819b44732</t>
  </si>
  <si>
    <t>Apollo Therapeutics Ltd</t>
  </si>
  <si>
    <t>{"Tier":"LONG_TAIL","Company":"Apollo Therapeutics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ID":"CMP-5d819b44732"}</t>
  </si>
  <si>
    <t>PR-ALL-CMP-ac15e1c148b</t>
  </si>
  <si>
    <t>CMP-ac15e1c148b</t>
  </si>
  <si>
    <t>ApolloBio Corp</t>
  </si>
  <si>
    <t>{"Tier":"LONG_TAIL","Company":"ApolloBio Corp","Company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ID":"CMP-ac15e1c148b"}</t>
  </si>
  <si>
    <t>PR-ALL-CMP-70384cd978c</t>
  </si>
  <si>
    <t>CMP-70384cd978c</t>
  </si>
  <si>
    <t>Applied Biotechnology Institute Inc</t>
  </si>
  <si>
    <t>{"Tier":"LONG_TAIL","Company":"Applied Biotechnology Institute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ID":"CMP-70384cd978c"}</t>
  </si>
  <si>
    <t>PR-ALL-CMP-435ef1461c1</t>
  </si>
  <si>
    <t>CMP-435ef1461c1</t>
  </si>
  <si>
    <t>Arisan Therapeutics Inc</t>
  </si>
  <si>
    <t>{"Tier":"LONG_TAIL","Company":"Arisan Therapeutics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ID":"CMP-435ef1461c1"}</t>
  </si>
  <si>
    <t>PR-ALL-CMP-aff573c0387</t>
  </si>
  <si>
    <t>CMP-aff573c0387</t>
  </si>
  <si>
    <t>Arum Therapeutics Inc</t>
  </si>
  <si>
    <t>{"Tier":"LONG_TAIL","Company":"Arum Therapeutics Inc","Company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ID":"CMP-aff573c0387"}</t>
  </si>
  <si>
    <t>PR-ALL-CMP-0d6ec345acb</t>
  </si>
  <si>
    <t>CMP-0d6ec345acb</t>
  </si>
  <si>
    <t>Ascentage Pharma Group International</t>
  </si>
  <si>
    <t>{"Tier":"LONG_TAIL","Company":"Ascentage Pharma Group International","Company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ID":"CMP-0d6ec345acb"}</t>
  </si>
  <si>
    <t>PR-ALL-CMP-222cbe0f79a</t>
  </si>
  <si>
    <t>CMP-222cbe0f79a</t>
  </si>
  <si>
    <t>Asdera LLC</t>
  </si>
  <si>
    <t>{"Tier":"LONG_TAIL","Company":"Asdera LLC","Company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ID":"CMP-222cbe0f79a"}</t>
  </si>
  <si>
    <t>PR-ALL-CMP-9e1dd242231</t>
  </si>
  <si>
    <t>CMP-9e1dd242231</t>
  </si>
  <si>
    <t>Asher Biotherapeutics Inc</t>
  </si>
  <si>
    <t>{"Tier":"LONG_TAIL","Company":"Asher Biotherapeutics Inc","Company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ID":"CMP-9e1dd242231"}</t>
  </si>
  <si>
    <t>PR-ALL-CMP-ddaa3fd4828</t>
  </si>
  <si>
    <t>CMP-ddaa3fd4828</t>
  </si>
  <si>
    <t>Attivare Therapeutics Inc</t>
  </si>
  <si>
    <t>{"Tier":"LONG_TAIL","Company":"Attivare Therapeutics Inc","Company Type":"COMMERCIAL","GD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ID":"CMP-ddaa3fd4828"}</t>
  </si>
  <si>
    <t>PR-ALL-CMP-c1d1e20886c</t>
  </si>
  <si>
    <t>CMP-c1d1e20886c</t>
  </si>
  <si>
    <t>Barinthus Biotherapeutics Plc</t>
  </si>
  <si>
    <t>{"Tier":"LONG_TAIL","Company":"Barinthus Biotherapeutics Plc","Company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ID":"CMP-c1d1e20886c"}</t>
  </si>
  <si>
    <t>PR-ALL-CMP-599ebace687</t>
  </si>
  <si>
    <t>CMP-599ebace687</t>
  </si>
  <si>
    <t>Baseimmune Ltd</t>
  </si>
  <si>
    <t>{"Tier":"LONG_TAIL","Company":"Baseimmune Ltd","Company Type":"COMMERCIAL","GD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ID":"CMP-599ebace687"}</t>
  </si>
  <si>
    <t>PR-ALL-CMP-6831199d6c3</t>
  </si>
  <si>
    <t>CMP-6831199d6c3</t>
  </si>
  <si>
    <t>Beijing Baihui Biotechnology Co Ltd</t>
  </si>
  <si>
    <t>{"Tier":"LONG_TAIL","Company":"Beijing Baihui Biotechnology Co Ltd","Company Type":"COMMERCIAL","GD Active Assets":1,"GD All Assets":1,"GD Phase II+":0,"Highest GD Stage":"Phase I","Research Area Tags":"MUC","Bridging Tags":"VAC","Public Source":null,"GlobalData As-of":"2026-07-31","Data Interpretation":"GlobalData snapshot only; validate current asset status","Company ID":"CMP-6831199d6c3"}</t>
  </si>
  <si>
    <t>PR-ALL-CMP-784d221a526</t>
  </si>
  <si>
    <t>CMP-784d221a526</t>
  </si>
  <si>
    <t>Beijing Beishengyan Pharmaceutical Technology Co Ltd</t>
  </si>
  <si>
    <t>{"Tier":"LONG_TAIL","Company":"Beijing Beishengyan Pharmaceutical Technology Co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ID":"CMP-784d221a526"}</t>
  </si>
  <si>
    <t>PR-ALL-CMP-a4211eee820</t>
  </si>
  <si>
    <t>CMP-a4211eee820</t>
  </si>
  <si>
    <t>Beijing Junke Huayuan Pharmaceutical Technology Co Ltd</t>
  </si>
  <si>
    <t>{"Tier":"LONG_TAIL","Company":"Beijing Junke Huayuan Pharmaceutical Technology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ID":"CMP-a4211eee820"}</t>
  </si>
  <si>
    <t>PR-ALL-CMP-29ef934e6c8</t>
  </si>
  <si>
    <t>CMP-29ef934e6c8</t>
  </si>
  <si>
    <t>BiOMViS Srl</t>
  </si>
  <si>
    <t>{"Tier":"LONG_TAIL","Company":"BiOMViS Srl","Company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ID":"CMP-29ef934e6c8"}</t>
  </si>
  <si>
    <t>PR-ALL-CMP-119874d63db</t>
  </si>
  <si>
    <t>CMP-119874d63db</t>
  </si>
  <si>
    <t>BioTherapeutics Inc</t>
  </si>
  <si>
    <t>{"Tier":"LONG_TAIL","Company":"BioTherapeutics Inc","Company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ID":"CMP-119874d63db"}</t>
  </si>
  <si>
    <t>PR-ALL-CMP-fbae3cc8d59</t>
  </si>
  <si>
    <t>CMP-fbae3cc8d59</t>
  </si>
  <si>
    <t>BioVaxys Technology Corp</t>
  </si>
  <si>
    <t>{"Tier":"LONG_TAIL","Company":"BioVaxys Technology Corp","Company Type":"COMMERCIAL","GD Active Assets":1,"GD All Assets":1,"GD Phase II+":0,"Highest GD Stage":"Phase I","Research Area Tags":"MUC","Bridging Tags":"VAC","Public Source":null,"GlobalData As-of":"2026-07-31","Data Interpretation":"GlobalData snapshot only; validate current asset status","Company ID":"CMP-fbae3cc8d59"}</t>
  </si>
  <si>
    <t>PR-ALL-CMP-1c221c7601b</t>
  </si>
  <si>
    <t>CMP-1c221c7601b</t>
  </si>
  <si>
    <t>BioVinc LLC</t>
  </si>
  <si>
    <t>{"Tier":"LONG_TAIL","Company":"BioVinc LLC","Company Type":"COMMERCIAL","GD Active Assets":1,"GD All Assets":1,"GD Phase II+":0,"Highest GD Stage":"Preclinical","Research Area Tags":"HAI","Bridging Tags":null,"Public Source":null,"GlobalData As-of":"2026-07-31","Data Interpretation":"GlobalData snapshot only; validate current asset status","Company ID":"CMP-1c221c7601b"}</t>
  </si>
  <si>
    <t>PR-ALL-CMP-e53cb4b77b2</t>
  </si>
  <si>
    <t>CMP-e53cb4b77b2</t>
  </si>
  <si>
    <t>Bioferon</t>
  </si>
  <si>
    <t>{"Tier":"LONG_TAIL","Company":"Bioferon","Company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ID":"CMP-e53cb4b77b2"}</t>
  </si>
  <si>
    <t>PR-ALL-CMP-ec5987cef51</t>
  </si>
  <si>
    <t>CMP-ec5987cef51</t>
  </si>
  <si>
    <t>Biom Pharmaceutical Corp</t>
  </si>
  <si>
    <t>{"Tier":"LONG_TAIL","Company":"Biom Pharmaceutical Corp","Company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ID":"CMP-ec5987cef51"}</t>
  </si>
  <si>
    <t>PR-ALL-CMP-5d718464188</t>
  </si>
  <si>
    <t>CMP-5d718464188</t>
  </si>
  <si>
    <t>Biophytis SA</t>
  </si>
  <si>
    <t>{"Tier":"LONG_TAIL","Company":"Biophytis SA","Company Type":"COMMERCIAL","GD Active Assets":1,"GD All Assets":1,"GD Phase II+":0,"Highest GD Stage":"Discovery","Research Area Tags":"MUC","Bridging Tags":null,"Public Source":null,"GlobalData As-of":"2026-07-31","Data Interpretation":"GlobalData snapshot only; validate current asset status","Company ID":"CMP-5d718464188"}</t>
  </si>
  <si>
    <t>PR-ALL-CMP-08eb413f110</t>
  </si>
  <si>
    <t>CMP-08eb413f110</t>
  </si>
  <si>
    <t>Biostax Corp</t>
  </si>
  <si>
    <t>{"Tier":"LONG_TAIL","Company":"Biostax Corp","Company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ID":"CMP-08eb413f110"}</t>
  </si>
  <si>
    <t>PR-ALL-CMP-43405c54e6d</t>
  </si>
  <si>
    <t>CMP-43405c54e6d</t>
  </si>
  <si>
    <t>Biosun Pharmed Co</t>
  </si>
  <si>
    <t>{"Tier":"LONG_TAIL","Company":"Biosun Pharmed Co","Company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ID":"CMP-43405c54e6d"}</t>
  </si>
  <si>
    <t>PR-ALL-CMP-474b5190060</t>
  </si>
  <si>
    <t>CMP-474b5190060</t>
  </si>
  <si>
    <t>Boost Biopharma Inc</t>
  </si>
  <si>
    <t>{"Tier":"LONG_TAIL","Company":"Boost Biopharma Inc","Company Type":"COMMERCIAL","GD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ID":"CMP-474b5190060"}</t>
  </si>
  <si>
    <t>PR-ALL-CMP-7b5b3d416fc</t>
  </si>
  <si>
    <t>CMP-7b5b3d416fc</t>
  </si>
  <si>
    <t>BryoLogyx Inc</t>
  </si>
  <si>
    <t>{"Tier":"LONG_TAIL","Company":"BryoLogyx Inc","Company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ID":"CMP-7b5b3d416fc"}</t>
  </si>
  <si>
    <t>PR-ALL-CMP-aa6ae48557a</t>
  </si>
  <si>
    <t>CMP-aa6ae48557a</t>
  </si>
  <si>
    <t>BunyaVax BV</t>
  </si>
  <si>
    <t>{"Tier":"LONG_TAIL","Company":"BunyaVax BV","Company Type":"COMMERCIAL","GD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ID":"CMP-aa6ae48557a"}</t>
  </si>
  <si>
    <t>PR-ALL-CMP-0542b1dfb24</t>
  </si>
  <si>
    <t>CMP-0542b1dfb24</t>
  </si>
  <si>
    <t>CD (Suzhou) Biopharma Co Ltd</t>
  </si>
  <si>
    <t>{"Tier":"LONG_TAIL","Company":"CD (Suzhou) Biopharma Co Ltd","Company Type":"COMMERCIAL","GD Active Assets":1,"GD All Assets":1,"GD Phase II+":0,"Highest GD Stage":"IND/CTA Filed","Research Area Tags":"HIV","Bridging Tags":null,"Public Source":null,"GlobalData As-of":"2026-07-31","Data Interpretation":"GlobalData snapshot only; validate current asset status","Company ID":"CMP-0542b1dfb24"}</t>
  </si>
  <si>
    <t>PR-ALL-CMP-da0f146c824</t>
  </si>
  <si>
    <t>CMP-da0f146c824</t>
  </si>
  <si>
    <t>CSPC Jushi Biopharmaceutical Co Ltd</t>
  </si>
  <si>
    <t>{"Tier":"LONG_TAIL","Company":"CSPC Jushi Biopharmaceutical Co Ltd","Company Type":"COMMERCIAL","GD Active Assets":1,"GD All Assets":1,"GD Phase II+":0,"Highest GD Stage":"IND/CTA Filed","Research Area Tags":"MUC","Bridging Tags":"VAC","Public Source":null,"GlobalData As-of":"2026-07-31","Data Interpretation":"GlobalData snapshot only; validate current asset status","Company ID":"CMP-da0f146c824"}</t>
  </si>
  <si>
    <t>PR-ALL-CMP-1bf55fe4328</t>
  </si>
  <si>
    <t>CMP-1bf55fe4328</t>
  </si>
  <si>
    <t>CURED Inc.</t>
  </si>
  <si>
    <t>{"Tier":"LONG_TAIL","Company":"CURED Inc.","Company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ID":"CMP-1bf55fe4328"}</t>
  </si>
  <si>
    <t>PR-ALL-CMP-b4a979a035d</t>
  </si>
  <si>
    <t>CMP-b4a979a035d</t>
  </si>
  <si>
    <t>CanVirex AG</t>
  </si>
  <si>
    <t>{"Tier":"LONG_TAIL","Company":"CanVirex AG","Company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ID":"CMP-b4a979a035d"}</t>
  </si>
  <si>
    <t>PR-ALL-CMP-0eadd9326e2</t>
  </si>
  <si>
    <t>CMP-0eadd9326e2</t>
  </si>
  <si>
    <t>Capricor Therapeutics Inc</t>
  </si>
  <si>
    <t>{"Tier":"LONG_TAIL","Company":"Capricor Therapeutics Inc","Company Type":"COMMERCIAL","GD Active Assets":1,"GD All Assets":3,"GD Phase II+":0,"Highest GD Stage":"Phase I","Research Area Tags":"EMG","Bridging Tags":"VAC","Public Source":null,"GlobalData As-of":"2026-07-31","Data Interpretation":"GlobalData snapshot only; validate current asset status","Company ID":"CMP-0eadd9326e2"}</t>
  </si>
  <si>
    <t>PR-ALL-CMP-76fd19667fb</t>
  </si>
  <si>
    <t>CMP-76fd19667fb</t>
  </si>
  <si>
    <t>CaroGen Corp</t>
  </si>
  <si>
    <t>{"Tier":"LONG_TAIL","Company":"CaroGen Corp","Company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ID":"CMP-76fd19667fb"}</t>
  </si>
  <si>
    <t>PR-ALL-CMP-3d4580897cd</t>
  </si>
  <si>
    <t>CMP-3d4580897cd</t>
  </si>
  <si>
    <t>Cavendish (Taizhou) Pharmaceutical Co Ltd</t>
  </si>
  <si>
    <t>{"Tier":"LONG_TAIL","Company":"Cavendish (Taizhou) Pharmaceutical Co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ID":"CMP-3d4580897cd"}</t>
  </si>
  <si>
    <t>PR-ALL-CMP-3d1c57dd33f</t>
  </si>
  <si>
    <t>CMP-3d1c57dd33f</t>
  </si>
  <si>
    <t>Cellenkos Inc</t>
  </si>
  <si>
    <t>{"Tier":"LONG_TAIL","Company":"Cellenkos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ID":"CMP-3d1c57dd33f"}</t>
  </si>
  <si>
    <t>PR-ALL-CMP-2acbb73aefd</t>
  </si>
  <si>
    <t>CMP-2acbb73aefd</t>
  </si>
  <si>
    <t>Center for Infectious Disease Research</t>
  </si>
  <si>
    <t>{"Tier":"LONG_TAIL","Company":"Center for Infectious Disease Research","Company Type":"COMMERCIAL","GD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ID":"CMP-2acbb73aefd"}</t>
  </si>
  <si>
    <t>PR-ALL-CMP-a07b005570b</t>
  </si>
  <si>
    <t>CMP-a07b005570b</t>
  </si>
  <si>
    <t>Centre National de la Recherche Scientifique</t>
  </si>
  <si>
    <t>{"Tier":"LONG_TAIL","Company":"Centre National de la Recherche Scientifique","Company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ID":"CMP-a07b005570b"}</t>
  </si>
  <si>
    <t>PR-ALL-CMP-e12248541a0</t>
  </si>
  <si>
    <t>CMP-e12248541a0</t>
  </si>
  <si>
    <t>Centro de Investigacion Biomedica del Servicio Navarro de Salud del Gobierno de Navarra</t>
  </si>
  <si>
    <t>{"Tier":"LONG_TAIL","Company":"Centro de Investigacion Biomedica del Servicio Navarro de Salud del Gobierno de Navarra","Company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ID":"CMP-e12248541a0"}</t>
  </si>
  <si>
    <t>PR-ALL-CMP-53032035242</t>
  </si>
  <si>
    <t>CMP-53032035242</t>
  </si>
  <si>
    <t>Cesa Alliance SA</t>
  </si>
  <si>
    <t>{"Tier":"LONG_TAIL","Company":"Cesa Alliance SA","Company Type":"COMMERCIAL","GD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ID":"CMP-53032035242"}</t>
  </si>
  <si>
    <t>PR-ALL-CMP-0bd7243661f</t>
  </si>
  <si>
    <t>CMP-0bd7243661f</t>
  </si>
  <si>
    <t>Chengdu Hyperway Pharmaceutical Co Ltd</t>
  </si>
  <si>
    <t>{"Tier":"LONG_TAIL","Company":"Chengdu Hyperway Pharmaceutical Co Ltd","Company Type":"COMMERCIAL","GD Active Assets":1,"GD All Assets":1,"GD Phase II+":0,"Highest GD Stage":"IND/CTA Filed","Research Area Tags":"ICH","Bridging Tags":null,"Public Source":null,"GlobalData As-of":"2026-07-31","Data Interpretation":"GlobalData snapshot only; validate current asset status","Company ID":"CMP-0bd7243661f"}</t>
  </si>
  <si>
    <t>PR-ALL-CMP-b113a574743</t>
  </si>
  <si>
    <t>CMP-b113a574743</t>
  </si>
  <si>
    <t>Chengdu Shibeikang Biomedical Technology Co Ltd</t>
  </si>
  <si>
    <t>{"Tier":"LONG_TAIL","Company":"Chengdu Shibeikang Biomedical Technology Co Ltd","Company Type":"COMMERCIAL","GD Active Assets":1,"GD All Assets":2,"GD Phase II+":0,"Highest GD Stage":"IND/CTA Filed","Research Area Tags":"ABX","Bridging Tags":null,"Public Source":null,"GlobalData As-of":"2026-07-31","Data Interpretation":"GlobalData snapshot only; validate current asset status","Company ID":"CMP-b113a574743"}</t>
  </si>
  <si>
    <t>PR-ALL-CMP-1c937ec298e</t>
  </si>
  <si>
    <t>CMP-1c937ec298e</t>
  </si>
  <si>
    <t>Chimigen Biomedical Chengdu Co Ltd</t>
  </si>
  <si>
    <t>{"Tier":"LONG_TAIL","Company":"Chimigen Biomedical Chengdu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ID":"CMP-1c937ec298e"}</t>
  </si>
  <si>
    <t>PR-ALL-CMP-3ece09df57e</t>
  </si>
  <si>
    <t>CMP-3ece09df57e</t>
  </si>
  <si>
    <t>China Resources Pharmaceutical Group Ltd</t>
  </si>
  <si>
    <t>{"Tier":"LONG_TAIL","Company":"China Resources Pharmaceutical Group Ltd","Company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ID":"CMP-3ece09df57e"}</t>
  </si>
  <si>
    <t>PR-ALL-CMP-009dd757f77</t>
  </si>
  <si>
    <t>CMP-009dd757f77</t>
  </si>
  <si>
    <t>Chrysalis BioTherapeutics Inc</t>
  </si>
  <si>
    <t>{"Tier":"LONG_TAIL","Company":"Chrysalis BioTherapeutics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ID":"CMP-009dd757f77"}</t>
  </si>
  <si>
    <t>PR-ALL-CMP-42cac4a19f1</t>
  </si>
  <si>
    <t>CMP-42cac4a19f1</t>
  </si>
  <si>
    <t>Clene Nanomedicine Inc</t>
  </si>
  <si>
    <t>{"Tier":"LONG_TAIL","Company":"Clene Nanomedicine Inc","Company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ID":"CMP-42cac4a19f1"}</t>
  </si>
  <si>
    <t>PR-ALL-CMP-d5335073f13</t>
  </si>
  <si>
    <t>CMP-d5335073f13</t>
  </si>
  <si>
    <t>Copycat Sciences LLC</t>
  </si>
  <si>
    <t>{"Tier":"LONG_TAIL","Company":"Copycat Sciences LLC","Company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ID":"CMP-d5335073f13"}</t>
  </si>
  <si>
    <t>PR-ALL-CMP-436dff2531a</t>
  </si>
  <si>
    <t>CMP-436dff2531a</t>
  </si>
  <si>
    <t>CorMedix Inc</t>
  </si>
  <si>
    <t>{"Tier":"LONG_TAIL","Company":"CorMedix Inc","Company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ID":"CMP-436dff2531a"}</t>
  </si>
  <si>
    <t>PR-ALL-CMP-61ffbe164c0</t>
  </si>
  <si>
    <t>CMP-61ffbe164c0</t>
  </si>
  <si>
    <t>Cortex Discovery GmbH</t>
  </si>
  <si>
    <t>{"Tier":"LONG_TAIL","Company":"Cortex Discovery GmbH","Company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ID":"CMP-61ffbe164c0"}</t>
  </si>
  <si>
    <t>PR-ALL-CMP-e803534d5a3</t>
  </si>
  <si>
    <t>CMP-e803534d5a3</t>
  </si>
  <si>
    <t>Diakonos Oncology Corp</t>
  </si>
  <si>
    <t>{"Tier":"LONG_TAIL","Company":"Diakonos Oncology Corp","Company Type":"COMMERCIAL","GD Active Assets":1,"GD All Assets":1,"GD Phase II+":0,"Highest GD Stage":"Preclinical","Research Area Tags":"NTD","Bridging Tags":"VAC","Public Source":null,"GlobalData As-of":"2026-07-31","Data Interpretation":"GlobalData snapshot only; validate current asset status","Company ID":"CMP-e803534d5a3"}</t>
  </si>
  <si>
    <t>PR-ALL-CMP-3aed9750422</t>
  </si>
  <si>
    <t>CMP-3aed9750422</t>
  </si>
  <si>
    <t>Dx&amp;Vx</t>
  </si>
  <si>
    <t>{"Tier":"LONG_TAIL","Company":"Dx&amp;Vx","Company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ID":"CMP-3aed9750422"}</t>
  </si>
  <si>
    <t>PR-ALL-CMP-ec6d9a59b4f</t>
  </si>
  <si>
    <t>CMP-ec6d9a59b4f</t>
  </si>
  <si>
    <t>Educell doo</t>
  </si>
  <si>
    <t>{"Tier":"LONG_TAIL","Company":"Educell doo","Company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ID":"CMP-ec6d9a59b4f"}</t>
  </si>
  <si>
    <t>PR-ALL-CMP-090569a07dc</t>
  </si>
  <si>
    <t>CMP-090569a07dc</t>
  </si>
  <si>
    <t>Elicio Therapeutics Inc</t>
  </si>
  <si>
    <t>{"Tier":"LONG_TAIL","Company":"Elicio Therapeutics Inc","Company Type":"COMMERCIAL","GD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ID":"CMP-090569a07dc"}</t>
  </si>
  <si>
    <t>PR-ALL-CMP-f8fff26d817</t>
  </si>
  <si>
    <t>CMP-f8fff26d817</t>
  </si>
  <si>
    <t>Ensysce Biosciences Inc</t>
  </si>
  <si>
    <t>{"Tier":"LONG_TAIL","Company":"Ensysce Biosciences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ID":"CMP-f8fff26d817"}</t>
  </si>
  <si>
    <t>PR-ALL-CMP-9e29e3a3b46</t>
  </si>
  <si>
    <t>CMP-9e29e3a3b46</t>
  </si>
  <si>
    <t>Enyo Pharma SA</t>
  </si>
  <si>
    <t>{"Tier":"LONG_TAIL","Company":"Enyo Pharma SA","Company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ID":"CMP-9e29e3a3b46"}</t>
  </si>
  <si>
    <t>PR-ALL-CMP-45dec8d65d9</t>
  </si>
  <si>
    <t>CMP-45dec8d65d9</t>
  </si>
  <si>
    <t>Epigenic Therapeutics Inc</t>
  </si>
  <si>
    <t>{"Tier":"LONG_TAIL","Company":"Epigenic Therapeutics Inc","Company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ID":"CMP-45dec8d65d9"}</t>
  </si>
  <si>
    <t>PR-ALL-CMP-cde769be4b3</t>
  </si>
  <si>
    <t>CMP-cde769be4b3</t>
  </si>
  <si>
    <t>Esperovax Inc</t>
  </si>
  <si>
    <t>{"Tier":"LONG_TAIL","Company":"Esperovax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ID":"CMP-cde769be4b3"}</t>
  </si>
  <si>
    <t>PR-ALL-CMP-094f54961ba</t>
  </si>
  <si>
    <t>CMP-094f54961ba</t>
  </si>
  <si>
    <t>Eva Pharma</t>
  </si>
  <si>
    <t>{"Tier":"LONG_TAIL","Company":"Eva Pharma","Company Type":"COMMERCIAL","GD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ID":"CMP-094f54961ba"}</t>
  </si>
  <si>
    <t>PR-ALL-CMP-6a6cc99e838</t>
  </si>
  <si>
    <t>CMP-6a6cc99e838</t>
  </si>
  <si>
    <t>ExcepGen Inc</t>
  </si>
  <si>
    <t>{"Tier":"LONG_TAIL","Company":"ExcepGen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ID":"CMP-6a6cc99e838"}</t>
  </si>
  <si>
    <t>PR-ALL-CMP-89dbc6c9820</t>
  </si>
  <si>
    <t>CMP-89dbc6c9820</t>
  </si>
  <si>
    <t>Eyam Vaccines and Immunotherapeutics Ltd</t>
  </si>
  <si>
    <t>{"Tier":"LONG_TAIL","Company":"Eyam Vaccines and Immunotherapeutics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ID":"CMP-89dbc6c9820"}</t>
  </si>
  <si>
    <t>PR-ALL-CMP-6204a687950</t>
  </si>
  <si>
    <t>CMP-6204a687950</t>
  </si>
  <si>
    <t>Farsight Medical Technology (Shanghai) Co Ltd</t>
  </si>
  <si>
    <t>{"Tier":"LONG_TAIL","Company":"Farsight Medical Technology (Shanghai) Co Ltd","Company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ID":"CMP-6204a687950"}</t>
  </si>
  <si>
    <t>PR-ALL-CMP-630f3d1ad7f</t>
  </si>
  <si>
    <t>CMP-630f3d1ad7f</t>
  </si>
  <si>
    <t>Federal Budgetary Institution of Science</t>
  </si>
  <si>
    <t>{"Tier":"LONG_TAIL","Company":"Federal Budgetary Institution of Science","Company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ID":"CMP-630f3d1ad7f"}</t>
  </si>
  <si>
    <t>PR-ALL-CMP-44c5fb1f87c</t>
  </si>
  <si>
    <t>CMP-44c5fb1f87c</t>
  </si>
  <si>
    <t>Flag Bio Inc</t>
  </si>
  <si>
    <t>{"Tier":"LONG_TAIL","Company":"Flag Bio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ID":"CMP-44c5fb1f87c"}</t>
  </si>
  <si>
    <t>PR-ALL-CMP-a1385808667</t>
  </si>
  <si>
    <t>CMP-a1385808667</t>
  </si>
  <si>
    <t>GEn1E Lifesciences Inc</t>
  </si>
  <si>
    <t>{"Tier":"LONG_TAIL","Company":"GEn1E Lifesciences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ID":"CMP-a1385808667"}</t>
  </si>
  <si>
    <t>PR-ALL-CMP-c22d9e4f59c</t>
  </si>
  <si>
    <t>CMP-c22d9e4f59c</t>
  </si>
  <si>
    <t>GeneMatrix Inc</t>
  </si>
  <si>
    <t>{"Tier":"LONG_TAIL","Company":"GeneMatrix Inc","Company Type":"COMMERCIAL","GD Active Assets":1,"GD All Assets":1,"GD Phase II+":0,"Highest GD Stage":"IND/CTA Filed","Research Area Tags":"HEP","Bridging Tags":null,"Public Source":null,"GlobalData As-of":"2026-07-31","Data Interpretation":"GlobalData snapshot only; validate current asset status","Company ID":"CMP-c22d9e4f59c"}</t>
  </si>
  <si>
    <t>PR-ALL-CMP-02748b0626b</t>
  </si>
  <si>
    <t>CMP-02748b0626b</t>
  </si>
  <si>
    <t>Georgia Institute of Technology</t>
  </si>
  <si>
    <t>{"Tier":"LONG_TAIL","Company":"Georgia Institute of Technology","Company Type":"COMMERCIAL","GD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ID":"CMP-02748b0626b"}</t>
  </si>
  <si>
    <t>PR-ALL-CMP-d8de9012592</t>
  </si>
  <si>
    <t>CMP-d8de9012592</t>
  </si>
  <si>
    <t>Glycovax Pharma Inc</t>
  </si>
  <si>
    <t>{"Tier":"LONG_TAIL","Company":"Glycovax Pharma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ID":"CMP-d8de9012592"}</t>
  </si>
  <si>
    <t>PR-ALL-CMP-1daf8c2d2d0</t>
  </si>
  <si>
    <t>CMP-1daf8c2d2d0</t>
  </si>
  <si>
    <t>Greffex Inc</t>
  </si>
  <si>
    <t>{"Tier":"LONG_TAIL","Company":"Greffex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ID":"CMP-1daf8c2d2d0"}</t>
  </si>
  <si>
    <t>PR-ALL-CMP-0b786527e0e</t>
  </si>
  <si>
    <t>CMP-0b786527e0e</t>
  </si>
  <si>
    <t>Gritvak</t>
  </si>
  <si>
    <t>{"Tier":"LONG_TAIL","Company":"Gritvak","Company Type":"COMMERCIAL","GD Active Assets":1,"GD All Assets":1,"GD Phase II+":0,"Highest GD Stage":"Phase I","Research Area Tags":"MUC","Bridging Tags":"VAC","Public Source":null,"GlobalData As-of":"2026-07-31","Data Interpretation":"GlobalData snapshot only; validate current asset status","Company ID":"CMP-0b786527e0e"}</t>
  </si>
  <si>
    <t>PR-ALL-CMP-9d860474c32</t>
  </si>
  <si>
    <t>CMP-9d860474c32</t>
  </si>
  <si>
    <t>Guangdong Zhongsheng Pharmaceutical Co Ltd</t>
  </si>
  <si>
    <t>{"Tier":"LONG_TAIL","Company":"Guangdong Zhongsheng Pharmaceutical Co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ID":"CMP-9d860474c32"}</t>
  </si>
  <si>
    <t>PR-ALL-CMP-bb7a3f12a8a</t>
  </si>
  <si>
    <t>CMP-bb7a3f12a8a</t>
  </si>
  <si>
    <t>Guangzhou Cyanvaccine Biotechnology Co Ltd</t>
  </si>
  <si>
    <t>{"Tier":"LONG_TAIL","Company":"Guangzhou Cyanvaccine Biotechnology Co Ltd","Company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ID":"CMP-bb7a3f12a8a"}</t>
  </si>
  <si>
    <t>PR-ALL-CMP-05257cbc871</t>
  </si>
  <si>
    <t>CMP-05257cbc871</t>
  </si>
  <si>
    <t>Guangzhou Henovcom Bioscience Co Ltd</t>
  </si>
  <si>
    <t>{"Tier":"LONG_TAIL","Company":"Guangzhou Henovcom Bioscience Co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ID":"CMP-05257cbc871"}</t>
  </si>
  <si>
    <t>PR-ALL-CMP-c55fd443203</t>
  </si>
  <si>
    <t>CMP-c55fd443203</t>
  </si>
  <si>
    <t>Guangzhou Lupeng Pharmaceutical Co Ltd</t>
  </si>
  <si>
    <t>{"Tier":"LONG_TAIL","Company":"Guangzhou Lupeng Pharmaceutical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ID":"CMP-c55fd443203"}</t>
  </si>
  <si>
    <t>PR-ALL-CMP-26580a0cf28</t>
  </si>
  <si>
    <t>CMP-26580a0cf28</t>
  </si>
  <si>
    <t>Guangzhou Suihe Biotechnology Co Ltd</t>
  </si>
  <si>
    <t>{"Tier":"LONG_TAIL","Company":"Guangzhou Suihe Biotechnology Co Ltd","Company Type":"COMMERCIAL","GD Active Assets":1,"GD All Assets":1,"GD Phase II+":0,"Highest GD Stage":"IND/CTA Filed","Research Area Tags":"MUC","Bridging Tags":"VAC","Public Source":null,"GlobalData As-of":"2026-07-31","Data Interpretation":"GlobalData snapshot only; validate current asset status","Company ID":"CMP-26580a0cf28"}</t>
  </si>
  <si>
    <t>PR-ALL-CMP-90736774369</t>
  </si>
  <si>
    <t>CMP-90736774369</t>
  </si>
  <si>
    <t>HIV Prevention Trials Network</t>
  </si>
  <si>
    <t>{"Tier":"LONG_TAIL","Company":"HIV Prevention Trials Network","Company Type":"COMMERCIAL","GD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ID":"CMP-90736774369"}</t>
  </si>
  <si>
    <t>PR-ALL-CMP-065ca442ea2</t>
  </si>
  <si>
    <t>CMP-065ca442ea2</t>
  </si>
  <si>
    <t>Haikou VTI Biological Institute</t>
  </si>
  <si>
    <t>{"Tier":"LONG_TAIL","Company":"Haikou VTI Biological Institute","Company Type":"COMMERCIAL","GD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ID":"CMP-065ca442ea2"}</t>
  </si>
  <si>
    <t>PR-ALL-CMP-2f9091ceb22</t>
  </si>
  <si>
    <t>CMP-2f9091ceb22</t>
  </si>
  <si>
    <t>Hanmi Pharmaceuticals Co Ltd</t>
  </si>
  <si>
    <t>{"Tier":"LONG_TAIL","Company":"Hanmi Pharmaceuticals Co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ID":"CMP-2f9091ceb22"}</t>
  </si>
  <si>
    <t>PR-ALL-CMP-bff5c8d6fff</t>
  </si>
  <si>
    <t>CMP-bff5c8d6fff</t>
  </si>
  <si>
    <t>Hefei Medical &amp; Pharmaceutical Co Ltd</t>
  </si>
  <si>
    <t>{"Tier":"LONG_TAIL","Company":"Hefei Medical &amp; Pharmaceutical Co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ID":"CMP-bff5c8d6fff"}</t>
  </si>
  <si>
    <t>PR-ALL-CMP-d0fedae723f</t>
  </si>
  <si>
    <t>CMP-d0fedae723f</t>
  </si>
  <si>
    <t>Heidelberg Pharma AG</t>
  </si>
  <si>
    <t>{"Tier":"LONG_TAIL","Company":"Heidelberg Pharma AG","Company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ID":"CMP-d0fedae723f"}</t>
  </si>
  <si>
    <t>PR-ALL-CMP-45c491c4820</t>
  </si>
  <si>
    <t>CMP-45c491c4820</t>
  </si>
  <si>
    <t>HiFiBiO Therapeutics Inc</t>
  </si>
  <si>
    <t>{"Tier":"LONG_TAIL","Company":"HiFiBiO Therapeutics Inc","Company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ID":"CMP-45c491c4820"}</t>
  </si>
  <si>
    <t>PR-ALL-CMP-1c4323ce3d7</t>
  </si>
  <si>
    <t>CMP-1c4323ce3d7</t>
  </si>
  <si>
    <t>Humane Genomics Inc</t>
  </si>
  <si>
    <t>{"Tier":"LONG_TAIL","Company":"Humane Genomics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ID":"CMP-1c4323ce3d7"}</t>
  </si>
  <si>
    <t>PR-ALL-CMP-b325ab7ff10</t>
  </si>
  <si>
    <t>CMP-b325ab7ff10</t>
  </si>
  <si>
    <t>Hutchmed China Ltd</t>
  </si>
  <si>
    <t>{"Tier":"LONG_TAIL","Company":"Hutchmed China Ltd","Company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ID":"CMP-b325ab7ff10"}</t>
  </si>
  <si>
    <t>PR-ALL-CMP-7cd3559efdc</t>
  </si>
  <si>
    <t>CMP-7cd3559efdc</t>
  </si>
  <si>
    <t>Huvet Bio Co Ltd</t>
  </si>
  <si>
    <t>{"Tier":"LONG_TAIL","Company":"Huvet Bio Co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ID":"CMP-7cd3559efdc"}</t>
  </si>
  <si>
    <t>PR-ALL-CMP-d39db7ac6c3</t>
  </si>
  <si>
    <t>CMP-d39db7ac6c3</t>
  </si>
  <si>
    <t>ID Pharma Co Ltd</t>
  </si>
  <si>
    <t>{"Tier":"LONG_TAIL","Company":"ID Pharma Co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ID":"CMP-d39db7ac6c3"}</t>
  </si>
  <si>
    <t>PR-ALL-CMP-18556620ec5</t>
  </si>
  <si>
    <t>CMP-18556620ec5</t>
  </si>
  <si>
    <t>IDBiologics Inc</t>
  </si>
  <si>
    <t>{"Tier":"LONG_TAIL","Company":"IDBiologics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ID":"CMP-18556620ec5"}</t>
  </si>
  <si>
    <t>PR-ALL-CMP-83f9363d1c6</t>
  </si>
  <si>
    <t>CMP-83f9363d1c6</t>
  </si>
  <si>
    <t>IMV Inc</t>
  </si>
  <si>
    <t>{"Tier":"LONG_TAIL","Company":"IMV Inc","Company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ID":"CMP-83f9363d1c6"}</t>
  </si>
  <si>
    <t>PR-ALL-CMP-fd5a8754f34</t>
  </si>
  <si>
    <t>CMP-fd5a8754f34</t>
  </si>
  <si>
    <t>IT Bio LLC</t>
  </si>
  <si>
    <t>{"Tier":"LONG_TAIL","Company":"IT Bio LLC","Company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ID":"CMP-fd5a8754f34"}</t>
  </si>
  <si>
    <t>PR-ALL-CMP-6d5a9de97bd</t>
  </si>
  <si>
    <t>CMP-6d5a9de97bd</t>
  </si>
  <si>
    <t>Immunophotonics Inc</t>
  </si>
  <si>
    <t>{"Tier":"LONG_TAIL","Company":"Immunophotonics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ID":"CMP-6d5a9de97bd"}</t>
  </si>
  <si>
    <t>PR-ALL-CMP-9e281bb424b</t>
  </si>
  <si>
    <t>CMP-9e281bb424b</t>
  </si>
  <si>
    <t>IncellDx Inc</t>
  </si>
  <si>
    <t>{"Tier":"LONG_TAIL","Company":"IncellDx Inc","Company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ID":"CMP-9e281bb424b"}</t>
  </si>
  <si>
    <t>PR-ALL-CMP-a13012cb964</t>
  </si>
  <si>
    <t>CMP-a13012cb964</t>
  </si>
  <si>
    <t>Indian Institute of Technology Delhi</t>
  </si>
  <si>
    <t>{"Tier":"LONG_TAIL","Company":"Indian Institute of Technology Delhi","Company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ID":"CMP-a13012cb964"}</t>
  </si>
  <si>
    <t>PR-ALL-CMP-5b4fc663f30</t>
  </si>
  <si>
    <t>CMP-5b4fc663f30</t>
  </si>
  <si>
    <t>Indian Institute of Technology Indore</t>
  </si>
  <si>
    <t>{"Tier":"LONG_TAIL","Company":"Indian Institute of Technology Indore","Company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ID":"CMP-5b4fc663f30"}</t>
  </si>
  <si>
    <t>PR-ALL-CMP-9e148d1a0ae</t>
  </si>
  <si>
    <t>CMP-9e148d1a0ae</t>
  </si>
  <si>
    <t>InflaRx NV</t>
  </si>
  <si>
    <t>{"Tier":"LONG_TAIL","Company":"InflaRx NV","Company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ID":"CMP-9e148d1a0ae"}</t>
  </si>
  <si>
    <t>PR-ALL-CMP-799616645c0</t>
  </si>
  <si>
    <t>CMP-799616645c0</t>
  </si>
  <si>
    <t>Inmunotek SL</t>
  </si>
  <si>
    <t>{"Tier":"LONG_TAIL","Company":"Inmunotek SL","Company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ID":"CMP-799616645c0"}</t>
  </si>
  <si>
    <t>PR-ALL-CMP-efa8f421e62</t>
  </si>
  <si>
    <t>CMP-efa8f421e62</t>
  </si>
  <si>
    <t>Innoplexus AG</t>
  </si>
  <si>
    <t>{"Tier":"LONG_TAIL","Company":"Innoplexus AG","Company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ID":"CMP-efa8f421e62"}</t>
  </si>
  <si>
    <t>PR-ALL-CMP-376b1ccc65d</t>
  </si>
  <si>
    <t>CMP-376b1ccc65d</t>
  </si>
  <si>
    <t>Innovative Pharmacology Research LLC</t>
  </si>
  <si>
    <t>{"Tier":"LONG_TAIL","Company":"Innovative Pharmacology Research LLC","Company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ID":"CMP-376b1ccc65d"}</t>
  </si>
  <si>
    <t>PR-ALL-CMP-2d9ee5ae349</t>
  </si>
  <si>
    <t>CMP-2d9ee5ae349</t>
  </si>
  <si>
    <t>Institute of Chemistry</t>
  </si>
  <si>
    <t>{"Tier":"LONG_TAIL","Company":"Institute of Chemistry","Company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ID":"CMP-2d9ee5ae349"}</t>
  </si>
  <si>
    <t>PR-ALL-CMP-652f0ec8f5e</t>
  </si>
  <si>
    <t>CMP-652f0ec8f5e</t>
  </si>
  <si>
    <t>Interna Therapeutics Ltd</t>
  </si>
  <si>
    <t>{"Tier":"LONG_TAIL","Company":"Interna Therapeutics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ID":"CMP-652f0ec8f5e"}</t>
  </si>
  <si>
    <t>PR-ALL-CMP-a524ef7f46d</t>
  </si>
  <si>
    <t>CMP-a524ef7f46d</t>
  </si>
  <si>
    <t>Istituto Giannina Gaslini</t>
  </si>
  <si>
    <t>{"Tier":"LONG_TAIL","Company":"Istituto Giannina Gaslini","Company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ID":"CMP-a524ef7f46d"}</t>
  </si>
  <si>
    <t>PR-ALL-CMP-b79502df877</t>
  </si>
  <si>
    <t>CMP-b79502df877</t>
  </si>
  <si>
    <t>Izmir Biomedicine and Genome Center</t>
  </si>
  <si>
    <t>{"Tier":"LONG_TAIL","Company":"Izmir Biomedicine and Genome Center","Company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ID":"CMP-b79502df877"}</t>
  </si>
  <si>
    <t>PR-ALL-CMP-0f0aaf11cb4</t>
  </si>
  <si>
    <t>CMP-0f0aaf11cb4</t>
  </si>
  <si>
    <t>Jianda Biotech (Jiaxing) Co Ltd</t>
  </si>
  <si>
    <t>{"Tier":"LONG_TAIL","Company":"Jianda Biotech (Jiaxing) Co Ltd","Company Type":"COMMERCIAL","GD Active Assets":1,"GD All Assets":1,"GD Phase II+":0,"Highest GD Stage":"Phase I","Research Area Tags":"ICH","Bridging Tags":"VAC","Public Source":null,"GlobalData As-of":"2026-07-31","Data Interpretation":"GlobalData snapshot only; validate current asset status","Company ID":"CMP-0f0aaf11cb4"}</t>
  </si>
  <si>
    <t>PR-ALL-CMP-9f8fdf1bdc8</t>
  </si>
  <si>
    <t>CMP-9f8fdf1bdc8</t>
  </si>
  <si>
    <t>Kaizen Bioscience Co</t>
  </si>
  <si>
    <t>{"Tier":"LONG_TAIL","Company":"Kaizen Bioscience Co","Company Type":"COMMERCIAL","GD Active Assets":1,"GD All Assets":1,"GD Phase II+":0,"Highest GD Stage":"Phase I","Research Area Tags":"ABX","Bridging Tags":null,"Public Source":null,"GlobalData As-of":"2026-07-31","Data Interpretation":"GlobalData snapshot only; validate current asset status","Company ID":"CMP-9f8fdf1bdc8"}</t>
  </si>
  <si>
    <t>PR-ALL-CMP-ef239340dac</t>
  </si>
  <si>
    <t>CMP-ef239340dac</t>
  </si>
  <si>
    <t>Kanglin Biotech Hangzhou Co Ltd</t>
  </si>
  <si>
    <t>{"Tier":"LONG_TAIL","Company":"Kanglin Biotech Hangzhou Co Ltd","Company Type":"COMMERCIAL","GD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ID":"CMP-ef239340dac"}</t>
  </si>
  <si>
    <t>PR-ALL-CMP-c7abdd6b136</t>
  </si>
  <si>
    <t>CMP-c7abdd6b136</t>
  </si>
  <si>
    <t>Kangpu Biopharmaceuticals Ltd</t>
  </si>
  <si>
    <t>{"Tier":"LONG_TAIL","Company":"Kangpu Biopharmaceuticals Ltd","Company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ID":"CMP-c7abdd6b136"}</t>
  </si>
  <si>
    <t>PR-ALL-CMP-0b5bf3c1150</t>
  </si>
  <si>
    <t>CMP-0b5bf3c1150</t>
  </si>
  <si>
    <t>Komipharm International Co Ltd</t>
  </si>
  <si>
    <t>{"Tier":"LONG_TAIL","Company":"Komipharm International Co Ltd","Company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ID":"CMP-0b5bf3c1150"}</t>
  </si>
  <si>
    <t>PR-ALL-CMP-0903b17e8ae</t>
  </si>
  <si>
    <t>CMP-0903b17e8ae</t>
  </si>
  <si>
    <t>L&amp;J Bio Co Ltd</t>
  </si>
  <si>
    <t>{"Tier":"LONG_TAIL","Company":"L&amp;J Bio Co Ltd","Company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ID":"CMP-0903b17e8ae"}</t>
  </si>
  <si>
    <t>PR-ALL-CMP-5556f6394e4</t>
  </si>
  <si>
    <t>CMP-5556f6394e4</t>
  </si>
  <si>
    <t>LadRx Corp</t>
  </si>
  <si>
    <t>{"Tier":"LONG_TAIL","Company":"LadRx Corp","Company Type":"COMMERCIAL","GD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ID":"CMP-5556f6394e4"}</t>
  </si>
  <si>
    <t>PR-ALL-CMP-7d31847a8ab</t>
  </si>
  <si>
    <t>CMP-7d31847a8ab</t>
  </si>
  <si>
    <t>LakeShore Biopharma Co Ltd</t>
  </si>
  <si>
    <t>{"Tier":"LONG_TAIL","Company":"LakeShore Biopharma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ID":"CMP-7d31847a8ab"}</t>
  </si>
  <si>
    <t>PR-ALL-CMP-5805a4eded8</t>
  </si>
  <si>
    <t>CMP-5805a4eded8</t>
  </si>
  <si>
    <t>Lawrence Livermore National Laboratory</t>
  </si>
  <si>
    <t>{"Tier":"LONG_TAIL","Company":"Lawrence Livermore National Laboratory","Company Type":"COMMERCIAL","GD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ID":"CMP-5805a4eded8"}</t>
  </si>
  <si>
    <t>PR-ALL-CMP-4e9b95b8adc</t>
  </si>
  <si>
    <t>CMP-4e9b95b8adc</t>
  </si>
  <si>
    <t>Lemonex Inc</t>
  </si>
  <si>
    <t>{"Tier":"LONG_TAIL","Company":"Lemonex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ID":"CMP-4e9b95b8adc"}</t>
  </si>
  <si>
    <t>PR-ALL-CMP-731e2f20262</t>
  </si>
  <si>
    <t>CMP-731e2f20262</t>
  </si>
  <si>
    <t>LineaRx Inc</t>
  </si>
  <si>
    <t>{"Tier":"LONG_TAIL","Company":"LineaRx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ID":"CMP-731e2f20262"}</t>
  </si>
  <si>
    <t>PR-ALL-CMP-687d7744d1e</t>
  </si>
  <si>
    <t>CMP-687d7744d1e</t>
  </si>
  <si>
    <t>Longuide Limited Lab</t>
  </si>
  <si>
    <t>{"Tier":"LONG_TAIL","Company":"Longuide Limited Lab","Company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ID":"CMP-687d7744d1e"}</t>
  </si>
  <si>
    <t>PR-ALL-CMP-34803903bfd</t>
  </si>
  <si>
    <t>CMP-34803903bfd</t>
  </si>
  <si>
    <t>Luye Pharma Group Ltd</t>
  </si>
  <si>
    <t>{"Tier":"LONG_TAIL","Company":"Luye Pharma Group Ltd","Company Type":"COMMERCIAL","GD Active Assets":1,"GD All Assets":1,"GD Phase II+":0,"Highest GD Stage":"Phase I","Research Area Tags":"ICH","Bridging Tags":"VAC","Public Source":null,"GlobalData As-of":"2026-07-31","Data Interpretation":"GlobalData snapshot only; validate current asset status","Company ID":"CMP-34803903bfd"}</t>
  </si>
  <si>
    <t>PR-ALL-CMP-3b5bc6ec1bb</t>
  </si>
  <si>
    <t>CMP-3b5bc6ec1bb</t>
  </si>
  <si>
    <t>MBF Therapeutics Inc</t>
  </si>
  <si>
    <t>{"Tier":"LONG_TAIL","Company":"MBF Therapeutics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ID":"CMP-3b5bc6ec1bb"}</t>
  </si>
  <si>
    <t>PR-ALL-CMP-21b33676d02</t>
  </si>
  <si>
    <t>CMP-21b33676d02</t>
  </si>
  <si>
    <t>Macrotope Inc</t>
  </si>
  <si>
    <t>{"Tier":"LONG_TAIL","Company":"Macrotope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ID":"CMP-21b33676d02"}</t>
  </si>
  <si>
    <t>PR-ALL-CMP-95d78e0ff1d</t>
  </si>
  <si>
    <t>CMP-95d78e0ff1d</t>
  </si>
  <si>
    <t>Malaria Vaccine and Drug Development Center</t>
  </si>
  <si>
    <t>{"Tier":"LONG_TAIL","Company":"Malaria Vaccine and Drug Development Center","Company Type":"COMMERCIAL","GD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ID":"CMP-95d78e0ff1d"}</t>
  </si>
  <si>
    <t>PR-ALL-CMP-a9c3931d796</t>
  </si>
  <si>
    <t>CMP-a9c3931d796</t>
  </si>
  <si>
    <t>MarPam Pharma LLC</t>
  </si>
  <si>
    <t>{"Tier":"LONG_TAIL","Company":"MarPam Pharma LLC","Company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ID":"CMP-a9c3931d796"}</t>
  </si>
  <si>
    <t>PR-ALL-CMP-31b44bd658c</t>
  </si>
  <si>
    <t>CMP-31b44bd658c</t>
  </si>
  <si>
    <t>Max Planck Institute of Colloids and Interfaces</t>
  </si>
  <si>
    <t>{"Tier":"LONG_TAIL","Company":"Max Planck Institute of Colloids and Interfaces","Company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ID":"CMP-31b44bd658c"}</t>
  </si>
  <si>
    <t>PR-ALL-CMP-d310df5863c</t>
  </si>
  <si>
    <t>CMP-d310df5863c</t>
  </si>
  <si>
    <t>Merakris Therapeutics Inc</t>
  </si>
  <si>
    <t>{"Tier":"LONG_TAIL","Company":"Merakris Therapeutics Inc","Company Type":"COMMERCIAL","GD Active Assets":1,"GD All Assets":1,"GD Phase II+":0,"Highest GD Stage":"Phase I","Research Area Tags":"HAI","Bridging Tags":null,"Public Source":null,"GlobalData As-of":"2026-07-31","Data Interpretation":"GlobalData snapshot only; validate current asset status","Company ID":"CMP-d310df5863c"}</t>
  </si>
  <si>
    <t>PR-ALL-CMP-6de6fcbf22b</t>
  </si>
  <si>
    <t>CMP-6de6fcbf22b</t>
  </si>
  <si>
    <t>Microbion Corp</t>
  </si>
  <si>
    <t>{"Tier":"LONG_TAIL","Company":"Microbion Corp","Company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ID":"CMP-6de6fcbf22b"}</t>
  </si>
  <si>
    <t>PR-ALL-CMP-0442d499417</t>
  </si>
  <si>
    <t>CMP-0442d499417</t>
  </si>
  <si>
    <t>Microbiotix Inc</t>
  </si>
  <si>
    <t>{"Tier":"LONG_TAIL","Company":"Microbiotix Inc","Company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ID":"CMP-0442d499417"}</t>
  </si>
  <si>
    <t>PR-ALL-CMP-a5557d4bdef</t>
  </si>
  <si>
    <t>CMP-a5557d4bdef</t>
  </si>
  <si>
    <t>MindMaze Therapeutics Holding SA</t>
  </si>
  <si>
    <t>{"Tier":"LONG_TAIL","Company":"MindMaze Therapeutics Holding SA","Company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ID":"CMP-a5557d4bdef"}</t>
  </si>
  <si>
    <t>PR-ALL-CMP-e7ba756b7dd</t>
  </si>
  <si>
    <t>CMP-e7ba756b7dd</t>
  </si>
  <si>
    <t>MitoImmune Therapeutics Inc</t>
  </si>
  <si>
    <t>{"Tier":"LONG_TAIL","Company":"MitoImmune Therapeutics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ID":"CMP-e7ba756b7dd"}</t>
  </si>
  <si>
    <t>PR-ALL-CMP-6ffd08a29ee</t>
  </si>
  <si>
    <t>CMP-6ffd08a29ee</t>
  </si>
  <si>
    <t>Moat Biotechnology Corp</t>
  </si>
  <si>
    <t>{"Tier":"LONG_TAIL","Company":"Moat Biotechnology Corp","Company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ID":"CMP-6ffd08a29ee"}</t>
  </si>
  <si>
    <t>PR-ALL-CMP-a3593f47952</t>
  </si>
  <si>
    <t>CMP-a3593f47952</t>
  </si>
  <si>
    <t>Mynvax Pvt Ltd</t>
  </si>
  <si>
    <t>{"Tier":"LONG_TAIL","Company":"Mynvax Pvt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ID":"CMP-a3593f47952"}</t>
  </si>
  <si>
    <t>PR-ALL-CMP-9dbf53674be</t>
  </si>
  <si>
    <t>CMP-9dbf53674be</t>
  </si>
  <si>
    <t>NEC Bio BV</t>
  </si>
  <si>
    <t>{"Tier":"LONG_TAIL","Company":"NEC Bio BV","Company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ID":"CMP-9dbf53674be"}</t>
  </si>
  <si>
    <t>PR-ALL-CMP-284c6e882ee</t>
  </si>
  <si>
    <t>CMP-284c6e882ee</t>
  </si>
  <si>
    <t>Nanjing AuroRNA Biotech Co Ltd</t>
  </si>
  <si>
    <t>{"Tier":"LONG_TAIL","Company":"Nanjing AuroRNA Biotech Co Ltd","Company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ID":"CMP-284c6e882ee"}</t>
  </si>
  <si>
    <t>PR-ALL-CMP-278eb1e5edd</t>
  </si>
  <si>
    <t>CMP-278eb1e5edd</t>
  </si>
  <si>
    <t>Nanjing Yoko Pharmaceutical Co Ltd</t>
  </si>
  <si>
    <t>{"Tier":"LONG_TAIL","Company":"Nanjing Yoko Pharmaceutical Co Ltd","Company Type":"COMMERCIAL","GD Active Assets":1,"GD All Assets":1,"GD Phase II+":0,"Highest GD Stage":"Phase I","Research Area Tags":"HAI","Bridging Tags":null,"Public Source":null,"GlobalData As-of":"2026-07-31","Data Interpretation":"GlobalData snapshot only; validate current asset status","Company ID":"CMP-278eb1e5edd"}</t>
  </si>
  <si>
    <t>PR-ALL-CMP-a29a0b0262e</t>
  </si>
  <si>
    <t>CMP-a29a0b0262e</t>
  </si>
  <si>
    <t>NanoReviv</t>
  </si>
  <si>
    <t>{"Tier":"LONG_TAIL","Company":"NanoReviv","Company Type":"COMMERCIAL","GD Active Assets":1,"GD All Assets":1,"GD Phase II+":0,"Highest GD Stage":"Preclinical","Research Area Tags":"HAI","Bridging Tags":null,"Public Source":null,"GlobalData As-of":"2026-07-31","Data Interpretation":"GlobalData snapshot only; validate current asset status","Company ID":"CMP-a29a0b0262e"}</t>
  </si>
  <si>
    <t>PR-ALL-CMP-63b579f4177</t>
  </si>
  <si>
    <t>CMP-63b579f4177</t>
  </si>
  <si>
    <t>NanoVation Therapeutics Inc</t>
  </si>
  <si>
    <t>{"Tier":"LONG_TAIL","Company":"NanoVation Therapeutics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ID":"CMP-63b579f4177"}</t>
  </si>
  <si>
    <t>PR-ALL-CMP-9908f1871be</t>
  </si>
  <si>
    <t>CMP-9908f1871be</t>
  </si>
  <si>
    <t>Nascent Biotech Inc</t>
  </si>
  <si>
    <t>{"Tier":"LONG_TAIL","Company":"Nascent Biotech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ID":"CMP-9908f1871be"}</t>
  </si>
  <si>
    <t>PR-ALL-CMP-ad98caaea3a</t>
  </si>
  <si>
    <t>CMP-ad98caaea3a</t>
  </si>
  <si>
    <t>National Cancer Institute US</t>
  </si>
  <si>
    <t>{"Tier":"LONG_TAIL","Company":"National Cancer Institute US","Company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ID":"CMP-ad98caaea3a"}</t>
  </si>
  <si>
    <t>PR-ALL-CMP-dc08c321593</t>
  </si>
  <si>
    <t>CMP-dc08c321593</t>
  </si>
  <si>
    <t>NeoMatrix Therapeutics Inc</t>
  </si>
  <si>
    <t>{"Tier":"LONG_TAIL","Company":"NeoMatrix Therapeutics Inc","Company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ID":"CMP-dc08c321593"}</t>
  </si>
  <si>
    <t>PR-ALL-CMP-4b399850882</t>
  </si>
  <si>
    <t>CMP-4b399850882</t>
  </si>
  <si>
    <t>Neobiosis LLC</t>
  </si>
  <si>
    <t>{"Tier":"LONG_TAIL","Company":"Neobiosis LLC","Company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ID":"CMP-4b399850882"}</t>
  </si>
  <si>
    <t>PR-ALL-CMP-e59801c3072</t>
  </si>
  <si>
    <t>CMP-e59801c3072</t>
  </si>
  <si>
    <t>Neovac Ltd</t>
  </si>
  <si>
    <t>{"Tier":"LONG_TAIL","Company":"Neovac Ltd","Company Type":"COMMERCIAL","GD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ID":"CMP-e59801c3072"}</t>
  </si>
  <si>
    <t>PR-ALL-CMP-4274573a8c8</t>
  </si>
  <si>
    <t>CMP-4274573a8c8</t>
  </si>
  <si>
    <t>Neutrolis Inc</t>
  </si>
  <si>
    <t>{"Tier":"LONG_TAIL","Company":"Neutrolis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ID":"CMP-4274573a8c8"}</t>
  </si>
  <si>
    <t>PR-ALL-CMP-d128a397209</t>
  </si>
  <si>
    <t>CMP-d128a397209</t>
  </si>
  <si>
    <t>NexTranslate Bio</t>
  </si>
  <si>
    <t>{"Tier":"LONG_TAIL","Company":"NexTranslate Bio","Company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ID":"CMP-d128a397209"}</t>
  </si>
  <si>
    <t>PR-ALL-CMP-3dd90805686</t>
  </si>
  <si>
    <t>CMP-3dd90805686</t>
  </si>
  <si>
    <t>Novogene Biotechnology (Chongqing) Co Ltd</t>
  </si>
  <si>
    <t>{"Tier":"LONG_TAIL","Company":"Novogene Biotechnology (Chongqing) Co Ltd","Company Type":"COMMERCIAL","GD Active Assets":1,"GD All Assets":1,"GD Phase II+":0,"Highest GD Stage":"IND/CTA Filed","Research Area Tags":"HEP","Bridging Tags":null,"Public Source":null,"GlobalData As-of":"2026-07-31","Data Interpretation":"GlobalData snapshot only; validate current asset status","Company ID":"CMP-3dd90805686"}</t>
  </si>
  <si>
    <t>PR-ALL-CMP-77fdb98f5b8</t>
  </si>
  <si>
    <t>CMP-77fdb98f5b8</t>
  </si>
  <si>
    <t>Nucorion Pharmaceuticals Inc</t>
  </si>
  <si>
    <t>{"Tier":"LONG_TAIL","Company":"Nucorion Pharmaceuticals Inc","Company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ID":"CMP-77fdb98f5b8"}</t>
  </si>
  <si>
    <t>PR-ALL-CMP-cfce11b0871</t>
  </si>
  <si>
    <t>CMP-cfce11b0871</t>
  </si>
  <si>
    <t>NuvOx Pharma LLC</t>
  </si>
  <si>
    <t>{"Tier":"LONG_TAIL","Company":"NuvOx Pharma LLC","Company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ID":"CMP-cfce11b0871"}</t>
  </si>
  <si>
    <t>PR-ALL-CMP-b6f36842d9d</t>
  </si>
  <si>
    <t>CMP-b6f36842d9d</t>
  </si>
  <si>
    <t>Ocean Biomedical Inc.</t>
  </si>
  <si>
    <t>{"Tier":"LONG_TAIL","Company":"Ocean Biomedical Inc.","Company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ID":"CMP-b6f36842d9d"}</t>
  </si>
  <si>
    <t>PR-ALL-CMP-f7a7e7c3801</t>
  </si>
  <si>
    <t>CMP-f7a7e7c3801</t>
  </si>
  <si>
    <t>Oncoinvent ASA</t>
  </si>
  <si>
    <t>{"Tier":"LONG_TAIL","Company":"Oncoinvent ASA","Company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ID":"CMP-f7a7e7c3801"}</t>
  </si>
  <si>
    <t>PR-ALL-CMP-37eb5622b76</t>
  </si>
  <si>
    <t>CMP-37eb5622b76</t>
  </si>
  <si>
    <t>Oncotelic Therapeutics Inc</t>
  </si>
  <si>
    <t>{"Tier":"LONG_TAIL","Company":"Oncotelic Therapeutics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ID":"CMP-37eb5622b76"}</t>
  </si>
  <si>
    <t>PR-ALL-CMP-e2eb211f5d6</t>
  </si>
  <si>
    <t>CMP-e2eb211f5d6</t>
  </si>
  <si>
    <t>Orgenesis Inc</t>
  </si>
  <si>
    <t>{"Tier":"LONG_TAIL","Company":"Orgenesis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ID":"CMP-e2eb211f5d6"}</t>
  </si>
  <si>
    <t>PR-ALL-CMP-889eeae7281</t>
  </si>
  <si>
    <t>CMP-889eeae7281</t>
  </si>
  <si>
    <t>Orion Biotechnology Canada Ltd</t>
  </si>
  <si>
    <t>{"Tier":"LONG_TAIL","Company":"Orion Biotechnology Canada Ltd","Company Type":"COMMERCIAL","GD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ID":"CMP-889eeae7281"}</t>
  </si>
  <si>
    <t>PR-ALL-CMP-ab691e3c721</t>
  </si>
  <si>
    <t>CMP-ab691e3c721</t>
  </si>
  <si>
    <t>Osvah Pharmaceutical Co</t>
  </si>
  <si>
    <t>{"Tier":"LONG_TAIL","Company":"Osvah Pharmaceutical Co","Company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ID":"CMP-ab691e3c721"}</t>
  </si>
  <si>
    <t>PR-ALL-CMP-5d80f0e4a19</t>
  </si>
  <si>
    <t>CMP-5d80f0e4a19</t>
  </si>
  <si>
    <t>P4 Microbiome Inc</t>
  </si>
  <si>
    <t>{"Tier":"LONG_TAIL","Company":"P4 Microbiome Inc","Company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ID":"CMP-5d80f0e4a19"}</t>
  </si>
  <si>
    <t>PR-ALL-CMP-a9300f2963c</t>
  </si>
  <si>
    <t>CMP-a9300f2963c</t>
  </si>
  <si>
    <t>PDX Pharmaceuticals Inc</t>
  </si>
  <si>
    <t>{"Tier":"LONG_TAIL","Company":"PDX Pharmaceuticals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ID":"CMP-a9300f2963c"}</t>
  </si>
  <si>
    <t>PR-ALL-CMP-55559b13967</t>
  </si>
  <si>
    <t>CMP-55559b13967</t>
  </si>
  <si>
    <t>PeptiAID Inc</t>
  </si>
  <si>
    <t>{"Tier":"LONG_TAIL","Company":"PeptiAID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ID":"CMP-55559b13967"}</t>
  </si>
  <si>
    <t>PR-ALL-CMP-c9c87c5a93a</t>
  </si>
  <si>
    <t>CMP-c9c87c5a93a</t>
  </si>
  <si>
    <t>PharmAbcine Inc</t>
  </si>
  <si>
    <t>{"Tier":"LONG_TAIL","Company":"PharmAbcine Inc","Company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ID":"CMP-c9c87c5a93a"}</t>
  </si>
  <si>
    <t>PR-ALL-CMP-67e98fe6c9e</t>
  </si>
  <si>
    <t>CMP-67e98fe6c9e</t>
  </si>
  <si>
    <t>Pharmadrug Inc</t>
  </si>
  <si>
    <t>{"Tier":"LONG_TAIL","Company":"Pharmadrug Inc","Company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ID":"CMP-67e98fe6c9e"}</t>
  </si>
  <si>
    <t>PR-ALL-CMP-21bc247f02d</t>
  </si>
  <si>
    <t>CMP-21bc247f02d</t>
  </si>
  <si>
    <t>Pharmazz Inc</t>
  </si>
  <si>
    <t>{"Tier":"LONG_TAIL","Company":"Pharmazz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ID":"CMP-21bc247f02d"}</t>
  </si>
  <si>
    <t>PR-ALL-CMP-1ab861f1a89</t>
  </si>
  <si>
    <t>CMP-1ab861f1a89</t>
  </si>
  <si>
    <t>Phoenix Biosciences SA</t>
  </si>
  <si>
    <t>{"Tier":"LONG_TAIL","Company":"Phoenix Biosciences SA","Company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ID":"CMP-1ab861f1a89"}</t>
  </si>
  <si>
    <t>PR-ALL-CMP-d9b4c1d00ce</t>
  </si>
  <si>
    <t>CMP-d9b4c1d00ce</t>
  </si>
  <si>
    <t>PhorMed Inc</t>
  </si>
  <si>
    <t>{"Tier":"LONG_TAIL","Company":"PhorMed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ID":"CMP-d9b4c1d00ce"}</t>
  </si>
  <si>
    <t>PR-ALL-CMP-ad2fbf2ecdc</t>
  </si>
  <si>
    <t>CMP-ad2fbf2ecdc</t>
  </si>
  <si>
    <t>Phylex BioSciences Inc</t>
  </si>
  <si>
    <t>{"Tier":"LONG_TAIL","Company":"Phylex BioSciences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ID":"CMP-ad2fbf2ecdc"}</t>
  </si>
  <si>
    <t>PR-ALL-CMP-f7279509a1c</t>
  </si>
  <si>
    <t>CMP-f7279509a1c</t>
  </si>
  <si>
    <t>Polymun Scientific Immunbiologische Forschung GmbH</t>
  </si>
  <si>
    <t>{"Tier":"LONG_TAIL","Company":"Polymun Scientific Immunbiologische Forschung GmbH","Company Type":"COMMERCIAL","GD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ID":"CMP-f7279509a1c"}</t>
  </si>
  <si>
    <t>PR-ALL-CMP-dac45742919</t>
  </si>
  <si>
    <t>CMP-dac45742919</t>
  </si>
  <si>
    <t>Preveceutical Medical Inc</t>
  </si>
  <si>
    <t>{"Tier":"LONG_TAIL","Company":"Preveceutical Medical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ID":"CMP-dac45742919"}</t>
  </si>
  <si>
    <t>PR-ALL-CMP-2b50f1df83a</t>
  </si>
  <si>
    <t>CMP-2b50f1df83a</t>
  </si>
  <si>
    <t>Primmune Therapeutics Inc</t>
  </si>
  <si>
    <t>{"Tier":"LONG_TAIL","Company":"Primmune Therapeutics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ID":"CMP-2b50f1df83a"}</t>
  </si>
  <si>
    <t>PR-ALL-CMP-cbbbe9a68cd</t>
  </si>
  <si>
    <t>CMP-cbbbe9a68cd</t>
  </si>
  <si>
    <t>Protheragen Inc</t>
  </si>
  <si>
    <t>{"Tier":"LONG_TAIL","Company":"Protheragen Inc","Company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ID":"CMP-cbbbe9a68cd"}</t>
  </si>
  <si>
    <t>PR-ALL-CMP-0c9f89a3c9e</t>
  </si>
  <si>
    <t>CMP-0c9f89a3c9e</t>
  </si>
  <si>
    <t>Pulmonomy Inc</t>
  </si>
  <si>
    <t>{"Tier":"LONG_TAIL","Company":"Pulmonomy Inc","Company Type":"COMMERCIAL","GD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ID":"CMP-0c9f89a3c9e"}</t>
  </si>
  <si>
    <t>PR-ALL-CMP-4522acd8a43</t>
  </si>
  <si>
    <t>CMP-4522acd8a43</t>
  </si>
  <si>
    <t>Pyrotech (Beijing) Biotechnology Co Ltd</t>
  </si>
  <si>
    <t>{"Tier":"LONG_TAIL","Company":"Pyrotech (Beijing) Biotechnology Co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ID":"CMP-4522acd8a43"}</t>
  </si>
  <si>
    <t>PR-ALL-CMP-5eae3268816</t>
  </si>
  <si>
    <t>CMP-5eae3268816</t>
  </si>
  <si>
    <t>QX Therapeutics Inc</t>
  </si>
  <si>
    <t>{"Tier":"LONG_TAIL","Company":"QX Therapeutics Inc","Company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ID":"CMP-5eae3268816"}</t>
  </si>
  <si>
    <t>PR-ALL-CMP-474da09bbc6</t>
  </si>
  <si>
    <t>CMP-474da09bbc6</t>
  </si>
  <si>
    <t>Qilu Pharmaceutical Co Ltd</t>
  </si>
  <si>
    <t>{"Tier":"LONG_TAIL","Company":"Qilu Pharmaceutical Co Ltd","Company Type":"COMMERCIAL","GD Active Assets":1,"GD All Assets":1,"GD Phase II+":0,"Highest GD Stage":"Phase I","Research Area Tags":"HAI","Bridging Tags":null,"Public Source":null,"GlobalData As-of":"2026-07-31","Data Interpretation":"GlobalData snapshot only; validate current asset status","Company ID":"CMP-474da09bbc6"}</t>
  </si>
  <si>
    <t>PR-ALL-CMP-add0c6d8037</t>
  </si>
  <si>
    <t>CMP-add0c6d8037</t>
  </si>
  <si>
    <t>Quadmedicine</t>
  </si>
  <si>
    <t>{"Tier":"LONG_TAIL","Company":"Quadmedicine","Company Type":"COMMERCIAL","GD Active Assets":1,"GD All Assets":1,"GD Phase II+":0,"Highest GD Stage":"IND/CTA Filed","Research Area Tags":"HEP","Bridging Tags":null,"Public Source":null,"GlobalData As-of":"2026-07-31","Data Interpretation":"GlobalData snapshot only; validate current asset status","Company ID":"CMP-add0c6d8037"}</t>
  </si>
  <si>
    <t>PR-ALL-CMP-b48bf28c212</t>
  </si>
  <si>
    <t>CMP-b48bf28c212</t>
  </si>
  <si>
    <t>Quadram Institute Bioscience</t>
  </si>
  <si>
    <t>{"Tier":"LONG_TAIL","Company":"Quadram Institute Bioscience","Company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ID":"CMP-b48bf28c212"}</t>
  </si>
  <si>
    <t>PR-ALL-CMP-70917c2c685</t>
  </si>
  <si>
    <t>CMP-70917c2c685</t>
  </si>
  <si>
    <t>Quercus Molecular Design LLC</t>
  </si>
  <si>
    <t>{"Tier":"LONG_TAIL","Company":"Quercus Molecular Design LLC","Company Type":"COMMERCIAL","GD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ID":"CMP-70917c2c685"}</t>
  </si>
  <si>
    <t>PR-ALL-CMP-fbfcbc361d3</t>
  </si>
  <si>
    <t>CMP-fbfcbc361d3</t>
  </si>
  <si>
    <t>REYON Pharmaceutical Co Ltd</t>
  </si>
  <si>
    <t>{"Tier":"LONG_TAIL","Company":"REYON Pharmaceutical Co Ltd","Company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ID":"CMP-fbfcbc361d3"}</t>
  </si>
  <si>
    <t>PR-ALL-CMP-82834018155</t>
  </si>
  <si>
    <t>CMP-82834018155</t>
  </si>
  <si>
    <t>RIGImmune Inc</t>
  </si>
  <si>
    <t>{"Tier":"LONG_TAIL","Company":"RIGImmune Inc","Company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ID":"CMP-82834018155"}</t>
  </si>
  <si>
    <t>PR-ALL-CMP-37ecee98ba5</t>
  </si>
  <si>
    <t>CMP-37ecee98ba5</t>
  </si>
  <si>
    <t>RIKEN</t>
  </si>
  <si>
    <t>{"Tier":"LONG_TAIL","Company":"RIKEN","Company Type":"COMMERCIAL","GD Active Assets":1,"GD All Assets":1,"GD Phase II+":0,"Highest GD Stage":"Preclinical","Research Area Tags":"EMG","Bridging Tags":"MAB","Public Source":null,"GlobalData As-of":"2026-07-31","Data Interpretation":"GlobalData snapshot only; validate current asset status","Company ID":"CMP-37ecee98ba5"}</t>
  </si>
  <si>
    <t>PR-ALL-CMP-08be8d7a91b</t>
  </si>
  <si>
    <t>CMP-08be8d7a91b</t>
  </si>
  <si>
    <t>RNA Therapeutics Inc</t>
  </si>
  <si>
    <t>{"Tier":"LONG_TAIL","Company":"RNA Therapeutics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ID":"CMP-08be8d7a91b"}</t>
  </si>
  <si>
    <t>PR-ALL-CMP-f9be3e0d333</t>
  </si>
  <si>
    <t>CMP-f9be3e0d333</t>
  </si>
  <si>
    <t>RNACure</t>
  </si>
  <si>
    <t>{"Tier":"LONG_TAIL","Company":"RNACure","Company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ID":"CMP-f9be3e0d333"}</t>
  </si>
  <si>
    <t>PR-ALL-CMP-5504252a839</t>
  </si>
  <si>
    <t>CMP-5504252a839</t>
  </si>
  <si>
    <t>Rahpoyan Fanavar Sadeq Co</t>
  </si>
  <si>
    <t>{"Tier":"LONG_TAIL","Company":"Rahpoyan Fanavar Sadeq Co","Company Type":"COMMERCIAL","GD Active Assets":1,"GD All Assets":1,"GD Phase II+":0,"Highest GD Stage":"Phase I","Research Area Tags":"MUC","Bridging Tags":"VAC","Public Source":null,"GlobalData As-of":"2026-07-31","Data Interpretation":"GlobalData snapshot only; validate current asset status","Company ID":"CMP-5504252a839"}</t>
  </si>
  <si>
    <t>PR-ALL-CMP-4eaa391bd83</t>
  </si>
  <si>
    <t>CMP-4eaa391bd83</t>
  </si>
  <si>
    <t>Raphas Co Ltd</t>
  </si>
  <si>
    <t>{"Tier":"LONG_TAIL","Company":"Raphas Co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ID":"CMP-4eaa391bd83"}</t>
  </si>
  <si>
    <t>PR-ALL-CMP-1ab64d1dc53</t>
  </si>
  <si>
    <t>CMP-1ab64d1dc53</t>
  </si>
  <si>
    <t>Red Queen Therapeutics Inc</t>
  </si>
  <si>
    <t>{"Tier":"LONG_TAIL","Company":"Red Queen Therapeutics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ID":"CMP-1ab64d1dc53"}</t>
  </si>
  <si>
    <t>PR-ALL-CMP-16293541b92</t>
  </si>
  <si>
    <t>CMP-16293541b92</t>
  </si>
  <si>
    <t>Revium Rx Ltd</t>
  </si>
  <si>
    <t>{"Tier":"LONG_TAIL","Company":"Revium Rx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ID":"CMP-16293541b92"}</t>
  </si>
  <si>
    <t>PR-ALL-CMP-24e4a855b27</t>
  </si>
  <si>
    <t>CMP-24e4a855b27</t>
  </si>
  <si>
    <t>Revive Therapeutics Ltd</t>
  </si>
  <si>
    <t>{"Tier":"LONG_TAIL","Company":"Revive Therapeutics Ltd","Company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ID":"CMP-24e4a855b27"}</t>
  </si>
  <si>
    <t>PR-ALL-CMP-7f317b7a221</t>
  </si>
  <si>
    <t>CMP-7f317b7a221</t>
  </si>
  <si>
    <t>Rock Biomedical Inc</t>
  </si>
  <si>
    <t>{"Tier":"LONG_TAIL","Company":"Rock Biomedical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ID":"CMP-7f317b7a221"}</t>
  </si>
  <si>
    <t>PR-ALL-CMP-5344fa27b9c</t>
  </si>
  <si>
    <t>CMP-5344fa27b9c</t>
  </si>
  <si>
    <t>Rokote Laboratories Finland Ltd</t>
  </si>
  <si>
    <t>{"Tier":"LONG_TAIL","Company":"Rokote Laboratories Finland Ltd","Company Type":"COMMERCIAL","GD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ID":"CMP-5344fa27b9c"}</t>
  </si>
  <si>
    <t>PR-ALL-CMP-e95e347b05e</t>
  </si>
  <si>
    <t>CMP-e95e347b05e</t>
  </si>
  <si>
    <t>Roswell Park Cancer Institute</t>
  </si>
  <si>
    <t>{"Tier":"LONG_TAIL","Company":"Roswell Park Cancer Institute","Company Type":"COMMERCIAL","GD Active Assets":1,"GD All Assets":1,"GD Phase II+":0,"Highest GD Stage":"Preclinical","Research Area Tags":"ICH","Bridging Tags":"VAC","Public Source":null,"GlobalData As-of":"2026-07-31","Data Interpretation":"GlobalData snapshot only; validate current asset status","Company ID":"CMP-e95e347b05e"}</t>
  </si>
  <si>
    <t>PR-ALL-CMP-43c13d4e334</t>
  </si>
  <si>
    <t>CMP-43c13d4e334</t>
  </si>
  <si>
    <t>Royal (Wuxi) Bio-Pharmaceutical Co Ltd</t>
  </si>
  <si>
    <t>{"Tier":"LONG_TAIL","Company":"Royal (Wuxi) Bio-Pharmaceutical Co Ltd","Company Type":"COMMERCIAL","GD Active Assets":1,"GD All Assets":1,"GD Phase II+":0,"Highest GD Stage":"IND/CTA Filed","Research Area Tags":"MUC","Bridging Tags":"VAC","Public Source":null,"GlobalData As-of":"2026-07-31","Data Interpretation":"GlobalData snapshot only; validate current asset status","Company ID":"CMP-43c13d4e334"}</t>
  </si>
  <si>
    <t>PR-ALL-CMP-0771f72f399</t>
  </si>
  <si>
    <t>CMP-0771f72f399</t>
  </si>
  <si>
    <t>Sangamo Therapeutics Inc</t>
  </si>
  <si>
    <t>{"Tier":"LONG_TAIL","Company":"Sangamo Therapeutics Inc","Company Type":"COMMERCIAL","GD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ID":"CMP-0771f72f399"}</t>
  </si>
  <si>
    <t>PR-ALL-CMP-265affa1eca</t>
  </si>
  <si>
    <t>CMP-265affa1eca</t>
  </si>
  <si>
    <t>Sapu Bioscience LLC</t>
  </si>
  <si>
    <t>{"Tier":"LONG_TAIL","Company":"Sapu Bioscience LLC","Company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ID":"CMP-265affa1eca"}</t>
  </si>
  <si>
    <t>PR-ALL-CMP-1d175e979f1</t>
  </si>
  <si>
    <t>CMP-1d175e979f1</t>
  </si>
  <si>
    <t>Sareum Holdings Plc</t>
  </si>
  <si>
    <t>{"Tier":"LONG_TAIL","Company":"Sareum Holdings Plc","Company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ID":"CMP-1d175e979f1"}</t>
  </si>
  <si>
    <t>PR-ALL-CMP-c82255a3341</t>
  </si>
  <si>
    <t>CMP-c82255a3341</t>
  </si>
  <si>
    <t>Sathgen Biotech</t>
  </si>
  <si>
    <t>{"Tier":"LONG_TAIL","Company":"Sathgen Biotech","Company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ID":"CMP-c82255a3341"}</t>
  </si>
  <si>
    <t>PR-ALL-CMP-5b39ebfc216</t>
  </si>
  <si>
    <t>CMP-5b39ebfc216</t>
  </si>
  <si>
    <t>Sayvaa Pharma Inc</t>
  </si>
  <si>
    <t>{"Tier":"LONG_TAIL","Company":"Sayvaa Pharma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ID":"CMP-5b39ebfc216"}</t>
  </si>
  <si>
    <t>PR-ALL-CMP-fc26a0c8519</t>
  </si>
  <si>
    <t>CMP-fc26a0c8519</t>
  </si>
  <si>
    <t>Scientific Center for Anti-Infectious Drugs</t>
  </si>
  <si>
    <t>{"Tier":"LONG_TAIL","Company":"Scientific Center for Anti-Infectious Drugs","Company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ID":"CMP-fc26a0c8519"}</t>
  </si>
  <si>
    <t>PR-ALL-CMP-76c9a1ab148</t>
  </si>
  <si>
    <t>CMP-76c9a1ab148</t>
  </si>
  <si>
    <t>Sclnow Biotechnology Co Ltd</t>
  </si>
  <si>
    <t>{"Tier":"LONG_TAIL","Company":"Sclnow Biotechnology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ID":"CMP-76c9a1ab148"}</t>
  </si>
  <si>
    <t>PR-ALL-CMP-11a011529ee</t>
  </si>
  <si>
    <t>CMP-11a011529ee</t>
  </si>
  <si>
    <t>Secarna Pharmaceuticals GmbH &amp; Co KG</t>
  </si>
  <si>
    <t>{"Tier":"LONG_TAIL","Company":"Secarna Pharmaceuticals GmbH &amp; Co KG","Company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ID":"CMP-11a011529ee"}</t>
  </si>
  <si>
    <t>PR-ALL-CMP-f70bda993e1</t>
  </si>
  <si>
    <t>CMP-f70bda993e1</t>
  </si>
  <si>
    <t>Shaanxi Kunqin Biotechnology Co Ltd</t>
  </si>
  <si>
    <t>{"Tier":"LONG_TAIL","Company":"Shaanxi Kunqin Biotechnology Co Ltd","Company Type":"COMMERCIAL","GD Active Assets":1,"GD All Assets":1,"GD Phase II+":0,"Highest GD Stage":"Phase I","Research Area Tags":"MUC","Bridging Tags":"VAC","Public Source":null,"GlobalData As-of":"2026-07-31","Data Interpretation":"GlobalData snapshot only; validate current asset status","Company ID":"CMP-f70bda993e1"}</t>
  </si>
  <si>
    <t>PR-ALL-CMP-907a6d905c6</t>
  </si>
  <si>
    <t>CMP-907a6d905c6</t>
  </si>
  <si>
    <t>Shandong Boan Biotechnology Co Ltd</t>
  </si>
  <si>
    <t>{"Tier":"LONG_TAIL","Company":"Shandong Boan Biotechnology Co Ltd","Company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ID":"CMP-907a6d905c6"}</t>
  </si>
  <si>
    <t>PR-ALL-CMP-f12b08f3b9d</t>
  </si>
  <si>
    <t>CMP-f12b08f3b9d</t>
  </si>
  <si>
    <t>Shandong Luning Pharmaceutical Co Ltd</t>
  </si>
  <si>
    <t>{"Tier":"LONG_TAIL","Company":"Shandong Luning Pharmaceutical Co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ID":"CMP-f12b08f3b9d"}</t>
  </si>
  <si>
    <t>PR-ALL-CMP-01c871d4684</t>
  </si>
  <si>
    <t>CMP-01c871d4684</t>
  </si>
  <si>
    <t>Shanghai CureGene Pharmaceutical Co Ltd</t>
  </si>
  <si>
    <t>{"Tier":"LONG_TAIL","Company":"Shanghai CureGene Pharmaceutical Co Ltd","Company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ID":"CMP-01c871d4684"}</t>
  </si>
  <si>
    <t>PR-ALL-CMP-1e381fbe92b</t>
  </si>
  <si>
    <t>CMP-1e381fbe92b</t>
  </si>
  <si>
    <t>Shanghai Huiyong Pharmaceutical Research Co Ltd</t>
  </si>
  <si>
    <t>{"Tier":"LONG_TAIL","Company":"Shanghai Huiyong Pharmaceutical Research Co Ltd","Company Type":"COMMERCIAL","GD Active Assets":1,"GD All Assets":1,"GD Phase II+":0,"Highest GD Stage":"IND/CTA Filed","Research Area Tags":"ABX","Bridging Tags":null,"Public Source":null,"GlobalData As-of":"2026-07-31","Data Interpretation":"GlobalData snapshot only; validate current asset status","Company ID":"CMP-1e381fbe92b"}</t>
  </si>
  <si>
    <t>PR-ALL-CMP-7c553d2d4f3</t>
  </si>
  <si>
    <t>CMP-7c553d2d4f3</t>
  </si>
  <si>
    <t>Shanghai Jinwei Biotechnology Co Ltd</t>
  </si>
  <si>
    <t>{"Tier":"LONG_TAIL","Company":"Shanghai Jinwei Biotechnology Co Ltd","Company Type":"COMMERCIAL","GD Active Assets":1,"GD All Assets":1,"GD Phase II+":0,"Highest GD Stage":"IND/CTA Filed","Research Area Tags":"HEP","Bridging Tags":"VAC","Public Source":null,"GlobalData As-of":"2026-07-31","Data Interpretation":"GlobalData snapshot only; validate current asset status","Company ID":"CMP-7c553d2d4f3"}</t>
  </si>
  <si>
    <t>PR-ALL-CMP-09cacb21ff2</t>
  </si>
  <si>
    <t>CMP-09cacb21ff2</t>
  </si>
  <si>
    <t>Shanghai Junshi Biosciences Co Ltd</t>
  </si>
  <si>
    <t>{"Tier":"LONG_TAIL","Company":"Shanghai Junshi Biosciences Co Ltd","Company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ID":"CMP-09cacb21ff2"}</t>
  </si>
  <si>
    <t>PR-ALL-CMP-a7fc54ee9c0</t>
  </si>
  <si>
    <t>CMP-a7fc54ee9c0</t>
  </si>
  <si>
    <t>Sicagene (Beijing) Biotechnology Co Ltd</t>
  </si>
  <si>
    <t>{"Tier":"LONG_TAIL","Company":"Sicagene (Beijing) Biotechnology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ID":"CMP-a7fc54ee9c0"}</t>
  </si>
  <si>
    <t>PR-ALL-CMP-00e14cef405</t>
  </si>
  <si>
    <t>CMP-00e14cef405</t>
  </si>
  <si>
    <t>Sichuan Jianlin Pharmaceutical Co Ltd</t>
  </si>
  <si>
    <t>{"Tier":"LONG_TAIL","Company":"Sichuan Jianlin Pharmaceutical Co Ltd","Company Type":"COMMERCIAL","GD Active Assets":1,"GD All Assets":1,"GD Phase II+":0,"Highest GD Stage":"Phase I","Research Area Tags":"MUC","Bridging Tags":null,"Public Source":null,"GlobalData As-of":"2026-07-31","Data Interpretation":"GlobalData snapshot only; validate current asset status","Company ID":"CMP-00e14cef405"}</t>
  </si>
  <si>
    <t>PR-ALL-CMP-077f32a018e</t>
  </si>
  <si>
    <t>CMP-077f32a018e</t>
  </si>
  <si>
    <t>Sichuan Mingruijia Biotechnology Co Ltd</t>
  </si>
  <si>
    <t>{"Tier":"LONG_TAIL","Company":"Sichuan Mingruijia Biotechnology Co Ltd","Company Type":"COMMERCIAL","GD Active Assets":1,"GD All Assets":1,"GD Phase II+":0,"Highest GD Stage":"IND/CTA Filed","Research Area Tags":"ICH","Bridging Tags":"VAC","Public Source":null,"GlobalData As-of":"2026-07-31","Data Interpretation":"GlobalData snapshot only; validate current asset status","Company ID":"CMP-077f32a018e"}</t>
  </si>
  <si>
    <t>PR-ALL-CMP-6de9577f73a</t>
  </si>
  <si>
    <t>CMP-6de9577f73a</t>
  </si>
  <si>
    <t>Softox Solutions AS</t>
  </si>
  <si>
    <t>{"Tier":"LONG_TAIL","Company":"Softox Solutions AS","Company Type":"COMMERCIAL","GD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ID":"CMP-6de9577f73a"}</t>
  </si>
  <si>
    <t>PR-ALL-CMP-77932db6b69</t>
  </si>
  <si>
    <t>CMP-77932db6b69</t>
  </si>
  <si>
    <t>Solaris Vaccines Inc</t>
  </si>
  <si>
    <t>{"Tier":"LONG_TAIL","Company":"Solaris Vaccines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ID":"CMP-77932db6b69"}</t>
  </si>
  <si>
    <t>PR-ALL-CMP-27e39663022</t>
  </si>
  <si>
    <t>CMP-27e39663022</t>
  </si>
  <si>
    <t>Soligenix Inc</t>
  </si>
  <si>
    <t>{"Tier":"LONG_TAIL","Company":"Soligenix Inc","Company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ID":"CMP-27e39663022"}</t>
  </si>
  <si>
    <t>PR-ALL-CMP-cc8140c485b</t>
  </si>
  <si>
    <t>CMP-cc8140c485b</t>
  </si>
  <si>
    <t>Sonoran Biosciences Inc</t>
  </si>
  <si>
    <t>{"Tier":"LONG_TAIL","Company":"Sonoran Biosciences Inc","Company Type":"COMMERCIAL","GD Active Assets":1,"GD All Assets":1,"GD Phase II+":0,"Highest GD Stage":"Preclinical","Research Area Tags":"HAI","Bridging Tags":null,"Public Source":null,"GlobalData As-of":"2026-07-31","Data Interpretation":"GlobalData snapshot only; validate current asset status","Company ID":"CMP-cc8140c485b"}</t>
  </si>
  <si>
    <t>PR-ALL-CMP-70b6a9ebb14</t>
  </si>
  <si>
    <t>CMP-70b6a9ebb14</t>
  </si>
  <si>
    <t>Spanish National Research Council</t>
  </si>
  <si>
    <t>{"Tier":"LONG_TAIL","Company":"Spanish National Research Council","Company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ID":"CMP-70b6a9ebb14"}</t>
  </si>
  <si>
    <t>PR-ALL-CMP-a7b8e63a5ef</t>
  </si>
  <si>
    <t>CMP-a7b8e63a5ef</t>
  </si>
  <si>
    <t>Spedding Research Solutions SAS</t>
  </si>
  <si>
    <t>{"Tier":"LONG_TAIL","Company":"Spedding Research Solutions SAS","Company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ID":"CMP-a7b8e63a5ef"}</t>
  </si>
  <si>
    <t>PR-ALL-CMP-d68f00e491e</t>
  </si>
  <si>
    <t>CMP-d68f00e491e</t>
  </si>
  <si>
    <t>SpikImm SAS</t>
  </si>
  <si>
    <t>{"Tier":"LONG_TAIL","Company":"SpikImm SAS","Company Type":"COMMERCIAL","GD Active Assets":1,"GD All Assets":1,"GD Phase II+":0,"Highest GD Stage":"Preclinical","Research Area Tags":"ICH","Bridging Tags":"MAB","Public Source":null,"GlobalData As-of":"2026-07-31","Data Interpretation":"GlobalData snapshot only; validate current asset status","Company ID":"CMP-d68f00e491e"}</t>
  </si>
  <si>
    <t>PR-ALL-CMP-3cf925cf8f5</t>
  </si>
  <si>
    <t>CMP-3cf925cf8f5</t>
  </si>
  <si>
    <t>Staidson (Beijing) Biopharmaceuticals Co Ltd</t>
  </si>
  <si>
    <t>{"Tier":"LONG_TAIL","Company":"Staidson (Beijing) Biopharmaceuticals Co Ltd","Company Type":"COMMERCIAL","GD Active Assets":1,"GD All Assets":3,"GD Phase II+":0,"Highest GD Stage":"Preclinical","Research Area Tags":"HIV","Bridging Tags":null,"Public Source":null,"GlobalData As-of":"2026-07-31","Data Interpretation":"GlobalData snapshot only; validate current asset status","Company ID":"CMP-3cf925cf8f5"}</t>
  </si>
  <si>
    <t>PR-ALL-CMP-9459dd13057</t>
  </si>
  <si>
    <t>CMP-9459dd13057</t>
  </si>
  <si>
    <t>Starna Therapeutics</t>
  </si>
  <si>
    <t>{"Tier":"LONG_TAIL","Company":"Starna Therapeutics","Company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ID":"CMP-9459dd13057"}</t>
  </si>
  <si>
    <t>PR-ALL-CMP-e4f0b8496db</t>
  </si>
  <si>
    <t>CMP-e4f0b8496db</t>
  </si>
  <si>
    <t>Sumaya Biotech GmbH &amp; Co KG</t>
  </si>
  <si>
    <t>{"Tier":"LONG_TAIL","Company":"Sumaya Biotech GmbH &amp; Co KG","Company Type":"COMMERCIAL","GD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ID":"CMP-e4f0b8496db"}</t>
  </si>
  <si>
    <t>PR-ALL-CMP-d3487398986</t>
  </si>
  <si>
    <t>CMP-d3487398986</t>
  </si>
  <si>
    <t>Sunho (China) Biopharmaceutical Co Ltd</t>
  </si>
  <si>
    <t>{"Tier":"LONG_TAIL","Company":"Sunho (China) Biopharmaceutical Co Ltd","Company Type":"COMMERCIAL","GD Active Assets":1,"GD All Assets":1,"GD Phase II+":0,"Highest GD Stage":"Preclinical","Research Area Tags":"HEP","Bridging Tags":null,"Public Source":null,"GlobalData As-of":"2026-07-31","Data Interpretation":"GlobalData snapshot only; validate current asset status","Company ID":"CMP-d3487398986"}</t>
  </si>
  <si>
    <t>PR-ALL-CMP-bf4a0f5c967</t>
  </si>
  <si>
    <t>CMP-bf4a0f5c967</t>
  </si>
  <si>
    <t>Suzhou Siran Biotechnology Co Ltd</t>
  </si>
  <si>
    <t>{"Tier":"LONG_TAIL","Company":"Suzhou Siran Biotechnology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ID":"CMP-bf4a0f5c967"}</t>
  </si>
  <si>
    <t>PR-ALL-CMP-a420e1d3beb</t>
  </si>
  <si>
    <t>CMP-a420e1d3beb</t>
  </si>
  <si>
    <t>Synklino ApS</t>
  </si>
  <si>
    <t>{"Tier":"LONG_TAIL","Company":"Synklino ApS","Company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ID":"CMP-a420e1d3beb"}</t>
  </si>
  <si>
    <t>PR-ALL-CMP-29f1f4bf89c</t>
  </si>
  <si>
    <t>CMP-29f1f4bf89c</t>
  </si>
  <si>
    <t>Taiji Group Chongqing Fuling Pharmaceutical Factory Co Ltd</t>
  </si>
  <si>
    <t>{"Tier":"LONG_TAIL","Company":"Taiji Group Chongqing Fuling Pharmaceutical Factory Co Ltd","Company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ID":"CMP-29f1f4bf89c"}</t>
  </si>
  <si>
    <t>PR-ALL-CMP-07522eb9154</t>
  </si>
  <si>
    <t>CMP-07522eb9154</t>
  </si>
  <si>
    <t>TechImmune LLC</t>
  </si>
  <si>
    <t>{"Tier":"LONG_TAIL","Company":"TechImmune LLC","Company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ID":"CMP-07522eb9154"}</t>
  </si>
  <si>
    <t>PR-ALL-CMP-9c7be1b49cc</t>
  </si>
  <si>
    <t>CMP-9c7be1b49cc</t>
  </si>
  <si>
    <t>Techinvention Lifecare Pvt Ltd</t>
  </si>
  <si>
    <t>{"Tier":"LONG_TAIL","Company":"Techinvention Lifecare Pvt Ltd","Company Type":"COMMERCIAL","GD Active Assets":1,"GD All Assets":1,"GD Phase II+":0,"Highest GD Stage":"IND/CTA Filed","Research Area Tags":"MUC","Bridging Tags":"VAC","Public Source":null,"GlobalData As-of":"2026-07-31","Data Interpretation":"GlobalData snapshot only; validate current asset status","Company ID":"CMP-9c7be1b49cc"}</t>
  </si>
  <si>
    <t>PR-ALL-CMP-7db80797dce</t>
  </si>
  <si>
    <t>CMP-7db80797dce</t>
  </si>
  <si>
    <t>Technovalia Pty Ltd</t>
  </si>
  <si>
    <t>{"Tier":"LONG_TAIL","Company":"Technovalia Pty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ID":"CMP-7db80797dce"}</t>
  </si>
  <si>
    <t>PR-ALL-CMP-6478d1d6afc</t>
  </si>
  <si>
    <t>CMP-6478d1d6afc</t>
  </si>
  <si>
    <t>Tevogen Bio Inc</t>
  </si>
  <si>
    <t>{"Tier":"LONG_TAIL","Company":"Tevogen Bio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ID":"CMP-6478d1d6afc"}</t>
  </si>
  <si>
    <t>PR-ALL-CMP-aa2b1bf32ca</t>
  </si>
  <si>
    <t>CMP-aa2b1bf32ca</t>
  </si>
  <si>
    <t>TheraCryf plc</t>
  </si>
  <si>
    <t>{"Tier":"LONG_TAIL","Company":"TheraCryf plc","Company Type":"COMMERCIAL","GD Active Assets":1,"GD All Assets":2,"GD Phase II+":0,"Highest GD Stage":"Preclinical","Research Area Tags":"EMG","Bridging Tags":null,"Public Source":null,"GlobalData As-of":"2026-07-31","Data Interpretation":"GlobalData snapshot only; validate current asset status","Company ID":"CMP-aa2b1bf32ca"}</t>
  </si>
  <si>
    <t>PR-ALL-CMP-4f2a7900034</t>
  </si>
  <si>
    <t>CMP-4f2a7900034</t>
  </si>
  <si>
    <t>TikoMed AB</t>
  </si>
  <si>
    <t>{"Tier":"LONG_TAIL","Company":"TikoMed AB","Company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ID":"CMP-4f2a7900034"}</t>
  </si>
  <si>
    <t>PR-ALL-CMP-b299497d9d3</t>
  </si>
  <si>
    <t>CMP-b299497d9d3</t>
  </si>
  <si>
    <t>Tionlab Therapeutics</t>
  </si>
  <si>
    <t>{"Tier":"LONG_TAIL","Company":"Tionlab Therapeutics","Company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ID":"CMP-b299497d9d3"}</t>
  </si>
  <si>
    <t>PR-ALL-CMP-aa2b9b792c9</t>
  </si>
  <si>
    <t>CMP-aa2b9b792c9</t>
  </si>
  <si>
    <t>Tiziana Life Sciences Ltd</t>
  </si>
  <si>
    <t>{"Tier":"LONG_TAIL","Company":"Tiziana Life Sciences Ltd","Company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ID":"CMP-aa2b9b792c9"}</t>
  </si>
  <si>
    <t>PR-ALL-CMP-63dac6b588c</t>
  </si>
  <si>
    <t>CMP-63dac6b588c</t>
  </si>
  <si>
    <t>Tolka.AI Inc</t>
  </si>
  <si>
    <t>{"Tier":"LONG_TAIL","Company":"Tolka.AI Inc","Company Type":"COMMERCIAL","GD Active Assets":1,"GD All Assets":1,"GD Phase II+":0,"Highest GD Stage":"IND/CTA Filed","Research Area Tags":"ABX","Bridging Tags":null,"Public Source":null,"GlobalData As-of":"2026-07-31","Data Interpretation":"GlobalData snapshot only; validate current asset status","Company ID":"CMP-63dac6b588c"}</t>
  </si>
  <si>
    <t>PR-ALL-CMP-ad0cff92b97</t>
  </si>
  <si>
    <t>CMP-ad0cff92b97</t>
  </si>
  <si>
    <t>Treos Bio Ltd</t>
  </si>
  <si>
    <t>{"Tier":"LONG_TAIL","Company":"Treos Bio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ID":"CMP-ad0cff92b97"}</t>
  </si>
  <si>
    <t>PR-ALL-CMP-e15f99a980c</t>
  </si>
  <si>
    <t>CMP-e15f99a980c</t>
  </si>
  <si>
    <t>Triastek Inc</t>
  </si>
  <si>
    <t>{"Tier":"LONG_TAIL","Company":"Triastek Inc","Company Type":"COMMERCIAL","GD Active Assets":1,"GD All Assets":1,"GD Phase II+":0,"Highest GD Stage":"IND/CTA Filed","Research Area Tags":"ICH","Bridging Tags":null,"Public Source":null,"GlobalData As-of":"2026-07-31","Data Interpretation":"GlobalData snapshot only; validate current asset status","Company ID":"CMP-e15f99a980c"}</t>
  </si>
  <si>
    <t>PR-ALL-CMP-8560df61a6b</t>
  </si>
  <si>
    <t>CMP-8560df61a6b</t>
  </si>
  <si>
    <t>Triera Biosciences Ltd</t>
  </si>
  <si>
    <t>{"Tier":"LONG_TAIL","Company":"Triera Biosciences Ltd","Company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ID":"CMP-8560df61a6b"}</t>
  </si>
  <si>
    <t>PR-ALL-CMP-32ad7b82a72</t>
  </si>
  <si>
    <t>CMP-32ad7b82a72</t>
  </si>
  <si>
    <t>U.S. Air Force Academy</t>
  </si>
  <si>
    <t>{"Tier":"LONG_TAIL","Company":"U.S. Air Force Academy","Company Type":"COMMERCIAL","GD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ID":"CMP-32ad7b82a72"}</t>
  </si>
  <si>
    <t>PR-ALL-CMP-de4d3f92e70</t>
  </si>
  <si>
    <t>CMP-de4d3f92e70</t>
  </si>
  <si>
    <t>UCLA Health System</t>
  </si>
  <si>
    <t>{"Tier":"LONG_TAIL","Company":"UCLA Health System","Company Type":"COMMERCIAL","GD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ID":"CMP-de4d3f92e70"}</t>
  </si>
  <si>
    <t>PR-ALL-CMP-2b828eb44e7</t>
  </si>
  <si>
    <t>CMP-2b828eb44e7</t>
  </si>
  <si>
    <t>United Immunity Co Ltd</t>
  </si>
  <si>
    <t>{"Tier":"LONG_TAIL","Company":"United Immunity Co Ltd","Company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ID":"CMP-2b828eb44e7"}</t>
  </si>
  <si>
    <t>PR-ALL-CMP-afd7ff94008</t>
  </si>
  <si>
    <t>CMP-afd7ff94008</t>
  </si>
  <si>
    <t>Vaccine Company Inc</t>
  </si>
  <si>
    <t>{"Tier":"LONG_TAIL","Company":"Vaccine Company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ID":"CMP-afd7ff94008"}</t>
  </si>
  <si>
    <t>PR-ALL-CMP-ab8a868a628</t>
  </si>
  <si>
    <t>CMP-ab8a868a628</t>
  </si>
  <si>
    <t>Vaccizone</t>
  </si>
  <si>
    <t>{"Tier":"LONG_TAIL","Company":"Vaccizone","Company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ID":"CMP-ab8a868a628"}</t>
  </si>
  <si>
    <t>PR-ALL-CMP-701970a2f0d</t>
  </si>
  <si>
    <t>CMP-701970a2f0d</t>
  </si>
  <si>
    <t>Valo Therapeutics Oy</t>
  </si>
  <si>
    <t>{"Tier":"LONG_TAIL","Company":"Valo Therapeutics Oy","Company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ID":"CMP-701970a2f0d"}</t>
  </si>
  <si>
    <t>PR-ALL-CMP-ad86e318b7c</t>
  </si>
  <si>
    <t>CMP-ad86e318b7c</t>
  </si>
  <si>
    <t>Vancouver Coastal Health</t>
  </si>
  <si>
    <t>{"Tier":"LONG_TAIL","Company":"Vancouver Coastal Health","Company Type":"COMMERCIAL","GD Active Assets":1,"GD All Assets":1,"GD Phase II+":0,"Highest GD Stage":"Phase I","Research Area Tags":"ABX","Bridging Tags":null,"Public Source":null,"GlobalData As-of":"2026-07-31","Data Interpretation":"GlobalData snapshot only; validate current asset status","Company ID":"CMP-ad86e318b7c"}</t>
  </si>
  <si>
    <t>PR-ALL-CMP-5c77e540aa5</t>
  </si>
  <si>
    <t>CMP-5c77e540aa5</t>
  </si>
  <si>
    <t>Vast Therapeutics Inc</t>
  </si>
  <si>
    <t>{"Tier":"LONG_TAIL","Company":"Vast Therapeutics Inc","Company Type":"COMMERCIAL","GD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ID":"CMP-5c77e540aa5"}</t>
  </si>
  <si>
    <t>PR-ALL-CMP-a7f63818b2c</t>
  </si>
  <si>
    <t>CMP-a7f63818b2c</t>
  </si>
  <si>
    <t>Vaxinz Inc</t>
  </si>
  <si>
    <t>{"Tier":"LONG_TAIL","Company":"Vaxinz Inc","Company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ID":"CMP-a7f63818b2c"}</t>
  </si>
  <si>
    <t>PR-ALL-CMP-47b04ca0563</t>
  </si>
  <si>
    <t>CMP-47b04ca0563</t>
  </si>
  <si>
    <t>Vaxxel SAS</t>
  </si>
  <si>
    <t>{"Tier":"LONG_TAIL","Company":"Vaxxel SAS","Company Type":"COMMERCIAL","GD Active Assets":1,"GD All Assets":1,"GD Phase II+":0,"Highest GD Stage":"Preclinical","Research Area Tags":"MUC","Bridging Tags":"VAC","Public Source":null,"GlobalData As-of":"2026-07-31","Data Interpretation":"GlobalData snapshot only; validate current asset status","Company ID":"CMP-47b04ca0563"}</t>
  </si>
  <si>
    <t>PR-ALL-CMP-f2486a2c78d</t>
  </si>
  <si>
    <t>CMP-f2486a2c78d</t>
  </si>
  <si>
    <t>Versatope Therapeutics Inc</t>
  </si>
  <si>
    <t>{"Tier":"LONG_TAIL","Company":"Versatope Therapeutics Inc","Company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ID":"CMP-f2486a2c78d"}</t>
  </si>
  <si>
    <t>PR-ALL-CMP-c6eb3456ab1</t>
  </si>
  <si>
    <t>CMP-c6eb3456ab1</t>
  </si>
  <si>
    <t>Via Nova Therapeutics Inc</t>
  </si>
  <si>
    <t>{"Tier":"LONG_TAIL","Company":"Via Nova Therapeutics Inc","Company Type":"COMMERCIAL","GD Active Assets":1,"GD All Assets":1,"GD Phase II+":0,"Highest GD Stage":"IND/CTA Filed","Research Area Tags":"MUC","Bridging Tags":null,"Public Source":null,"GlobalData As-of":"2026-07-31","Data Interpretation":"GlobalData snapshot only; validate current asset status","Company ID":"CMP-c6eb3456ab1"}</t>
  </si>
  <si>
    <t>PR-ALL-CMP-e4c23d01867</t>
  </si>
  <si>
    <t>CMP-e4c23d01867</t>
  </si>
  <si>
    <t>Vichem Chemie Research Ltd</t>
  </si>
  <si>
    <t>{"Tier":"LONG_TAIL","Company":"Vichem Chemie Research Ltd","Company Type":"COMMERCIAL","GD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ID":"CMP-e4c23d01867"}</t>
  </si>
  <si>
    <t>PR-ALL-CMP-e1724644459</t>
  </si>
  <si>
    <t>CMP-e1724644459</t>
  </si>
  <si>
    <t>Virion Therapeutics LLC</t>
  </si>
  <si>
    <t>{"Tier":"LONG_TAIL","Company":"Virion Therapeutics LLC","Company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ID":"CMP-e1724644459"}</t>
  </si>
  <si>
    <t>PR-ALL-CMP-11ef27705a0</t>
  </si>
  <si>
    <t>CMP-11ef27705a0</t>
  </si>
  <si>
    <t>Virogen Biotechnology Inc</t>
  </si>
  <si>
    <t>{"Tier":"LONG_TAIL","Company":"Virogen Biotechnology Inc","Company Type":"COMMERCIAL","GD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ID":"CMP-11ef27705a0"}</t>
  </si>
  <si>
    <t>PR-ALL-CMP-b70bcb5fa0e</t>
  </si>
  <si>
    <t>CMP-b70bcb5fa0e</t>
  </si>
  <si>
    <t>Vitro Biopharma Inc</t>
  </si>
  <si>
    <t>{"Tier":"LONG_TAIL","Company":"Vitro Biopharma Inc","Company Type":"COMMERCIAL","GD Active Assets":1,"GD All Assets":1,"GD Phase II+":0,"Highest GD Stage":"IND/CTA Filed","Research Area Tags":"EMG","Bridging Tags":null,"Public Source":null,"GlobalData As-of":"2026-07-31","Data Interpretation":"GlobalData snapshot only; validate current asset status","Company ID":"CMP-b70bcb5fa0e"}</t>
  </si>
  <si>
    <t>PR-ALL-CMP-ccd5615b744</t>
  </si>
  <si>
    <t>CMP-ccd5615b744</t>
  </si>
  <si>
    <t>WPD Pharmaceuticals Sp Zoo</t>
  </si>
  <si>
    <t>{"Tier":"LONG_TAIL","Company":"WPD Pharmaceuticals Sp Zoo","Company Type":"COMMERCIAL","GD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ID":"CMP-ccd5615b744"}</t>
  </si>
  <si>
    <t>PR-ALL-CMP-1f776a18e77</t>
  </si>
  <si>
    <t>CMP-1f776a18e77</t>
  </si>
  <si>
    <t>Weishen Pharmaceutical Technology (Shanghai) Co Ltd</t>
  </si>
  <si>
    <t>{"Tier":"LONG_TAIL","Company":"Weishen Pharmaceutical Technology (Shanghai)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ID":"CMP-1f776a18e77"}</t>
  </si>
  <si>
    <t>PR-ALL-CMP-82152db0178</t>
  </si>
  <si>
    <t>CMP-82152db0178</t>
  </si>
  <si>
    <t>Western Sydney Local Health District</t>
  </si>
  <si>
    <t>{"Tier":"LONG_TAIL","Company":"Western Sydney Local Health District","Company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ID":"CMP-82152db0178"}</t>
  </si>
  <si>
    <t>PR-ALL-CMP-7097b65071a</t>
  </si>
  <si>
    <t>CMP-7097b65071a</t>
  </si>
  <si>
    <t>Westlake Pharma Inc</t>
  </si>
  <si>
    <t>{"Tier":"LONG_TAIL","Company":"Westlake Pharma Inc","Company Type":"COMMERCIAL","GD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ID":"CMP-7097b65071a"}</t>
  </si>
  <si>
    <t>PR-ALL-CMP-2ebde471443</t>
  </si>
  <si>
    <t>CMP-2ebde471443</t>
  </si>
  <si>
    <t>Wintermute Biomedical LLC</t>
  </si>
  <si>
    <t>{"Tier":"LONG_TAIL","Company":"Wintermute Biomedical LLC","Company Type":"COMMERCIAL","GD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ID":"CMP-2ebde471443"}</t>
  </si>
  <si>
    <t>PR-ALL-CMP-d9ee1ba17ab</t>
  </si>
  <si>
    <t>CMP-d9ee1ba17ab</t>
  </si>
  <si>
    <t>Yangshengtang Co Ltd</t>
  </si>
  <si>
    <t>{"Tier":"LONG_TAIL","Company":"Yangshengtang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ID":"CMP-d9ee1ba17ab"}</t>
  </si>
  <si>
    <t>PR-ALL-CMP-54c57670aea</t>
  </si>
  <si>
    <t>CMP-54c57670aea</t>
  </si>
  <si>
    <t>Zambon Co SpA</t>
  </si>
  <si>
    <t>{"Tier":"LONG_TAIL","Company":"Zambon Co SpA","Company Type":"COMMERCIAL","GD Active Assets":1,"GD All Assets":2,"GD Phase II+":0,"Highest GD Stage":"Preclinical","Research Area Tags":"ABX","Bridging Tags":null,"Public Source":null,"GlobalData As-of":"2026-07-31","Data Interpretation":"GlobalData snapshot only; validate current asset status","Company ID":"CMP-54c57670aea"}</t>
  </si>
  <si>
    <t>PR-ALL-CMP-50ebe91e2fe</t>
  </si>
  <si>
    <t>CMP-50ebe91e2fe</t>
  </si>
  <si>
    <t>ZheJiang Paloalto Pharmaceutical Co Ltd</t>
  </si>
  <si>
    <t>{"Tier":"LONG_TAIL","Company":"ZheJiang Paloalto Pharmaceutical Co Ltd","Company Type":"COMMERCIAL","GD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ID":"CMP-50ebe91e2fe"}</t>
  </si>
  <si>
    <t>PR-ALL-CMP-3999c66f9b3</t>
  </si>
  <si>
    <t>CMP-3999c66f9b3</t>
  </si>
  <si>
    <t>Zhejiang Difulunsi Biotechnology Co Ltd</t>
  </si>
  <si>
    <t>{"Tier":"LONG_TAIL","Company":"Zhejiang Difulunsi Biotechnology Co Ltd","Company Type":"COMMERCIAL","GD Active Assets":1,"GD All Assets":1,"GD Phase II+":0,"Highest GD Stage":"IND/CTA Filed","Research Area Tags":"MUC","Bridging Tags":"VAC","Public Source":null,"GlobalData As-of":"2026-07-31","Data Interpretation":"GlobalData snapshot only; validate current asset status","Company ID":"CMP-3999c66f9b3"}</t>
  </si>
  <si>
    <t>PR-ALL-CMP-dc8dab3febc</t>
  </si>
  <si>
    <t>CMP-dc8dab3febc</t>
  </si>
  <si>
    <t>myNEO Therapeutics</t>
  </si>
  <si>
    <t>{"Tier":"LONG_TAIL","Company":"myNEO Therapeutics","Company Type":"COMMERCIAL","GD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ID":"CMP-dc8dab3febc"}</t>
  </si>
  <si>
    <t>PR-ALL-CMP-e550a27f8a1</t>
  </si>
  <si>
    <t>CMP-e550a27f8a1</t>
  </si>
  <si>
    <t>4basebio Plc</t>
  </si>
  <si>
    <t>{"Tier":"LONG_TAIL","Company":"4basebio Plc","Company Type":"COMMERCIAL","GD Active Assets":1,"GD All Assets":1,"GD Phase II+":1,"Highest GD Stage":"Phase II","Research Area Tags":null,"Bridging Tags":"VAC","Public Source":null,"GlobalData As-of":"2026-07-31","Data Interpretation":"GlobalData snapshot only; validate current asset status","Company ID":"CMP-e550a27f8a1"}</t>
  </si>
  <si>
    <t>PR-ALL-CMP-5ea6fbe6d68</t>
  </si>
  <si>
    <t>CMP-5ea6fbe6d68</t>
  </si>
  <si>
    <t>AiVita Biomedical Inc</t>
  </si>
  <si>
    <t>{"Tier":"LONG_TAIL","Company":"AiVita Biomedical Inc","Company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ID":"CMP-5ea6fbe6d68"}</t>
  </si>
  <si>
    <t>PR-ALL-CMP-7a5dcca8d9b</t>
  </si>
  <si>
    <t>CMP-7a5dcca8d9b</t>
  </si>
  <si>
    <t>Almirall SA</t>
  </si>
  <si>
    <t>{"Tier":"LONG_TAIL","Company":"Almirall SA","Company Type":"COMMERCIAL","GD Active Assets":1,"GD All Assets":2,"GD Phase II+":1,"Highest GD Stage":"Pre-Registration","Research Area Tags":null,"Bridging Tags":null,"Public Source":null,"GlobalData As-of":"2026-07-31","Data Interpretation":"GlobalData snapshot only; validate current asset status","Company ID":"CMP-7a5dcca8d9b"}</t>
  </si>
  <si>
    <t>PR-ALL-CMP-dd428cd2b22</t>
  </si>
  <si>
    <t>CMP-dd428cd2b22</t>
  </si>
  <si>
    <t>Antiva Biosciences Inc</t>
  </si>
  <si>
    <t>{"Tier":"LONG_TAIL","Company":"Antiva Biosciences Inc","Company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ID":"CMP-dd428cd2b22"}</t>
  </si>
  <si>
    <t>PR-ALL-CMP-0ec1cea7365</t>
  </si>
  <si>
    <t>CMP-0ec1cea7365</t>
  </si>
  <si>
    <t>ApicHope Pharmaceutical Co Ltd</t>
  </si>
  <si>
    <t>{"Tier":"LONG_TAIL","Company":"ApicHope Pharmaceutical Co Ltd","Company Type":"COMMERCIAL","GD Active Assets":1,"GD All Assets":1,"GD Phase II+":1,"Highest GD Stage":"Pre-Registration","Research Area Tags":null,"Bridging Tags":null,"Public Source":null,"GlobalData As-of":"2026-07-31","Data Interpretation":"GlobalData snapshot only; validate current asset status","Company ID":"CMP-0ec1cea7365"}</t>
  </si>
  <si>
    <t>PR-ALL-CMP-e0be5b8d9e9</t>
  </si>
  <si>
    <t>CMP-e0be5b8d9e9</t>
  </si>
  <si>
    <t>Beijing Anbaisheng Biotechnology Co Ltd</t>
  </si>
  <si>
    <t>{"Tier":"LONG_TAIL","Company":"Beijing Anbaisheng Biotechnology Co Ltd","Company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ID":"CMP-e0be5b8d9e9"}</t>
  </si>
  <si>
    <t>PR-ALL-CMP-76d3618cf0b</t>
  </si>
  <si>
    <t>CMP-76d3618cf0b</t>
  </si>
  <si>
    <t>Cipher Pharmaceuticals Inc</t>
  </si>
  <si>
    <t>{"Tier":"LONG_TAIL","Company":"Cipher Pharmaceuticals Inc","Company Type":"COMMERCIAL","GD Active Assets":1,"GD All Assets":1,"GD Phase II+":1,"Highest GD Stage":"Pre-Registration","Research Area Tags":null,"Bridging Tags":null,"Public Source":null,"GlobalData As-of":"2026-07-31","Data Interpretation":"GlobalData snapshot only; validate current asset status","Company ID":"CMP-76d3618cf0b"}</t>
  </si>
  <si>
    <t>PR-ALL-CMP-4d7abde240d</t>
  </si>
  <si>
    <t>CMP-4d7abde240d</t>
  </si>
  <si>
    <t>Dare Bioscience Inc</t>
  </si>
  <si>
    <t>{"Tier":"LONG_TAIL","Company":"Dare Bioscience Inc","Company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ID":"CMP-4d7abde240d"}</t>
  </si>
  <si>
    <t>PR-ALL-CMP-5ba02f6865f</t>
  </si>
  <si>
    <t>CMP-5ba02f6865f</t>
  </si>
  <si>
    <t>Deftbiotech Pty Ltd</t>
  </si>
  <si>
    <t>{"Tier":"LONG_TAIL","Company":"Deftbiotech Pty Ltd","Company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ID":"CMP-5ba02f6865f"}</t>
  </si>
  <si>
    <t>PR-ALL-CMP-2955a9e275e</t>
  </si>
  <si>
    <t>CMP-2955a9e275e</t>
  </si>
  <si>
    <t>Fighting Infectious Diseases in Emerging Countries</t>
  </si>
  <si>
    <t>{"Tier":"LONG_TAIL","Company":"Fighting Infectious Diseases in Emerging Countries","Company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ID":"CMP-2955a9e275e"}</t>
  </si>
  <si>
    <t>PR-ALL-CMP-3f14eecfbfd</t>
  </si>
  <si>
    <t>CMP-3f14eecfbfd</t>
  </si>
  <si>
    <t>Frantz Viral Therapeutics LLC</t>
  </si>
  <si>
    <t>{"Tier":"LONG_TAIL","Company":"Frantz Viral Therapeutics LLC","Company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ID":"CMP-3f14eecfbfd"}</t>
  </si>
  <si>
    <t>PR-ALL-CMP-5f957991391</t>
  </si>
  <si>
    <t>CMP-5f957991391</t>
  </si>
  <si>
    <t>Guangzhou Cape Biological Technology Co Ltd</t>
  </si>
  <si>
    <t>{"Tier":"LONG_TAIL","Company":"Guangzhou Cape Biological Technology Co Ltd","Company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ID":"CMP-5f957991391"}</t>
  </si>
  <si>
    <t>PR-ALL-CMP-1902b5a1344</t>
  </si>
  <si>
    <t>CMP-1902b5a1344</t>
  </si>
  <si>
    <t>Hallux Inc</t>
  </si>
  <si>
    <t>{"Tier":"LONG_TAIL","Company":"Hallux Inc","Company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ID":"CMP-1902b5a1344"}</t>
  </si>
  <si>
    <t>PR-ALL-CMP-46220120cb6</t>
  </si>
  <si>
    <t>CMP-46220120cb6</t>
  </si>
  <si>
    <t>Innovent Biologics Inc</t>
  </si>
  <si>
    <t>{"Tier":"LONG_TAIL","Company":"Innovent Biologics Inc","Company Type":"COMMERCIAL","GD Active Assets":1,"GD All Assets":2,"GD Phase II+":1,"Highest GD Stage":"Phase II","Research Area Tags":null,"Bridging Tags":null,"Public Source":null,"GlobalData As-of":"2026-07-31","Data Interpretation":"GlobalData snapshot only; validate current asset status","Company ID":"CMP-46220120cb6"}</t>
  </si>
  <si>
    <t>PR-ALL-CMP-6bbc22870e3</t>
  </si>
  <si>
    <t>CMP-6bbc22870e3</t>
  </si>
  <si>
    <t>Insud Pharma SL</t>
  </si>
  <si>
    <t>{"Tier":"LONG_TAIL","Company":"Insud Pharma SL","Company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ID":"CMP-6bbc22870e3"}</t>
  </si>
  <si>
    <t>PR-ALL-CMP-4f0651f8f83</t>
  </si>
  <si>
    <t>CMP-4f0651f8f83</t>
  </si>
  <si>
    <t>Intralytix Inc</t>
  </si>
  <si>
    <t>{"Tier":"LONG_TAIL","Company":"Intralytix Inc","Company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ID":"CMP-4f0651f8f83"}</t>
  </si>
  <si>
    <t>PR-ALL-CMP-cdbc1f51d9b</t>
  </si>
  <si>
    <t>CMP-cdbc1f51d9b</t>
  </si>
  <si>
    <t>KTH Biopharma Co Ltd</t>
  </si>
  <si>
    <t>{"Tier":"LONG_TAIL","Company":"KTH Biopharma Co Ltd","Company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ID":"CMP-cdbc1f51d9b"}</t>
  </si>
  <si>
    <t>PR-ALL-CMP-112ee72d518</t>
  </si>
  <si>
    <t>CMP-112ee72d518</t>
  </si>
  <si>
    <t>Kaken Pharmaceutical Co Ltd</t>
  </si>
  <si>
    <t>{"Tier":"LONG_TAIL","Company":"Kaken Pharmaceutical Co Ltd","Company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ID":"CMP-112ee72d518"}</t>
  </si>
  <si>
    <t>PR-ALL-CMP-20195fdac86</t>
  </si>
  <si>
    <t>CMP-20195fdac86</t>
  </si>
  <si>
    <t>Micron Biomedical Inc</t>
  </si>
  <si>
    <t>{"Tier":"LONG_TAIL","Company":"Micron Biomedical Inc","Company Type":"COMMERCIAL","GD Active Assets":1,"GD All Assets":1,"GD Phase II+":1,"Highest GD Stage":"Phase II","Research Area Tags":null,"Bridging Tags":"VAC","Public Source":null,"GlobalData As-of":"2026-07-31","Data Interpretation":"GlobalData snapshot only; validate current asset status","Company ID":"CMP-20195fdac86"}</t>
  </si>
  <si>
    <t>PR-ALL-CMP-0684045d4e3</t>
  </si>
  <si>
    <t>CMP-0684045d4e3</t>
  </si>
  <si>
    <t>Moberg Pharma AB</t>
  </si>
  <si>
    <t>{"Tier":"LONG_TAIL","Company":"Moberg Pharma AB","Company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ID":"CMP-0684045d4e3"}</t>
  </si>
  <si>
    <t>PR-ALL-CMP-555aea1be18</t>
  </si>
  <si>
    <t>CMP-555aea1be18</t>
  </si>
  <si>
    <t>Molecular Targeting Technologies Inc</t>
  </si>
  <si>
    <t>{"Tier":"LONG_TAIL","Company":"Molecular Targeting Technologies Inc","Company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ID":"CMP-555aea1be18"}</t>
  </si>
  <si>
    <t>PR-ALL-CMP-c0dd40277c2</t>
  </si>
  <si>
    <t>CMP-c0dd40277c2</t>
  </si>
  <si>
    <t>Mustafa Nevzat Ilac ve Kimyevi Maddeler San Tic AS</t>
  </si>
  <si>
    <t>{"Tier":"LONG_TAIL","Company":"Mustafa Nevzat Ilac ve Kimyevi Maddeler San Tic AS","Company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ID":"CMP-c0dd40277c2"}</t>
  </si>
  <si>
    <t>PR-ALL-CMP-4ef2db2c6c5</t>
  </si>
  <si>
    <t>CMP-4ef2db2c6c5</t>
  </si>
  <si>
    <t>Nielsen Biosciences Inc</t>
  </si>
  <si>
    <t>{"Tier":"LONG_TAIL","Company":"Nielsen Biosciences Inc","Company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ID":"CMP-4ef2db2c6c5"}</t>
  </si>
  <si>
    <t>PR-ALL-CMP-9d9a6532b7e</t>
  </si>
  <si>
    <t>CMP-9d9a6532b7e</t>
  </si>
  <si>
    <t>PT Bio Farma</t>
  </si>
  <si>
    <t>{"Tier":"LONG_TAIL","Company":"PT Bio Farma","Company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ID":"CMP-9d9a6532b7e"}</t>
  </si>
  <si>
    <t>PR-ALL-CMP-5c984a40e49</t>
  </si>
  <si>
    <t>CMP-5c984a40e49</t>
  </si>
  <si>
    <t>Pacgen Life Science Corp</t>
  </si>
  <si>
    <t>{"Tier":"LONG_TAIL","Company":"Pacgen Life Science Corp","Company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ID":"CMP-5c984a40e49"}</t>
  </si>
  <si>
    <t>PR-ALL-CMP-84fd084f8f9</t>
  </si>
  <si>
    <t>CMP-84fd084f8f9</t>
  </si>
  <si>
    <t>Precigen Inc</t>
  </si>
  <si>
    <t>{"Tier":"LONG_TAIL","Company":"Precigen Inc","Company Type":"COMMERCIAL","GD Active Assets":1,"GD All Assets":1,"GD Phase II+":1,"Highest GD Stage":"Pre-Registration","Research Area Tags":null,"Bridging Tags":null,"Public Source":null,"GlobalData As-of":"2026-07-31","Data Interpretation":"GlobalData snapshot only; validate current asset status","Company ID":"CMP-84fd084f8f9"}</t>
  </si>
  <si>
    <t>PR-ALL-CMP-22c4005562b</t>
  </si>
  <si>
    <t>CMP-22c4005562b</t>
  </si>
  <si>
    <t>Sato Pharmaceutical Co Ltd</t>
  </si>
  <si>
    <t>{"Tier":"LONG_TAIL","Company":"Sato Pharmaceutical Co Ltd","Company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ID":"CMP-22c4005562b"}</t>
  </si>
  <si>
    <t>PR-ALL-CMP-dc5995aaf5f</t>
  </si>
  <si>
    <t>CMP-dc5995aaf5f</t>
  </si>
  <si>
    <t>Shandong Yidu Biotechnology Co Ltd</t>
  </si>
  <si>
    <t>{"Tier":"LONG_TAIL","Company":"Shandong Yidu Biotechnology Co Ltd","Company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ID":"CMP-dc5995aaf5f"}</t>
  </si>
  <si>
    <t>PR-ALL-CMP-d07753204a9</t>
  </si>
  <si>
    <t>CMP-d07753204a9</t>
  </si>
  <si>
    <t>Shanghai BDgene Therapeutics Co Ltd</t>
  </si>
  <si>
    <t>{"Tier":"LONG_TAIL","Company":"Shanghai BDgene Therapeutics Co Ltd","Company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ID":"CMP-d07753204a9"}</t>
  </si>
  <si>
    <t>PR-ALL-CMP-5ad0e4071e0</t>
  </si>
  <si>
    <t>CMP-5ad0e4071e0</t>
  </si>
  <si>
    <t>Shanghai Rongsheng Biotech Co Ltd</t>
  </si>
  <si>
    <t>{"Tier":"LONG_TAIL","Company":"Shanghai Rongsheng Biotech Co Ltd","Company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ID":"CMP-5ad0e4071e0"}</t>
  </si>
  <si>
    <t>PR-ALL-CMP-9c8913b23d5</t>
  </si>
  <si>
    <t>CMP-9c8913b23d5</t>
  </si>
  <si>
    <t>Shanghai Zerun Biotechnology Co Ltd</t>
  </si>
  <si>
    <t>{"Tier":"LONG_TAIL","Company":"Shanghai Zerun Biotechnology Co Ltd","Company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ID":"CMP-9c8913b23d5"}</t>
  </si>
  <si>
    <t>PR-ALL-CMP-2dce0a6c6ce</t>
  </si>
  <si>
    <t>CMP-2dce0a6c6ce</t>
  </si>
  <si>
    <t>Sichuan ZehaTimes Pharmaceutical Co Ltd</t>
  </si>
  <si>
    <t>{"Tier":"LONG_TAIL","Company":"Sichuan ZehaTimes Pharmaceutical Co Ltd","Company Type":"COMMERCIAL","GD Active Assets":1,"GD All Assets":1,"GD Phase II+":1,"Highest GD Stage":"Phase II","Research Area Tags":null,"Bridging Tags":"VAC","Public Source":null,"GlobalData As-of":"2026-07-31","Data Interpretation":"GlobalData snapshot only; validate current asset status","Company ID":"CMP-2dce0a6c6ce"}</t>
  </si>
  <si>
    <t>PR-ALL-CMP-3b27713d9f7</t>
  </si>
  <si>
    <t>CMP-3b27713d9f7</t>
  </si>
  <si>
    <t>TIPR-HUYA Advancing Innovative Medicines</t>
  </si>
  <si>
    <t>{"Tier":"LONG_TAIL","Company":"TIPR-HUYA Advancing Innovative Medicines","Company Type":"COMMERCIAL","GD Active Assets":1,"GD All Assets":1,"GD Phase II+":1,"Highest GD Stage":"Pre-Registration","Research Area Tags":null,"Bridging Tags":null,"Public Source":null,"GlobalData As-of":"2026-07-31","Data Interpretation":"GlobalData snapshot only; validate current asset status","Company ID":"CMP-3b27713d9f7"}</t>
  </si>
  <si>
    <t>PR-ALL-CMP-7a8bd0a3c18</t>
  </si>
  <si>
    <t>CMP-7a8bd0a3c18</t>
  </si>
  <si>
    <t>Tianjin Institute of Pharmaceutical Research</t>
  </si>
  <si>
    <t>{"Tier":"LONG_TAIL","Company":"Tianjin Institute of Pharmaceutical Research","Company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ID":"CMP-7a8bd0a3c18"}</t>
  </si>
  <si>
    <t>PR-ALL-CMP-712ad0d8601</t>
  </si>
  <si>
    <t>CMP-712ad0d8601</t>
  </si>
  <si>
    <t>Torii Pharmaceutical Co Ltd</t>
  </si>
  <si>
    <t>{"Tier":"LONG_TAIL","Company":"Torii Pharmaceutical Co Ltd","Company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ID":"CMP-712ad0d8601"}</t>
  </si>
  <si>
    <t>PR-ALL-CMP-e1f703443ab</t>
  </si>
  <si>
    <t>CMP-e1f703443ab</t>
  </si>
  <si>
    <t>Turn Therapeutics Inc</t>
  </si>
  <si>
    <t>{"Tier":"LONG_TAIL","Company":"Turn Therapeutics Inc","Company Type":"COMMERCIAL","GD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ID":"CMP-e1f703443ab"}</t>
  </si>
  <si>
    <t>PR-ALL-CMP-ba0d0c46f2f</t>
  </si>
  <si>
    <t>CMP-ba0d0c46f2f</t>
  </si>
  <si>
    <t>Verrica Pharmaceuticals Inc</t>
  </si>
  <si>
    <t>{"Tier":"LONG_TAIL","Company":"Verrica Pharmaceuticals Inc","Company Type":"COMMERCIAL","GD Active Assets":1,"GD All Assets":1,"GD Phase II+":1,"Highest GD Stage":"Phase III","Research Area Tags":null,"Bridging Tags":null,"Public Source":null,"GlobalData As-of":"2026-07-31","Data Interpretation":"GlobalData snapshot only; validate current asset status","Company ID":"CMP-ba0d0c46f2f"}</t>
  </si>
  <si>
    <t>PR-ALL-CMP-103726e0789</t>
  </si>
  <si>
    <t>CMP-103726e0789</t>
  </si>
  <si>
    <t>Zhejiang Pukang Biotechnology Co Ltd</t>
  </si>
  <si>
    <t>{"Tier":"LONG_TAIL","Company":"Zhejiang Pukang Biotechnology Co Ltd","Company Type":"COMMERCIAL","GD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ID":"CMP-103726e0789"}</t>
  </si>
  <si>
    <t>PR-ALL-CMP-cfb6a005592</t>
  </si>
  <si>
    <t>VenatoRx Pharmaceuticals Inc</t>
  </si>
  <si>
    <t>{"Tier":"LONG_TAIL","Company":"VenatoRx Pharmaceuticals Inc","Company Type":"COMMERCIAL","GD Active Assets":0,"GD All Assets":1,"GD Phase II+":0,"Highest GD Stage":"-","Research Area Tags":"HAI, ABX","Bridging Tags":"SMD","Public Source":null,"GlobalData As-of":"2026-07-31","Data Interpretation":"GlobalData snapshot only; validate current asset status","Company ID":"CMP-cfb6a005592"}</t>
  </si>
  <si>
    <t>PR-ALL-CMP-919aa48897b</t>
  </si>
  <si>
    <t>CMP-919aa48897b</t>
  </si>
  <si>
    <t>Activate Therapeutics LLC</t>
  </si>
  <si>
    <t>{"Tier":"LONG_TAIL","Company":"Activate Therapeutics LLC","Company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ID":"CMP-919aa48897b"}</t>
  </si>
  <si>
    <t>PR-ALL-CMP-a00c5a4fc36</t>
  </si>
  <si>
    <t>CMP-a00c5a4fc36</t>
  </si>
  <si>
    <t>Aeonvital</t>
  </si>
  <si>
    <t>{"Tier":"LONG_TAIL","Company":"Aeonvital","Company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ID":"CMP-a00c5a4fc36"}</t>
  </si>
  <si>
    <t>PR-ALL-CMP-0c8ab94b970</t>
  </si>
  <si>
    <t>CMP-0c8ab94b970</t>
  </si>
  <si>
    <t>Alpharma LLC</t>
  </si>
  <si>
    <t>{"Tier":"LONG_TAIL","Company":"Alpharma LLC","Company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ID":"CMP-0c8ab94b970"}</t>
  </si>
  <si>
    <t>PR-ALL-CMP-c44a4cbdea0</t>
  </si>
  <si>
    <t>CMP-c44a4cbdea0</t>
  </si>
  <si>
    <t>AngioLab Inc</t>
  </si>
  <si>
    <t>{"Tier":"LONG_TAIL","Company":"AngioLab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ID":"CMP-c44a4cbdea0"}</t>
  </si>
  <si>
    <t>PR-ALL-CMP-a28badb9d32</t>
  </si>
  <si>
    <t>CMP-a28badb9d32</t>
  </si>
  <si>
    <t>Antagen Pharmaceuticals Inc</t>
  </si>
  <si>
    <t>{"Tier":"LONG_TAIL","Company":"Antagen Pharmaceuticals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ID":"CMP-a28badb9d32"}</t>
  </si>
  <si>
    <t>PR-ALL-CMP-268938beacd</t>
  </si>
  <si>
    <t>CMP-268938beacd</t>
  </si>
  <si>
    <t>Aodh Lifesciences Pvt Ltd</t>
  </si>
  <si>
    <t>{"Tier":"LONG_TAIL","Company":"Aodh Lifesciences Pvt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ID":"CMP-268938beacd"}</t>
  </si>
  <si>
    <t>PR-ALL-CMP-d10eb7d2135</t>
  </si>
  <si>
    <t>CMP-d10eb7d2135</t>
  </si>
  <si>
    <t>Applied Research using OMIC Sciences SL</t>
  </si>
  <si>
    <t>{"Tier":"LONG_TAIL","Company":"Applied Research using OMIC Sciences SL","Company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ID":"CMP-d10eb7d2135"}</t>
  </si>
  <si>
    <t>PR-ALL-CMP-a4aea0bb02e</t>
  </si>
  <si>
    <t>CMP-a4aea0bb02e</t>
  </si>
  <si>
    <t>Aqualung Therapeutics Corp</t>
  </si>
  <si>
    <t>{"Tier":"LONG_TAIL","Company":"Aqualung Therapeutics Corp","Company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ID":"CMP-a4aea0bb02e"}</t>
  </si>
  <si>
    <t>PR-ALL-CMP-f2105bed6f5</t>
  </si>
  <si>
    <t>CMP-f2105bed6f5</t>
  </si>
  <si>
    <t>ArrayPatch Ltd</t>
  </si>
  <si>
    <t>{"Tier":"LONG_TAIL","Company":"ArrayPatch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ID":"CMP-f2105bed6f5"}</t>
  </si>
  <si>
    <t>PR-ALL-CMP-4c4790f6d31</t>
  </si>
  <si>
    <t>CMP-4c4790f6d31</t>
  </si>
  <si>
    <t>Beijing Houshen Weikang Technology Co Ltd</t>
  </si>
  <si>
    <t>{"Tier":"LONG_TAIL","Company":"Beijing Houshen Weikang Technology Co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ID":"CMP-4c4790f6d31"}</t>
  </si>
  <si>
    <t>PR-ALL-CMP-7ac9367f9de</t>
  </si>
  <si>
    <t>CMP-7ac9367f9de</t>
  </si>
  <si>
    <t>BioFactura Inc</t>
  </si>
  <si>
    <t>{"Tier":"LONG_TAIL","Company":"BioFactura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ID":"CMP-7ac9367f9de"}</t>
  </si>
  <si>
    <t>PR-ALL-CMP-e8d3022121a</t>
  </si>
  <si>
    <t>CMP-e8d3022121a</t>
  </si>
  <si>
    <t>Biocytogen Pharmaceuticals (Beijing) Co Ltd</t>
  </si>
  <si>
    <t>{"Tier":"LONG_TAIL","Company":"Biocytogen Pharmaceuticals (Beijing) Co Ltd","Company Type":"COMMERCIAL","GD Active Assets":1,"GD All Assets":1,"GD Phase II+":0,"Highest GD Stage":"Preclinical","Research Area Tags":null,"Bridging Tags":"VAC","Public Source":null,"GlobalData As-of":"2026-07-31","Data Interpretation":"GlobalData snapshot only; validate current asset status","Company ID":"CMP-e8d3022121a"}</t>
  </si>
  <si>
    <t>PR-ALL-CMP-68458d711d5</t>
  </si>
  <si>
    <t>CMP-68458d711d5</t>
  </si>
  <si>
    <t>Blue Sky Immunotherapies GmbH</t>
  </si>
  <si>
    <t>{"Tier":"LONG_TAIL","Company":"Blue Sky Immunotherapies GmbH","Company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ID":"CMP-68458d711d5"}</t>
  </si>
  <si>
    <t>PR-ALL-CMP-f24a513bd03</t>
  </si>
  <si>
    <t>CMP-f24a513bd03</t>
  </si>
  <si>
    <t>Boston Immune Technologies and Therapeutics Inc</t>
  </si>
  <si>
    <t>{"Tier":"LONG_TAIL","Company":"Boston Immune Technologies and Therapeutics Inc","Company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ID":"CMP-f24a513bd03"}</t>
  </si>
  <si>
    <t>PR-ALL-CMP-127c91f1f00</t>
  </si>
  <si>
    <t>CMP-127c91f1f00</t>
  </si>
  <si>
    <t>BroadenBio Co Ltd</t>
  </si>
  <si>
    <t>{"Tier":"LONG_TAIL","Company":"BroadenBio Co Ltd","Company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ID":"CMP-127c91f1f00"}</t>
  </si>
  <si>
    <t>PR-ALL-CMP-484a56c040e</t>
  </si>
  <si>
    <t>CMP-484a56c040e</t>
  </si>
  <si>
    <t>Case Comprehensive Cancer Center</t>
  </si>
  <si>
    <t>{"Tier":"LONG_TAIL","Company":"Case Comprehensive Cancer Center","Company Type":"COMMERCIAL","GD Active Assets":1,"GD All Assets":1,"GD Phase II+":0,"Highest GD Stage":"Phase 0","Research Area Tags":null,"Bridging Tags":null,"Public Source":null,"GlobalData As-of":"2026-07-31","Data Interpretation":"GlobalData snapshot only; validate current asset status","Company ID":"CMP-484a56c040e"}</t>
  </si>
  <si>
    <t>PR-ALL-CMP-86dbe1012db</t>
  </si>
  <si>
    <t>CMP-86dbe1012db</t>
  </si>
  <si>
    <t>Ceruvia Lifesciences LLC</t>
  </si>
  <si>
    <t>{"Tier":"LONG_TAIL","Company":"Ceruvia Lifesciences LLC","Company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ID":"CMP-86dbe1012db"}</t>
  </si>
  <si>
    <t>PR-ALL-CMP-308b9ac71ed</t>
  </si>
  <si>
    <t>CMP-308b9ac71ed</t>
  </si>
  <si>
    <t>Changchun Kangyue Biotechnology Co Ltd</t>
  </si>
  <si>
    <t>{"Tier":"LONG_TAIL","Company":"Changchun Kangyue Biotechnology Co Ltd","Company Type":"COMMERCIAL","GD Active Assets":1,"GD All Assets":1,"GD Phase II+":0,"Highest GD Stage":"IND/CTA Filed","Research Area Tags":null,"Bridging Tags":"VAC","Public Source":null,"GlobalData As-of":"2026-07-31","Data Interpretation":"GlobalData snapshot only; validate current asset status","Company ID":"CMP-308b9ac71ed"}</t>
  </si>
  <si>
    <t>PR-ALL-CMP-1fdf788374a</t>
  </si>
  <si>
    <t>CMP-1fdf788374a</t>
  </si>
  <si>
    <t>Changsha King-eagle Med Technology Co Ltd</t>
  </si>
  <si>
    <t>{"Tier":"LONG_TAIL","Company":"Changsha King-eagle Med Technology Co Ltd","Company Type":"COMMERCIAL","GD Active Assets":1,"GD All Assets":1,"GD Phase II+":0,"Highest GD Stage":"IND/CTA Filed","Research Area Tags":null,"Bridging Tags":null,"Public Source":null,"GlobalData As-of":"2026-07-31","Data Interpretation":"GlobalData snapshot only; validate current asset status","Company ID":"CMP-1fdf788374a"}</t>
  </si>
  <si>
    <t>PR-ALL-CMP-b81370eda6a</t>
  </si>
  <si>
    <t>CMP-b81370eda6a</t>
  </si>
  <si>
    <t>China National Pharmaceutical Group Corp</t>
  </si>
  <si>
    <t>{"Tier":"LONG_TAIL","Company":"China National Pharmaceutical Group Corp","Company Type":"COMMERCIAL","GD Active Assets":1,"GD All Assets":1,"GD Phase II+":0,"Highest GD Stage":"IND/CTA Filed","Research Area Tags":null,"Bridging Tags":"VAC","Public Source":null,"GlobalData As-of":"2026-07-31","Data Interpretation":"GlobalData snapshot only; validate current asset status","Company ID":"CMP-b81370eda6a"}</t>
  </si>
  <si>
    <t>PR-ALL-CMP-2657da80ec2</t>
  </si>
  <si>
    <t>CMP-2657da80ec2</t>
  </si>
  <si>
    <t>Crafton Biotechnology Co Ltd</t>
  </si>
  <si>
    <t>{"Tier":"LONG_TAIL","Company":"Crafton Biotechnology Co Ltd","Company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ID":"CMP-2657da80ec2"}</t>
  </si>
  <si>
    <t>PR-ALL-CMP-55bd64d3c8c</t>
  </si>
  <si>
    <t>CMP-55bd64d3c8c</t>
  </si>
  <si>
    <t>Cura Therapeutics LLC</t>
  </si>
  <si>
    <t>{"Tier":"LONG_TAIL","Company":"Cura Therapeutics LLC","Company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ID":"CMP-55bd64d3c8c"}</t>
  </si>
  <si>
    <t>PR-ALL-CMP-94967d4e276</t>
  </si>
  <si>
    <t>CMP-94967d4e276</t>
  </si>
  <si>
    <t>CytoDel Inc</t>
  </si>
  <si>
    <t>{"Tier":"LONG_TAIL","Company":"CytoDel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ID":"CMP-94967d4e276"}</t>
  </si>
  <si>
    <t>PR-ALL-CMP-bfc4954b77c</t>
  </si>
  <si>
    <t>CMP-bfc4954b77c</t>
  </si>
  <si>
    <t>Cytovation AS</t>
  </si>
  <si>
    <t>{"Tier":"LONG_TAIL","Company":"Cytovation AS","Company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ID":"CMP-bfc4954b77c"}</t>
  </si>
  <si>
    <t>PR-ALL-CMP-497e2106d4e</t>
  </si>
  <si>
    <t>CMP-497e2106d4e</t>
  </si>
  <si>
    <t>Dalian Ya Li-feng Biological Pharmaceutical Co Ltd</t>
  </si>
  <si>
    <t>{"Tier":"LONG_TAIL","Company":"Dalian Ya Li-feng Biological Pharmaceutical Co Ltd","Company Type":"COMMERCIAL","GD Active Assets":1,"GD All Assets":1,"GD Phase II+":0,"Highest GD Stage":"IND/CTA Filed","Research Area Tags":null,"Bridging Tags":"VAC","Public Source":null,"GlobalData As-of":"2026-07-31","Data Interpretation":"GlobalData snapshot only; validate current asset status","Company ID":"CMP-497e2106d4e"}</t>
  </si>
  <si>
    <t>PR-ALL-CMP-cd6eb2a83b9</t>
  </si>
  <si>
    <t>CMP-cd6eb2a83b9</t>
  </si>
  <si>
    <t>Douglas Pharmaceuticals Ltd</t>
  </si>
  <si>
    <t>{"Tier":"LONG_TAIL","Company":"Douglas Pharmaceuticals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ID":"CMP-cd6eb2a83b9"}</t>
  </si>
  <si>
    <t>PR-ALL-CMP-d3ed7b807d0</t>
  </si>
  <si>
    <t>CMP-d3ed7b807d0</t>
  </si>
  <si>
    <t>Etna Biotech Srl</t>
  </si>
  <si>
    <t>{"Tier":"LONG_TAIL","Company":"Etna Biotech Srl","Company Type":"COMMERCIAL","GD Active Assets":1,"GD All Assets":1,"GD Phase II+":0,"Highest GD Stage":"IND/CTA Filed","Research Area Tags":null,"Bridging Tags":"VAC","Public Source":null,"GlobalData As-of":"2026-07-31","Data Interpretation":"GlobalData snapshot only; validate current asset status","Company ID":"CMP-d3ed7b807d0"}</t>
  </si>
  <si>
    <t>PR-ALL-CMP-37bc61b27a9</t>
  </si>
  <si>
    <t>CMP-37bc61b27a9</t>
  </si>
  <si>
    <t>Genome Institute of Singapore</t>
  </si>
  <si>
    <t>{"Tier":"LONG_TAIL","Company":"Genome Institute of Singapore","Company Type":"COMMERCIAL","GD Active Assets":1,"GD All Assets":1,"GD Phase II+":0,"Highest GD Stage":"Preclinical","Research Area Tags":null,"Bridging Tags":"CGT","Public Source":null,"GlobalData As-of":"2026-07-31","Data Interpretation":"GlobalData snapshot only; validate current asset status","Company ID":"CMP-37bc61b27a9"}</t>
  </si>
  <si>
    <t>PR-ALL-CMP-657c422df70</t>
  </si>
  <si>
    <t>CMP-657c422df70</t>
  </si>
  <si>
    <t>GigaGen Inc</t>
  </si>
  <si>
    <t>{"Tier":"LONG_TAIL","Company":"GigaGen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ID":"CMP-657c422df70"}</t>
  </si>
  <si>
    <t>PR-ALL-CMP-abce76c3f3a</t>
  </si>
  <si>
    <t>CMP-abce76c3f3a</t>
  </si>
  <si>
    <t>Human Biologicals Institute</t>
  </si>
  <si>
    <t>{"Tier":"LONG_TAIL","Company":"Human Biologicals Institute","Company Type":"COMMERCIAL","GD Active Assets":1,"GD All Assets":1,"GD Phase II+":0,"Highest GD Stage":"Phase I","Research Area Tags":null,"Bridging Tags":"VAC","Public Source":null,"GlobalData As-of":"2026-07-31","Data Interpretation":"GlobalData snapshot only; validate current asset status","Company ID":"CMP-abce76c3f3a"}</t>
  </si>
  <si>
    <t>PR-ALL-CMP-8cbd1958438</t>
  </si>
  <si>
    <t>CMP-8cbd1958438</t>
  </si>
  <si>
    <t>Jiangsu Kanion Pharmaceutical Co Ltd</t>
  </si>
  <si>
    <t>{"Tier":"LONG_TAIL","Company":"Jiangsu Kanion Pharmaceutical Co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ID":"CMP-8cbd1958438"}</t>
  </si>
  <si>
    <t>PR-ALL-CMP-7de88e351f2</t>
  </si>
  <si>
    <t>CMP-7de88e351f2</t>
  </si>
  <si>
    <t>Jiangxi Shimei Pharmaceutical Co Ltd</t>
  </si>
  <si>
    <t>{"Tier":"LONG_TAIL","Company":"Jiangxi Shimei Pharmaceutical Co Ltd","Company Type":"COMMERCIAL","GD Active Assets":1,"GD All Assets":1,"GD Phase II+":0,"Highest GD Stage":"IND/CTA Filed","Research Area Tags":null,"Bridging Tags":null,"Public Source":null,"GlobalData As-of":"2026-07-31","Data Interpretation":"GlobalData snapshot only; validate current asset status","Company ID":"CMP-7de88e351f2"}</t>
  </si>
  <si>
    <t>PR-ALL-CMP-e68eb643be2</t>
  </si>
  <si>
    <t>CMP-e68eb643be2</t>
  </si>
  <si>
    <t>Kupando GmbH</t>
  </si>
  <si>
    <t>{"Tier":"LONG_TAIL","Company":"Kupando GmbH","Company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ID":"CMP-e68eb643be2"}</t>
  </si>
  <si>
    <t>PR-ALL-CMP-ca1e87dd56d</t>
  </si>
  <si>
    <t>CMP-ca1e87dd56d</t>
  </si>
  <si>
    <t>Mayo Clinic</t>
  </si>
  <si>
    <t>{"Tier":"LONG_TAIL","Company":"Mayo Clinic","Company Type":"COMMERCIAL","GD Active Assets":1,"GD All Assets":1,"GD Phase II+":0,"Highest GD Stage":"Phase I","Research Area Tags":null,"Bridging Tags":"VAC","Public Source":null,"GlobalData As-of":"2026-07-31","Data Interpretation":"GlobalData snapshot only; validate current asset status","Company ID":"CMP-ca1e87dd56d"}</t>
  </si>
  <si>
    <t>PR-ALL-CMP-f5538042ee6</t>
  </si>
  <si>
    <t>CMP-f5538042ee6</t>
  </si>
  <si>
    <t>Medlab Clinical Ltd</t>
  </si>
  <si>
    <t>{"Tier":"LONG_TAIL","Company":"Medlab Clinical Ltd","Company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ID":"CMP-f5538042ee6"}</t>
  </si>
  <si>
    <t>PR-ALL-CMP-6b59a800768</t>
  </si>
  <si>
    <t>CMP-6b59a800768</t>
  </si>
  <si>
    <t>Molecular Partners AG</t>
  </si>
  <si>
    <t>{"Tier":"LONG_TAIL","Company":"Molecular Partners AG","Company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ID":"CMP-6b59a800768"}</t>
  </si>
  <si>
    <t>PR-ALL-CMP-b8dad549f7a</t>
  </si>
  <si>
    <t>CMP-b8dad549f7a</t>
  </si>
  <si>
    <t>NYU Langone Health System</t>
  </si>
  <si>
    <t>{"Tier":"LONG_TAIL","Company":"NYU Langone Health System","Company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ID":"CMP-b8dad549f7a"}</t>
  </si>
  <si>
    <t>PR-ALL-CMP-c6b290c8e8a</t>
  </si>
  <si>
    <t>CMP-c6b290c8e8a</t>
  </si>
  <si>
    <t>NeoImmuneTech Inc</t>
  </si>
  <si>
    <t>{"Tier":"LONG_TAIL","Company":"NeoImmuneTech Inc","Company Type":"COMMERCIAL","GD Active Assets":1,"GD All Assets":1,"GD Phase II+":0,"Highest GD Stage":"Phase 0","Research Area Tags":null,"Bridging Tags":null,"Public Source":null,"GlobalData As-of":"2026-07-31","Data Interpretation":"GlobalData snapshot only; validate current asset status","Company ID":"CMP-c6b290c8e8a"}</t>
  </si>
  <si>
    <t>PR-ALL-CMP-9aa1ead9b91</t>
  </si>
  <si>
    <t>CMP-9aa1ead9b91</t>
  </si>
  <si>
    <t>Newish Technology Beijing Co Ltd</t>
  </si>
  <si>
    <t>{"Tier":"LONG_TAIL","Company":"Newish Technology Beijing Co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ID":"CMP-9aa1ead9b91"}</t>
  </si>
  <si>
    <t>PR-ALL-CMP-bb4ccb940dd</t>
  </si>
  <si>
    <t>CMP-bb4ccb940dd</t>
  </si>
  <si>
    <t>Novita Pharmaceuticals Inc</t>
  </si>
  <si>
    <t>{"Tier":"LONG_TAIL","Company":"Novita Pharmaceuticals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ID":"CMP-bb4ccb940dd"}</t>
  </si>
  <si>
    <t>PR-ALL-CMP-512ab7aee16</t>
  </si>
  <si>
    <t>CMP-512ab7aee16</t>
  </si>
  <si>
    <t>Onyx Axiom Pty Ltd</t>
  </si>
  <si>
    <t>{"Tier":"LONG_TAIL","Company":"Onyx Axiom Pty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ID":"CMP-512ab7aee16"}</t>
  </si>
  <si>
    <t>PR-ALL-CMP-580262e0bbe</t>
  </si>
  <si>
    <t>CMP-580262e0bbe</t>
  </si>
  <si>
    <t>Pan-Provincial Vaccine Enterprise Inc</t>
  </si>
  <si>
    <t>{"Tier":"LONG_TAIL","Company":"Pan-Provincial Vaccine Enterprise Inc","Company Type":"COMMERCIAL","GD Active Assets":1,"GD All Assets":1,"GD Phase II+":0,"Highest GD Stage":"Phase I","Research Area Tags":null,"Bridging Tags":"VAC","Public Source":null,"GlobalData As-of":"2026-07-31","Data Interpretation":"GlobalData snapshot only; validate current asset status","Company ID":"CMP-580262e0bbe"}</t>
  </si>
  <si>
    <t>PR-ALL-CMP-9221cb155fe</t>
  </si>
  <si>
    <t>CMP-9221cb155fe</t>
  </si>
  <si>
    <t>Pattern Pharma Inc</t>
  </si>
  <si>
    <t>{"Tier":"LONG_TAIL","Company":"Pattern Pharma Inc","Company Type":"COMMERCIAL","GD Active Assets":1,"GD All Assets":1,"GD Phase II+":0,"Highest GD Stage":"IND/CTA Filed","Research Area Tags":null,"Bridging Tags":null,"Public Source":null,"GlobalData As-of":"2026-07-31","Data Interpretation":"GlobalData snapshot only; validate current asset status","Company ID":"CMP-9221cb155fe"}</t>
  </si>
  <si>
    <t>PR-ALL-CMP-145a467aeca</t>
  </si>
  <si>
    <t>CMP-145a467aeca</t>
  </si>
  <si>
    <t>Pharmnovo AB</t>
  </si>
  <si>
    <t>{"Tier":"LONG_TAIL","Company":"Pharmnovo AB","Company Type":"COMMERCIAL","GD Active Assets":1,"GD All Assets":1,"GD Phase II+":0,"Highest GD Stage":"Discovery","Research Area Tags":null,"Bridging Tags":null,"Public Source":null,"GlobalData As-of":"2026-07-31","Data Interpretation":"GlobalData snapshot only; validate current asset status","Company ID":"CMP-145a467aeca"}</t>
  </si>
  <si>
    <t>PR-ALL-CMP-1c04d8eda28</t>
  </si>
  <si>
    <t>CMP-1c04d8eda28</t>
  </si>
  <si>
    <t>Posvax Co Ltd</t>
  </si>
  <si>
    <t>{"Tier":"LONG_TAIL","Company":"Posvax Co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ID":"CMP-1c04d8eda28"}</t>
  </si>
  <si>
    <t>PR-ALL-CMP-33d0ee48cba</t>
  </si>
  <si>
    <t>CMP-33d0ee48cba</t>
  </si>
  <si>
    <t>Replicate Bioscience Inc</t>
  </si>
  <si>
    <t>{"Tier":"LONG_TAIL","Company":"Replicate Bioscience Inc","Company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ID":"CMP-33d0ee48cba"}</t>
  </si>
  <si>
    <t>PR-ALL-CMP-466c7ee2f9d</t>
  </si>
  <si>
    <t>CMP-466c7ee2f9d</t>
  </si>
  <si>
    <t>Rion Inc</t>
  </si>
  <si>
    <t>{"Tier":"LONG_TAIL","Company":"Rion Inc","Company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ID":"CMP-466c7ee2f9d"}</t>
  </si>
  <si>
    <t>PR-ALL-CMP-819ede6198a</t>
  </si>
  <si>
    <t>CMP-819ede6198a</t>
  </si>
  <si>
    <t>SRI International</t>
  </si>
  <si>
    <t>{"Tier":"LONG_TAIL","Company":"SRI International","Company Type":"COMMERCIAL","GD Active Assets":1,"GD All Assets":1,"GD Phase II+":0,"Highest GD Stage":"Phase I","Research Area Tags":null,"Bridging Tags":"VAC","Public Source":null,"GlobalData As-of":"2026-07-31","Data Interpretation":"GlobalData snapshot only; validate current asset status","Company ID":"CMP-819ede6198a"}</t>
  </si>
  <si>
    <t>PR-ALL-CMP-6b956af9cc9</t>
  </si>
  <si>
    <t>CMP-6b956af9cc9</t>
  </si>
  <si>
    <t>Selecta Biotech SE</t>
  </si>
  <si>
    <t>{"Tier":"LONG_TAIL","Company":"Selecta Biotech SE","Company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ID":"CMP-6b956af9cc9"}</t>
  </si>
  <si>
    <t>PR-ALL-CMP-7b69040aebb</t>
  </si>
  <si>
    <t>CMP-7b69040aebb</t>
  </si>
  <si>
    <t>Shanghai Bowei Biotechnology Co Ltd</t>
  </si>
  <si>
    <t>{"Tier":"LONG_TAIL","Company":"Shanghai Bowei Biotechnology Co Ltd","Company Type":"COMMERCIAL","GD Active Assets":1,"GD All Assets":1,"GD Phase II+":0,"Highest GD Stage":"IND/CTA Filed","Research Area Tags":null,"Bridging Tags":"VAC","Public Source":null,"GlobalData As-of":"2026-07-31","Data Interpretation":"GlobalData snapshot only; validate current asset status","Company ID":"CMP-7b69040aebb"}</t>
  </si>
  <si>
    <t>PR-ALL-CMP-24f515445da</t>
  </si>
  <si>
    <t>CMP-24f515445da</t>
  </si>
  <si>
    <t>Shanghai Fosun Pharmaceutical (Group) Co Ltd</t>
  </si>
  <si>
    <t>{"Tier":"LONG_TAIL","Company":"Shanghai Fosun Pharmaceutical (Group) Co Ltd","Company Type":"COMMERCIAL","GD Active Assets":1,"GD All Assets":3,"GD Phase II+":0,"Highest GD Stage":"Phase I","Research Area Tags":null,"Bridging Tags":"VAC","Public Source":null,"GlobalData As-of":"2026-07-31","Data Interpretation":"GlobalData snapshot only; validate current asset status","Company ID":"CMP-24f515445da"}</t>
  </si>
  <si>
    <t>PR-ALL-CMP-b08fa60fded</t>
  </si>
  <si>
    <t>CMP-b08fa60fded</t>
  </si>
  <si>
    <t>Shenzhen Beimei Pharmaceutical Co Ltd</t>
  </si>
  <si>
    <t>{"Tier":"LONG_TAIL","Company":"Shenzhen Beimei Pharmaceutical Co Ltd","Company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ID":"CMP-b08fa60fded"}</t>
  </si>
  <si>
    <t>PR-ALL-CMP-cab3d1a08af</t>
  </si>
  <si>
    <t>CMP-cab3d1a08af</t>
  </si>
  <si>
    <t>Shenzhen Ruipuxun Academy for Stem Cell &amp; Regenerative Medicine</t>
  </si>
  <si>
    <t>{"Tier":"LONG_TAIL","Company":"Shenzhen Ruipuxun Academy for Stem Cell &amp; Regenerative Medicine","Company Type":"COMMERCIAL","GD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ID":"CMP-cab3d1a08af"}</t>
  </si>
  <si>
    <t>PR-ALL-CMP-e0b49ab0980</t>
  </si>
  <si>
    <t>CMP-e0b49ab0980</t>
  </si>
  <si>
    <t>Shenzhen Weiguang Biological Products Co Ltd</t>
  </si>
  <si>
    <t>{"Tier":"LONG_TAIL","Company":"Shenzhen Weiguang Biological Products Co Ltd","Company Type":"COMMERCIAL","GD Active Assets":1,"GD All Assets":1,"GD Phase II+":0,"Highest GD Stage":"IND/CTA Filed","Research Area Tags":null,"Bridging Tags":"VAC","Public Source":null,"GlobalData As-of":"2026-07-31","Data Interpretation":"GlobalData snapshot only; validate current asset status","Company ID":"CMP-e0b49ab0980"}</t>
  </si>
  <si>
    <t>PR-ALL-CMP-44acf3e30aa</t>
  </si>
  <si>
    <t>CMP-44acf3e30aa</t>
  </si>
  <si>
    <t>Sinomune pharmaceutical Co Ltd</t>
  </si>
  <si>
    <t>{"Tier":"LONG_TAIL","Company":"Sinomune pharmaceutical Co Ltd","Company Type":"COMMERCIAL","GD Active Assets":1,"GD All Assets":1,"GD Phase II+":0,"Highest GD Stage":"IND/CTA Filed","Research Area Tags":null,"Bridging Tags":null,"Public Source":null,"GlobalData As-of":"2026-07-31","Data Interpretation":"GlobalData snapshot only; validate current asset status","Company ID":"CMP-44acf3e30aa"}</t>
  </si>
  <si>
    <t>PR-ALL-CMP-6cc64ef2ea0</t>
  </si>
  <si>
    <t>CMP-6cc64ef2ea0</t>
  </si>
  <si>
    <t>Stablepharma Ltd</t>
  </si>
  <si>
    <t>{"Tier":"LONG_TAIL","Company":"Stablepharma Ltd","Company Type":"COMMERCIAL","GD Active Assets":1,"GD All Assets":1,"GD Phase II+":0,"Highest GD Stage":"Phase I","Research Area Tags":null,"Bridging Tags":"VAC","Public Source":null,"GlobalData As-of":"2026-07-31","Data Interpretation":"GlobalData snapshot only; validate current asset status","Company ID":"CMP-6cc64ef2ea0"}</t>
  </si>
  <si>
    <t>PR-ALL-CMP-a40caee7097</t>
  </si>
  <si>
    <t>CMP-a40caee7097</t>
  </si>
  <si>
    <t>Zhongao Biopharmaceutical Technology (Guangdong) Co Ltd</t>
  </si>
  <si>
    <t>{"Tier":"LONG_TAIL","Company":"Zhongao Biopharmaceutical Technology (Guangdong) Co Ltd","Company Type":"COMMERCIAL","GD Active Assets":1,"GD All Assets":1,"GD Phase II+":0,"Highest GD Stage":"Phase I","Research Area Tags":null,"Bridging Tags":null,"Public Source":null,"GlobalData As-of":"2026-07-31","Data Interpretation":"GlobalData snapshot only; validate current asset status","Company ID":"CMP-a40caee7097"}</t>
  </si>
  <si>
    <t>PR-ALL-CMP-eede9aee2a1</t>
  </si>
  <si>
    <t>CMP-eede9aee2a1</t>
  </si>
  <si>
    <t>Zymeworks Inc</t>
  </si>
  <si>
    <t>{"Tier":"LONG_TAIL","Company":"Zymeworks Inc","Company Type":"COMMERCIAL","GD Active Assets":1,"GD All Assets":1,"GD Phase II+":0,"Highest GD Stage":"Phase I","Research Area Tags":null,"Bridging Tags":"MAB","Public Source":null,"GlobalData As-of":"2026-07-31","Data Interpretation":"GlobalData snapshot only; validate current asset status","Company ID":"CMP-eede9aee2a1"}</t>
  </si>
  <si>
    <t>PR-ALL-CMP-709839aba02</t>
  </si>
  <si>
    <t>CMP-709839aba02</t>
  </si>
  <si>
    <t>4P-Pharma SAS</t>
  </si>
  <si>
    <t>{"Tier":"LONG_TAIL","Company":"4P-Pharma SAS","Company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ID":"CMP-709839aba02"}</t>
  </si>
  <si>
    <t>PR-ALL-CMP-492931b6277</t>
  </si>
  <si>
    <t>CMP-492931b6277</t>
  </si>
  <si>
    <t>AB2 Bio Ltd</t>
  </si>
  <si>
    <t>{"Tier":"LONG_TAIL","Company":"AB2 Bio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ID":"CMP-492931b6277"}</t>
  </si>
  <si>
    <t>PR-ALL-CMP-624b9aa7286</t>
  </si>
  <si>
    <t>CMP-624b9aa7286</t>
  </si>
  <si>
    <t>AOP Health</t>
  </si>
  <si>
    <t>{"Tier":"LONG_TAIL","Company":"AOP Health","Company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ID":"CMP-624b9aa7286"}</t>
  </si>
  <si>
    <t>PR-ALL-CMP-fc6e3a9f240</t>
  </si>
  <si>
    <t>CMP-fc6e3a9f240</t>
  </si>
  <si>
    <t>Aclaris Therapeutics Inc</t>
  </si>
  <si>
    <t>{"Tier":"LONG_TAIL","Company":"Aclaris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ID":"CMP-fc6e3a9f240"}</t>
  </si>
  <si>
    <t>PR-ALL-CMP-df64b79d415</t>
  </si>
  <si>
    <t>CMP-df64b79d415</t>
  </si>
  <si>
    <t>Adicet Bio Inc</t>
  </si>
  <si>
    <t>{"Tier":"LONG_TAIL","Company":"Adicet Bio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ID":"CMP-df64b79d415"}</t>
  </si>
  <si>
    <t>PR-ALL-CMP-2ece10f15a8</t>
  </si>
  <si>
    <t>CMP-2ece10f15a8</t>
  </si>
  <si>
    <t>Afimmune Biopharma Ltd</t>
  </si>
  <si>
    <t>{"Tier":"LONG_TAIL","Company":"Afimmune Biopharma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ID":"CMP-2ece10f15a8"}</t>
  </si>
  <si>
    <t>PR-ALL-CMP-44d99e3e0ff</t>
  </si>
  <si>
    <t>CMP-44d99e3e0ff</t>
  </si>
  <si>
    <t>Akaza Bioscience Ltd</t>
  </si>
  <si>
    <t>{"Tier":"LONG_TAIL","Company":"Akaza Bioscience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ID":"CMP-44d99e3e0ff"}</t>
  </si>
  <si>
    <t>PR-ALL-CMP-06c2e54b3f9</t>
  </si>
  <si>
    <t>CMP-06c2e54b3f9</t>
  </si>
  <si>
    <t>Akeso Inc</t>
  </si>
  <si>
    <t>{"Tier":"LONG_TAIL","Company":"Akeso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ID":"CMP-06c2e54b3f9"}</t>
  </si>
  <si>
    <t>PR-ALL-CMP-d602c42ce2f</t>
  </si>
  <si>
    <t>CMP-d602c42ce2f</t>
  </si>
  <si>
    <t>Aldeyra Therapeutics Inc</t>
  </si>
  <si>
    <t>{"Tier":"LONG_TAIL","Company":"Aldeyra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ID":"CMP-d602c42ce2f"}</t>
  </si>
  <si>
    <t>PR-ALL-CMP-0274f39175e</t>
  </si>
  <si>
    <t>CMP-0274f39175e</t>
  </si>
  <si>
    <t>Alexion Pharmaceuticals Inc</t>
  </si>
  <si>
    <t>{"Tier":"LONG_TAIL","Company":"Alexion Pharmaceuticals Inc","Company Type":"COMMERCIAL","GD Active Assets":0,"GD All Assets":3,"GD Phase II+":0,"Highest GD Stage":"-","Research Area Tags":null,"Bridging Tags":null,"Public Source":null,"GlobalData As-of":"2026-07-31","Data Interpretation":"GlobalData snapshot only; validate current asset status","Company ID":"CMP-0274f39175e"}</t>
  </si>
  <si>
    <t>PR-ALL-CMP-25deab65b05</t>
  </si>
  <si>
    <t>CMP-25deab65b05</t>
  </si>
  <si>
    <t>Allarity Therapeutics Inc</t>
  </si>
  <si>
    <t>{"Tier":"LONG_TAIL","Company":"Allarity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ID":"CMP-25deab65b05"}</t>
  </si>
  <si>
    <t>PR-ALL-CMP-d99532db4c8</t>
  </si>
  <si>
    <t>CMP-d99532db4c8</t>
  </si>
  <si>
    <t>Allergan Ltd</t>
  </si>
  <si>
    <t>{"Tier":"LONG_TAIL","Company":"Allergan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ID":"CMP-d99532db4c8"}</t>
  </si>
  <si>
    <t>PR-ALL-CMP-3481efac6b6</t>
  </si>
  <si>
    <t>CMP-3481efac6b6</t>
  </si>
  <si>
    <t>Alphamab Oncology</t>
  </si>
  <si>
    <t>{"Tier":"LONG_TAIL","Company":"Alphamab Oncology","Company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ID":"CMP-3481efac6b6"}</t>
  </si>
  <si>
    <t>PR-ALL-CMP-08fd37944fa</t>
  </si>
  <si>
    <t>CMP-08fd37944fa</t>
  </si>
  <si>
    <t>Am-Pharma BV</t>
  </si>
  <si>
    <t>{"Tier":"LONG_TAIL","Company":"Am-Pharma BV","Company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ID":"CMP-08fd37944fa"}</t>
  </si>
  <si>
    <t>PR-ALL-CMP-9a747beca1a</t>
  </si>
  <si>
    <t>CMP-9a747beca1a</t>
  </si>
  <si>
    <t>Amarin Corp Plc</t>
  </si>
  <si>
    <t>{"Tier":"LONG_TAIL","Company":"Amarin Corp Plc","Company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ID":"CMP-9a747beca1a"}</t>
  </si>
  <si>
    <t>PR-ALL-CMP-b1fe6d086ba</t>
  </si>
  <si>
    <t>CMP-b1fe6d086ba</t>
  </si>
  <si>
    <t>Amgen Inc</t>
  </si>
  <si>
    <t>{"Tier":"LONG_TAIL","Company":"Amgen Inc","Company Type":"COMMERCIAL","GD Active Assets":0,"GD All Assets":3,"GD Phase II+":0,"Highest GD Stage":"-","Research Area Tags":null,"Bridging Tags":null,"Public Source":null,"GlobalData As-of":"2026-07-31","Data Interpretation":"GlobalData snapshot only; validate current asset status","Company ID":"CMP-b1fe6d086ba"}</t>
  </si>
  <si>
    <t>PR-ALL-CMP-e295f6fcaf5</t>
  </si>
  <si>
    <t>CMP-e295f6fcaf5</t>
  </si>
  <si>
    <t>Amplyx Pharmaceuticals Inc</t>
  </si>
  <si>
    <t>{"Tier":"LONG_TAIL","Company":"Amplyx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ID":"CMP-e295f6fcaf5"}</t>
  </si>
  <si>
    <t>PR-ALL-CMP-c01beb6849a</t>
  </si>
  <si>
    <t>CMP-c01beb6849a</t>
  </si>
  <si>
    <t>Ananda Scientific Inc</t>
  </si>
  <si>
    <t>{"Tier":"LONG_TAIL","Company":"Ananda Scientific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ID":"CMP-c01beb6849a"}</t>
  </si>
  <si>
    <t>PR-ALL-CMP-c8ae5e65e15</t>
  </si>
  <si>
    <t>CMP-c8ae5e65e15</t>
  </si>
  <si>
    <t>Annexin Pharmaceuticals AB</t>
  </si>
  <si>
    <t>{"Tier":"LONG_TAIL","Company":"Annexin Pharmaceuticals AB","Company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ID":"CMP-c8ae5e65e15"}</t>
  </si>
  <si>
    <t>PR-ALL-CMP-b720a314da1</t>
  </si>
  <si>
    <t>CMP-b720a314da1</t>
  </si>
  <si>
    <t>Apeptico Research and Development Ltd</t>
  </si>
  <si>
    <t>{"Tier":"LONG_TAIL","Company":"Apeptico Research and Development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ID":"CMP-b720a314da1"}</t>
  </si>
  <si>
    <t>PR-ALL-CMP-67e3564f7de</t>
  </si>
  <si>
    <t>CMP-67e3564f7de</t>
  </si>
  <si>
    <t>Applied Therapeutics Inc</t>
  </si>
  <si>
    <t>{"Tier":"LONG_TAIL","Company":"Applied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ID":"CMP-67e3564f7de"}</t>
  </si>
  <si>
    <t>PR-ALL-CMP-f75cc68a12b</t>
  </si>
  <si>
    <t>CMP-f75cc68a12b</t>
  </si>
  <si>
    <t>AptaBio Therapeutics Inc</t>
  </si>
  <si>
    <t>{"Tier":"LONG_TAIL","Company":"AptaBio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ID":"CMP-f75cc68a12b"}</t>
  </si>
  <si>
    <t>PR-ALL-CMP-f7552894349</t>
  </si>
  <si>
    <t>CMP-f7552894349</t>
  </si>
  <si>
    <t>Aptarion Biotech AG</t>
  </si>
  <si>
    <t>{"Tier":"LONG_TAIL","Company":"Aptarion Biotech AG","Company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ID":"CMP-f7552894349"}</t>
  </si>
  <si>
    <t>PR-ALL-CMP-3757fa33cbc</t>
  </si>
  <si>
    <t>CMP-3757fa33cbc</t>
  </si>
  <si>
    <t>Aravive Inc</t>
  </si>
  <si>
    <t>{"Tier":"LONG_TAIL","Company":"Aravive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ID":"CMP-3757fa33cbc"}</t>
  </si>
  <si>
    <t>PR-ALL-CMP-3445e143ee4</t>
  </si>
  <si>
    <t>CMP-3445e143ee4</t>
  </si>
  <si>
    <t>Argenx SE</t>
  </si>
  <si>
    <t>{"Tier":"LONG_TAIL","Company":"Argenx SE","Company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ID":"CMP-3445e143ee4"}</t>
  </si>
  <si>
    <t>PR-ALL-CMP-c56d4662284</t>
  </si>
  <si>
    <t>CMP-c56d4662284</t>
  </si>
  <si>
    <t>AriBio Co Ltd</t>
  </si>
  <si>
    <t>{"Tier":"LONG_TAIL","Company":"AriBio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ID":"CMP-c56d4662284"}</t>
  </si>
  <si>
    <t>PR-ALL-CMP-ee4061d6338</t>
  </si>
  <si>
    <t>CMP-ee4061d6338</t>
  </si>
  <si>
    <t>Arno Therapeutics Inc</t>
  </si>
  <si>
    <t>{"Tier":"LONG_TAIL","Company":"Arno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ID":"CMP-ee4061d6338"}</t>
  </si>
  <si>
    <t>PR-ALL-CMP-92dc6ead6db</t>
  </si>
  <si>
    <t>CMP-92dc6ead6db</t>
  </si>
  <si>
    <t>Ascletis Pharma Inc</t>
  </si>
  <si>
    <t>{"Tier":"LONG_TAIL","Company":"Ascletis 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ID":"CMP-92dc6ead6db"}</t>
  </si>
  <si>
    <t>PR-ALL-CMP-d4198930c06</t>
  </si>
  <si>
    <t>CMP-d4198930c06</t>
  </si>
  <si>
    <t>Asklepion Pharmaceuticals LLC</t>
  </si>
  <si>
    <t>{"Tier":"LONG_TAIL","Company":"Asklepion Pharmaceuticals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ID":"CMP-d4198930c06"}</t>
  </si>
  <si>
    <t>PR-ALL-CMP-a45dec1b6f4</t>
  </si>
  <si>
    <t>CMP-a45dec1b6f4</t>
  </si>
  <si>
    <t>BeOne Medicines AG</t>
  </si>
  <si>
    <t>{"Tier":"LONG_TAIL","Company":"BeOne Medicines AG","Company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ID":"CMP-a45dec1b6f4"}</t>
  </si>
  <si>
    <t>PR-ALL-CMP-d4c175b9a8d</t>
  </si>
  <si>
    <t>CMP-d4c175b9a8d</t>
  </si>
  <si>
    <t>Bexion Pharmaceuticals Inc</t>
  </si>
  <si>
    <t>{"Tier":"LONG_TAIL","Company":"Bexion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ID":"CMP-d4c175b9a8d"}</t>
  </si>
  <si>
    <t>PR-ALL-CMP-0aa4006e123</t>
  </si>
  <si>
    <t>CMP-0aa4006e123</t>
  </si>
  <si>
    <t>Bicara Therapeutics Inc</t>
  </si>
  <si>
    <t>{"Tier":"LONG_TAIL","Company":"Bicara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ID":"CMP-0aa4006e123"}</t>
  </si>
  <si>
    <t>PR-ALL-CMP-e0c00d3a62b</t>
  </si>
  <si>
    <t>CMP-e0c00d3a62b</t>
  </si>
  <si>
    <t>BioCardia Inc</t>
  </si>
  <si>
    <t>{"Tier":"LONG_TAIL","Company":"BioCardia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ID":"CMP-e0c00d3a62b"}</t>
  </si>
  <si>
    <t>PR-ALL-CMP-df0289a12b5</t>
  </si>
  <si>
    <t>CMP-df0289a12b5</t>
  </si>
  <si>
    <t>BioCryst Pharmaceuticals Inc</t>
  </si>
  <si>
    <t>{"Tier":"LONG_TAIL","Company":"BioCryst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ID":"CMP-df0289a12b5"}</t>
  </si>
  <si>
    <t>PR-ALL-CMP-c9f20ae3713</t>
  </si>
  <si>
    <t>CMP-c9f20ae3713</t>
  </si>
  <si>
    <t>BioLineRx Ltd</t>
  </si>
  <si>
    <t>{"Tier":"LONG_TAIL","Company":"BioLineRx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ID":"CMP-c9f20ae3713"}</t>
  </si>
  <si>
    <t>PR-ALL-CMP-482a64c20af</t>
  </si>
  <si>
    <t>CMP-482a64c20af</t>
  </si>
  <si>
    <t>Biodexa Pharmaceuticals PLC</t>
  </si>
  <si>
    <t>{"Tier":"LONG_TAIL","Company":"Biodexa Pharmaceuticals PLC","Company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ID":"CMP-482a64c20af"}</t>
  </si>
  <si>
    <t>PR-ALL-CMP-b886604ec4b</t>
  </si>
  <si>
    <t>CMP-b886604ec4b</t>
  </si>
  <si>
    <t>Biofrontera AG</t>
  </si>
  <si>
    <t>{"Tier":"LONG_TAIL","Company":"Biofrontera AG","Company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ID":"CMP-b886604ec4b"}</t>
  </si>
  <si>
    <t>PR-ALL-CMP-57343157a17</t>
  </si>
  <si>
    <t>CMP-57343157a17</t>
  </si>
  <si>
    <t>Biomedizinische Forschung &amp; Bio-Produkte GmbH</t>
  </si>
  <si>
    <t>{"Tier":"LONG_TAIL","Company":"Biomedizinische Forschung &amp; Bio-Produkte GmbH","Company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ID":"CMP-57343157a17"}</t>
  </si>
  <si>
    <t>PR-ALL-CMP-82db9f7859f</t>
  </si>
  <si>
    <t>CMP-82db9f7859f</t>
  </si>
  <si>
    <t>Biomendics LLC</t>
  </si>
  <si>
    <t>{"Tier":"LONG_TAIL","Company":"Biomendics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ID":"CMP-82db9f7859f"}</t>
  </si>
  <si>
    <t>PR-ALL-CMP-e5079de6af5</t>
  </si>
  <si>
    <t>CMP-e5079de6af5</t>
  </si>
  <si>
    <t>Biopharma Plasma</t>
  </si>
  <si>
    <t>{"Tier":"LONG_TAIL","Company":"Biopharma Plasma","Company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ID":"CMP-e5079de6af5"}</t>
  </si>
  <si>
    <t>PR-ALL-CMP-16c1a3e9529</t>
  </si>
  <si>
    <t>CMP-16c1a3e9529</t>
  </si>
  <si>
    <t>Biossil Inc</t>
  </si>
  <si>
    <t>{"Tier":"LONG_TAIL","Company":"Biossil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ID":"CMP-16c1a3e9529"}</t>
  </si>
  <si>
    <t>PR-ALL-CMP-5f0a49fe8f8</t>
  </si>
  <si>
    <t>CMP-5f0a49fe8f8</t>
  </si>
  <si>
    <t>Biotest GmbH &amp; Co KGaA</t>
  </si>
  <si>
    <t>{"Tier":"LONG_TAIL","Company":"Biotest GmbH &amp; Co KGaA","Company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ID":"CMP-5f0a49fe8f8"}</t>
  </si>
  <si>
    <t>PR-ALL-CMP-a199aad27e8</t>
  </si>
  <si>
    <t>CMP-a199aad27e8</t>
  </si>
  <si>
    <t>Bioven Group</t>
  </si>
  <si>
    <t>{"Tier":"LONG_TAIL","Company":"Bioven Group","Company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ID":"CMP-a199aad27e8"}</t>
  </si>
  <si>
    <t>PR-ALL-CMP-55833c20f49</t>
  </si>
  <si>
    <t>CMP-55833c20f49</t>
  </si>
  <si>
    <t>Biozeus Pharmaceutical SA</t>
  </si>
  <si>
    <t>{"Tier":"LONG_TAIL","Company":"Biozeus Pharmaceutical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ID":"CMP-55833c20f49"}</t>
  </si>
  <si>
    <t>PR-ALL-CMP-cf7fa895bc0</t>
  </si>
  <si>
    <t>CMP-cf7fa895bc0</t>
  </si>
  <si>
    <t>Bold Therapeutics Inc</t>
  </si>
  <si>
    <t>{"Tier":"LONG_TAIL","Company":"Bold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ID":"CMP-cf7fa895bc0"}</t>
  </si>
  <si>
    <t>PR-ALL-CMP-99363d70343</t>
  </si>
  <si>
    <t>CMP-99363d70343</t>
  </si>
  <si>
    <t>Boryung ViGenCell Inc</t>
  </si>
  <si>
    <t>{"Tier":"LONG_TAIL","Company":"Boryung ViGenCell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ID":"CMP-99363d70343"}</t>
  </si>
  <si>
    <t>PR-ALL-CMP-5bb493400ee</t>
  </si>
  <si>
    <t>CMP-5bb493400ee</t>
  </si>
  <si>
    <t>BrainStorm Cell Therapeutics Inc</t>
  </si>
  <si>
    <t>{"Tier":"LONG_TAIL","Company":"BrainStorm Cell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ID":"CMP-5bb493400ee"}</t>
  </si>
  <si>
    <t>PR-ALL-CMP-6d33c39c223</t>
  </si>
  <si>
    <t>CMP-6d33c39c223</t>
  </si>
  <si>
    <t>CEL-SCI Corp</t>
  </si>
  <si>
    <t>{"Tier":"LONG_TAIL","Company":"CEL-SCI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ID":"CMP-6d33c39c223"}</t>
  </si>
  <si>
    <t>PR-ALL-CMP-ad862f99b2b</t>
  </si>
  <si>
    <t>CMP-ad862f99b2b</t>
  </si>
  <si>
    <t>CG Invites Co Ltd</t>
  </si>
  <si>
    <t>{"Tier":"LONG_TAIL","Company":"CG Invites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ID":"CMP-ad862f99b2b"}</t>
  </si>
  <si>
    <t>PR-ALL-CMP-4f6ec878c1f</t>
  </si>
  <si>
    <t>CMP-4f6ec878c1f</t>
  </si>
  <si>
    <t>CalciMedica Inc</t>
  </si>
  <si>
    <t>{"Tier":"LONG_TAIL","Company":"CalciMedica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ID":"CMP-4f6ec878c1f"}</t>
  </si>
  <si>
    <t>PR-ALL-CMP-542eae7b18f</t>
  </si>
  <si>
    <t>CMP-542eae7b18f</t>
  </si>
  <si>
    <t>Camurus AB</t>
  </si>
  <si>
    <t>{"Tier":"LONG_TAIL","Company":"Camurus AB","Company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ID":"CMP-542eae7b18f"}</t>
  </si>
  <si>
    <t>PR-ALL-CMP-056156240d5</t>
  </si>
  <si>
    <t>CMP-056156240d5</t>
  </si>
  <si>
    <t>Can-Fite BioPharma Ltd</t>
  </si>
  <si>
    <t>{"Tier":"LONG_TAIL","Company":"Can-Fite BioPharma Ltd","Company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ID":"CMP-056156240d5"}</t>
  </si>
  <si>
    <t>PR-ALL-CMP-eb09ab33ac9</t>
  </si>
  <si>
    <t>CMP-eb09ab33ac9</t>
  </si>
  <si>
    <t>Cardiol Therapeutics Inc</t>
  </si>
  <si>
    <t>{"Tier":"LONG_TAIL","Company":"Cardiol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ID":"CMP-eb09ab33ac9"}</t>
  </si>
  <si>
    <t>PR-ALL-CMP-9f685ec71c6</t>
  </si>
  <si>
    <t>CMP-9f685ec71c6</t>
  </si>
  <si>
    <t>Celea Therapeutics</t>
  </si>
  <si>
    <t>{"Tier":"LONG_TAIL","Company":"Celea Therapeutics","Company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ID":"CMP-9f685ec71c6"}</t>
  </si>
  <si>
    <t>PR-ALL-CMP-5949edff487</t>
  </si>
  <si>
    <t>CMP-5949edff487</t>
  </si>
  <si>
    <t>Celgene Corp</t>
  </si>
  <si>
    <t>{"Tier":"LONG_TAIL","Company":"Celgene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ID":"CMP-5949edff487"}</t>
  </si>
  <si>
    <t>PR-ALL-CMP-60563f6790f</t>
  </si>
  <si>
    <t>CMP-60563f6790f</t>
  </si>
  <si>
    <t>Cellresearch Corp Pte Ltd</t>
  </si>
  <si>
    <t>{"Tier":"LONG_TAIL","Company":"Cellresearch Corp Pte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ID":"CMP-60563f6790f"}</t>
  </si>
  <si>
    <t>PR-ALL-CMP-aa71d5201e3</t>
  </si>
  <si>
    <t>CMP-aa71d5201e3</t>
  </si>
  <si>
    <t>Celltrion Inc</t>
  </si>
  <si>
    <t>{"Tier":"LONG_TAIL","Company":"Celltrion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ID":"CMP-aa71d5201e3"}</t>
  </si>
  <si>
    <t>PR-ALL-CMP-ba8cdeb7b00</t>
  </si>
  <si>
    <t>CMP-ba8cdeb7b00</t>
  </si>
  <si>
    <t>Celon Pharma SA</t>
  </si>
  <si>
    <t>{"Tier":"LONG_TAIL","Company":"Celon Pharma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ID":"CMP-ba8cdeb7b00"}</t>
  </si>
  <si>
    <t>PR-ALL-CMP-a1d8386c82a</t>
  </si>
  <si>
    <t>CMP-a1d8386c82a</t>
  </si>
  <si>
    <t>Centurion Ilac Sanayi Ve Ticaret AS</t>
  </si>
  <si>
    <t>{"Tier":"LONG_TAIL","Company":"Centurion Ilac Sanayi Ve Ticaret AS","Company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ID":"CMP-a1d8386c82a"}</t>
  </si>
  <si>
    <t>PR-ALL-CMP-e93dd00dfbf</t>
  </si>
  <si>
    <t>CMP-e93dd00dfbf</t>
  </si>
  <si>
    <t>CereSpir Inc</t>
  </si>
  <si>
    <t>{"Tier":"LONG_TAIL","Company":"CereSpir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ID":"CMP-e93dd00dfbf"}</t>
  </si>
  <si>
    <t>PR-ALL-CMP-a8db658344f</t>
  </si>
  <si>
    <t>CMP-a8db658344f</t>
  </si>
  <si>
    <t>Changchun Tuohua Pharmaceutical Co Ltd</t>
  </si>
  <si>
    <t>{"Tier":"LONG_TAIL","Company":"Changchun Tuohua Pharmaceutical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ID":"CMP-a8db658344f"}</t>
  </si>
  <si>
    <t>PR-ALL-CMP-045957c4d75</t>
  </si>
  <si>
    <t>CMP-045957c4d75</t>
  </si>
  <si>
    <t>Chemomab Therapeutics Ltd</t>
  </si>
  <si>
    <t>{"Tier":"LONG_TAIL","Company":"Chemomab Therapeutics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ID":"CMP-045957c4d75"}</t>
  </si>
  <si>
    <t>PR-ALL-CMP-cad7ea119c3</t>
  </si>
  <si>
    <t>CMP-cad7ea119c3</t>
  </si>
  <si>
    <t>Chiesi Farmaceutici SpA</t>
  </si>
  <si>
    <t>{"Tier":"LONG_TAIL","Company":"Chiesi Farmaceutici SpA","Company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ID":"CMP-cad7ea119c3"}</t>
  </si>
  <si>
    <t>PR-ALL-CMP-0b10e681b04</t>
  </si>
  <si>
    <t>CMP-0b10e681b04</t>
  </si>
  <si>
    <t>Chimerix Inc</t>
  </si>
  <si>
    <t>{"Tier":"LONG_TAIL","Company":"Chimerix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ID":"CMP-0b10e681b04"}</t>
  </si>
  <si>
    <t>PR-ALL-CMP-2f0fed49b3b</t>
  </si>
  <si>
    <t>CMP-2f0fed49b3b</t>
  </si>
  <si>
    <t>Cidara Therapeutics Inc</t>
  </si>
  <si>
    <t>{"Tier":"LONG_TAIL","Company":"Cidara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ID":"CMP-2f0fed49b3b"}</t>
  </si>
  <si>
    <t>PR-ALL-CMP-354f0f40e42</t>
  </si>
  <si>
    <t>CMP-354f0f40e42</t>
  </si>
  <si>
    <t>Constant Therapeutics LLC</t>
  </si>
  <si>
    <t>{"Tier":"LONG_TAIL","Company":"Constant Therapeutics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ID":"CMP-354f0f40e42"}</t>
  </si>
  <si>
    <t>PR-ALL-CMP-0b0a85b77f2</t>
  </si>
  <si>
    <t>CMP-0b0a85b77f2</t>
  </si>
  <si>
    <t>ContraFect Corp</t>
  </si>
  <si>
    <t>{"Tier":"LONG_TAIL","Company":"ContraFect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ID":"CMP-0b0a85b77f2"}</t>
  </si>
  <si>
    <t>PR-ALL-CMP-5792fb48f70</t>
  </si>
  <si>
    <t>CMP-5792fb48f70</t>
  </si>
  <si>
    <t>Convalife (Shanghai) Co Ltd</t>
  </si>
  <si>
    <t>{"Tier":"LONG_TAIL","Company":"Convalife (Shanghai)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ID":"CMP-5792fb48f70"}</t>
  </si>
  <si>
    <t>PR-ALL-CMP-96946ab620f</t>
  </si>
  <si>
    <t>CMP-96946ab620f</t>
  </si>
  <si>
    <t>Cortene Inc</t>
  </si>
  <si>
    <t>{"Tier":"LONG_TAIL","Company":"Cortene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ID":"CMP-96946ab620f"}</t>
  </si>
  <si>
    <t>PR-ALL-CMP-d8eedb5e5a8</t>
  </si>
  <si>
    <t>CMP-d8eedb5e5a8</t>
  </si>
  <si>
    <t>Corvus Pharmaceuticals Inc</t>
  </si>
  <si>
    <t>{"Tier":"LONG_TAIL","Company":"Corvus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ID":"CMP-d8eedb5e5a8"}</t>
  </si>
  <si>
    <t>PR-ALL-CMP-fd6681bde4c</t>
  </si>
  <si>
    <t>CMP-fd6681bde4c</t>
  </si>
  <si>
    <t>Cullinan Therapeutics Inc</t>
  </si>
  <si>
    <t>{"Tier":"LONG_TAIL","Company":"Cullinan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ID":"CMP-fd6681bde4c"}</t>
  </si>
  <si>
    <t>PR-ALL-CMP-2bcde82940d</t>
  </si>
  <si>
    <t>CMP-2bcde82940d</t>
  </si>
  <si>
    <t>Cumbre Pharmaceuticals Inc. (Inactive)</t>
  </si>
  <si>
    <t>{"Tier":"LONG_TAIL","Company":"Cumbre Pharmaceuticals Inc.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ID":"CMP-2bcde82940d"}</t>
  </si>
  <si>
    <t>PR-ALL-CMP-2bc44644a65</t>
  </si>
  <si>
    <t>CMP-2bc44644a65</t>
  </si>
  <si>
    <t>Curateq Biologics Pvt Ltd</t>
  </si>
  <si>
    <t>{"Tier":"LONG_TAIL","Company":"Curateq Biologics Pvt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ID":"CMP-2bc44644a65"}</t>
  </si>
  <si>
    <t>PR-ALL-CMP-9aa4421e63c</t>
  </si>
  <si>
    <t>CMP-9aa4421e63c</t>
  </si>
  <si>
    <t>Cynata Therapeutics Ltd</t>
  </si>
  <si>
    <t>{"Tier":"LONG_TAIL","Company":"Cynata Therapeutics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ID":"CMP-9aa4421e63c"}</t>
  </si>
  <si>
    <t>PR-ALL-CMP-33508f53035</t>
  </si>
  <si>
    <t>CMP-33508f53035</t>
  </si>
  <si>
    <t>CytoAgents Inc</t>
  </si>
  <si>
    <t>{"Tier":"LONG_TAIL","Company":"CytoAgents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ID":"CMP-33508f53035"}</t>
  </si>
  <si>
    <t>PR-ALL-CMP-2ecfdf6bd0c</t>
  </si>
  <si>
    <t>CMP-2ecfdf6bd0c</t>
  </si>
  <si>
    <t>Cytopeutics Pte Ltd</t>
  </si>
  <si>
    <t>{"Tier":"LONG_TAIL","Company":"Cytopeutics Pte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ID":"CMP-2ecfdf6bd0c"}</t>
  </si>
  <si>
    <t>PR-ALL-CMP-8871819bc2a</t>
  </si>
  <si>
    <t>CMP-8871819bc2a</t>
  </si>
  <si>
    <t>DMK Pharmaceuticals Corp</t>
  </si>
  <si>
    <t>{"Tier":"LONG_TAIL","Company":"DMK Pharmaceuticals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ID":"CMP-8871819bc2a"}</t>
  </si>
  <si>
    <t>PR-ALL-CMP-3ae77c1c260</t>
  </si>
  <si>
    <t>CMP-3ae77c1c260</t>
  </si>
  <si>
    <t>DURECT Corp</t>
  </si>
  <si>
    <t>{"Tier":"LONG_TAIL","Company":"DURECT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ID":"CMP-3ae77c1c260"}</t>
  </si>
  <si>
    <t>PR-ALL-CMP-2117b29884c</t>
  </si>
  <si>
    <t>CMP-2117b29884c</t>
  </si>
  <si>
    <t>Denali Therapeutics Inc</t>
  </si>
  <si>
    <t>{"Tier":"LONG_TAIL","Company":"Denali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ID":"CMP-2117b29884c"}</t>
  </si>
  <si>
    <t>PR-ALL-CMP-03eb502cc02</t>
  </si>
  <si>
    <t>CMP-03eb502cc02</t>
  </si>
  <si>
    <t>Devonian Health Group Inc</t>
  </si>
  <si>
    <t>{"Tier":"LONG_TAIL","Company":"Devonian Health Group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ID":"CMP-03eb502cc02"}</t>
  </si>
  <si>
    <t>PR-ALL-CMP-3fb051476fd</t>
  </si>
  <si>
    <t>CMP-3fb051476fd</t>
  </si>
  <si>
    <t>Dilafor AB</t>
  </si>
  <si>
    <t>{"Tier":"LONG_TAIL","Company":"Dilafor AB","Company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ID":"CMP-3fb051476fd"}</t>
  </si>
  <si>
    <t>PR-ALL-CMP-775551e6fad</t>
  </si>
  <si>
    <t>CMP-775551e6fad</t>
  </si>
  <si>
    <t>Dimerix Ltd</t>
  </si>
  <si>
    <t>{"Tier":"LONG_TAIL","Company":"Dimerix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ID":"CMP-775551e6fad"}</t>
  </si>
  <si>
    <t>PR-ALL-CMP-9c2b2e0c427</t>
  </si>
  <si>
    <t>CMP-9c2b2e0c427</t>
  </si>
  <si>
    <t>Direct Biologics LLC</t>
  </si>
  <si>
    <t>{"Tier":"LONG_TAIL","Company":"Direct Biologics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ID":"CMP-9c2b2e0c427"}</t>
  </si>
  <si>
    <t>PR-ALL-CMP-83ee7b22598</t>
  </si>
  <si>
    <t>CMP-83ee7b22598</t>
  </si>
  <si>
    <t>EOM Pharmaceuticals Holdings Inc</t>
  </si>
  <si>
    <t>{"Tier":"LONG_TAIL","Company":"EOM Pharmaceuticals Holdings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ID":"CMP-83ee7b22598"}</t>
  </si>
  <si>
    <t>PR-ALL-CMP-63d5d5065e6</t>
  </si>
  <si>
    <t>CMP-63d5d5065e6</t>
  </si>
  <si>
    <t>Eagle Pharmaceuticals Inc</t>
  </si>
  <si>
    <t>{"Tier":"LONG_TAIL","Company":"Eagle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ID":"CMP-63d5d5065e6"}</t>
  </si>
  <si>
    <t>PR-ALL-CMP-75ffac58ad8</t>
  </si>
  <si>
    <t>CMP-75ffac58ad8</t>
  </si>
  <si>
    <t>Eiger BioPharmaceuticals Inc (Inactive)</t>
  </si>
  <si>
    <t>{"Tier":"LONG_TAIL","Company":"Eiger BioPharmaceuticals Inc (Inactive)","Company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ID":"CMP-75ffac58ad8"}</t>
  </si>
  <si>
    <t>PR-ALL-CMP-ad89d272e11</t>
  </si>
  <si>
    <t>CMP-ad89d272e11</t>
  </si>
  <si>
    <t>Elixiron Immunotherapeutics Inc</t>
  </si>
  <si>
    <t>{"Tier":"LONG_TAIL","Company":"Elixiron Immunotherapeutics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ID":"CMP-ad89d272e11"}</t>
  </si>
  <si>
    <t>PR-ALL-CMP-949fdeb6c59</t>
  </si>
  <si>
    <t>CMP-949fdeb6c59</t>
  </si>
  <si>
    <t>Emcure Pharmaceuticals Ltd</t>
  </si>
  <si>
    <t>{"Tier":"LONG_TAIL","Company":"Emcure Pharmaceuticals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ID":"CMP-949fdeb6c59"}</t>
  </si>
  <si>
    <t>PR-ALL-CMP-5bad4bc9973</t>
  </si>
  <si>
    <t>CMP-5bad4bc9973</t>
  </si>
  <si>
    <t>Endurance Bio Inc</t>
  </si>
  <si>
    <t>{"Tier":"LONG_TAIL","Company":"Endurance Bio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ID":"CMP-5bad4bc9973"}</t>
  </si>
  <si>
    <t>PR-ALL-CMP-ed911d4d9d3</t>
  </si>
  <si>
    <t>CMP-ed911d4d9d3</t>
  </si>
  <si>
    <t>Enterobiotix Ltd</t>
  </si>
  <si>
    <t>{"Tier":"LONG_TAIL","Company":"Enterobiotix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ID":"CMP-ed911d4d9d3"}</t>
  </si>
  <si>
    <t>PR-ALL-CMP-d751a917b1a</t>
  </si>
  <si>
    <t>CMP-d751a917b1a</t>
  </si>
  <si>
    <t>Entropy Neurodynamics Ltd</t>
  </si>
  <si>
    <t>{"Tier":"LONG_TAIL","Company":"Entropy Neurodynamics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ID":"CMP-d751a917b1a"}</t>
  </si>
  <si>
    <t>PR-ALL-CMP-20820cb0b3f</t>
  </si>
  <si>
    <t>CMP-20820cb0b3f</t>
  </si>
  <si>
    <t>EpicentRx Inc</t>
  </si>
  <si>
    <t>{"Tier":"LONG_TAIL","Company":"EpicentRx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ID":"CMP-20820cb0b3f"}</t>
  </si>
  <si>
    <t>PR-ALL-CMP-b434db987af</t>
  </si>
  <si>
    <t>CMP-b434db987af</t>
  </si>
  <si>
    <t>Equillium Inc</t>
  </si>
  <si>
    <t>{"Tier":"LONG_TAIL","Company":"Equillium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ID":"CMP-b434db987af"}</t>
  </si>
  <si>
    <t>PR-ALL-CMP-8e76a0710ee</t>
  </si>
  <si>
    <t>CMP-8e76a0710ee</t>
  </si>
  <si>
    <t>Erimos Pharmaceuticals LLC</t>
  </si>
  <si>
    <t>{"Tier":"LONG_TAIL","Company":"Erimos Pharmaceuticals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ID":"CMP-8e76a0710ee"}</t>
  </si>
  <si>
    <t>PR-ALL-CMP-aaef2dd4a34</t>
  </si>
  <si>
    <t>CMP-aaef2dd4a34</t>
  </si>
  <si>
    <t>Eutilex Co Ltd</t>
  </si>
  <si>
    <t>{"Tier":"LONG_TAIL","Company":"Eutilex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ID":"CMP-aaef2dd4a34"}</t>
  </si>
  <si>
    <t>PR-ALL-CMP-bfadba811e2</t>
  </si>
  <si>
    <t>CMP-bfadba811e2</t>
  </si>
  <si>
    <t>Evive Biotech</t>
  </si>
  <si>
    <t>{"Tier":"LONG_TAIL","Company":"Evive Biotech","Company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ID":"CMP-bfadba811e2"}</t>
  </si>
  <si>
    <t>PR-ALL-CMP-d013de74068</t>
  </si>
  <si>
    <t>CMP-d013de74068</t>
  </si>
  <si>
    <t>EvoNext Holdings SA</t>
  </si>
  <si>
    <t>{"Tier":"LONG_TAIL","Company":"EvoNext Holdings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ID":"CMP-d013de74068"}</t>
  </si>
  <si>
    <t>PR-ALL-CMP-feecbd16a59</t>
  </si>
  <si>
    <t>CMP-feecbd16a59</t>
  </si>
  <si>
    <t>Evofem Biosciences Inc</t>
  </si>
  <si>
    <t>{"Tier":"LONG_TAIL","Company":"Evofem Biosciences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ID":"CMP-feecbd16a59"}</t>
  </si>
  <si>
    <t>PR-ALL-CMP-c0c0f3082e8</t>
  </si>
  <si>
    <t>CMP-c0c0f3082e8</t>
  </si>
  <si>
    <t>Evopoint Bioscience Co Ltd</t>
  </si>
  <si>
    <t>{"Tier":"LONG_TAIL","Company":"Evopoint Bioscience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ID":"CMP-c0c0f3082e8"}</t>
  </si>
  <si>
    <t>PR-ALL-CMP-dfb1f9c844c</t>
  </si>
  <si>
    <t>CMP-dfb1f9c844c</t>
  </si>
  <si>
    <t>Faron Pharmaceuticals Oy</t>
  </si>
  <si>
    <t>{"Tier":"LONG_TAIL","Company":"Faron Pharmaceuticals Oy","Company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ID":"CMP-dfb1f9c844c"}</t>
  </si>
  <si>
    <t>PR-ALL-CMP-22b27115979</t>
  </si>
  <si>
    <t>CMP-22b27115979</t>
  </si>
  <si>
    <t>Finch Therapeutics Group Inc</t>
  </si>
  <si>
    <t>{"Tier":"LONG_TAIL","Company":"Finch Therapeutics Group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ID":"CMP-22b27115979"}</t>
  </si>
  <si>
    <t>PR-ALL-CMP-ea4c41a6812</t>
  </si>
  <si>
    <t>CMP-ea4c41a6812</t>
  </si>
  <si>
    <t>Firebrick Pharma Pty Ltd</t>
  </si>
  <si>
    <t>{"Tier":"LONG_TAIL","Company":"Firebrick Pharma Pty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ID":"CMP-ea4c41a6812"}</t>
  </si>
  <si>
    <t>PR-ALL-CMP-7020b872118</t>
  </si>
  <si>
    <t>CMP-7020b872118</t>
  </si>
  <si>
    <t>Foresee Pharmaceuticals Co Ltd</t>
  </si>
  <si>
    <t>{"Tier":"LONG_TAIL","Company":"Foresee Pharmaceuticals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ID":"CMP-7020b872118"}</t>
  </si>
  <si>
    <t>PR-ALL-CMP-10385b1f3ac</t>
  </si>
  <si>
    <t>CMP-10385b1f3ac</t>
  </si>
  <si>
    <t>GNI Group Ltd</t>
  </si>
  <si>
    <t>{"Tier":"LONG_TAIL","Company":"GNI Group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ID":"CMP-10385b1f3ac"}</t>
  </si>
  <si>
    <t>PR-ALL-CMP-de852ce778d</t>
  </si>
  <si>
    <t>CMP-de852ce778d</t>
  </si>
  <si>
    <t>GPN Vaccines Ltd</t>
  </si>
  <si>
    <t>{"Tier":"LONG_TAIL","Company":"GPN Vaccines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ID":"CMP-de852ce778d"}</t>
  </si>
  <si>
    <t>PR-ALL-CMP-5d442860b34</t>
  </si>
  <si>
    <t>CMP-5d442860b34</t>
  </si>
  <si>
    <t>Galmed Pharmaceuticals Ltd</t>
  </si>
  <si>
    <t>{"Tier":"LONG_TAIL","Company":"Galmed Pharmaceuticals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ID":"CMP-5d442860b34"}</t>
  </si>
  <si>
    <t>PR-ALL-CMP-4cac4dc8cd6</t>
  </si>
  <si>
    <t>CMP-4cac4dc8cd6</t>
  </si>
  <si>
    <t>Gedeon Richter Plc</t>
  </si>
  <si>
    <t>{"Tier":"LONG_TAIL","Company":"Gedeon Richter Plc","Company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ID":"CMP-4cac4dc8cd6"}</t>
  </si>
  <si>
    <t>PR-ALL-CMP-fab09eca6ef</t>
  </si>
  <si>
    <t>CMP-fab09eca6ef</t>
  </si>
  <si>
    <t>GemVax &amp; KAEL Co Ltd</t>
  </si>
  <si>
    <t>{"Tier":"LONG_TAIL","Company":"GemVax &amp; KAEL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ID":"CMP-fab09eca6ef"}</t>
  </si>
  <si>
    <t>PR-ALL-CMP-c68f9876d91</t>
  </si>
  <si>
    <t>CMP-c68f9876d91</t>
  </si>
  <si>
    <t>Generium</t>
  </si>
  <si>
    <t>{"Tier":"LONG_TAIL","Company":"Generium","Company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ID":"CMP-c68f9876d91"}</t>
  </si>
  <si>
    <t>PR-ALL-CMP-18ee37f697e</t>
  </si>
  <si>
    <t>CMP-18ee37f697e</t>
  </si>
  <si>
    <t>Genexine Inc</t>
  </si>
  <si>
    <t>{"Tier":"LONG_TAIL","Company":"Genexine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ID":"CMP-18ee37f697e"}</t>
  </si>
  <si>
    <t>PR-ALL-CMP-40a80f6c29a</t>
  </si>
  <si>
    <t>CMP-40a80f6c29a</t>
  </si>
  <si>
    <t>Genoscience Pharma</t>
  </si>
  <si>
    <t>{"Tier":"LONG_TAIL","Company":"Genoscience Pharma","Company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ID":"CMP-40a80f6c29a"}</t>
  </si>
  <si>
    <t>PR-ALL-CMP-2a88a5e62ca</t>
  </si>
  <si>
    <t>CMP-2a88a5e62ca</t>
  </si>
  <si>
    <t>Genvara Biopharma Inc</t>
  </si>
  <si>
    <t>{"Tier":"LONG_TAIL","Company":"Genvara Biopharma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ID":"CMP-2a88a5e62ca"}</t>
  </si>
  <si>
    <t>PR-ALL-CMP-b8d33d1b908</t>
  </si>
  <si>
    <t>CMP-b8d33d1b908</t>
  </si>
  <si>
    <t>Gibson Oncology LLC</t>
  </si>
  <si>
    <t>{"Tier":"LONG_TAIL","Company":"Gibson Oncology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ID":"CMP-b8d33d1b908"}</t>
  </si>
  <si>
    <t>PR-ALL-CMP-714dff23d80</t>
  </si>
  <si>
    <t>CMP-714dff23d80</t>
  </si>
  <si>
    <t>Glenmark Pharmaceuticals Ltd</t>
  </si>
  <si>
    <t>{"Tier":"LONG_TAIL","Company":"Glenmark Pharmaceuticals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ID":"CMP-714dff23d80"}</t>
  </si>
  <si>
    <t>PR-ALL-CMP-cd69620bd06</t>
  </si>
  <si>
    <t>CMP-cd69620bd06</t>
  </si>
  <si>
    <t>Gravitas Therapeutics Inc (Inactive)</t>
  </si>
  <si>
    <t>{"Tier":"LONG_TAIL","Company":"Gravitas Therapeutics Inc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ID":"CMP-cd69620bd06"}</t>
  </si>
  <si>
    <t>PR-ALL-CMP-34a93c0b76d</t>
  </si>
  <si>
    <t>CMP-34a93c0b76d</t>
  </si>
  <si>
    <t>Grey Matters Health Inc</t>
  </si>
  <si>
    <t>{"Tier":"LONG_TAIL","Company":"Grey Matters Health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ID":"CMP-34a93c0b76d"}</t>
  </si>
  <si>
    <t>PR-ALL-CMP-62d4a51def2</t>
  </si>
  <si>
    <t>CMP-62d4a51def2</t>
  </si>
  <si>
    <t>Guangzhou Zhiyi Biotechnology Co Ltd</t>
  </si>
  <si>
    <t>{"Tier":"LONG_TAIL","Company":"Guangzhou Zhiyi Biotechnology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ID":"CMP-62d4a51def2"}</t>
  </si>
  <si>
    <t>PR-ALL-CMP-a9e6aaf1b2b</t>
  </si>
  <si>
    <t>CMP-a9e6aaf1b2b</t>
  </si>
  <si>
    <t>HAV Vaccines Ltd</t>
  </si>
  <si>
    <t>{"Tier":"LONG_TAIL","Company":"HAV Vaccines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ID":"CMP-a9e6aaf1b2b"}</t>
  </si>
  <si>
    <t>PR-ALL-CMP-193e9f8bab8</t>
  </si>
  <si>
    <t>CMP-193e9f8bab8</t>
  </si>
  <si>
    <t>Hepatera Ltd</t>
  </si>
  <si>
    <t>{"Tier":"LONG_TAIL","Company":"Hepatera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ID":"CMP-193e9f8bab8"}</t>
  </si>
  <si>
    <t>PR-ALL-CMP-4e6a5beaf72</t>
  </si>
  <si>
    <t>CMP-4e6a5beaf72</t>
  </si>
  <si>
    <t>Humanigen Inc</t>
  </si>
  <si>
    <t>{"Tier":"LONG_TAIL","Company":"Humanigen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ID":"CMP-4e6a5beaf72"}</t>
  </si>
  <si>
    <t>PR-ALL-CMP-918173a7715</t>
  </si>
  <si>
    <t>CMP-918173a7715</t>
  </si>
  <si>
    <t>Hyloris Pharmaceuticals SA</t>
  </si>
  <si>
    <t>{"Tier":"LONG_TAIL","Company":"Hyloris Pharmaceuticals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ID":"CMP-918173a7715"}</t>
  </si>
  <si>
    <t>PR-ALL-CMP-91d8868c72a</t>
  </si>
  <si>
    <t>CMP-91d8868c72a</t>
  </si>
  <si>
    <t>IBSA Institut Biochimique SA</t>
  </si>
  <si>
    <t>{"Tier":"LONG_TAIL","Company":"IBSA Institut Biochimique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ID":"CMP-91d8868c72a"}</t>
  </si>
  <si>
    <t>PR-ALL-CMP-694a0392d65</t>
  </si>
  <si>
    <t>CMP-694a0392d65</t>
  </si>
  <si>
    <t>Iltoo Pharma</t>
  </si>
  <si>
    <t>{"Tier":"LONG_TAIL","Company":"Iltoo Pharma","Company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ID":"CMP-694a0392d65"}</t>
  </si>
  <si>
    <t>PR-ALL-CMP-1485d80e7a3</t>
  </si>
  <si>
    <t>CMP-1485d80e7a3</t>
  </si>
  <si>
    <t>Ilyang Pharmaceutical Co Ltd</t>
  </si>
  <si>
    <t>{"Tier":"LONG_TAIL","Company":"Ilyang Pharmaceutical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ID":"CMP-1485d80e7a3"}</t>
  </si>
  <si>
    <t>PR-ALL-CMP-22b4c43ec2f</t>
  </si>
  <si>
    <t>CMP-22b4c43ec2f</t>
  </si>
  <si>
    <t>Immunic Inc</t>
  </si>
  <si>
    <t>{"Tier":"LONG_TAIL","Company":"Immunic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ID":"CMP-22b4c43ec2f"}</t>
  </si>
  <si>
    <t>PR-ALL-CMP-621c7123203</t>
  </si>
  <si>
    <t>CMP-621c7123203</t>
  </si>
  <si>
    <t>Immutep Ltd</t>
  </si>
  <si>
    <t>{"Tier":"LONG_TAIL","Company":"Immutep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ID":"CMP-621c7123203"}</t>
  </si>
  <si>
    <t>PR-ALL-CMP-cc8f0c855a3</t>
  </si>
  <si>
    <t>CMP-cc8f0c855a3</t>
  </si>
  <si>
    <t>Implicit Bioscience Ltd</t>
  </si>
  <si>
    <t>{"Tier":"LONG_TAIL","Company":"Implicit Bioscience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ID":"CMP-cc8f0c855a3"}</t>
  </si>
  <si>
    <t>PR-ALL-CMP-cd42db6a58b</t>
  </si>
  <si>
    <t>CMP-cd42db6a58b</t>
  </si>
  <si>
    <t>Imstem Biotechnology Inc</t>
  </si>
  <si>
    <t>{"Tier":"LONG_TAIL","Company":"Imstem Biotechnology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ID":"CMP-cd42db6a58b"}</t>
  </si>
  <si>
    <t>PR-ALL-CMP-096e681a397</t>
  </si>
  <si>
    <t>CMP-096e681a397</t>
  </si>
  <si>
    <t>Incannex Healthcare Inc</t>
  </si>
  <si>
    <t>{"Tier":"LONG_TAIL","Company":"Incannex Healthcare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ID":"CMP-096e681a397"}</t>
  </si>
  <si>
    <t>PR-ALL-CMP-89a1dc206d6</t>
  </si>
  <si>
    <t>CMP-89a1dc206d6</t>
  </si>
  <si>
    <t>Incepta Vaccine Ltd</t>
  </si>
  <si>
    <t>{"Tier":"LONG_TAIL","Company":"Incepta Vaccine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ID":"CMP-89a1dc206d6"}</t>
  </si>
  <si>
    <t>PR-ALL-CMP-9f4c06f6fd7</t>
  </si>
  <si>
    <t>CMP-9f4c06f6fd7</t>
  </si>
  <si>
    <t>Incuron</t>
  </si>
  <si>
    <t>{"Tier":"LONG_TAIL","Company":"Incuron","Company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ID":"CMP-9f4c06f6fd7"}</t>
  </si>
  <si>
    <t>PR-ALL-CMP-a6f2643e9ce</t>
  </si>
  <si>
    <t>CMP-a6f2643e9ce</t>
  </si>
  <si>
    <t>Incyte Corp</t>
  </si>
  <si>
    <t>{"Tier":"LONG_TAIL","Company":"Incyte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ID":"CMP-a6f2643e9ce"}</t>
  </si>
  <si>
    <t>PR-ALL-CMP-d778e2733ca</t>
  </si>
  <si>
    <t>CMP-d778e2733ca</t>
  </si>
  <si>
    <t>Infectex (Inactive)</t>
  </si>
  <si>
    <t>{"Tier":"LONG_TAIL","Company":"Infectex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ID":"CMP-d778e2733ca"}</t>
  </si>
  <si>
    <t>PR-ALL-CMP-702082ce810</t>
  </si>
  <si>
    <t>CMP-702082ce810</t>
  </si>
  <si>
    <t>Inhibikase Therapeutics Inc</t>
  </si>
  <si>
    <t>{"Tier":"LONG_TAIL","Company":"Inhibikase Therapeutics Inc","Company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ID":"CMP-702082ce810"}</t>
  </si>
  <si>
    <t>PR-ALL-CMP-377fc1fa012</t>
  </si>
  <si>
    <t>CMP-377fc1fa012</t>
  </si>
  <si>
    <t>Inmune Bio Inc</t>
  </si>
  <si>
    <t>{"Tier":"LONG_TAIL","Company":"Inmune Bio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ID":"CMP-377fc1fa012"}</t>
  </si>
  <si>
    <t>PR-ALL-CMP-bc8bbd6f741</t>
  </si>
  <si>
    <t>CMP-bc8bbd6f741</t>
  </si>
  <si>
    <t>Innate Pharma SA</t>
  </si>
  <si>
    <t>{"Tier":"LONG_TAIL","Company":"Innate Pharma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ID":"CMP-bc8bbd6f741"}</t>
  </si>
  <si>
    <t>PR-ALL-CMP-84ee21d8495</t>
  </si>
  <si>
    <t>CMP-84ee21d8495</t>
  </si>
  <si>
    <t>InnoMab Pte Ltd</t>
  </si>
  <si>
    <t>{"Tier":"LONG_TAIL","Company":"InnoMab Pte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ID":"CMP-84ee21d8495"}</t>
  </si>
  <si>
    <t>PR-ALL-CMP-59d486cb3c1</t>
  </si>
  <si>
    <t>CMP-59d486cb3c1</t>
  </si>
  <si>
    <t>InnoPharmaScreen Inc</t>
  </si>
  <si>
    <t>{"Tier":"LONG_TAIL","Company":"InnoPharmaScreen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ID":"CMP-59d486cb3c1"}</t>
  </si>
  <si>
    <t>PR-ALL-CMP-068c5fa5e1f</t>
  </si>
  <si>
    <t>CMP-068c5fa5e1f</t>
  </si>
  <si>
    <t>Intrinsic Medicine Inc</t>
  </si>
  <si>
    <t>{"Tier":"LONG_TAIL","Company":"Intrinsic Medicine Inc","Company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ID":"CMP-068c5fa5e1f"}</t>
  </si>
  <si>
    <t>PR-ALL-CMP-a9d879d6df9</t>
  </si>
  <si>
    <t>CMP-a9d879d6df9</t>
  </si>
  <si>
    <t>Ionis Pharmaceuticals Inc</t>
  </si>
  <si>
    <t>{"Tier":"LONG_TAIL","Company":"Ionis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ID":"CMP-a9d879d6df9"}</t>
  </si>
  <si>
    <t>PR-ALL-CMP-6538a894496</t>
  </si>
  <si>
    <t>CMP-6538a894496</t>
  </si>
  <si>
    <t>Ipsen SA</t>
  </si>
  <si>
    <t>{"Tier":"LONG_TAIL","Company":"Ipsen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ID":"CMP-6538a894496"}</t>
  </si>
  <si>
    <t>PR-ALL-CMP-557603d8326</t>
  </si>
  <si>
    <t>CMP-557603d8326</t>
  </si>
  <si>
    <t>Italfarmaco SpA</t>
  </si>
  <si>
    <t>{"Tier":"LONG_TAIL","Company":"Italfarmaco SpA","Company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ID":"CMP-557603d8326"}</t>
  </si>
  <si>
    <t>PR-ALL-CMP-298b0600d9f</t>
  </si>
  <si>
    <t>CMP-298b0600d9f</t>
  </si>
  <si>
    <t>Izana Bioscience Ltd</t>
  </si>
  <si>
    <t>{"Tier":"LONG_TAIL","Company":"Izana Bioscience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ID":"CMP-298b0600d9f"}</t>
  </si>
  <si>
    <t>PR-ALL-CMP-e9f6f82df9c</t>
  </si>
  <si>
    <t>CMP-e9f6f82df9c</t>
  </si>
  <si>
    <t>KD Pharma Group SA</t>
  </si>
  <si>
    <t>{"Tier":"LONG_TAIL","Company":"KD Pharma Group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ID":"CMP-e9f6f82df9c"}</t>
  </si>
  <si>
    <t>PR-ALL-CMP-ed3c02634b4</t>
  </si>
  <si>
    <t>CMP-ed3c02634b4</t>
  </si>
  <si>
    <t>Kamada Ltd</t>
  </si>
  <si>
    <t>{"Tier":"LONG_TAIL","Company":"Kamada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ID":"CMP-ed3c02634b4"}</t>
  </si>
  <si>
    <t>PR-ALL-CMP-fe94e50bc5d</t>
  </si>
  <si>
    <t>CMP-fe94e50bc5d</t>
  </si>
  <si>
    <t>Kangstem Biotech Co Ltd</t>
  </si>
  <si>
    <t>{"Tier":"LONG_TAIL","Company":"Kangstem Biotech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ID":"CMP-fe94e50bc5d"}</t>
  </si>
  <si>
    <t>PR-ALL-CMP-b14aadff3c8</t>
  </si>
  <si>
    <t>CMP-b14aadff3c8</t>
  </si>
  <si>
    <t>Karyopharm Therapeutics Inc</t>
  </si>
  <si>
    <t>{"Tier":"LONG_TAIL","Company":"Karyopharm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ID":"CMP-b14aadff3c8"}</t>
  </si>
  <si>
    <t>PR-ALL-CMP-326924f6b72</t>
  </si>
  <si>
    <t>CMP-326924f6b72</t>
  </si>
  <si>
    <t>Kimera Labs Inc</t>
  </si>
  <si>
    <t>{"Tier":"LONG_TAIL","Company":"Kimera Labs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ID":"CMP-326924f6b72"}</t>
  </si>
  <si>
    <t>PR-ALL-CMP-319e22ef360</t>
  </si>
  <si>
    <t>CMP-319e22ef360</t>
  </si>
  <si>
    <t>Kiniksa Pharmaceuticals Corp</t>
  </si>
  <si>
    <t>{"Tier":"LONG_TAIL","Company":"Kiniksa Pharmaceuticals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ID":"CMP-319e22ef360"}</t>
  </si>
  <si>
    <t>PR-ALL-CMP-f3e0d1b8b38</t>
  </si>
  <si>
    <t>CMP-f3e0d1b8b38</t>
  </si>
  <si>
    <t>Kodiak Sciences Inc</t>
  </si>
  <si>
    <t>{"Tier":"LONG_TAIL","Company":"Kodiak Sciences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ID":"CMP-f3e0d1b8b38"}</t>
  </si>
  <si>
    <t>PR-ALL-CMP-2235e1841c9</t>
  </si>
  <si>
    <t>CMP-2235e1841c9</t>
  </si>
  <si>
    <t>Kyowa Kirin Co Ltd</t>
  </si>
  <si>
    <t>{"Tier":"LONG_TAIL","Company":"Kyowa Kirin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ID":"CMP-2235e1841c9"}</t>
  </si>
  <si>
    <t>PR-ALL-CMP-c9e9193b445</t>
  </si>
  <si>
    <t>CMP-c9e9193b445</t>
  </si>
  <si>
    <t>Laboratoires Thea SA</t>
  </si>
  <si>
    <t>{"Tier":"LONG_TAIL","Company":"Laboratoires Thea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ID":"CMP-c9e9193b445"}</t>
  </si>
  <si>
    <t>PR-ALL-CMP-c6e4da12d77</t>
  </si>
  <si>
    <t>CMP-c6e4da12d77</t>
  </si>
  <si>
    <t>Lakewood-Amedex Inc</t>
  </si>
  <si>
    <t>{"Tier":"LONG_TAIL","Company":"Lakewood-Amedex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ID":"CMP-c6e4da12d77"}</t>
  </si>
  <si>
    <t>PR-ALL-CMP-ff28779107e</t>
  </si>
  <si>
    <t>CMP-ff28779107e</t>
  </si>
  <si>
    <t>LiBo Pharmaceuticals Science &amp; Technology Co Ltd</t>
  </si>
  <si>
    <t>{"Tier":"LONG_TAIL","Company":"LiBo Pharmaceuticals Science &amp; Technology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ID":"CMP-ff28779107e"}</t>
  </si>
  <si>
    <t>PR-ALL-CMP-e97623efe89</t>
  </si>
  <si>
    <t>CMP-e97623efe89</t>
  </si>
  <si>
    <t>Longeveron Inc</t>
  </si>
  <si>
    <t>{"Tier":"LONG_TAIL","Company":"Longeveron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ID":"CMP-e97623efe89"}</t>
  </si>
  <si>
    <t>PR-ALL-CMP-56afdce4450</t>
  </si>
  <si>
    <t>CMP-56afdce4450</t>
  </si>
  <si>
    <t>M's Science Corp</t>
  </si>
  <si>
    <t>{"Tier":"LONG_TAIL","Company":"M's Science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ID":"CMP-56afdce4450"}</t>
  </si>
  <si>
    <t>PR-ALL-CMP-d5edfe944f9</t>
  </si>
  <si>
    <t>CMP-d5edfe944f9</t>
  </si>
  <si>
    <t>MUCPharm Pty Ltd</t>
  </si>
  <si>
    <t>{"Tier":"LONG_TAIL","Company":"MUCPharm Pty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ID":"CMP-d5edfe944f9"}</t>
  </si>
  <si>
    <t>PR-ALL-CMP-f4dd9ca9412</t>
  </si>
  <si>
    <t>CMP-f4dd9ca9412</t>
  </si>
  <si>
    <t>MedRegen LLC</t>
  </si>
  <si>
    <t>{"Tier":"LONG_TAIL","Company":"MedRegen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ID":"CMP-f4dd9ca9412"}</t>
  </si>
  <si>
    <t>PR-ALL-CMP-687f80ecd6a</t>
  </si>
  <si>
    <t>CMP-687f80ecd6a</t>
  </si>
  <si>
    <t>Melinta Therapeutics Inc (Inactive)</t>
  </si>
  <si>
    <t>{"Tier":"LONG_TAIL","Company":"Melinta Therapeutics Inc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ID":"CMP-687f80ecd6a"}</t>
  </si>
  <si>
    <t>PR-ALL-CMP-c388752beb1</t>
  </si>
  <si>
    <t>CMP-c388752beb1</t>
  </si>
  <si>
    <t>Melior Pharmaceuticals I Inc</t>
  </si>
  <si>
    <t>{"Tier":"LONG_TAIL","Company":"Melior Pharmaceuticals I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ID":"CMP-c388752beb1"}</t>
  </si>
  <si>
    <t>PR-ALL-CMP-b192b9bd9d4</t>
  </si>
  <si>
    <t>CMP-b192b9bd9d4</t>
  </si>
  <si>
    <t>Mereo Biopharma Group Plc</t>
  </si>
  <si>
    <t>{"Tier":"LONG_TAIL","Company":"Mereo Biopharma Group Plc","Company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ID":"CMP-b192b9bd9d4"}</t>
  </si>
  <si>
    <t>PR-ALL-CMP-8c63f817f0f</t>
  </si>
  <si>
    <t>CMP-8c63f817f0f</t>
  </si>
  <si>
    <t>Mesoblast Ltd</t>
  </si>
  <si>
    <t>{"Tier":"LONG_TAIL","Company":"Mesoblast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ID":"CMP-8c63f817f0f"}</t>
  </si>
  <si>
    <t>PR-ALL-CMP-b2500e4bc6f</t>
  </si>
  <si>
    <t>CMP-b2500e4bc6f</t>
  </si>
  <si>
    <t>Metabolic Pharmaceuticals Pty Ltd</t>
  </si>
  <si>
    <t>{"Tier":"LONG_TAIL","Company":"Metabolic Pharmaceuticals Pty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ID":"CMP-b2500e4bc6f"}</t>
  </si>
  <si>
    <t>PR-ALL-CMP-05d5137ad25</t>
  </si>
  <si>
    <t>CMP-05d5137ad25</t>
  </si>
  <si>
    <t>MiNK Therapeutics Inc</t>
  </si>
  <si>
    <t>{"Tier":"LONG_TAIL","Company":"MiNK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ID":"CMP-05d5137ad25"}</t>
  </si>
  <si>
    <t>PR-ALL-CMP-8ae4e8390a7</t>
  </si>
  <si>
    <t>CMP-8ae4e8390a7</t>
  </si>
  <si>
    <t>Mid-Atlantic BioTherapeutics, Inc.</t>
  </si>
  <si>
    <t>{"Tier":"LONG_TAIL","Company":"Mid-Atlantic BioTherapeutics, Inc.","Company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ID":"CMP-8ae4e8390a7"}</t>
  </si>
  <si>
    <t>PR-ALL-CMP-3bbf311f1c4</t>
  </si>
  <si>
    <t>CMP-3bbf311f1c4</t>
  </si>
  <si>
    <t>Mikrobiomik Healthcare Company SL</t>
  </si>
  <si>
    <t>{"Tier":"LONG_TAIL","Company":"Mikrobiomik Healthcare Company SL","Company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ID":"CMP-3bbf311f1c4"}</t>
  </si>
  <si>
    <t>PR-ALL-CMP-d041984a284</t>
  </si>
  <si>
    <t>CMP-d041984a284</t>
  </si>
  <si>
    <t>Miyarisan Pharmaceutical Company Ltd</t>
  </si>
  <si>
    <t>{"Tier":"LONG_TAIL","Company":"Miyarisan Pharmaceutical Company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ID":"CMP-d041984a284"}</t>
  </si>
  <si>
    <t>PR-ALL-CMP-71f8e2d68a2</t>
  </si>
  <si>
    <t>CMP-71f8e2d68a2</t>
  </si>
  <si>
    <t>Mologen AG</t>
  </si>
  <si>
    <t>{"Tier":"LONG_TAIL","Company":"Mologen AG","Company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ID":"CMP-71f8e2d68a2"}</t>
  </si>
  <si>
    <t>PR-ALL-CMP-11bd26e76c9</t>
  </si>
  <si>
    <t>CMP-11bd26e76c9</t>
  </si>
  <si>
    <t>Monopar Therapeutics Inc</t>
  </si>
  <si>
    <t>{"Tier":"LONG_TAIL","Company":"Monopar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ID":"CMP-11bd26e76c9"}</t>
  </si>
  <si>
    <t>PR-ALL-CMP-8da83c77639</t>
  </si>
  <si>
    <t>CMP-8da83c77639</t>
  </si>
  <si>
    <t>Mundipharma International Ltd</t>
  </si>
  <si>
    <t>{"Tier":"LONG_TAIL","Company":"Mundipharma International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ID":"CMP-8da83c77639"}</t>
  </si>
  <si>
    <t>PR-ALL-CMP-0c072a53bdb</t>
  </si>
  <si>
    <t>CMP-0c072a53bdb</t>
  </si>
  <si>
    <t>Myopharm A Ltd</t>
  </si>
  <si>
    <t>{"Tier":"LONG_TAIL","Company":"Myopharm 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ID":"CMP-0c072a53bdb"}</t>
  </si>
  <si>
    <t>PR-ALL-CMP-b4a823feadd</t>
  </si>
  <si>
    <t>CMP-b4a823feadd</t>
  </si>
  <si>
    <t>NRX Pharmaceuticals Inc</t>
  </si>
  <si>
    <t>{"Tier":"LONG_TAIL","Company":"NRX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ID":"CMP-b4a823feadd"}</t>
  </si>
  <si>
    <t>PR-ALL-CMP-1c5c5850f9d</t>
  </si>
  <si>
    <t>CMP-1c5c5850f9d</t>
  </si>
  <si>
    <t>Nektar Therapeutics</t>
  </si>
  <si>
    <t>{"Tier":"LONG_TAIL","Company":"Nektar Therapeutics","Company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ID":"CMP-1c5c5850f9d"}</t>
  </si>
  <si>
    <t>PR-ALL-CMP-7f735798856</t>
  </si>
  <si>
    <t>CMP-7f735798856</t>
  </si>
  <si>
    <t>Neurizon Therapeutics Ltd</t>
  </si>
  <si>
    <t>{"Tier":"LONG_TAIL","Company":"Neurizon Therapeutics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ID":"CMP-7f735798856"}</t>
  </si>
  <si>
    <t>PR-ALL-CMP-99978de5840</t>
  </si>
  <si>
    <t>CMP-99978de5840</t>
  </si>
  <si>
    <t>Neurotech International Ltd</t>
  </si>
  <si>
    <t>{"Tier":"LONG_TAIL","Company":"Neurotech International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ID":"CMP-99978de5840"}</t>
  </si>
  <si>
    <t>PR-ALL-CMP-210c19ee1fd</t>
  </si>
  <si>
    <t>CMP-210c19ee1fd</t>
  </si>
  <si>
    <t>Neuvivo Inc</t>
  </si>
  <si>
    <t>{"Tier":"LONG_TAIL","Company":"Neuvivo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ID":"CMP-210c19ee1fd"}</t>
  </si>
  <si>
    <t>PR-ALL-CMP-09810019e59</t>
  </si>
  <si>
    <t>CMP-09810019e59</t>
  </si>
  <si>
    <t>Nobelpharma Co Ltd</t>
  </si>
  <si>
    <t>{"Tier":"LONG_TAIL","Company":"Nobelpharma Co Ltd","Company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ID":"CMP-09810019e59"}</t>
  </si>
  <si>
    <t>PR-ALL-CMP-ff1b4911439</t>
  </si>
  <si>
    <t>CMP-ff1b4911439</t>
  </si>
  <si>
    <t>Noorik Biopharmaceuticals AG</t>
  </si>
  <si>
    <t>{"Tier":"LONG_TAIL","Company":"Noorik Biopharmaceuticals AG","Company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ID":"CMP-ff1b4911439"}</t>
  </si>
  <si>
    <t>PR-ALL-CMP-bdca0c582df</t>
  </si>
  <si>
    <t>CMP-bdca0c582df</t>
  </si>
  <si>
    <t>Northern Antibiotics Oy</t>
  </si>
  <si>
    <t>{"Tier":"LONG_TAIL","Company":"Northern Antibiotics Oy","Company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ID":"CMP-bdca0c582df"}</t>
  </si>
  <si>
    <t>PR-ALL-CMP-10b3dfb7242</t>
  </si>
  <si>
    <t>CMP-10b3dfb7242</t>
  </si>
  <si>
    <t>NovaBridge Biosciences</t>
  </si>
  <si>
    <t>{"Tier":"LONG_TAIL","Company":"NovaBridge Biosciences","Company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ID":"CMP-10b3dfb7242"}</t>
  </si>
  <si>
    <t>PR-ALL-CMP-b24c1339830</t>
  </si>
  <si>
    <t>CMP-b24c1339830</t>
  </si>
  <si>
    <t>NovaCell Technology Inc</t>
  </si>
  <si>
    <t>{"Tier":"LONG_TAIL","Company":"NovaCell Technology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ID":"CMP-b24c1339830"}</t>
  </si>
  <si>
    <t>PR-ALL-CMP-f924b927c63</t>
  </si>
  <si>
    <t>CMP-f924b927c63</t>
  </si>
  <si>
    <t>Novakand Pharma AB</t>
  </si>
  <si>
    <t>{"Tier":"LONG_TAIL","Company":"Novakand Pharma AB","Company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ID":"CMP-f924b927c63"}</t>
  </si>
  <si>
    <t>PR-ALL-CMP-cdeaf83f70f</t>
  </si>
  <si>
    <t>CMP-cdeaf83f70f</t>
  </si>
  <si>
    <t>Novatek Pharmaceuticals Inc</t>
  </si>
  <si>
    <t>{"Tier":"LONG_TAIL","Company":"Novatek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ID":"CMP-cdeaf83f70f"}</t>
  </si>
  <si>
    <t>PR-ALL-CMP-696d8b77c2e</t>
  </si>
  <si>
    <t>CMP-696d8b77c2e</t>
  </si>
  <si>
    <t>Noxopharm Ltd</t>
  </si>
  <si>
    <t>{"Tier":"LONG_TAIL","Company":"Noxopharm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ID":"CMP-696d8b77c2e"}</t>
  </si>
  <si>
    <t>PR-ALL-CMP-c9b2bb6699b</t>
  </si>
  <si>
    <t>CMP-c9b2bb6699b</t>
  </si>
  <si>
    <t>OM Pharma Ltd</t>
  </si>
  <si>
    <t>{"Tier":"LONG_TAIL","Company":"OM Pharma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ID":"CMP-c9b2bb6699b"}</t>
  </si>
  <si>
    <t>PR-ALL-CMP-a1b350ca030</t>
  </si>
  <si>
    <t>CMP-a1b350ca030</t>
  </si>
  <si>
    <t>OPKO Health Inc</t>
  </si>
  <si>
    <t>{"Tier":"LONG_TAIL","Company":"OPKO Health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ID":"CMP-a1b350ca030"}</t>
  </si>
  <si>
    <t>PR-ALL-CMP-188efd5433e</t>
  </si>
  <si>
    <t>CMP-188efd5433e</t>
  </si>
  <si>
    <t>Octapharma AG</t>
  </si>
  <si>
    <t>{"Tier":"LONG_TAIL","Company":"Octapharma AG","Company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ID":"CMP-188efd5433e"}</t>
  </si>
  <si>
    <t>PR-ALL-CMP-4290fca2984</t>
  </si>
  <si>
    <t>CMP-4290fca2984</t>
  </si>
  <si>
    <t>Ohr Pharmaceutical Inc (Inactive)</t>
  </si>
  <si>
    <t>{"Tier":"LONG_TAIL","Company":"Ohr Pharmaceutical Inc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ID":"CMP-4290fca2984"}</t>
  </si>
  <si>
    <t>PR-ALL-CMP-1d17b790515</t>
  </si>
  <si>
    <t>CMP-1d17b790515</t>
  </si>
  <si>
    <t>Olatec Therapeutics LLC</t>
  </si>
  <si>
    <t>{"Tier":"LONG_TAIL","Company":"Olatec Therapeutics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ID":"CMP-1d17b790515"}</t>
  </si>
  <si>
    <t>PR-ALL-CMP-5d25d5ee027</t>
  </si>
  <si>
    <t>CMP-5d25d5ee027</t>
  </si>
  <si>
    <t>Oncolys BioPharma Inc</t>
  </si>
  <si>
    <t>{"Tier":"LONG_TAIL","Company":"Oncolys BioPharma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ID":"CMP-5d25d5ee027"}</t>
  </si>
  <si>
    <t>PR-ALL-CMP-435a6460aef</t>
  </si>
  <si>
    <t>CMP-435a6460aef</t>
  </si>
  <si>
    <t>Opsona Therapeutics Ltd (Inactive)</t>
  </si>
  <si>
    <t>{"Tier":"LONG_TAIL","Company":"Opsona Therapeutics Ltd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ID":"CMP-435a6460aef"}</t>
  </si>
  <si>
    <t>PR-ALL-CMP-085147ca67d</t>
  </si>
  <si>
    <t>CMP-085147ca67d</t>
  </si>
  <si>
    <t>Oryn Therapeutics</t>
  </si>
  <si>
    <t>{"Tier":"LONG_TAIL","Company":"Oryn Therapeutics","Company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ID":"CMP-085147ca67d"}</t>
  </si>
  <si>
    <t>PR-ALL-CMP-b04db206f2a</t>
  </si>
  <si>
    <t>CMP-b04db206f2a</t>
  </si>
  <si>
    <t>Oxeia Biopharmaceuticals Inc</t>
  </si>
  <si>
    <t>{"Tier":"LONG_TAIL","Company":"Oxeia Biopharmaceuticals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ID":"CMP-b04db206f2a"}</t>
  </si>
  <si>
    <t>PR-ALL-CMP-796ea7f66fe</t>
  </si>
  <si>
    <t>CMP-796ea7f66fe</t>
  </si>
  <si>
    <t>Oyster Point Pharma Inc</t>
  </si>
  <si>
    <t>{"Tier":"LONG_TAIL","Company":"Oyster Point 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ID":"CMP-796ea7f66fe"}</t>
  </si>
  <si>
    <t>PR-ALL-CMP-9bd08ccd2c3</t>
  </si>
  <si>
    <t>CMP-9bd08ccd2c3</t>
  </si>
  <si>
    <t>PDS Biotechnology Corp</t>
  </si>
  <si>
    <t>{"Tier":"LONG_TAIL","Company":"PDS Biotechnology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ID":"CMP-9bd08ccd2c3"}</t>
  </si>
  <si>
    <t>PR-ALL-CMP-22322db31f2</t>
  </si>
  <si>
    <t>CMP-22322db31f2</t>
  </si>
  <si>
    <t>PNB Vesper Life Science Pvt Ltd</t>
  </si>
  <si>
    <t>{"Tier":"LONG_TAIL","Company":"PNB Vesper Life Science Pvt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ID":"CMP-22322db31f2"}</t>
  </si>
  <si>
    <t>PR-ALL-CMP-480bbbc5eab</t>
  </si>
  <si>
    <t>CMP-480bbbc5eab</t>
  </si>
  <si>
    <t>PT Kalbe Genexine Biologics</t>
  </si>
  <si>
    <t>{"Tier":"LONG_TAIL","Company":"PT Kalbe Genexine Biologics","Company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ID":"CMP-480bbbc5eab"}</t>
  </si>
  <si>
    <t>PR-ALL-CMP-d208b67dba4</t>
  </si>
  <si>
    <t>CMP-d208b67dba4</t>
  </si>
  <si>
    <t>Pacylex Pharmaceuticals Inc</t>
  </si>
  <si>
    <t>{"Tier":"LONG_TAIL","Company":"Pacylex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ID":"CMP-d208b67dba4"}</t>
  </si>
  <si>
    <t>PR-ALL-CMP-ebf3d70ca11</t>
  </si>
  <si>
    <t>CMP-ebf3d70ca11</t>
  </si>
  <si>
    <t>Palatin Technologies Inc</t>
  </si>
  <si>
    <t>{"Tier":"LONG_TAIL","Company":"Palatin Technologies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ID":"CMP-ebf3d70ca11"}</t>
  </si>
  <si>
    <t>PR-ALL-CMP-f8dcba47598</t>
  </si>
  <si>
    <t>CMP-f8dcba47598</t>
  </si>
  <si>
    <t>Peptron Inc</t>
  </si>
  <si>
    <t>{"Tier":"LONG_TAIL","Company":"Peptron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ID":"CMP-f8dcba47598"}</t>
  </si>
  <si>
    <t>PR-ALL-CMP-b86134d84b8</t>
  </si>
  <si>
    <t>CMP-b86134d84b8</t>
  </si>
  <si>
    <t>Pharmamel SL</t>
  </si>
  <si>
    <t>{"Tier":"LONG_TAIL","Company":"Pharmamel SL","Company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ID":"CMP-b86134d84b8"}</t>
  </si>
  <si>
    <t>PR-ALL-CMP-cc4f6261ab6</t>
  </si>
  <si>
    <t>CMP-cc4f6261ab6</t>
  </si>
  <si>
    <t>PharmatrophiX Inc</t>
  </si>
  <si>
    <t>{"Tier":"LONG_TAIL","Company":"PharmatrophiX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ID":"CMP-cc4f6261ab6"}</t>
  </si>
  <si>
    <t>PR-ALL-CMP-e824cd04fbc</t>
  </si>
  <si>
    <t>CMP-e824cd04fbc</t>
  </si>
  <si>
    <t>Pharming Group NV</t>
  </si>
  <si>
    <t>{"Tier":"LONG_TAIL","Company":"Pharming Group NV","Company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ID":"CMP-e824cd04fbc"}</t>
  </si>
  <si>
    <t>PR-ALL-CMP-c390eeb7509</t>
  </si>
  <si>
    <t>CMP-c390eeb7509</t>
  </si>
  <si>
    <t>PhaseBio Pharmaceuticals Inc</t>
  </si>
  <si>
    <t>{"Tier":"LONG_TAIL","Company":"PhaseBio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ID":"CMP-c390eeb7509"}</t>
  </si>
  <si>
    <t>PR-ALL-CMP-097bf36d358</t>
  </si>
  <si>
    <t>CMP-097bf36d358</t>
  </si>
  <si>
    <t>PhenoNet Inc</t>
  </si>
  <si>
    <t>{"Tier":"LONG_TAIL","Company":"PhenoNet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ID":"CMP-097bf36d358"}</t>
  </si>
  <si>
    <t>PR-ALL-CMP-89be8eeda1e</t>
  </si>
  <si>
    <t>CMP-89be8eeda1e</t>
  </si>
  <si>
    <t>Photonamic GmbH &amp; Co KG</t>
  </si>
  <si>
    <t>{"Tier":"LONG_TAIL","Company":"Photonamic GmbH &amp; Co KG","Company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ID":"CMP-89be8eeda1e"}</t>
  </si>
  <si>
    <t>PR-ALL-CMP-7e931db1bdb</t>
  </si>
  <si>
    <t>CMP-7e931db1bdb</t>
  </si>
  <si>
    <t>Pluri Inc</t>
  </si>
  <si>
    <t>{"Tier":"LONG_TAIL","Company":"Pluri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ID":"CMP-7e931db1bdb"}</t>
  </si>
  <si>
    <t>PR-ALL-CMP-e2215d33244</t>
  </si>
  <si>
    <t>CMP-e2215d33244</t>
  </si>
  <si>
    <t>Polaris Pharmaceuticals Inc</t>
  </si>
  <si>
    <t>{"Tier":"LONG_TAIL","Company":"Polaris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ID":"CMP-e2215d33244"}</t>
  </si>
  <si>
    <t>PR-ALL-CMP-a8f99fd7f65</t>
  </si>
  <si>
    <t>CMP-a8f99fd7f65</t>
  </si>
  <si>
    <t>Poolbeg Pharma Plc</t>
  </si>
  <si>
    <t>{"Tier":"LONG_TAIL","Company":"Poolbeg Pharma Plc","Company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ID":"CMP-a8f99fd7f65"}</t>
  </si>
  <si>
    <t>PR-ALL-CMP-bcee7b00fa2</t>
  </si>
  <si>
    <t>CMP-bcee7b00fa2</t>
  </si>
  <si>
    <t>Quantum BioPharma Ltd</t>
  </si>
  <si>
    <t>{"Tier":"LONG_TAIL","Company":"Quantum BioPharma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ID":"CMP-bcee7b00fa2"}</t>
  </si>
  <si>
    <t>PR-ALL-CMP-bd76d0a67a7</t>
  </si>
  <si>
    <t>CMP-bd76d0a67a7</t>
  </si>
  <si>
    <t>R-Pharm</t>
  </si>
  <si>
    <t>{"Tier":"LONG_TAIL","Company":"R-Pharm","Company Type":"COMMERCIAL","GD Active Assets":0,"GD All Assets":3,"GD Phase II+":0,"Highest GD Stage":"-","Research Area Tags":null,"Bridging Tags":null,"Public Source":null,"GlobalData As-of":"2026-07-31","Data Interpretation":"GlobalData snapshot only; validate current asset status","Company ID":"CMP-bd76d0a67a7"}</t>
  </si>
  <si>
    <t>PR-ALL-CMP-e509dfeac1f</t>
  </si>
  <si>
    <t>CMP-e509dfeac1f</t>
  </si>
  <si>
    <t>REGiMMUNE Ltd</t>
  </si>
  <si>
    <t>{"Tier":"LONG_TAIL","Company":"REGiMMUNE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ID":"CMP-e509dfeac1f"}</t>
  </si>
  <si>
    <t>PR-ALL-CMP-9e2e55c3ea0</t>
  </si>
  <si>
    <t>CMP-9e2e55c3ea0</t>
  </si>
  <si>
    <t>RESTEM Group Inc</t>
  </si>
  <si>
    <t>{"Tier":"LONG_TAIL","Company":"RESTEM Group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ID":"CMP-9e2e55c3ea0"}</t>
  </si>
  <si>
    <t>PR-ALL-CMP-3d0ea60deb4</t>
  </si>
  <si>
    <t>CMP-3d0ea60deb4</t>
  </si>
  <si>
    <t>RaQualia Pharma Inc</t>
  </si>
  <si>
    <t>{"Tier":"LONG_TAIL","Company":"RaQualia 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ID":"CMP-3d0ea60deb4"}</t>
  </si>
  <si>
    <t>PR-ALL-CMP-239ec6bc5af</t>
  </si>
  <si>
    <t>CMP-239ec6bc5af</t>
  </si>
  <si>
    <t>Rapa Therapeutics LLC</t>
  </si>
  <si>
    <t>{"Tier":"LONG_TAIL","Company":"Rapa Therapeutics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ID":"CMP-239ec6bc5af"}</t>
  </si>
  <si>
    <t>PR-ALL-CMP-5324170354d</t>
  </si>
  <si>
    <t>CMP-5324170354d</t>
  </si>
  <si>
    <t>ReAlta Life Sciences Inc</t>
  </si>
  <si>
    <t>{"Tier":"LONG_TAIL","Company":"ReAlta Life Sciences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ID":"CMP-5324170354d"}</t>
  </si>
  <si>
    <t>PR-ALL-CMP-bd777557fb4</t>
  </si>
  <si>
    <t>CMP-bd777557fb4</t>
  </si>
  <si>
    <t>Reponex Pharmaceuticals AS</t>
  </si>
  <si>
    <t>{"Tier":"LONG_TAIL","Company":"Reponex Pharmaceuticals AS","Company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ID":"CMP-bd777557fb4"}</t>
  </si>
  <si>
    <t>PR-ALL-CMP-fa997070326</t>
  </si>
  <si>
    <t>CMP-fa997070326</t>
  </si>
  <si>
    <t>RevImmune SAS</t>
  </si>
  <si>
    <t>{"Tier":"LONG_TAIL","Company":"RevImmune SAS","Company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ID":"CMP-fa997070326"}</t>
  </si>
  <si>
    <t>PR-ALL-CMP-d3d50c0504a</t>
  </si>
  <si>
    <t>CMP-d3d50c0504a</t>
  </si>
  <si>
    <t>Revolo Biotherapeutics Ltd</t>
  </si>
  <si>
    <t>{"Tier":"LONG_TAIL","Company":"Revolo Biotherapeutics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ID":"CMP-d3d50c0504a"}</t>
  </si>
  <si>
    <t>PR-ALL-CMP-b16864f3c5e</t>
  </si>
  <si>
    <t>CMP-b16864f3c5e</t>
  </si>
  <si>
    <t>Rigel Pharmaceuticals Inc</t>
  </si>
  <si>
    <t>{"Tier":"LONG_TAIL","Company":"Rigel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ID":"CMP-b16864f3c5e"}</t>
  </si>
  <si>
    <t>PR-ALL-CMP-c3cc43aaae3</t>
  </si>
  <si>
    <t>CMP-c3cc43aaae3</t>
  </si>
  <si>
    <t>Rnatics GmbH</t>
  </si>
  <si>
    <t>{"Tier":"LONG_TAIL","Company":"Rnatics GmbH","Company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ID":"CMP-c3cc43aaae3"}</t>
  </si>
  <si>
    <t>PR-ALL-CMP-c4a7896f28f</t>
  </si>
  <si>
    <t>CMP-c4a7896f28f</t>
  </si>
  <si>
    <t>Ruti Immune</t>
  </si>
  <si>
    <t>{"Tier":"LONG_TAIL","Company":"Ruti Immune","Company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ID":"CMP-c4a7896f28f"}</t>
  </si>
  <si>
    <t>PR-ALL-CMP-5b6b613be30</t>
  </si>
  <si>
    <t>CMP-5b6b613be30</t>
  </si>
  <si>
    <t>SBI Pharmaceuticals Co Ltd</t>
  </si>
  <si>
    <t>{"Tier":"LONG_TAIL","Company":"SBI Pharmaceuticals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ID":"CMP-5b6b613be30"}</t>
  </si>
  <si>
    <t>PR-ALL-CMP-b215612a123</t>
  </si>
  <si>
    <t>CMP-b215612a123</t>
  </si>
  <si>
    <t>SCM lifescience Co Ltd</t>
  </si>
  <si>
    <t>{"Tier":"LONG_TAIL","Company":"SCM lifescience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ID":"CMP-b215612a123"}</t>
  </si>
  <si>
    <t>PR-ALL-CMP-c57df53f105</t>
  </si>
  <si>
    <t>CMP-c57df53f105</t>
  </si>
  <si>
    <t>SMSbiotech Inc</t>
  </si>
  <si>
    <t>{"Tier":"LONG_TAIL","Company":"SMSbiotech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ID":"CMP-c57df53f105"}</t>
  </si>
  <si>
    <t>PR-ALL-CMP-1d4384a9ac8</t>
  </si>
  <si>
    <t>CMP-1d4384a9ac8</t>
  </si>
  <si>
    <t>Sage Therapeutics Inc</t>
  </si>
  <si>
    <t>{"Tier":"LONG_TAIL","Company":"Sage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ID":"CMP-1d4384a9ac8"}</t>
  </si>
  <si>
    <t>PR-ALL-CMP-81f8d429504</t>
  </si>
  <si>
    <t>CMP-81f8d429504</t>
  </si>
  <si>
    <t>Sagimet Biosciences Inc</t>
  </si>
  <si>
    <t>{"Tier":"LONG_TAIL","Company":"Sagimet Biosciences Inc","Company Type":"COMMERCIAL","GD Active Assets":0,"GD All Assets":2,"GD Phase II+":0,"Highest GD Stage":"-","Research Area Tags":null,"Bridging Tags":null,"Public Source":null,"GlobalData As-of":"2026-07-31","Data Interpretation":"GlobalData snapshot only; validate current asset status","Company ID":"CMP-81f8d429504"}</t>
  </si>
  <si>
    <t>PR-ALL-CMP-fb197125f2f</t>
  </si>
  <si>
    <t>CMP-fb197125f2f</t>
  </si>
  <si>
    <t>Salt Hill Charity</t>
  </si>
  <si>
    <t>{"Tier":"LONG_TAIL","Company":"Salt Hill Charity","Company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ID":"CMP-fb197125f2f"}</t>
  </si>
  <si>
    <t>PR-ALL-CMP-f1f0f1ec7c3</t>
  </si>
  <si>
    <t>CMP-f1f0f1ec7c3</t>
  </si>
  <si>
    <t>Savara Inc</t>
  </si>
  <si>
    <t>{"Tier":"LONG_TAIL","Company":"Savara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ID":"CMP-f1f0f1ec7c3"}</t>
  </si>
  <si>
    <t>PR-ALL-CMP-5d45983e460</t>
  </si>
  <si>
    <t>CMP-5d45983e460</t>
  </si>
  <si>
    <t>SciTech Development LLC</t>
  </si>
  <si>
    <t>{"Tier":"LONG_TAIL","Company":"SciTech Development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ID":"CMP-5d45983e460"}</t>
  </si>
  <si>
    <t>PR-ALL-CMP-8c10f44c34e</t>
  </si>
  <si>
    <t>CMP-8c10f44c34e</t>
  </si>
  <si>
    <t>Scilex Holding Co</t>
  </si>
  <si>
    <t>{"Tier":"LONG_TAIL","Company":"Scilex Holding Co","Company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ID":"CMP-8c10f44c34e"}</t>
  </si>
  <si>
    <t>PR-ALL-CMP-5b08fcbfbbd</t>
  </si>
  <si>
    <t>CMP-5b08fcbfbbd</t>
  </si>
  <si>
    <t>Scioto Biosciences Inc</t>
  </si>
  <si>
    <t>{"Tier":"LONG_TAIL","Company":"Scioto Biosciences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ID":"CMP-5b08fcbfbbd"}</t>
  </si>
  <si>
    <t>PR-ALL-CMP-4346e2dc06d</t>
  </si>
  <si>
    <t>CMP-4346e2dc06d</t>
  </si>
  <si>
    <t>Seagen Inc</t>
  </si>
  <si>
    <t>{"Tier":"LONG_TAIL","Company":"Seagen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ID":"CMP-4346e2dc06d"}</t>
  </si>
  <si>
    <t>PR-ALL-CMP-5348fb48d34</t>
  </si>
  <si>
    <t>CMP-5348fb48d34</t>
  </si>
  <si>
    <t>Secura Bio Inc</t>
  </si>
  <si>
    <t>{"Tier":"LONG_TAIL","Company":"Secura Bio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ID":"CMP-5348fb48d34"}</t>
  </si>
  <si>
    <t>PR-ALL-CMP-cfef4b68872</t>
  </si>
  <si>
    <t>CMP-cfef4b68872</t>
  </si>
  <si>
    <t>Senhwa Biosciences Inc</t>
  </si>
  <si>
    <t>{"Tier":"LONG_TAIL","Company":"Senhwa Biosciences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ID":"CMP-cfef4b68872"}</t>
  </si>
  <si>
    <t>PR-ALL-CMP-26d42471557</t>
  </si>
  <si>
    <t>CMP-26d42471557</t>
  </si>
  <si>
    <t>Serpin Pharma LLC</t>
  </si>
  <si>
    <t>{"Tier":"LONG_TAIL","Company":"Serpin Pharma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ID":"CMP-26d42471557"}</t>
  </si>
  <si>
    <t>PR-ALL-CMP-93b26edb522</t>
  </si>
  <si>
    <t>CMP-93b26edb522</t>
  </si>
  <si>
    <t>Shanghai Fudan-Zhangjiang Bio-Pharmaceutical Co Ltd</t>
  </si>
  <si>
    <t>{"Tier":"LONG_TAIL","Company":"Shanghai Fudan-Zhangjiang Bio-Pharmaceutical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ID":"CMP-93b26edb522"}</t>
  </si>
  <si>
    <t>PR-ALL-CMP-b2803f6673b</t>
  </si>
  <si>
    <t>CMP-b2803f6673b</t>
  </si>
  <si>
    <t>Shanghai Henlius Biotech Inc</t>
  </si>
  <si>
    <t>{"Tier":"LONG_TAIL","Company":"Shanghai Henlius Biotech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ID":"CMP-b2803f6673b"}</t>
  </si>
  <si>
    <t>PR-ALL-CMP-edf901b4f02</t>
  </si>
  <si>
    <t>CMP-edf901b4f02</t>
  </si>
  <si>
    <t>Shanghai MicuRx Pharmaceuticals Co Ltd</t>
  </si>
  <si>
    <t>{"Tier":"LONG_TAIL","Company":"Shanghai MicuRx Pharmaceuticals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ID":"CMP-edf901b4f02"}</t>
  </si>
  <si>
    <t>PR-ALL-CMP-a47c3602253</t>
  </si>
  <si>
    <t>CMP-a47c3602253</t>
  </si>
  <si>
    <t>Shantha Biotechnics Pvt Ltd</t>
  </si>
  <si>
    <t>{"Tier":"LONG_TAIL","Company":"Shantha Biotechnics Pvt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ID":"CMP-a47c3602253"}</t>
  </si>
  <si>
    <t>PR-ALL-CMP-01718feae5e</t>
  </si>
  <si>
    <t>CMP-01718feae5e</t>
  </si>
  <si>
    <t>SignPath Pharma Inc</t>
  </si>
  <si>
    <t>{"Tier":"LONG_TAIL","Company":"SignPath 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ID":"CMP-01718feae5e"}</t>
  </si>
  <si>
    <t>PR-ALL-CMP-2d5045bfa71</t>
  </si>
  <si>
    <t>CMP-2d5045bfa71</t>
  </si>
  <si>
    <t>SignalChem Lifesciences Corp</t>
  </si>
  <si>
    <t>{"Tier":"LONG_TAIL","Company":"SignalChem Lifesciences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ID":"CMP-2d5045bfa71"}</t>
  </si>
  <si>
    <t>PR-ALL-CMP-e5dd499272c</t>
  </si>
  <si>
    <t>CMP-e5dd499272c</t>
  </si>
  <si>
    <t>Spero Therapeutics Inc</t>
  </si>
  <si>
    <t>{"Tier":"LONG_TAIL","Company":"Spero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ID":"CMP-e5dd499272c"}</t>
  </si>
  <si>
    <t>PR-ALL-CMP-a2f278e2cf0</t>
  </si>
  <si>
    <t>CMP-a2f278e2cf0</t>
  </si>
  <si>
    <t>Stempeutics Research Pvt Ltd</t>
  </si>
  <si>
    <t>{"Tier":"LONG_TAIL","Company":"Stempeutics Research Pvt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ID":"CMP-a2f278e2cf0"}</t>
  </si>
  <si>
    <t>PR-ALL-CMP-eb5d8fdd0a4</t>
  </si>
  <si>
    <t>CMP-eb5d8fdd0a4</t>
  </si>
  <si>
    <t>SupraGen LLC</t>
  </si>
  <si>
    <t>{"Tier":"LONG_TAIL","Company":"SupraGen LLC","Company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ID":"CMP-eb5d8fdd0a4"}</t>
  </si>
  <si>
    <t>PR-ALL-CMP-4bed3f9c73c</t>
  </si>
  <si>
    <t>CMP-4bed3f9c73c</t>
  </si>
  <si>
    <t>Synairgen Plc</t>
  </si>
  <si>
    <t>{"Tier":"LONG_TAIL","Company":"Synairgen Plc","Company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ID":"CMP-4bed3f9c73c"}</t>
  </si>
  <si>
    <t>PR-ALL-CMP-4d6d23e9d94</t>
  </si>
  <si>
    <t>CMP-4d6d23e9d94</t>
  </si>
  <si>
    <t>Syndax Pharmaceuticals Inc</t>
  </si>
  <si>
    <t>{"Tier":"LONG_TAIL","Company":"Syndax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ID":"CMP-4d6d23e9d94"}</t>
  </si>
  <si>
    <t>PR-ALL-CMP-e18596b7c85</t>
  </si>
  <si>
    <t>CMP-e18596b7c85</t>
  </si>
  <si>
    <t>Tamir Biotechnology Inc</t>
  </si>
  <si>
    <t>{"Tier":"LONG_TAIL","Company":"Tamir Biotechnology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ID":"CMP-e18596b7c85"}</t>
  </si>
  <si>
    <t>PR-ALL-CMP-825d8901f20</t>
  </si>
  <si>
    <t>CMP-825d8901f20</t>
  </si>
  <si>
    <t>Telcon RF Pharmaceutical Inc</t>
  </si>
  <si>
    <t>{"Tier":"LONG_TAIL","Company":"Telcon RF Pharmaceutical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ID":"CMP-825d8901f20"}</t>
  </si>
  <si>
    <t>PR-ALL-CMP-80d072cfa01</t>
  </si>
  <si>
    <t>CMP-80d072cfa01</t>
  </si>
  <si>
    <t>Telios Pharma Inc</t>
  </si>
  <si>
    <t>{"Tier":"LONG_TAIL","Company":"Telios 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ID":"CMP-80d072cfa01"}</t>
  </si>
  <si>
    <t>PR-ALL-CMP-4297705f2ad</t>
  </si>
  <si>
    <t>CMP-4297705f2ad</t>
  </si>
  <si>
    <t>Tenax Therapeutics Inc</t>
  </si>
  <si>
    <t>{"Tier":"LONG_TAIL","Company":"Tenax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ID":"CMP-4297705f2ad"}</t>
  </si>
  <si>
    <t>PR-ALL-CMP-336750527a0</t>
  </si>
  <si>
    <t>CMP-336750527a0</t>
  </si>
  <si>
    <t>Thiogenesis Therapeutics Corp</t>
  </si>
  <si>
    <t>{"Tier":"LONG_TAIL","Company":"Thiogenesis Therapeutics Corp","Company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ID":"CMP-336750527a0"}</t>
  </si>
  <si>
    <t>PR-ALL-CMP-e0bfa45e999</t>
  </si>
  <si>
    <t>CMP-e0bfa45e999</t>
  </si>
  <si>
    <t>Throne Biotechnologies Inc</t>
  </si>
  <si>
    <t>{"Tier":"LONG_TAIL","Company":"Throne Biotechnologies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ID":"CMP-e0bfa45e999"}</t>
  </si>
  <si>
    <t>PR-ALL-CMP-4cc3e29329b</t>
  </si>
  <si>
    <t>CMP-4cc3e29329b</t>
  </si>
  <si>
    <t>Titan Pharmaceuticals Inc</t>
  </si>
  <si>
    <t>{"Tier":"LONG_TAIL","Company":"Titan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ID":"CMP-4cc3e29329b"}</t>
  </si>
  <si>
    <t>PR-ALL-CMP-249caf34ac5</t>
  </si>
  <si>
    <t>CMP-249caf34ac5</t>
  </si>
  <si>
    <t>TrueBinding Inc</t>
  </si>
  <si>
    <t>{"Tier":"LONG_TAIL","Company":"TrueBinding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ID":"CMP-249caf34ac5"}</t>
  </si>
  <si>
    <t>PR-ALL-CMP-5acadcb662b</t>
  </si>
  <si>
    <t>CMP-5acadcb662b</t>
  </si>
  <si>
    <t>UCB SA</t>
  </si>
  <si>
    <t>{"Tier":"LONG_TAIL","Company":"UCB SA","Company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ID":"CMP-5acadcb662b"}</t>
  </si>
  <si>
    <t>PR-ALL-CMP-fe1aa6a7f0e</t>
  </si>
  <si>
    <t>CMP-fe1aa6a7f0e</t>
  </si>
  <si>
    <t>VGSK Technologies Inc</t>
  </si>
  <si>
    <t>{"Tier":"LONG_TAIL","Company":"VGSK Technologies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ID":"CMP-fe1aa6a7f0e"}</t>
  </si>
  <si>
    <t>PR-ALL-CMP-c0e86ca4e14</t>
  </si>
  <si>
    <t>CMP-c0e86ca4e14</t>
  </si>
  <si>
    <t>Verona Pharma Ltd</t>
  </si>
  <si>
    <t>{"Tier":"LONG_TAIL","Company":"Verona Pharma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ID":"CMP-c0e86ca4e14"}</t>
  </si>
  <si>
    <t>PR-ALL-CMP-e396f58cf16</t>
  </si>
  <si>
    <t>CMP-e396f58cf16</t>
  </si>
  <si>
    <t>Vicore Pharma AB</t>
  </si>
  <si>
    <t>{"Tier":"LONG_TAIL","Company":"Vicore Pharma AB","Company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ID":"CMP-e396f58cf16"}</t>
  </si>
  <si>
    <t>PR-ALL-CMP-e21454fde28</t>
  </si>
  <si>
    <t>CMP-e21454fde28</t>
  </si>
  <si>
    <t>Waterstone Pharmaceuticals (Wuhan) Ltd</t>
  </si>
  <si>
    <t>{"Tier":"LONG_TAIL","Company":"Waterstone Pharmaceuticals (Wuhan)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ID":"CMP-e21454fde28"}</t>
  </si>
  <si>
    <t>PR-ALL-CMP-ac60cd7fe21</t>
  </si>
  <si>
    <t>CMP-ac60cd7fe21</t>
  </si>
  <si>
    <t>Wuhan Hamilton Bio-technology Co Ltd</t>
  </si>
  <si>
    <t>{"Tier":"LONG_TAIL","Company":"Wuhan Hamilton Bio-technology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ID":"CMP-ac60cd7fe21"}</t>
  </si>
  <si>
    <t>PR-ALL-CMP-d1e4458e05f</t>
  </si>
  <si>
    <t>CMP-d1e4458e05f</t>
  </si>
  <si>
    <t>X4 Pharmaceuticals Inc</t>
  </si>
  <si>
    <t>{"Tier":"LONG_TAIL","Company":"X4 Pharmaceuticals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ID":"CMP-d1e4458e05f"}</t>
  </si>
  <si>
    <t>PR-ALL-CMP-c5ce2d85bbc</t>
  </si>
  <si>
    <t>CMP-c5ce2d85bbc</t>
  </si>
  <si>
    <t>Zeria Pharmaceutical Co Ltd</t>
  </si>
  <si>
    <t>{"Tier":"LONG_TAIL","Company":"Zeria Pharmaceutical Co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ID":"CMP-c5ce2d85bbc"}</t>
  </si>
  <si>
    <t>PR-ALL-CMP-b05a34f42cc</t>
  </si>
  <si>
    <t>CMP-b05a34f42cc</t>
  </si>
  <si>
    <t>Zucero Therapeutics Ltd</t>
  </si>
  <si>
    <t>{"Tier":"LONG_TAIL","Company":"Zucero Therapeutics Ltd","Company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ID":"CMP-b05a34f42cc"}</t>
  </si>
  <si>
    <t>PR-ALL-CMP-946bc08c1d2</t>
  </si>
  <si>
    <t>CMP-946bc08c1d2</t>
  </si>
  <si>
    <t>Zydus Therapeutics Inc</t>
  </si>
  <si>
    <t>{"Tier":"LONG_TAIL","Company":"Zydus Therapeutics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ID":"CMP-946bc08c1d2"}</t>
  </si>
  <si>
    <t>PR-ALL-CMP-72b6387af36</t>
  </si>
  <si>
    <t>CMP-72b6387af36</t>
  </si>
  <si>
    <t>aTyr Pharma Inc</t>
  </si>
  <si>
    <t>{"Tier":"LONG_TAIL","Company":"aTyr Pharma Inc","Company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ID":"CMP-72b6387af36"}</t>
  </si>
  <si>
    <t>PR-ALL-CMP-8ee8c728703</t>
  </si>
  <si>
    <t>CMP-8ee8c728703</t>
  </si>
  <si>
    <t>eXithera Pharmaceuticals Inc (Inactive)</t>
  </si>
  <si>
    <t>{"Tier":"LONG_TAIL","Company":"eXithera Pharmaceuticals Inc (Inactive)","Company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ID":"CMP-8ee8c728703"}</t>
  </si>
  <si>
    <t>PR-ALL-CMP-be8f63834c4</t>
  </si>
  <si>
    <t>CMP-be8f63834c4</t>
  </si>
  <si>
    <t>ethris GmbH</t>
  </si>
  <si>
    <t>{"Tier":"LONG_TAIL","Company":"ethris GmbH","Company Type":"COMMERCIAL","GD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ID":"CMP-be8f63834c4"}</t>
  </si>
  <si>
    <t>PR-ALL-CMP-4960bcedfd3</t>
  </si>
  <si>
    <t>CMP-4960bcedfd3</t>
  </si>
  <si>
    <t>The National Institute of Allergy and Infectious Diseases</t>
  </si>
  <si>
    <t>{"Tier":"NON_COMMERCIAL","Company":"The National Institute of Allergy and Infectious Diseases","Company Type":"NON_COMMERCIAL","GD Active Assets":66,"GD All Assets":66,"GD Phase II+":14,"Highest GD Stage":"Phase III","Research Area Tags":"HIV, EMG, NTD, MUC, ICH","Bridging Tags":"VAC, MAB","Public Source":null,"GlobalData As-of":"2026-07-31","Data Interpretation":"GlobalData snapshot only; validate current asset status","Company ID":"CMP-4960bcedfd3"}</t>
  </si>
  <si>
    <t>PR-ALL-CMP-8c4a4db6b33</t>
  </si>
  <si>
    <t>CMP-8c4a4db6b33</t>
  </si>
  <si>
    <t>Gamaleya Federal Research Center of Epidemiology and Microbiology</t>
  </si>
  <si>
    <t>{"Tier":"NON_COMMERCIAL","Company":"Gamaleya Federal Research Center of Epidemiology and Microbiology","Company Type":"NON_COMMERCIAL","GD Active Assets":15,"GD All Assets":15,"GD Phase II+":7,"Highest GD Stage":"Phase III","Research Area Tags":"ABX, EMG, TB, MUC","Bridging Tags":"VAC","Public Source":null,"GlobalData As-of":"2026-07-31","Data Interpretation":"GlobalData snapshot only; validate current asset status","Company ID":"CMP-8c4a4db6b33"}</t>
  </si>
  <si>
    <t>PR-ALL-CMP-50fc87fe9bd</t>
  </si>
  <si>
    <t>{"Tier":"NON_COMMERCIAL","Company":"University of Oxford","Company Type":"NON_COMMERCIAL","GD Active Assets":14,"GD All Assets":14,"GD Phase II+":6,"Highest GD Stage":"Phase III","Research Area Tags":"HIV, EMG, NTD","Bridging Tags":"VAC","Public Source":null,"GlobalData As-of":"2026-07-31","Data Interpretation":"GlobalData snapshot only; validate current asset status","Company ID":"CMP-50fc87fe9bd"}</t>
  </si>
  <si>
    <t>PR-ALL-CMP-0136102a486</t>
  </si>
  <si>
    <t>CMP-0136102a486</t>
  </si>
  <si>
    <t>Butantan Institute</t>
  </si>
  <si>
    <t>{"Tier":"NON_COMMERCIAL","Company":"Butantan Institute","Company Type":"NON_COMMERCIAL","GD Active Assets":11,"GD All Assets":11,"GD Phase II+":6,"Highest GD Stage":"Phase III","Research Area Tags":"EMG, NTD, MUC","Bridging Tags":"VAC","Public Source":null,"GlobalData As-of":"2026-07-31","Data Interpretation":"GlobalData snapshot only; validate current asset status","Company ID":"CMP-0136102a486"}</t>
  </si>
  <si>
    <t>PR-ALL-CMP-2a7068f0eda</t>
  </si>
  <si>
    <t>CMP-2a7068f0eda</t>
  </si>
  <si>
    <t>Medicines and Healthcare Products Regulatory Agency UK</t>
  </si>
  <si>
    <t>{"Tier":"NON_COMMERCIAL","Company":"Medicines and Healthcare Products Regulatory Agency UK","Company Type":"NON_COMMERCIAL","GD Active Assets":9,"GD All Assets":9,"GD Phase II+":6,"Highest GD Stage":"Pre-Registration","Research Area Tags":"EMG, MUC, ICH","Bridging Tags":"VAC","Public Source":null,"GlobalData As-of":"2026-07-31","Data Interpretation":"GlobalData snapshot only; validate current asset status","Company ID":"CMP-2a7068f0eda"}</t>
  </si>
  <si>
    <t>PR-ALL-CMP-6eae7e1901f</t>
  </si>
  <si>
    <t>CMP-6eae7e1901f</t>
  </si>
  <si>
    <t>US Army Medical Research &amp; Materiel Command</t>
  </si>
  <si>
    <t>{"Tier":"NON_COMMERCIAL","Company":"US Army Medical Research &amp; Materiel Command","Company Type":"NON_COMMERCIAL","GD Active Assets":8,"GD All Assets":9,"GD Phase II+":3,"Highest GD Stage":"Phase III","Research Area Tags":"HIV, EMG, NTD","Bridging Tags":"VAC","Public Source":null,"GlobalData As-of":"2026-07-31","Data Interpretation":"GlobalData snapshot only; validate current asset status","Company ID":"CMP-6eae7e1901f"}</t>
  </si>
  <si>
    <t>PR-ALL-CMP-421e84a20b7</t>
  </si>
  <si>
    <t>CMP-421e84a20b7</t>
  </si>
  <si>
    <t>Ludwig-Maximilians-University Munich</t>
  </si>
  <si>
    <t>{"Tier":"NON_COMMERCIAL","Company":"Ludwig-Maximilians-University Munich","Company Type":"NON_COMMERCIAL","GD Active Assets":4,"GD All Assets":4,"GD Phase II+":2,"Highest GD Stage":"Phase III","Research Area Tags":"ABX, EMG, TB, ICH","Bridging Tags":"VAC","Public Source":null,"GlobalData As-of":"2026-07-31","Data Interpretation":"GlobalData snapshot only; validate current asset status","Company ID":"CMP-421e84a20b7"}</t>
  </si>
  <si>
    <t>PR-ALL-CMP-cd466985792</t>
  </si>
  <si>
    <t>CMP-cd466985792</t>
  </si>
  <si>
    <t>Statens Serum Institut</t>
  </si>
  <si>
    <t>{"Tier":"NON_COMMERCIAL","Company":"Statens Serum Institut","Company Type":"NON_COMMERCIAL","GD Active Assets":5,"GD All Assets":5,"GD Phase II+":1,"Highest GD Stage":"Phase III","Research Area Tags":"ABX, EMG, TB, NTD","Bridging Tags":"VAC","Public Source":null,"GlobalData As-of":"2026-07-31","Data Interpretation":"GlobalData snapshot only; validate current asset status","Company ID":"CMP-cd466985792"}</t>
  </si>
  <si>
    <t>PR-ALL-CMP-2dbe15078d6</t>
  </si>
  <si>
    <t>CMP-2dbe15078d6</t>
  </si>
  <si>
    <t>{"Tier":"NON_COMMERCIAL","Company":"Global Alliance for TB Drug Development","Company Type":"NON_COMMERCIAL","GD Active Assets":6,"GD All Assets":6,"GD Phase II+":4,"Highest GD Stage":"Phase II","Research Area Tags":"ABX, TB","Bridging Tags":null,"Public Source":null,"GlobalData As-of":"2026-07-31","Data Interpretation":"GlobalData snapshot only; validate current asset status","Company ID":"CMP-2dbe15078d6"}</t>
  </si>
  <si>
    <t>PR-ALL-CMP-20261daaec2</t>
  </si>
  <si>
    <t>CMP-20261daaec2</t>
  </si>
  <si>
    <t>University of Pittsburgh</t>
  </si>
  <si>
    <t>{"Tier":"NON_COMMERCIAL","Company":"University of Pittsburgh","Company Type":"NON_COMMERCIAL","GD Active Assets":5,"GD All Assets":5,"GD Phase II+":2,"Highest GD Stage":"Phase II","Research Area Tags":"EMG, MUC, ICH","Bridging Tags":"VAC","Public Source":null,"GlobalData As-of":"2026-07-31","Data Interpretation":"GlobalData snapshot only; validate current asset status","Company ID":"CMP-20261daaec2"}</t>
  </si>
  <si>
    <t>PR-ALL-CMP-3150ecd5e02</t>
  </si>
  <si>
    <t>{"Tier":"NON_COMMERCIAL","Company":"PATH","Company Type":"NON_COMMERCIAL","GD Active Assets":6,"GD All Assets":6,"GD Phase II+":3,"Highest GD Stage":"Phase II","Research Area Tags":"NTD, MUC","Bridging Tags":"VAC, MAB","Public Source":null,"GlobalData As-of":"2026-07-31","Data Interpretation":"GlobalData snapshot only; validate current asset status","Company ID":"CMP-3150ecd5e02"}</t>
  </si>
  <si>
    <t>PR-ALL-CMP-b346bd026b6</t>
  </si>
  <si>
    <t>CMP-b346bd026b6</t>
  </si>
  <si>
    <t>Albert B. Sabin Vaccine Institute Inc</t>
  </si>
  <si>
    <t>{"Tier":"NON_COMMERCIAL","Company":"Albert B. Sabin Vaccine Institute Inc","Company Type":"NON_COMMERCIAL","GD Active Assets":5,"GD All Assets":5,"GD Phase II+":4,"Highest GD Stage":"Phase III","Research Area Tags":"EMG, NTD","Bridging Tags":"VAC","Public Source":null,"GlobalData As-of":"2026-07-31","Data Interpretation":"GlobalData snapshot only; validate current asset status","Company ID":"CMP-b346bd026b6"}</t>
  </si>
  <si>
    <t>PR-ALL-CMP-ac1aeb1ba3f</t>
  </si>
  <si>
    <t>{"Tier":"NON_COMMERCIAL","Company":"Bill &amp; Melinda Gates Medical Research Institute","Company Type":"NON_COMMERCIAL","GD Active Assets":4,"GD All Assets":4,"GD Phase II+":2,"Highest GD Stage":"Phase III","Research Area Tags":"ABX, TB, NTD","Bridging Tags":null,"Public Source":null,"GlobalData As-of":"2026-07-31","Data Interpretation":"GlobalData snapshot only; validate current asset status","Company ID":"CMP-ac1aeb1ba3f"}</t>
  </si>
  <si>
    <t>PR-ALL-CMP-dade82a6544</t>
  </si>
  <si>
    <t>CMP-dade82a6544</t>
  </si>
  <si>
    <t>Institute of Medical Biology Chinese Academy of Medical Sciences</t>
  </si>
  <si>
    <t>{"Tier":"NON_COMMERCIAL","Company":"Institute of Medical Biology Chinese Academy of Medical Sciences","Company Type":"NON_COMMERCIAL","GD Active Assets":6,"GD All Assets":6,"GD Phase II+":2,"Highest GD Stage":"Phase III","Research Area Tags":"ABX, MUC","Bridging Tags":"VAC","Public Source":null,"GlobalData As-of":"2026-07-31","Data Interpretation":"GlobalData snapshot only; validate current asset status","Company ID":"CMP-dade82a6544"}</t>
  </si>
  <si>
    <t>PR-ALL-CMP-661304a94cb</t>
  </si>
  <si>
    <t>CMP-661304a94cb</t>
  </si>
  <si>
    <t>University of Liverpool</t>
  </si>
  <si>
    <t>{"Tier":"NON_COMMERCIAL","Company":"University of Liverpool","Company Type":"NON_COMMERCIAL","GD Active Assets":2,"GD All Assets":2,"GD Phase II+":1,"Highest GD Stage":"Phase II","Research Area Tags":"HAI, ABX, EMG, NTD","Bridging Tags":null,"Public Source":null,"GlobalData As-of":"2026-07-31","Data Interpretation":"GlobalData snapshot only; validate current asset status","Company ID":"CMP-661304a94cb"}</t>
  </si>
  <si>
    <t>PR-ALL-CMP-4c6cfb58261</t>
  </si>
  <si>
    <t>CMP-4c6cfb58261</t>
  </si>
  <si>
    <t>University of Texas MD Anderson Cancer Center</t>
  </si>
  <si>
    <t>{"Tier":"NON_COMMERCIAL","Company":"University of Texas MD Anderson Cancer Center","Company Type":"NON_COMMERCIAL","GD Active Assets":4,"GD All Assets":4,"GD Phase II+":2,"Highest GD Stage":"Phase II","Research Area Tags":"EMG, ICH","Bridging Tags":null,"Public Source":null,"GlobalData As-of":"2026-07-31","Data Interpretation":"GlobalData snapshot only; validate current asset status","Company ID":"CMP-4c6cfb58261"}</t>
  </si>
  <si>
    <t>PR-ALL-CMP-8feab86c576</t>
  </si>
  <si>
    <t>CMP-8feab86c576</t>
  </si>
  <si>
    <t>University of Hong Kong</t>
  </si>
  <si>
    <t>{"Tier":"NON_COMMERCIAL","Company":"University of Hong Kong","Company Type":"NON_COMMERCIAL","GD Active Assets":3,"GD All Assets":3,"GD Phase II+":0,"Highest GD Stage":"Preclinical","Research Area Tags":"HIV, HAI, ABX, EMG","Bridging Tags":"VAC, MAB","Public Source":null,"GlobalData As-of":"2026-07-31","Data Interpretation":"GlobalData snapshot only; validate current asset status","Company ID":"CMP-8feab86c576"}</t>
  </si>
  <si>
    <t>PR-ALL-CMP-7f3467d30de</t>
  </si>
  <si>
    <t>CMP-7f3467d30de</t>
  </si>
  <si>
    <t>University of Texas Medical Branch at Galveston</t>
  </si>
  <si>
    <t>{"Tier":"NON_COMMERCIAL","Company":"University of Texas Medical Branch at Galveston","Company Type":"NON_COMMERCIAL","GD Active Assets":3,"GD All Assets":3,"GD Phase II+":0,"Highest GD Stage":"Preclinical","Research Area Tags":"HIV, ABX, EMG, NTD","Bridging Tags":"VAC","Public Source":null,"GlobalData As-of":"2026-07-31","Data Interpretation":"GlobalData snapshot only; validate current asset status","Company ID":"CMP-7f3467d30de"}</t>
  </si>
  <si>
    <t>PR-ALL-CMP-a8d527562c7</t>
  </si>
  <si>
    <t>CMP-a8d527562c7</t>
  </si>
  <si>
    <t>French National Institute of Health and Medical Research</t>
  </si>
  <si>
    <t>{"Tier":"NON_COMMERCIAL","Company":"French National Institute of Health and Medical Research","Company Type":"NON_COMMERCIAL","GD Active Assets":3,"GD All Assets":3,"GD Phase II+":1,"Highest GD Stage":"Phase II","Research Area Tags":"HIV, EMG, NTD","Bridging Tags":"VAC","Public Source":null,"GlobalData As-of":"2026-07-31","Data Interpretation":"GlobalData snapshot only; validate current asset status","Company ID":"CMP-a8d527562c7"}</t>
  </si>
  <si>
    <t>PR-ALL-CMP-d2b442f8f9c</t>
  </si>
  <si>
    <t>CMP-d2b442f8f9c</t>
  </si>
  <si>
    <t>University of Wisconsin Madison</t>
  </si>
  <si>
    <t>{"Tier":"NON_COMMERCIAL","Company":"University of Wisconsin Madison","Company Type":"NON_COMMERCIAL","GD Active Assets":7,"GD All Assets":7,"GD Phase II+":0,"Highest GD Stage":"Phase I","Research Area Tags":"EMG, ICH","Bridging Tags":"VAC","Public Source":null,"GlobalData As-of":"2026-07-31","Data Interpretation":"GlobalData snapshot only; validate current asset status","Company ID":"CMP-d2b442f8f9c"}</t>
  </si>
  <si>
    <t>PR-ALL-CMP-0feaf435ea4</t>
  </si>
  <si>
    <t>CMP-0feaf435ea4</t>
  </si>
  <si>
    <t>NA Vaccine Research Institute Co Ltd</t>
  </si>
  <si>
    <t>{"Tier":"NON_COMMERCIAL","Company":"NA Vaccine Research Institute Co Ltd","Company Type":"NON_COMMERCIAL","GD Active Assets":4,"GD All Assets":4,"GD Phase II+":0,"Highest GD Stage":"IND/CTA Filed","Research Area Tags":"EMG, MUC, ICH","Bridging Tags":"VAC","Public Source":null,"GlobalData As-of":"2026-07-31","Data Interpretation":"GlobalData snapshot only; validate current asset status","Company ID":"CMP-0feaf435ea4"}</t>
  </si>
  <si>
    <t>PR-ALL-CMP-aa5a1b84cd9</t>
  </si>
  <si>
    <t>CMP-aa5a1b84cd9</t>
  </si>
  <si>
    <t>Walter Reed Army Institute of Research</t>
  </si>
  <si>
    <t>{"Tier":"NON_COMMERCIAL","Company":"Walter Reed Army Institute of Research","Company Type":"NON_COMMERCIAL","GD Active Assets":4,"GD All Assets":4,"GD Phase II+":1,"Highest GD Stage":"Phase III","Research Area Tags":"EMG, NTD","Bridging Tags":"VAC","Public Source":null,"GlobalData As-of":"2026-07-31","Data Interpretation":"GlobalData snapshot only; validate current asset status","Company ID":"CMP-aa5a1b84cd9"}</t>
  </si>
  <si>
    <t>PR-ALL-CMP-ca23a15cf7a</t>
  </si>
  <si>
    <t>CMP-ca23a15cf7a</t>
  </si>
  <si>
    <t>Baylor College of Medicine</t>
  </si>
  <si>
    <t>{"Tier":"NON_COMMERCIAL","Company":"Baylor College of Medicine","Company Type":"NON_COMMERCIAL","GD Active Assets":2,"GD All Assets":2,"GD Phase II+":0,"Highest GD Stage":"Phase I","Research Area Tags":"HAI, ABX, MUC, ICH","Bridging Tags":null,"Public Source":null,"GlobalData As-of":"2026-07-31","Data Interpretation":"GlobalData snapshot only; validate current asset status","Company ID":"CMP-ca23a15cf7a"}</t>
  </si>
  <si>
    <t>PR-ALL-CMP-c058ffe5bc6</t>
  </si>
  <si>
    <t>CMP-c058ffe5bc6</t>
  </si>
  <si>
    <t>Japan Institute for Health Security</t>
  </si>
  <si>
    <t>{"Tier":"NON_COMMERCIAL","Company":"Japan Institute for Health Security","Company Type":"NON_COMMERCIAL","GD Active Assets":2,"GD All Assets":2,"GD Phase II+":0,"Highest GD Stage":"Phase I","Research Area Tags":"ABX, EMG, TB, MUC","Bridging Tags":"VAC","Public Source":null,"GlobalData As-of":"2026-07-31","Data Interpretation":"GlobalData snapshot only; validate current asset status","Company ID":"CMP-c058ffe5bc6"}</t>
  </si>
  <si>
    <t>PR-ALL-CMP-76b44c3400b</t>
  </si>
  <si>
    <t>CMP-76b44c3400b</t>
  </si>
  <si>
    <t>University of Sydney</t>
  </si>
  <si>
    <t>{"Tier":"NON_COMMERCIAL","Company":"University of Sydney","Company Type":"NON_COMMERCIAL","GD Active Assets":2,"GD All Assets":2,"GD Phase II+":0,"Highest GD Stage":"Preclinical","Research Area Tags":"HAI, ABX, EMG, MUC","Bridging Tags":"VAC, MAB","Public Source":null,"GlobalData As-of":"2026-07-31","Data Interpretation":"GlobalData snapshot only; validate current asset status","Company ID":"CMP-76b44c3400b"}</t>
  </si>
  <si>
    <t>PR-ALL-CMP-016f3d1d273</t>
  </si>
  <si>
    <t>CMP-016f3d1d273</t>
  </si>
  <si>
    <t>Cincinnati Children's Hospital Medical Center</t>
  </si>
  <si>
    <t>{"Tier":"NON_COMMERCIAL","Company":"Cincinnati Children's Hospital Medical Center","Company Type":"NON_COMMERCIAL","GD Active Assets":2,"GD All Assets":2,"GD Phase II+":1,"Highest GD Stage":"Phase II","Research Area Tags":"EMG, MUC, ICH","Bridging Tags":null,"Public Source":null,"GlobalData As-of":"2026-07-31","Data Interpretation":"GlobalData snapshot only; validate current asset status","Company ID":"CMP-016f3d1d273"}</t>
  </si>
  <si>
    <t>PR-ALL-CMP-4c0918ef74d</t>
  </si>
  <si>
    <t>CMP-4c0918ef74d</t>
  </si>
  <si>
    <t>University of North Carolina at Chapel Hill</t>
  </si>
  <si>
    <t>{"Tier":"NON_COMMERCIAL","Company":"University of North Carolina at Chapel Hill","Company Type":"NON_COMMERCIAL","GD Active Assets":4,"GD All Assets":4,"GD Phase II+":2,"Highest GD Stage":"Phase II","Research Area Tags":"HIV","Bridging Tags":"VAC","Public Source":null,"GlobalData As-of":"2026-07-31","Data Interpretation":"GlobalData snapshot only; validate current asset status","Company ID":"CMP-4c0918ef74d"}</t>
  </si>
  <si>
    <t>PR-ALL-CMP-1279bf838a4</t>
  </si>
  <si>
    <t>CMP-1279bf838a4</t>
  </si>
  <si>
    <t>Massachusetts General Hospital</t>
  </si>
  <si>
    <t>{"Tier":"NON_COMMERCIAL","Company":"Massachusetts General Hospital","Company Type":"NON_COMMERCIAL","GD Active Assets":3,"GD All Assets":3,"GD Phase II+":0,"Highest GD Stage":"Phase I","Research Area Tags":"ABX, EMG, MUC","Bridging Tags":null,"Public Source":null,"GlobalData As-of":"2026-07-31","Data Interpretation":"GlobalData snapshot only; validate current asset status","Company ID":"CMP-1279bf838a4"}</t>
  </si>
  <si>
    <t>PR-ALL-CMP-b9678eefd35</t>
  </si>
  <si>
    <t>CMP-b9678eefd35</t>
  </si>
  <si>
    <t>Shanghai Institute of Materia Medica Chinese Academy of Sciences</t>
  </si>
  <si>
    <t>{"Tier":"NON_COMMERCIAL","Company":"Shanghai Institute of Materia Medica Chinese Academy of Sciences","Company Type":"NON_COMMERCIAL","GD Active Assets":3,"GD All Assets":3,"GD Phase II+":0,"Highest GD Stage":"Phase I","Research Area Tags":"HIV, HAI, ABX","Bridging Tags":null,"Public Source":null,"GlobalData As-of":"2026-07-31","Data Interpretation":"GlobalData snapshot only; validate current asset status","Company ID":"CMP-b9678eefd35"}</t>
  </si>
  <si>
    <t>PR-ALL-CMP-cfb72233901</t>
  </si>
  <si>
    <t>CMP-cfb72233901</t>
  </si>
  <si>
    <t>Children's Research Institute</t>
  </si>
  <si>
    <t>{"Tier":"NON_COMMERCIAL","Company":"Children's Research Institute","Company Type":"NON_COMMERCIAL","GD Active Assets":3,"GD All Assets":3,"GD Phase II+":1,"Highest GD Stage":"Phase II","Research Area Tags":"HIV, ICH","Bridging Tags":"CGT","Public Source":null,"GlobalData As-of":"2026-07-31","Data Interpretation":"GlobalData snapshot only; validate current asset status","Company ID":"CMP-cfb72233901"}</t>
  </si>
  <si>
    <t>PR-ALL-CMP-a919c10dfbb</t>
  </si>
  <si>
    <t>CMP-a919c10dfbb</t>
  </si>
  <si>
    <t>La Paz University Hospital Research Institute</t>
  </si>
  <si>
    <t>{"Tier":"NON_COMMERCIAL","Company":"La Paz University Hospital Research Institute","Company Type":"NON_COMMERCIAL","GD Active Assets":2,"GD All Assets":2,"GD Phase II+":2,"Highest GD Stage":"Phase II","Research Area Tags":"EMG, MUC","Bridging Tags":null,"Public Source":null,"GlobalData As-of":"2026-07-31","Data Interpretation":"GlobalData snapshot only; validate current asset status","Company ID":"CMP-a919c10dfbb"}</t>
  </si>
  <si>
    <t>PR-ALL-CMP-9c0e493fa58</t>
  </si>
  <si>
    <t>CMP-9c0e493fa58</t>
  </si>
  <si>
    <t>Smorodintsev Research Institute of Influenza</t>
  </si>
  <si>
    <t>{"Tier":"NON_COMMERCIAL","Company":"Smorodintsev Research Institute of Influenza","Company Type":"NON_COMMERCIAL","GD Active Assets":2,"GD All Assets":2,"GD Phase II+":2,"Highest GD Stage":"Phase II","Research Area Tags":"EMG, MUC","Bridging Tags":null,"Public Source":null,"GlobalData As-of":"2026-07-31","Data Interpretation":"GlobalData snapshot only; validate current asset status","Company ID":"CMP-9c0e493fa58"}</t>
  </si>
  <si>
    <t>PR-ALL-CMP-d0fa73330d7</t>
  </si>
  <si>
    <t>CMP-d0fa73330d7</t>
  </si>
  <si>
    <t>Griffith University</t>
  </si>
  <si>
    <t>{"Tier":"NON_COMMERCIAL","Company":"Griffith University","Company Type":"NON_COMMERCIAL","GD Active Assets":3,"GD All Assets":3,"GD Phase II+":2,"Highest GD Stage":"Phase II","Research Area Tags":"NTD","Bridging Tags":"VAC","Public Source":null,"GlobalData As-of":"2026-07-31","Data Interpretation":"GlobalData snapshot only; validate current asset status","Company ID":"CMP-d0fa73330d7"}</t>
  </si>
  <si>
    <t>PR-ALL-CMP-83a935622d8</t>
  </si>
  <si>
    <t>CMP-83a935622d8</t>
  </si>
  <si>
    <t>QIMR Berghofer Medical Research Institute</t>
  </si>
  <si>
    <t>{"Tier":"NON_COMMERCIAL","Company":"QIMR Berghofer Medical Research Institute","Company Type":"NON_COMMERCIAL","GD Active Assets":4,"GD All Assets":4,"GD Phase II+":0,"Highest GD Stage":"Phase I","Research Area Tags":"NTD, ICH","Bridging Tags":"VAC","Public Source":null,"GlobalData As-of":"2026-07-31","Data Interpretation":"GlobalData snapshot only; validate current asset status","Company ID":"CMP-83a935622d8"}</t>
  </si>
  <si>
    <t>PR-ALL-CMP-904e8fa3463</t>
  </si>
  <si>
    <t>CMP-904e8fa3463</t>
  </si>
  <si>
    <t>Hebrew University of Jerusalem</t>
  </si>
  <si>
    <t>{"Tier":"NON_COMMERCIAL","Company":"Hebrew University of Jerusalem","Company Type":"NON_COMMERCIAL","GD Active Assets":2,"GD All Assets":2,"GD Phase II+":0,"Highest GD Stage":"Preclinical","Research Area Tags":"HIV, MUC, ICH","Bridging Tags":null,"Public Source":null,"GlobalData As-of":"2026-07-31","Data Interpretation":"GlobalData snapshot only; validate current asset status","Company ID":"CMP-904e8fa3463"}</t>
  </si>
  <si>
    <t>PR-ALL-CMP-157032a0303</t>
  </si>
  <si>
    <t>CMP-157032a0303</t>
  </si>
  <si>
    <t>Institute of Materia Medica, Chinese Academy of Medical Sciences &amp; Peking Union Medical College</t>
  </si>
  <si>
    <t>{"Tier":"NON_COMMERCIAL","Company":"Institute of Materia Medica, Chinese Academy of Medical Sciences &amp; Peking Union Medical College","Company Type":"NON_COMMERCIAL","GD Active Assets":2,"GD All Assets":2,"GD Phase II+":0,"Highest GD Stage":"Phase I","Research Area Tags":"ABX, TB, MUC","Bridging Tags":"VAC","Public Source":null,"GlobalData As-of":"2026-07-31","Data Interpretation":"GlobalData snapshot only; validate current asset status","Company ID":"CMP-157032a0303"}</t>
  </si>
  <si>
    <t>PR-ALL-CMP-dc797b93b3d</t>
  </si>
  <si>
    <t>CMP-dc797b93b3d</t>
  </si>
  <si>
    <t>The Institute of Medicinal Biotechnology Chinese Academy of Medical Sciences</t>
  </si>
  <si>
    <t>{"Tier":"NON_COMMERCIAL","Company":"The Institute of Medicinal Biotechnology Chinese Academy of Medical Sciences","Company Type":"NON_COMMERCIAL","GD Active Assets":2,"GD All Assets":2,"GD Phase II+":0,"Highest GD Stage":"IND/CTA Filed","Research Area Tags":"HAI, ABX, MUC","Bridging Tags":null,"Public Source":null,"GlobalData As-of":"2026-07-31","Data Interpretation":"GlobalData snapshot only; validate current asset status","Company ID":"CMP-dc797b93b3d"}</t>
  </si>
  <si>
    <t>PR-ALL-CMP-d9d4da6a615</t>
  </si>
  <si>
    <t>CMP-d9d4da6a615</t>
  </si>
  <si>
    <t>University of Pennsylvania</t>
  </si>
  <si>
    <t>{"Tier":"NON_COMMERCIAL","Company":"University of Pennsylvania","Company Type":"NON_COMMERCIAL","GD Active Assets":2,"GD All Assets":2,"GD Phase II+":0,"Highest GD Stage":"Phase I","Research Area Tags":"HAI, ABX, ICH","Bridging Tags":"VAC","Public Source":null,"GlobalData As-of":"2026-07-31","Data Interpretation":"GlobalData snapshot only; validate current asset status","Company ID":"CMP-d9d4da6a615"}</t>
  </si>
  <si>
    <t>PR-ALL-CMP-54ff41ff982</t>
  </si>
  <si>
    <t>CMP-54ff41ff982</t>
  </si>
  <si>
    <t>University of Surrey</t>
  </si>
  <si>
    <t>{"Tier":"NON_COMMERCIAL","Company":"University of Surrey","Company Type":"NON_COMMERCIAL","GD Active Assets":2,"GD All Assets":2,"GD Phase II+":0,"Highest GD Stage":"Phase I","Research Area Tags":"HIV, EMG, NTD","Bridging Tags":"VAC","Public Source":null,"GlobalData As-of":"2026-07-31","Data Interpretation":"GlobalData snapshot only; validate current asset status","Company ID":"CMP-54ff41ff982"}</t>
  </si>
  <si>
    <t>PR-ALL-CMP-3ee9ec8444d</t>
  </si>
  <si>
    <t>CMP-3ee9ec8444d</t>
  </si>
  <si>
    <t>California Institute for Biomedical Research</t>
  </si>
  <si>
    <t>{"Tier":"NON_COMMERCIAL","Company":"California Institute for Biomedical Research","Company Type":"NON_COMMERCIAL","GD Active Assets":2,"GD All Assets":3,"GD Phase II+":1,"Highest GD Stage":"Phase II","Research Area Tags":"EMG, NTD","Bridging Tags":null,"Public Source":null,"GlobalData As-of":"2026-07-31","Data Interpretation":"GlobalData snapshot only; validate current asset status","Company ID":"CMP-3ee9ec8444d"}</t>
  </si>
  <si>
    <t>PR-ALL-CMP-5590473bba4</t>
  </si>
  <si>
    <t>CMP-5590473bba4</t>
  </si>
  <si>
    <t>General Hospital of the People's Liberation Army</t>
  </si>
  <si>
    <t>{"Tier":"NON_COMMERCIAL","Company":"General Hospital of the People's Liberation Army","Company Type":"NON_COMMERCIAL","GD Active Assets":2,"GD All Assets":2,"GD Phase II+":1,"Highest GD Stage":"Phase II","Research Area Tags":"EMG, MUC","Bridging Tags":null,"Public Source":null,"GlobalData As-of":"2026-07-31","Data Interpretation":"GlobalData snapshot only; validate current asset status","Company ID":"CMP-5590473bba4"}</t>
  </si>
  <si>
    <t>PR-ALL-CMP-d9adb5f23e1</t>
  </si>
  <si>
    <t>CMP-d9adb5f23e1</t>
  </si>
  <si>
    <t>Oswaldo Cruz Foundation</t>
  </si>
  <si>
    <t>{"Tier":"NON_COMMERCIAL","Company":"Oswaldo Cruz Foundation","Company Type":"NON_COMMERCIAL","GD Active Assets":2,"GD All Assets":2,"GD Phase II+":1,"Highest GD Stage":"Phase II","Research Area Tags":"EMG, NTD","Bridging Tags":"VAC","Public Source":null,"GlobalData As-of":"2026-07-31","Data Interpretation":"GlobalData snapshot only; validate current asset status","Company ID":"CMP-d9adb5f23e1"}</t>
  </si>
  <si>
    <t>PR-ALL-CMP-ffcec639ecf</t>
  </si>
  <si>
    <t>CMP-ffcec639ecf</t>
  </si>
  <si>
    <t>Johns Hopkins University</t>
  </si>
  <si>
    <t>{"Tier":"NON_COMMERCIAL","Company":"Johns Hopkins University","Company Type":"NON_COMMERCIAL","GD Active Assets":1,"GD All Assets":1,"GD Phase II+":1,"Highest GD Stage":"Phase II","Research Area Tags":"HAI, ABX, MUC","Bridging Tags":"VAC","Public Source":null,"GlobalData As-of":"2026-07-31","Data Interpretation":"GlobalData snapshot only; validate current asset status","Company ID":"CMP-ffcec639ecf"}</t>
  </si>
  <si>
    <t>PR-ALL-CMP-6d411b2122b</t>
  </si>
  <si>
    <t>CMP-6d411b2122b</t>
  </si>
  <si>
    <t>The State Research Center of Virology and Biotechnology VECTOR</t>
  </si>
  <si>
    <t>{"Tier":"NON_COMMERCIAL","Company":"The State Research Center of Virology and Biotechnology VECTOR","Company Type":"NON_COMMERCIAL","GD Active Assets":5,"GD All Assets":5,"GD Phase II+":0,"Highest GD Stage":"Phase I","Research Area Tags":"EMG","Bridging Tags":"VAC","Public Source":null,"GlobalData As-of":"2026-07-31","Data Interpretation":"GlobalData snapshot only; validate current asset status","Company ID":"CMP-6d411b2122b"}</t>
  </si>
  <si>
    <t>PR-ALL-CMP-a55f20c4f91</t>
  </si>
  <si>
    <t>CMP-a55f20c4f91</t>
  </si>
  <si>
    <t>McMaster University</t>
  </si>
  <si>
    <t>{"Tier":"NON_COMMERCIAL","Company":"McMaster University","Company Type":"NON_COMMERCIAL","GD Active Assets":3,"GD All Assets":3,"GD Phase II+":0,"Highest GD Stage":"Phase I","Research Area Tags":"ABX, EMG","Bridging Tags":"VAC","Public Source":null,"GlobalData As-of":"2026-07-31","Data Interpretation":"GlobalData snapshot only; validate current asset status","Company ID":"CMP-a55f20c4f91"}</t>
  </si>
  <si>
    <t>PR-ALL-CMP-f1370e8a9cd</t>
  </si>
  <si>
    <t>CMP-f1370e8a9cd</t>
  </si>
  <si>
    <t>Venus Medicine Research Centre</t>
  </si>
  <si>
    <t>{"Tier":"NON_COMMERCIAL","Company":"Venus Medicine Research Centre","Company Type":"NON_COMMERCIAL","GD Active Assets":3,"GD All Assets":3,"GD Phase II+":0,"Highest GD Stage":"Phase I","Research Area Tags":"HAI, ABX","Bridging Tags":null,"Public Source":null,"GlobalData As-of":"2026-07-31","Data Interpretation":"GlobalData snapshot only; validate current asset status","Company ID":"CMP-f1370e8a9cd"}</t>
  </si>
  <si>
    <t>PR-ALL-CMP-2d7afac5ec1</t>
  </si>
  <si>
    <t>CMP-2d7afac5ec1</t>
  </si>
  <si>
    <t>U.S. Army Medical Research Institute of Infectious Diseases</t>
  </si>
  <si>
    <t>{"Tier":"NON_COMMERCIAL","Company":"U.S. Army Medical Research Institute of Infectious Diseases","Company Type":"NON_COMMERCIAL","GD Active Assets":3,"GD All Assets":3,"GD Phase II+":3,"Highest GD Stage":"Phase II","Research Area Tags":null,"Bridging Tags":"VAC","Public Source":null,"GlobalData As-of":"2026-07-31","Data Interpretation":"GlobalData snapshot only; validate current asset status","Company ID":"CMP-2d7afac5ec1"}</t>
  </si>
  <si>
    <t>PR-ALL-CMP-eb5d42264ce</t>
  </si>
  <si>
    <t>CMP-eb5d42264ce</t>
  </si>
  <si>
    <t>Leiden University Medical Center</t>
  </si>
  <si>
    <t>{"Tier":"NON_COMMERCIAL","Company":"Leiden University Medical Center","Company Type":"NON_COMMERCIAL","GD Active Assets":2,"GD All Assets":2,"GD Phase II+":2,"Highest GD Stage":"Phase II","Research Area Tags":"ICH","Bridging Tags":"VAC","Public Source":null,"GlobalData As-of":"2026-07-31","Data Interpretation":"GlobalData snapshot only; validate current asset status","Company ID":"CMP-eb5d42264ce"}</t>
  </si>
  <si>
    <t>PR-ALL-CMP-c38f83fb6f4</t>
  </si>
  <si>
    <t>CMP-c38f83fb6f4</t>
  </si>
  <si>
    <t>Osaka City University</t>
  </si>
  <si>
    <t>{"Tier":"NON_COMMERCIAL","Company":"Osaka City University","Company Type":"NON_COMMERCIAL","GD Active Assets":2,"GD All Assets":2,"GD Phase II+":2,"Highest GD Stage":"Phase II","Research Area Tags":"MUC","Bridging Tags":"VAC","Public Source":null,"GlobalData As-of":"2026-07-31","Data Interpretation":"GlobalData snapshot only; validate current asset status","Company ID":"CMP-c38f83fb6f4"}</t>
  </si>
  <si>
    <t>PR-ALL-CMP-8b38d5cc483</t>
  </si>
  <si>
    <t>CMP-8b38d5cc483</t>
  </si>
  <si>
    <t>Scientific Research Institute for Biological Safety Problems</t>
  </si>
  <si>
    <t>{"Tier":"NON_COMMERCIAL","Company":"Scientific Research Institute for Biological Safety Problems","Company Type":"NON_COMMERCIAL","GD Active Assets":2,"GD All Assets":2,"GD Phase II+":2,"Highest GD Stage":"Phase III","Research Area Tags":"EMG","Bridging Tags":"VAC","Public Source":null,"GlobalData As-of":"2026-07-31","Data Interpretation":"GlobalData snapshot only; validate current asset status","Company ID":"CMP-8b38d5cc483"}</t>
  </si>
  <si>
    <t>PR-ALL-CMP-b0cc2ca0933</t>
  </si>
  <si>
    <t>CMP-b0cc2ca0933</t>
  </si>
  <si>
    <t>University of Costa Rica</t>
  </si>
  <si>
    <t>{"Tier":"NON_COMMERCIAL","Company":"University of Costa Rica","Company Type":"NON_COMMERCIAL","GD Active Assets":2,"GD All Assets":2,"GD Phase II+":2,"Highest GD Stage":"Phase III","Research Area Tags":"EMG","Bridging Tags":"MAB","Public Source":null,"GlobalData As-of":"2026-07-31","Data Interpretation":"GlobalData snapshot only; validate current asset status","Company ID":"CMP-b0cc2ca0933"}</t>
  </si>
  <si>
    <t>PR-ALL-CMP-7ffa341e937</t>
  </si>
  <si>
    <t>CMP-7ffa341e937</t>
  </si>
  <si>
    <t>Zhongnan Hospital of Wuhan University</t>
  </si>
  <si>
    <t>{"Tier":"NON_COMMERCIAL","Company":"Zhongnan Hospital of Wuhan University","Company Type":"NON_COMMERCIAL","GD Active Assets":2,"GD All Assets":2,"GD Phase II+":2,"Highest GD Stage":"Phase II","Research Area Tags":"EMG","Bridging Tags":"VAC","Public Source":null,"GlobalData As-of":"2026-07-31","Data Interpretation":"GlobalData snapshot only; validate current asset status","Company ID":"CMP-7ffa341e937"}</t>
  </si>
  <si>
    <t>PR-ALL-CMP-9559bd7312c</t>
  </si>
  <si>
    <t>CMP-9559bd7312c</t>
  </si>
  <si>
    <t>National Research Centre</t>
  </si>
  <si>
    <t>{"Tier":"NON_COMMERCIAL","Company":"National Research Centre","Company Type":"NON_COMMERCIAL","GD Active Assets":4,"GD All Assets":4,"GD Phase II+":0,"Highest GD Stage":"Phase I","Research Area Tags":"EMG","Bridging Tags":"VAC","Public Source":null,"GlobalData As-of":"2026-07-31","Data Interpretation":"GlobalData snapshot only; validate current asset status","Company ID":"CMP-9559bd7312c"}</t>
  </si>
  <si>
    <t>PR-ALL-CMP-02fc32a5598</t>
  </si>
  <si>
    <t>CMP-02fc32a5598</t>
  </si>
  <si>
    <t>Emory University</t>
  </si>
  <si>
    <t>{"Tier":"NON_COMMERCIAL","Company":"Emory University","Company Type":"NON_COMMERCIAL","GD Active Assets":2,"GD All Assets":2,"GD Phase II+":0,"Highest GD Stage":"Preclinical","Research Area Tags":"HIV, EMG","Bridging Tags":"MAB","Public Source":null,"GlobalData As-of":"2026-07-31","Data Interpretation":"GlobalData snapshot only; validate current asset status","Company ID":"CMP-02fc32a5598"}</t>
  </si>
  <si>
    <t>PR-ALL-CMP-7d881c35701</t>
  </si>
  <si>
    <t>CMP-7d881c35701</t>
  </si>
  <si>
    <t>Erciyes University</t>
  </si>
  <si>
    <t>{"Tier":"NON_COMMERCIAL","Company":"Erciyes University","Company Type":"NON_COMMERCIAL","GD Active Assets":2,"GD All Assets":2,"GD Phase II+":0,"Highest GD Stage":"Phase I","Research Area Tags":"EMG, MUC","Bridging Tags":"VAC","Public Source":null,"GlobalData As-of":"2026-07-31","Data Interpretation":"GlobalData snapshot only; validate current asset status","Company ID":"CMP-7d881c35701"}</t>
  </si>
  <si>
    <t>PR-ALL-CMP-84834e71033</t>
  </si>
  <si>
    <t>CMP-84834e71033</t>
  </si>
  <si>
    <t>Oregon Health &amp; Science University</t>
  </si>
  <si>
    <t>{"Tier":"NON_COMMERCIAL","Company":"Oregon Health &amp; Science University","Company Type":"NON_COMMERCIAL","GD Active Assets":2,"GD All Assets":2,"GD Phase II+":0,"Highest GD Stage":"Phase I","Research Area Tags":"EMG, NTD","Bridging Tags":null,"Public Source":null,"GlobalData As-of":"2026-07-31","Data Interpretation":"GlobalData snapshot only; validate current asset status","Company ID":"CMP-84834e71033"}</t>
  </si>
  <si>
    <t>PR-ALL-CMP-6bf4cbcfd77</t>
  </si>
  <si>
    <t>CMP-6bf4cbcfd77</t>
  </si>
  <si>
    <t>Saint Petersburg State University</t>
  </si>
  <si>
    <t>{"Tier":"NON_COMMERCIAL","Company":"Saint Petersburg State University","Company Type":"NON_COMMERCIAL","GD Active Assets":2,"GD All Assets":2,"GD Phase II+":0,"Highest GD Stage":"IND/CTA Filed","Research Area Tags":"EMG, MUC","Bridging Tags":"VAC","Public Source":null,"GlobalData As-of":"2026-07-31","Data Interpretation":"GlobalData snapshot only; validate current asset status","Company ID":"CMP-6bf4cbcfd77"}</t>
  </si>
  <si>
    <t>PR-ALL-CMP-53d9c840eda</t>
  </si>
  <si>
    <t>CMP-53d9c840eda</t>
  </si>
  <si>
    <t>University of Alberta</t>
  </si>
  <si>
    <t>{"Tier":"NON_COMMERCIAL","Company":"University of Alberta","Company Type":"NON_COMMERCIAL","GD Active Assets":2,"GD All Assets":2,"GD Phase II+":0,"Highest GD Stage":"Preclinical","Research Area Tags":"HEP, EMG","Bridging Tags":"VAC","Public Source":null,"GlobalData As-of":"2026-07-31","Data Interpretation":"GlobalData snapshot only; validate current asset status","Company ID":"CMP-53d9c840eda"}</t>
  </si>
  <si>
    <t>PR-ALL-CMP-44c1460daca</t>
  </si>
  <si>
    <t>CMP-44c1460daca</t>
  </si>
  <si>
    <t>University of California Los Angeles</t>
  </si>
  <si>
    <t>{"Tier":"NON_COMMERCIAL","Company":"University of California Los Angeles","Company Type":"NON_COMMERCIAL","GD Active Assets":2,"GD All Assets":2,"GD Phase II+":0,"Highest GD Stage":"Preclinical","Research Area Tags":"EMG, NTD","Bridging Tags":"VAC","Public Source":null,"GlobalData As-of":"2026-07-31","Data Interpretation":"GlobalData snapshot only; validate current asset status","Company ID":"CMP-44c1460daca"}</t>
  </si>
  <si>
    <t>PR-ALL-CMP-0be73338af6</t>
  </si>
  <si>
    <t>CMP-0be73338af6</t>
  </si>
  <si>
    <t>University of Florida</t>
  </si>
  <si>
    <t>{"Tier":"NON_COMMERCIAL","Company":"University of Florida","Company Type":"NON_COMMERCIAL","GD Active Assets":2,"GD All Assets":2,"GD Phase II+":0,"Highest GD Stage":"Phase I","Research Area Tags":"EMG, NTD","Bridging Tags":"VAC","Public Source":null,"GlobalData As-of":"2026-07-31","Data Interpretation":"GlobalData snapshot only; validate current asset status","Company ID":"CMP-0be73338af6"}</t>
  </si>
  <si>
    <t>PR-ALL-CMP-76b9b8a2e83</t>
  </si>
  <si>
    <t>CMP-76b9b8a2e83</t>
  </si>
  <si>
    <t>Washington University in St Louis</t>
  </si>
  <si>
    <t>{"Tier":"NON_COMMERCIAL","Company":"Washington University in St Louis","Company Type":"NON_COMMERCIAL","GD Active Assets":2,"GD All Assets":2,"GD Phase II+":0,"Highest GD Stage":"Preclinical","Research Area Tags":"EMG, NTD","Bridging Tags":"VAC","Public Source":null,"GlobalData As-of":"2026-07-31","Data Interpretation":"GlobalData snapshot only; validate current asset status","Company ID":"CMP-76b9b8a2e83"}</t>
  </si>
  <si>
    <t>PR-ALL-CMP-a46b4996133</t>
  </si>
  <si>
    <t>CMP-a46b4996133</t>
  </si>
  <si>
    <t>Yale University</t>
  </si>
  <si>
    <t>{"Tier":"NON_COMMERCIAL","Company":"Yale University","Company Type":"NON_COMMERCIAL","GD Active Assets":2,"GD All Assets":2,"GD Phase II+":0,"Highest GD Stage":"Preclinical","Research Area Tags":"HIV, ICH","Bridging Tags":null,"Public Source":null,"GlobalData As-of":"2026-07-31","Data Interpretation":"GlobalData snapshot only; validate current asset status","Company ID":"CMP-a46b4996133"}</t>
  </si>
  <si>
    <t>PR-ALL-CMP-194a07748ab</t>
  </si>
  <si>
    <t>CMP-194a07748ab</t>
  </si>
  <si>
    <t>Institut Pasteur de Lille</t>
  </si>
  <si>
    <t>{"Tier":"NON_COMMERCIAL","Company":"Institut Pasteur de Lille","Company Type":"NON_COMMERCIAL","GD Active Assets":2,"GD All Assets":2,"GD Phase II+":1,"Highest GD Stage":"Phase III","Research Area Tags":"EMG","Bridging Tags":"VAC","Public Source":null,"GlobalData As-of":"2026-07-31","Data Interpretation":"GlobalData snapshot only; validate current asset status","Company ID":"CMP-194a07748ab"}</t>
  </si>
  <si>
    <t>PR-ALL-CMP-49f146cb221</t>
  </si>
  <si>
    <t>CMP-49f146cb221</t>
  </si>
  <si>
    <t>University of Saskatchewan</t>
  </si>
  <si>
    <t>{"Tier":"NON_COMMERCIAL","Company":"University of Saskatchewan","Company Type":"NON_COMMERCIAL","GD Active Assets":2,"GD All Assets":2,"GD Phase II+":1,"Highest GD Stage":"Phase II","Research Area Tags":"EMG","Bridging Tags":"VAC","Public Source":null,"GlobalData As-of":"2026-07-31","Data Interpretation":"GlobalData snapshot only; validate current asset status","Company ID":"CMP-49f146cb221"}</t>
  </si>
  <si>
    <t>PR-ALL-CMP-fe6ed23f967</t>
  </si>
  <si>
    <t>CMP-fe6ed23f967</t>
  </si>
  <si>
    <t>Myers Research Institute</t>
  </si>
  <si>
    <t>{"Tier":"NON_COMMERCIAL","Company":"Myers Research Institute","Company Type":"NON_COMMERCIAL","GD Active Assets":1,"GD All Assets":1,"GD Phase II+":0,"Highest GD Stage":"Preclinical","Research Area Tags":"HAI, ABX, MUC","Bridging Tags":null,"Public Source":null,"GlobalData As-of":"2026-07-31","Data Interpretation":"GlobalData snapshot only; validate current asset status","Company ID":"CMP-fe6ed23f967"}</t>
  </si>
  <si>
    <t>PR-ALL-CMP-cdc6eb361ac</t>
  </si>
  <si>
    <t>CMP-cdc6eb361ac</t>
  </si>
  <si>
    <t>Nagoya University</t>
  </si>
  <si>
    <t>{"Tier":"NON_COMMERCIAL","Company":"Nagoya University","Company Type":"NON_COMMERCIAL","GD Active Assets":1,"GD All Assets":1,"GD Phase II+":0,"Highest GD Stage":"Preclinical","Research Area Tags":"HAI, ABX, MUC","Bridging Tags":null,"Public Source":null,"GlobalData As-of":"2026-07-31","Data Interpretation":"GlobalData snapshot only; validate current asset status","Company ID":"CMP-cdc6eb361ac"}</t>
  </si>
  <si>
    <t>PR-ALL-CMP-f865fb98933</t>
  </si>
  <si>
    <t>CMP-f865fb98933</t>
  </si>
  <si>
    <t>Norwegian University of Science and Technology</t>
  </si>
  <si>
    <t>{"Tier":"NON_COMMERCIAL","Company":"Norwegian University of Science and Technology","Company Type":"NON_COMMERCIAL","GD Active Assets":1,"GD All Assets":1,"GD Phase II+":0,"Highest GD Stage":"Preclinical","Research Area Tags":"HAI, ABX, MUC","Bridging Tags":null,"Public Source":null,"GlobalData As-of":"2026-07-31","Data Interpretation":"GlobalData snapshot only; validate current asset status","Company ID":"CMP-f865fb98933"}</t>
  </si>
  <si>
    <t>PR-ALL-CMP-9b3b5e972da</t>
  </si>
  <si>
    <t>CMP-9b3b5e972da</t>
  </si>
  <si>
    <t>Seoul National University</t>
  </si>
  <si>
    <t>{"Tier":"NON_COMMERCIAL","Company":"Seoul National University","Company Type":"NON_COMMERCIAL","GD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ID":"CMP-9b3b5e972da"}</t>
  </si>
  <si>
    <t>PR-ALL-CMP-efd1132ffd0</t>
  </si>
  <si>
    <t>CMP-efd1132ffd0</t>
  </si>
  <si>
    <t>The Feinstein Institute for Medical Research</t>
  </si>
  <si>
    <t>{"Tier":"NON_COMMERCIAL","Company":"The Feinstein Institute for Medical Research","Company Type":"NON_COMMERCIAL","GD Active Assets":1,"GD All Assets":1,"GD Phase II+":0,"Highest GD Stage":"Preclinical","Research Area Tags":"HAI, ABX, ICH","Bridging Tags":null,"Public Source":null,"GlobalData As-of":"2026-07-31","Data Interpretation":"GlobalData snapshot only; validate current asset status","Company ID":"CMP-efd1132ffd0"}</t>
  </si>
  <si>
    <t>PR-ALL-CMP-68eae874208</t>
  </si>
  <si>
    <t>CMP-68eae874208</t>
  </si>
  <si>
    <t>University of Glasgow</t>
  </si>
  <si>
    <t>{"Tier":"NON_COMMERCIAL","Company":"University of Glasgow","Company Type":"NON_COMMERCIAL","GD Active Assets":1,"GD All Assets":1,"GD Phase II+":0,"Highest GD Stage":"Preclinical","Research Area Tags":"HAI, ABX, MUC","Bridging Tags":null,"Public Source":null,"GlobalData As-of":"2026-07-31","Data Interpretation":"GlobalData snapshot only; validate current asset status","Company ID":"CMP-68eae874208"}</t>
  </si>
  <si>
    <t>PR-ALL-CMP-191c45fecc6</t>
  </si>
  <si>
    <t>CMP-191c45fecc6</t>
  </si>
  <si>
    <t>Foundation For Neglected Disease Research</t>
  </si>
  <si>
    <t>{"Tier":"NON_COMMERCIAL","Company":"Foundation For Neglected Disease Research","Company Type":"NON_COMMERCIAL","GD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ID":"CMP-191c45fecc6"}</t>
  </si>
  <si>
    <t>PR-ALL-CMP-2ca657b5b38</t>
  </si>
  <si>
    <t>CMP-2ca657b5b38</t>
  </si>
  <si>
    <t>George Papanicolaou Hospital</t>
  </si>
  <si>
    <t>{"Tier":"NON_COMMERCIAL","Company":"George Papanicolaou Hospital","Company Type":"NON_COMMERCIAL","GD Active Assets":1,"GD All Assets":1,"GD Phase II+":1,"Highest GD Stage":"Phase II","Research Area Tags":"HAI, ICH","Bridging Tags":null,"Public Source":null,"GlobalData As-of":"2026-07-31","Data Interpretation":"GlobalData snapshot only; validate current asset status","Company ID":"CMP-2ca657b5b38"}</t>
  </si>
  <si>
    <t>PR-ALL-CMP-033b5c04a20</t>
  </si>
  <si>
    <t>CMP-033b5c04a20</t>
  </si>
  <si>
    <t>Ministry of Science, Technology, Innovation and Communication</t>
  </si>
  <si>
    <t>{"Tier":"NON_COMMERCIAL","Company":"Ministry of Science, Technology, Innovation and Communication","Company Type":"NON_COMMERCIAL","GD Active Assets":1,"GD All Assets":1,"GD Phase II+":1,"Highest GD Stage":"Phase III","Research Area Tags":"EMG, MUC","Bridging Tags":null,"Public Source":null,"GlobalData As-of":"2026-07-31","Data Interpretation":"GlobalData snapshot only; validate current asset status","Company ID":"CMP-033b5c04a20"}</t>
  </si>
  <si>
    <t>PR-ALL-CMP-4bf58f91524</t>
  </si>
  <si>
    <t>CMP-4bf58f91524</t>
  </si>
  <si>
    <t>National Center for Global Health and Medicine</t>
  </si>
  <si>
    <t>{"Tier":"NON_COMMERCIAL","Company":"National Center for Global Health and Medicine","Company Type":"NON_COMMERCIAL","GD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ID":"CMP-4bf58f91524"}</t>
  </si>
  <si>
    <t>PR-ALL-CMP-c76c891b699</t>
  </si>
  <si>
    <t>CMP-c76c891b699</t>
  </si>
  <si>
    <t>Shanghai Pulmonary Hospital</t>
  </si>
  <si>
    <t>{"Tier":"NON_COMMERCIAL","Company":"Shanghai Pulmonary Hospital","Company Type":"NON_COMMERCIAL","GD Active Assets":1,"GD All Assets":1,"GD Phase II+":1,"Highest GD Stage":"Phase II","Research Area Tags":"ABX, TB","Bridging Tags":null,"Public Source":null,"GlobalData As-of":"2026-07-31","Data Interpretation":"GlobalData snapshot only; validate current asset status","Company ID":"CMP-c76c891b699"}</t>
  </si>
  <si>
    <t>PR-ALL-CMP-cef253b1a40</t>
  </si>
  <si>
    <t>CMP-cef253b1a40</t>
  </si>
  <si>
    <t>University College London</t>
  </si>
  <si>
    <t>{"Tier":"NON_COMMERCIAL","Company":"University College London","Company Type":"NON_COMMERCIAL","GD Active Assets":1,"GD All Assets":1,"GD Phase II+":1,"Highest GD Stage":"Phase II","Research Area Tags":"EMG, MUC","Bridging Tags":null,"Public Source":null,"GlobalData As-of":"2026-07-31","Data Interpretation":"GlobalData snapshot only; validate current asset status","Company ID":"CMP-cef253b1a40"}</t>
  </si>
  <si>
    <t>PR-ALL-CMP-e00546af55b</t>
  </si>
  <si>
    <t>CMP-e00546af55b</t>
  </si>
  <si>
    <t>University of Zaragoza</t>
  </si>
  <si>
    <t>{"Tier":"NON_COMMERCIAL","Company":"University of Zaragoza","Company Type":"NON_COMMERCIAL","GD Active Assets":1,"GD All Assets":1,"GD Phase II+":1,"Highest GD Stage":"Phase III","Research Area Tags":"ABX, TB","Bridging Tags":null,"Public Source":null,"GlobalData As-of":"2026-07-31","Data Interpretation":"GlobalData snapshot only; validate current asset status","Company ID":"CMP-e00546af55b"}</t>
  </si>
  <si>
    <t>PR-ALL-CMP-4664695b9ae</t>
  </si>
  <si>
    <t>CMP-4664695b9ae</t>
  </si>
  <si>
    <t>Xiangyang No.1 People's Hospital</t>
  </si>
  <si>
    <t>{"Tier":"NON_COMMERCIAL","Company":"Xiangyang No.1 People's Hospital","Company Type":"NON_COMMERCIAL","GD Active Assets":1,"GD All Assets":1,"GD Phase II+":1,"Highest GD Stage":"Phase II","Research Area Tags":"HAI, ABX","Bridging Tags":null,"Public Source":null,"GlobalData As-of":"2026-07-31","Data Interpretation":"GlobalData snapshot only; validate current asset status","Company ID":"CMP-4664695b9ae"}</t>
  </si>
  <si>
    <t>PR-ALL-CMP-83101c1f934</t>
  </si>
  <si>
    <t>CMP-83101c1f934</t>
  </si>
  <si>
    <t>Arizona State University</t>
  </si>
  <si>
    <t>{"Tier":"NON_COMMERCIAL","Company":"Arizona State University","Company Type":"NON_COMMERCIAL","GD Active Assets":3,"GD All Assets":3,"GD Phase II+":0,"Highest GD Stage":"Preclinical","Research Area Tags":"EMG","Bridging Tags":"VAC","Public Source":null,"GlobalData As-of":"2026-07-31","Data Interpretation":"GlobalData snapshot only; validate current asset status","Company ID":"CMP-83101c1f934"}</t>
  </si>
  <si>
    <t>PR-ALL-CMP-3bbcbb04208</t>
  </si>
  <si>
    <t>CMP-3bbcbb04208</t>
  </si>
  <si>
    <t>Peruvian Cayetano Heredia University</t>
  </si>
  <si>
    <t>{"Tier":"NON_COMMERCIAL","Company":"Peruvian Cayetano Heredia University","Company Type":"NON_COMMERCIAL","GD Active Assets":3,"GD All Assets":3,"GD Phase II+":0,"Highest GD Stage":"Preclinical","Research Area Tags":"EMG","Bridging Tags":"VAC","Public Source":null,"GlobalData As-of":"2026-07-31","Data Interpretation":"GlobalData snapshot only; validate current asset status","Company ID":"CMP-3bbcbb04208"}</t>
  </si>
  <si>
    <t>PR-ALL-CMP-e160b12a93e</t>
  </si>
  <si>
    <t>CMP-e160b12a93e</t>
  </si>
  <si>
    <t>University of Washington</t>
  </si>
  <si>
    <t>{"Tier":"NON_COMMERCIAL","Company":"University of Washington","Company Type":"NON_COMMERCIAL","GD Active Assets":3,"GD All Assets":3,"GD Phase II+":0,"Highest GD Stage":"Phase I","Research Area Tags":"HIV","Bridging Tags":null,"Public Source":null,"GlobalData As-of":"2026-07-31","Data Interpretation":"GlobalData snapshot only; validate current asset status","Company ID":"CMP-e160b12a93e"}</t>
  </si>
  <si>
    <t>PR-ALL-CMP-f19a1d18273</t>
  </si>
  <si>
    <t>CMP-f19a1d18273</t>
  </si>
  <si>
    <t>University of Antwerp</t>
  </si>
  <si>
    <t>{"Tier":"NON_COMMERCIAL","Company":"University of Antwerp","Company Type":"NON_COMMERCIAL","GD Active Assets":2,"GD All Assets":2,"GD Phase II+":2,"Highest GD Stage":"Phase III","Research Area Tags":null,"Bridging Tags":"VAC","Public Source":null,"GlobalData As-of":"2026-07-31","Data Interpretation":"GlobalData snapshot only; validate current asset status","Company ID":"CMP-f19a1d18273"}</t>
  </si>
  <si>
    <t>PR-ALL-CMP-7652eb9894a</t>
  </si>
  <si>
    <t>CMP-7652eb9894a</t>
  </si>
  <si>
    <t>Ankara University</t>
  </si>
  <si>
    <t>{"Tier":"NON_COMMERCIAL","Company":"Ankara University","Company Type":"NON_COMMERCIAL","GD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ID":"CMP-7652eb9894a"}</t>
  </si>
  <si>
    <t>PR-ALL-CMP-6dbae7d717d</t>
  </si>
  <si>
    <t>CMP-6dbae7d717d</t>
  </si>
  <si>
    <t>Guangzhou Eighth People's Hospital</t>
  </si>
  <si>
    <t>{"Tier":"NON_COMMERCIAL","Company":"Guangzhou Eighth People's Hospital","Company Type":"NON_COMMERCIAL","GD Active Assets":2,"GD All Assets":2,"GD Phase II+":0,"Highest GD Stage":"Phase I","Research Area Tags":"HIV","Bridging Tags":"CGT","Public Source":null,"GlobalData As-of":"2026-07-31","Data Interpretation":"GlobalData snapshot only; validate current asset status","Company ID":"CMP-6dbae7d717d"}</t>
  </si>
  <si>
    <t>PR-ALL-CMP-c352bd79cbc</t>
  </si>
  <si>
    <t>CMP-c352bd79cbc</t>
  </si>
  <si>
    <t>Kazakh National Agrarian University</t>
  </si>
  <si>
    <t>{"Tier":"NON_COMMERCIAL","Company":"Kazakh National Agrarian University","Company Type":"NON_COMMERCIAL","GD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ID":"CMP-c352bd79cbc"}</t>
  </si>
  <si>
    <t>PR-ALL-CMP-edcc2cf1423</t>
  </si>
  <si>
    <t>CMP-edcc2cf1423</t>
  </si>
  <si>
    <t>McGill University Health Center</t>
  </si>
  <si>
    <t>{"Tier":"NON_COMMERCIAL","Company":"McGill University Health Center","Company Type":"NON_COMMERCIAL","GD Active Assets":2,"GD All Assets":2,"GD Phase II+":0,"Highest GD Stage":"Preclinical","Research Area Tags":"NTD","Bridging Tags":null,"Public Source":null,"GlobalData As-of":"2026-07-31","Data Interpretation":"GlobalData snapshot only; validate current asset status","Company ID":"CMP-edcc2cf1423"}</t>
  </si>
  <si>
    <t>PR-ALL-CMP-7cc417a531b</t>
  </si>
  <si>
    <t>CMP-7cc417a531b</t>
  </si>
  <si>
    <t>Osaka University</t>
  </si>
  <si>
    <t>{"Tier":"NON_COMMERCIAL","Company":"Osaka University","Company Type":"NON_COMMERCIAL","GD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ID":"CMP-7cc417a531b"}</t>
  </si>
  <si>
    <t>PR-ALL-CMP-f9917b2c49c</t>
  </si>
  <si>
    <t>CMP-f9917b2c49c</t>
  </si>
  <si>
    <t>Texas Tech University Health Sciences Center</t>
  </si>
  <si>
    <t>{"Tier":"NON_COMMERCIAL","Company":"Texas Tech University Health Sciences Center","Company Type":"NON_COMMERCIAL","GD Active Assets":2,"GD All Assets":2,"GD Phase II+":0,"Highest GD Stage":"Preclinical","Research Area Tags":"ABX","Bridging Tags":"VAC","Public Source":null,"GlobalData As-of":"2026-07-31","Data Interpretation":"GlobalData snapshot only; validate current asset status","Company ID":"CMP-f9917b2c49c"}</t>
  </si>
  <si>
    <t>PR-ALL-CMP-0721c0743bc</t>
  </si>
  <si>
    <t>CMP-0721c0743bc</t>
  </si>
  <si>
    <t>The Peter Doherty Institute for Infection and Immunity</t>
  </si>
  <si>
    <t>{"Tier":"NON_COMMERCIAL","Company":"The Peter Doherty Institute for Infection and Immunity","Company Type":"NON_COMMERCIAL","GD Active Assets":2,"GD All Assets":2,"GD Phase II+":0,"Highest GD Stage":"Phase I","Research Area Tags":"EMG","Bridging Tags":"VAC","Public Source":null,"GlobalData As-of":"2026-07-31","Data Interpretation":"GlobalData snapshot only; validate current asset status","Company ID":"CMP-0721c0743bc"}</t>
  </si>
  <si>
    <t>PR-ALL-CMP-2591d2e176b</t>
  </si>
  <si>
    <t>CMP-2591d2e176b</t>
  </si>
  <si>
    <t>University of Tampere</t>
  </si>
  <si>
    <t>{"Tier":"NON_COMMERCIAL","Company":"University of Tampere","Company Type":"NON_COMMERCIAL","GD Active Assets":2,"GD All Assets":2,"GD Phase II+":0,"Highest GD Stage":"Preclinical","Research Area Tags":"EMG","Bridging Tags":"VAC","Public Source":null,"GlobalData As-of":"2026-07-31","Data Interpretation":"GlobalData snapshot only; validate current asset status","Company ID":"CMP-2591d2e176b"}</t>
  </si>
  <si>
    <t>PR-ALL-CMP-0cf19503ac9</t>
  </si>
  <si>
    <t>CMP-0cf19503ac9</t>
  </si>
  <si>
    <t>University of Texas at El Paso</t>
  </si>
  <si>
    <t>{"Tier":"NON_COMMERCIAL","Company":"University of Texas at El Paso","Company Type":"NON_COMMERCIAL","GD Active Assets":2,"GD All Assets":2,"GD Phase II+":0,"Highest GD Stage":"Preclinical","Research Area Tags":"NTD","Bridging Tags":"VAC","Public Source":null,"GlobalData As-of":"2026-07-31","Data Interpretation":"GlobalData snapshot only; validate current asset status","Company ID":"CMP-0cf19503ac9"}</t>
  </si>
  <si>
    <t>PR-ALL-CMP-f1a4568cb16</t>
  </si>
  <si>
    <t>CMP-f1a4568cb16</t>
  </si>
  <si>
    <t>University of Tokyo</t>
  </si>
  <si>
    <t>{"Tier":"NON_COMMERCIAL","Company":"University of Tokyo","Company Type":"NON_COMMERCIAL","GD Active Assets":2,"GD All Assets":2,"GD Phase II+":0,"Highest GD Stage":"Phase I","Research Area Tags":"EMG","Bridging Tags":"VAC","Public Source":null,"GlobalData As-of":"2026-07-31","Data Interpretation":"GlobalData snapshot only; validate current asset status","Company ID":"CMP-f1a4568cb16"}</t>
  </si>
  <si>
    <t>PR-ALL-CMP-4a6ff04fed5</t>
  </si>
  <si>
    <t>CMP-4a6ff04fed5</t>
  </si>
  <si>
    <t>Yonsei University</t>
  </si>
  <si>
    <t>{"Tier":"NON_COMMERCIAL","Company":"Yonsei University","Company Type":"NON_COMMERCIAL","GD Active Assets":2,"GD All Assets":2,"GD Phase II+":0,"Highest GD Stage":"Preclinical","Research Area Tags":"EMG","Bridging Tags":null,"Public Source":null,"GlobalData As-of":"2026-07-31","Data Interpretation":"GlobalData snapshot only; validate current asset status","Company ID":"CMP-4a6ff04fed5"}</t>
  </si>
  <si>
    <t>PR-ALL-CMP-ae371e846ab</t>
  </si>
  <si>
    <t>CMP-ae371e846ab</t>
  </si>
  <si>
    <t>Brigham and Women's Hospital</t>
  </si>
  <si>
    <t>{"Tier":"NON_COMMERCIAL","Company":"Brigham and Women's Hospital","Company Type":"NON_COMMERCIAL","GD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ID":"CMP-ae371e846ab"}</t>
  </si>
  <si>
    <t>PR-ALL-CMP-f13ca1a4f5c</t>
  </si>
  <si>
    <t>CMP-f13ca1a4f5c</t>
  </si>
  <si>
    <t>Fraunhofer Institute for Toxicology and Experimental Medicine</t>
  </si>
  <si>
    <t>{"Tier":"NON_COMMERCIAL","Company":"Fraunhofer Institute for Toxicology and Experimental Medicine","Company Type":"NON_COMMERCIAL","GD Active Assets":1,"GD All Assets":1,"GD Phase II+":0,"Highest GD Stage":"Phase I","Research Area Tags":"HAI, ABX","Bridging Tags":null,"Public Source":null,"GlobalData As-of":"2026-07-31","Data Interpretation":"GlobalData snapshot only; validate current asset status","Company ID":"CMP-f13ca1a4f5c"}</t>
  </si>
  <si>
    <t>PR-ALL-CMP-ffb36b8add5</t>
  </si>
  <si>
    <t>CMP-ffb36b8add5</t>
  </si>
  <si>
    <t>Fundacio Institut de Recerca de l'Hospital de la Santa Creu i Sant Pau</t>
  </si>
  <si>
    <t>{"Tier":"NON_COMMERCIAL","Company":"Fundacio Institut de Recerca de l'Hospital de la Santa Creu i Sant Pau","Company Type":"NON_COMMERCIAL","GD Active Assets":1,"GD All Assets":1,"GD Phase II+":0,"Highest GD Stage":"Preclinical","Research Area Tags":"ABX, ICH","Bridging Tags":null,"Public Source":null,"GlobalData As-of":"2026-07-31","Data Interpretation":"GlobalData snapshot only; validate current asset status","Company ID":"CMP-ffb36b8add5"}</t>
  </si>
  <si>
    <t>PR-ALL-CMP-fadf05d27e7</t>
  </si>
  <si>
    <t>CMP-fadf05d27e7</t>
  </si>
  <si>
    <t>Institut Pasteur de Guadeloupe</t>
  </si>
  <si>
    <t>{"Tier":"NON_COMMERCIAL","Company":"Institut Pasteur de Guadeloupe","Company Type":"NON_COMMERCIAL","GD Active Assets":1,"GD All Assets":1,"GD Phase II+":0,"Highest GD Stage":"Preclinical","Research Area Tags":"ABX, TB","Bridging Tags":"VAC","Public Source":null,"GlobalData As-of":"2026-07-31","Data Interpretation":"GlobalData snapshot only; validate current asset status","Company ID":"CMP-fadf05d27e7"}</t>
  </si>
  <si>
    <t>PR-ALL-CMP-3a202943766</t>
  </si>
  <si>
    <t>CMP-3a202943766</t>
  </si>
  <si>
    <t>Shenzhen People's Hospital 3</t>
  </si>
  <si>
    <t>{"Tier":"NON_COMMERCIAL","Company":"Shenzhen People's Hospital 3","Company Type":"NON_COMMERCIAL","GD Active Assets":1,"GD All Assets":1,"GD Phase II+":0,"Highest GD Stage":"Phase 0","Research Area Tags":"EMG, MUC","Bridging Tags":null,"Public Source":null,"GlobalData As-of":"2026-07-31","Data Interpretation":"GlobalData snapshot only; validate current asset status","Company ID":"CMP-3a202943766"}</t>
  </si>
  <si>
    <t>PR-ALL-CMP-020f8a809a7</t>
  </si>
  <si>
    <t>CMP-020f8a809a7</t>
  </si>
  <si>
    <t>St Petersburg Research Institute of Vaccines and Serums</t>
  </si>
  <si>
    <t>{"Tier":"NON_COMMERCIAL","Company":"St Petersburg Research Institute of Vaccines and Serums","Company Type":"NON_COMMERCIAL","GD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ID":"CMP-020f8a809a7"}</t>
  </si>
  <si>
    <t>PR-ALL-CMP-af01f5ad187</t>
  </si>
  <si>
    <t>CMP-af01f5ad187</t>
  </si>
  <si>
    <t>The First Affiliated Hospital of Wenzhou Medical College</t>
  </si>
  <si>
    <t>{"Tier":"NON_COMMERCIAL","Company":"The First Affiliated Hospital of Wenzhou Medical College","Company Type":"NON_COMMERCIAL","GD Active Assets":1,"GD All Assets":1,"GD Phase II+":0,"Highest GD Stage":"Phase 0","Research Area Tags":"EMG, MUC","Bridging Tags":null,"Public Source":null,"GlobalData As-of":"2026-07-31","Data Interpretation":"GlobalData snapshot only; validate current asset status","Company ID":"CMP-af01f5ad187"}</t>
  </si>
  <si>
    <t>PR-ALL-CMP-0aaabdcb74c</t>
  </si>
  <si>
    <t>CMP-0aaabdcb74c</t>
  </si>
  <si>
    <t>The Institute of Medical Science The University of Tokyo</t>
  </si>
  <si>
    <t>{"Tier":"NON_COMMERCIAL","Company":"The Institute of Medical Science The University of Tokyo","Company Type":"NON_COMMERCIAL","GD Active Assets":1,"GD All Assets":1,"GD Phase II+":0,"Highest GD Stage":"Phase I","Research Area Tags":"ABX, MUC","Bridging Tags":null,"Public Source":null,"GlobalData As-of":"2026-07-31","Data Interpretation":"GlobalData snapshot only; validate current asset status","Company ID":"CMP-0aaabdcb74c"}</t>
  </si>
  <si>
    <t>PR-ALL-CMP-b41a1f6529c</t>
  </si>
  <si>
    <t>CMP-b41a1f6529c</t>
  </si>
  <si>
    <t>Tufts University</t>
  </si>
  <si>
    <t>{"Tier":"NON_COMMERCIAL","Company":"Tufts University","Company Type":"NON_COMMERCIAL","GD Active Assets":1,"GD All Assets":1,"GD Phase II+":0,"Highest GD Stage":"Preclinical","Research Area Tags":"ABX, MUC","Bridging Tags":"VAC","Public Source":null,"GlobalData As-of":"2026-07-31","Data Interpretation":"GlobalData snapshot only; validate current asset status","Company ID":"CMP-b41a1f6529c"}</t>
  </si>
  <si>
    <t>PR-ALL-CMP-fc0d4507579</t>
  </si>
  <si>
    <t>CMP-fc0d4507579</t>
  </si>
  <si>
    <t>University at Buffalo</t>
  </si>
  <si>
    <t>{"Tier":"NON_COMMERCIAL","Company":"University at Buffalo","Company Type":"NON_COMMERCIAL","GD Active Assets":1,"GD All Assets":1,"GD Phase II+":0,"Highest GD Stage":"Preclinical","Research Area Tags":"EMG, MUC","Bridging Tags":"VAC","Public Source":null,"GlobalData As-of":"2026-07-31","Data Interpretation":"GlobalData snapshot only; validate current asset status","Company ID":"CMP-fc0d4507579"}</t>
  </si>
  <si>
    <t>PR-ALL-CMP-af5ed065576</t>
  </si>
  <si>
    <t>CMP-af5ed065576</t>
  </si>
  <si>
    <t>University of Gothenburg</t>
  </si>
  <si>
    <t>{"Tier":"NON_COMMERCIAL","Company":"University of Gothenburg","Company Type":"NON_COMMERCIAL","GD Active Assets":1,"GD All Assets":1,"GD Phase II+":0,"Highest GD Stage":"Preclinical","Research Area Tags":"ABX, MUC","Bridging Tags":"VAC","Public Source":null,"GlobalData As-of":"2026-07-31","Data Interpretation":"GlobalData snapshot only; validate current asset status","Company ID":"CMP-af5ed065576"}</t>
  </si>
  <si>
    <t>PR-ALL-CMP-9e9a456a480</t>
  </si>
  <si>
    <t>CMP-9e9a456a480</t>
  </si>
  <si>
    <t>University of Nebraska Medical Center</t>
  </si>
  <si>
    <t>{"Tier":"NON_COMMERCIAL","Company":"University of Nebraska Medical Center","Company Type":"NON_COMMERCIAL","GD Active Assets":1,"GD All Assets":1,"GD Phase II+":0,"Highest GD Stage":"Preclinical","Research Area Tags":"HAI, ABX","Bridging Tags":null,"Public Source":null,"GlobalData As-of":"2026-07-31","Data Interpretation":"GlobalData snapshot only; validate current asset status","Company ID":"CMP-9e9a456a480"}</t>
  </si>
  <si>
    <t>PR-ALL-CMP-28d79829abd</t>
  </si>
  <si>
    <t>CMP-28d79829abd</t>
  </si>
  <si>
    <t>University of Oslo</t>
  </si>
  <si>
    <t>{"Tier":"NON_COMMERCIAL","Company":"University of Oslo","Company Type":"NON_COMMERCIAL","GD Active Assets":1,"GD All Assets":1,"GD Phase II+":0,"Highest GD Stage":"Phase I","Research Area Tags":"EMG, MUC","Bridging Tags":"VAC","Public Source":null,"GlobalData As-of":"2026-07-31","Data Interpretation":"GlobalData snapshot only; validate current asset status","Company ID":"CMP-28d79829abd"}</t>
  </si>
  <si>
    <t>PR-ALL-CMP-1bd53193b61</t>
  </si>
  <si>
    <t>CMP-1bd53193b61</t>
  </si>
  <si>
    <t>Beijing 302 Hospital</t>
  </si>
  <si>
    <t>{"Tier":"NON_COMMERCIAL","Company":"Beijing 302 Hospital","Company Type":"NON_COMMERCIAL","GD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ID":"CMP-1bd53193b61"}</t>
  </si>
  <si>
    <t>PR-ALL-CMP-05ab8c2041e</t>
  </si>
  <si>
    <t>CMP-05ab8c2041e</t>
  </si>
  <si>
    <t>Beth Israel Deaconess Medical Center</t>
  </si>
  <si>
    <t>{"Tier":"NON_COMMERCIAL","Company":"Beth Israel Deaconess Medical Center","Company Type":"NON_COMMERCIAL","GD Active Assets":1,"GD All Assets":1,"GD Phase II+":1,"Highest GD Stage":"Phase II","Research Area Tags":"HIV","Bridging Tags":"VAC","Public Source":null,"GlobalData As-of":"2026-07-31","Data Interpretation":"GlobalData snapshot only; validate current asset status","Company ID":"CMP-05ab8c2041e"}</t>
  </si>
  <si>
    <t>PR-ALL-CMP-86542e8ac2a</t>
  </si>
  <si>
    <t>CMP-86542e8ac2a</t>
  </si>
  <si>
    <t>Children's Hospital Los Angeles</t>
  </si>
  <si>
    <t>{"Tier":"NON_COMMERCIAL","Company":"Children's Hospital Los Angeles","Company Type":"NON_COMMERCIAL","GD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ID":"CMP-86542e8ac2a"}</t>
  </si>
  <si>
    <t>PR-ALL-CMP-b1c6830ed22</t>
  </si>
  <si>
    <t>CMP-b1c6830ed22</t>
  </si>
  <si>
    <t>Chinese PLA General Hospital</t>
  </si>
  <si>
    <t>{"Tier":"NON_COMMERCIAL","Company":"Chinese PLA General Hospital","Company Type":"NON_COMMERCIAL","GD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ID":"CMP-b1c6830ed22"}</t>
  </si>
  <si>
    <t>PR-ALL-CMP-4d9c5c5191d</t>
  </si>
  <si>
    <t>CMP-4d9c5c5191d</t>
  </si>
  <si>
    <t>Dow University of Health Sciences</t>
  </si>
  <si>
    <t>{"Tier":"NON_COMMERCIAL","Company":"Dow University of Health Sciences","Company Type":"NON_COMMERCIAL","GD Active Assets":1,"GD All Assets":1,"GD Phase II+":1,"Highest GD Stage":"Phase III","Research Area Tags":"EMG","Bridging Tags":"MAB","Public Source":null,"GlobalData As-of":"2026-07-31","Data Interpretation":"GlobalData snapshot only; validate current asset status","Company ID":"CMP-4d9c5c5191d"}</t>
  </si>
  <si>
    <t>PR-ALL-CMP-d4c217509e5</t>
  </si>
  <si>
    <t>CMP-d4c217509e5</t>
  </si>
  <si>
    <t>Federal University of Minas Gerais</t>
  </si>
  <si>
    <t>{"Tier":"NON_COMMERCIAL","Company":"Federal University of Minas Gerais","Company Type":"NON_COMMERCIAL","GD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ID":"CMP-d4c217509e5"}</t>
  </si>
  <si>
    <t>PR-ALL-CMP-d09ca0d9ab8</t>
  </si>
  <si>
    <t>CMP-d09ca0d9ab8</t>
  </si>
  <si>
    <t>Ghent University Hospital</t>
  </si>
  <si>
    <t>{"Tier":"NON_COMMERCIAL","Company":"Ghent University Hospital","Company Type":"NON_COMMERCIAL","GD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ID":"CMP-d09ca0d9ab8"}</t>
  </si>
  <si>
    <t>PR-ALL-CMP-e62cb1c96c1</t>
  </si>
  <si>
    <t>CMP-e62cb1c96c1</t>
  </si>
  <si>
    <t>Gregorio Maranon University General Hospital</t>
  </si>
  <si>
    <t>{"Tier":"NON_COMMERCIAL","Company":"Gregorio Maranon University General Hospital","Company Type":"NON_COMMERCIAL","GD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ID":"CMP-e62cb1c96c1"}</t>
  </si>
  <si>
    <t>PR-ALL-CMP-f459b5cc6d1</t>
  </si>
  <si>
    <t>CMP-f459b5cc6d1</t>
  </si>
  <si>
    <t>Guangzhou Medical University Hospital One</t>
  </si>
  <si>
    <t>{"Tier":"NON_COMMERCIAL","Company":"Guangzhou Medical University Hospital One","Company Type":"NON_COMMERCIAL","GD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ID":"CMP-f459b5cc6d1"}</t>
  </si>
  <si>
    <t>PR-ALL-CMP-f8cd3abf85a</t>
  </si>
  <si>
    <t>CMP-f8cd3abf85a</t>
  </si>
  <si>
    <t>Hospital Universitrio Professor Edgard Santos</t>
  </si>
  <si>
    <t>{"Tier":"NON_COMMERCIAL","Company":"Hospital Universitrio Professor Edgard Santos","Company Type":"NON_COMMERCIAL","GD Active Assets":1,"GD All Assets":1,"GD Phase II+":1,"Highest GD Stage":"Phase II","Research Area Tags":"NTD","Bridging Tags":null,"Public Source":null,"GlobalData As-of":"2026-07-31","Data Interpretation":"GlobalData snapshot only; validate current asset status","Company ID":"CMP-f8cd3abf85a"}</t>
  </si>
  <si>
    <t>PR-ALL-CMP-7d14cf4eed5</t>
  </si>
  <si>
    <t>CMP-7d14cf4eed5</t>
  </si>
  <si>
    <t>Murdoch Childrens Research Institute</t>
  </si>
  <si>
    <t>{"Tier":"NON_COMMERCIAL","Company":"Murdoch Childrens Research Institute","Company Type":"NON_COMMERCIAL","GD Active Assets":1,"GD All Assets":1,"GD Phase II+":1,"Highest GD Stage":"Phase III","Research Area Tags":"MUC","Bridging Tags":null,"Public Source":null,"GlobalData As-of":"2026-07-31","Data Interpretation":"GlobalData snapshot only; validate current asset status","Company ID":"CMP-7d14cf4eed5"}</t>
  </si>
  <si>
    <t>PR-ALL-CMP-60a2b069011</t>
  </si>
  <si>
    <t>CMP-60a2b069011</t>
  </si>
  <si>
    <t>National University of San Martin</t>
  </si>
  <si>
    <t>{"Tier":"NON_COMMERCIAL","Company":"National University of San Martin","Company Type":"NON_COMMERCIAL","GD Active Assets":1,"GD All Assets":1,"GD Phase II+":1,"Highest GD Stage":"Phase III","Research Area Tags":"EMG","Bridging Tags":"VAC","Public Source":null,"GlobalData As-of":"2026-07-31","Data Interpretation":"GlobalData snapshot only; validate current asset status","Company ID":"CMP-60a2b069011"}</t>
  </si>
  <si>
    <t>PR-ALL-CMP-93face66430</t>
  </si>
  <si>
    <t>CMP-93face66430</t>
  </si>
  <si>
    <t>Peking University</t>
  </si>
  <si>
    <t>{"Tier":"NON_COMMERCIAL","Company":"Peking University","Company Type":"NON_COMMERCIAL","GD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ID":"CMP-93face66430"}</t>
  </si>
  <si>
    <t>PR-ALL-CMP-b51d2680f05</t>
  </si>
  <si>
    <t>CMP-b51d2680f05</t>
  </si>
  <si>
    <t>Peking University People's Hospital</t>
  </si>
  <si>
    <t>{"Tier":"NON_COMMERCIAL","Company":"Peking University People's Hospital","Company Type":"NON_COMMERCIAL","GD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ID":"CMP-b51d2680f05"}</t>
  </si>
  <si>
    <t>PR-ALL-CMP-a962bdeaa95</t>
  </si>
  <si>
    <t>CMP-a962bdeaa95</t>
  </si>
  <si>
    <t>Pontifical Catholic University of Chile</t>
  </si>
  <si>
    <t>{"Tier":"NON_COMMERCIAL","Company":"Pontifical Catholic University of Chile","Company Type":"NON_COMMERCIAL","GD Active Assets":1,"GD All Assets":1,"GD Phase II+":1,"Highest GD Stage":"Phase II","Research Area Tags":"EMG","Bridging Tags":null,"Public Source":null,"GlobalData As-of":"2026-07-31","Data Interpretation":"GlobalData snapshot only; validate current asset status","Company ID":"CMP-a962bdeaa95"}</t>
  </si>
  <si>
    <t>PR-ALL-CMP-6966086f62e</t>
  </si>
  <si>
    <t>CMP-6966086f62e</t>
  </si>
  <si>
    <t>Radboud University</t>
  </si>
  <si>
    <t>{"Tier":"NON_COMMERCIAL","Company":"Radboud University","Company Type":"NON_COMMERCIAL","GD Active Assets":1,"GD All Assets":1,"GD Phase II+":1,"Highest GD Stage":"Phase II","Research Area Tags":"NTD","Bridging Tags":"VAC","Public Source":null,"GlobalData As-of":"2026-07-31","Data Interpretation":"GlobalData snapshot only; validate current asset status","Company ID":"CMP-6966086f62e"}</t>
  </si>
  <si>
    <t>PR-ALL-CMP-25f7b6a3364</t>
  </si>
  <si>
    <t>CMP-25f7b6a3364</t>
  </si>
  <si>
    <t>Razi Vaccine &amp; Serum Research Institute</t>
  </si>
  <si>
    <t>{"Tier":"NON_COMMERCIAL","Company":"Razi Vaccine &amp; Serum Research Institute","Company Type":"NON_COMMERCIAL","GD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ID":"CMP-25f7b6a3364"}</t>
  </si>
  <si>
    <t>PR-ALL-CMP-713c04ff32a</t>
  </si>
  <si>
    <t>CMP-713c04ff32a</t>
  </si>
  <si>
    <t>The Government Pharmaceutical Organization</t>
  </si>
  <si>
    <t>{"Tier":"NON_COMMERCIAL","Company":"The Government Pharmaceutical Organization","Company Type":"NON_COMMERCIAL","GD Active Assets":1,"GD All Assets":1,"GD Phase II+":1,"Highest GD Stage":"Phase III","Research Area Tags":"MUC","Bridging Tags":"VAC","Public Source":null,"GlobalData As-of":"2026-07-31","Data Interpretation":"GlobalData snapshot only; validate current asset status","Company ID":"CMP-713c04ff32a"}</t>
  </si>
  <si>
    <t>PR-ALL-CMP-c32e8f60a04</t>
  </si>
  <si>
    <t>CMP-c32e8f60a04</t>
  </si>
  <si>
    <t>University Hospital Tubingen</t>
  </si>
  <si>
    <t>{"Tier":"NON_COMMERCIAL","Company":"University Hospital Tubingen","Company Type":"NON_COMMERCIAL","GD Active Assets":1,"GD All Assets":1,"GD Phase II+":1,"Highest GD Stage":"Phase II","Research Area Tags":"EMG","Bridging Tags":"VAC","Public Source":null,"GlobalData As-of":"2026-07-31","Data Interpretation":"GlobalData snapshot only; validate current asset status","Company ID":"CMP-c32e8f60a04"}</t>
  </si>
  <si>
    <t>PR-ALL-CMP-be5197ee6e3</t>
  </si>
  <si>
    <t>CMP-be5197ee6e3</t>
  </si>
  <si>
    <t>University of Calgary</t>
  </si>
  <si>
    <t>{"Tier":"NON_COMMERCIAL","Company":"University of Calgary","Company Type":"NON_COMMERCIAL","GD Active Assets":1,"GD All Assets":1,"GD Phase II+":1,"Highest GD Stage":"Phase II","Research Area Tags":"ICH","Bridging Tags":null,"Public Source":null,"GlobalData As-of":"2026-07-31","Data Interpretation":"GlobalData snapshot only; validate current asset status","Company ID":"CMP-be5197ee6e3"}</t>
  </si>
  <si>
    <t>PR-ALL-CMP-4e731c3d9e8</t>
  </si>
  <si>
    <t>CMP-4e731c3d9e8</t>
  </si>
  <si>
    <t>University of California Davis</t>
  </si>
  <si>
    <t>{"Tier":"NON_COMMERCIAL","Company":"University of California Davis","Company Type":"NON_COMMERCIAL","GD Active Assets":1,"GD All Assets":1,"GD Phase II+":1,"Highest GD Stage":"Phase II","Research Area Tags":"HIV","Bridging Tags":"CGT","Public Source":null,"GlobalData As-of":"2026-07-31","Data Interpretation":"GlobalData snapshot only; validate current asset status","Company ID":"CMP-4e731c3d9e8"}</t>
  </si>
  <si>
    <t>PR-ALL-CMP-1f867f88f57</t>
  </si>
  <si>
    <t>CMP-1f867f88f57</t>
  </si>
  <si>
    <t>University of Cape Town</t>
  </si>
  <si>
    <t>{"Tier":"NON_COMMERCIAL","Company":"University of Cape Town","Company Type":"NON_COMMERCIAL","GD Active Assets":1,"GD All Assets":1,"GD Phase II+":1,"Highest GD Stage":"Phase II","Research Area Tags":"NTD","Bridging Tags":null,"Public Source":null,"GlobalData As-of":"2026-07-31","Data Interpretation":"GlobalData snapshot only; validate current asset status","Company ID":"CMP-1f867f88f57"}</t>
  </si>
  <si>
    <t>PR-ALL-CMP-09733b5feda</t>
  </si>
  <si>
    <t>CMP-09733b5feda</t>
  </si>
  <si>
    <t>University of Rome Tor Vergata</t>
  </si>
  <si>
    <t>{"Tier":"NON_COMMERCIAL","Company":"University of Rome Tor Vergata","Company Type":"NON_COMMERCIAL","GD Active Assets":1,"GD All Assets":1,"GD Phase II+":1,"Highest GD Stage":"Phase III","Research Area Tags":"EMG","Bridging Tags":null,"Public Source":null,"GlobalData As-of":"2026-07-31","Data Interpretation":"GlobalData snapshot only; validate current asset status","Company ID":"CMP-09733b5feda"}</t>
  </si>
  <si>
    <t>PR-ALL-CMP-2b6b7399f9e</t>
  </si>
  <si>
    <t>CMP-2b6b7399f9e</t>
  </si>
  <si>
    <t>University of Sao Paulo General Hospital</t>
  </si>
  <si>
    <t>{"Tier":"NON_COMMERCIAL","Company":"University of Sao Paulo General Hospital","Company Type":"NON_COMMERCIAL","GD Active Assets":1,"GD All Assets":1,"GD Phase II+":1,"Highest GD Stage":"Phase II","Research Area Tags":"HIV","Bridging Tags":null,"Public Source":null,"GlobalData As-of":"2026-07-31","Data Interpretation":"GlobalData snapshot only; validate current asset status","Company ID":"CMP-2b6b7399f9e"}</t>
  </si>
  <si>
    <t>PR-ALL-CMP-89e987f1670</t>
  </si>
  <si>
    <t>CMP-89e987f1670</t>
  </si>
  <si>
    <t>University of York</t>
  </si>
  <si>
    <t>{"Tier":"NON_COMMERCIAL","Company":"University of York","Company Type":"NON_COMMERCIAL","GD Active Assets":1,"GD All Assets":1,"GD Phase II+":1,"Highest GD Stage":"Phase II","Research Area Tags":"NTD","Bridging Tags":"VAC","Public Source":null,"GlobalData As-of":"2026-07-31","Data Interpretation":"GlobalData snapshot only; validate current asset status","Company ID":"CMP-89e987f1670"}</t>
  </si>
  <si>
    <t>PR-ALL-CMP-f11ea0e58ad</t>
  </si>
  <si>
    <t>CMP-f11ea0e58ad</t>
  </si>
  <si>
    <t>Yixing People's Hospital</t>
  </si>
  <si>
    <t>{"Tier":"NON_COMMERCIAL","Company":"Yixing People's Hospital","Company Type":"NON_COMMERCIAL","GD Active Assets":1,"GD All Assets":1,"GD Phase II+":1,"Highest GD Stage":"Phase II","Research Area Tags":"ABX","Bridging Tags":null,"Public Source":null,"GlobalData As-of":"2026-07-31","Data Interpretation":"GlobalData snapshot only; validate current asset status","Company ID":"CMP-f11ea0e58ad"}</t>
  </si>
  <si>
    <t>PR-ALL-CMP-ad2595ce627</t>
  </si>
  <si>
    <t>CMP-ad2595ce627</t>
  </si>
  <si>
    <t>Zhejiang University School of Medicine Hospital 2</t>
  </si>
  <si>
    <t>{"Tier":"NON_COMMERCIAL","Company":"Zhejiang University School of Medicine Hospital 2","Company Type":"NON_COMMERCIAL","GD Active Assets":1,"GD All Assets":1,"GD Phase II+":1,"Highest GD Stage":"Phase II","Research Area Tags":"ABX","Bridging Tags":null,"Public Source":null,"GlobalData As-of":"2026-07-31","Data Interpretation":"GlobalData snapshot only; validate current asset status","Company ID":"CMP-ad2595ce627"}</t>
  </si>
  <si>
    <t>PR-ALL-CMP-00eb6d6b539</t>
  </si>
  <si>
    <t>CMP-00eb6d6b539</t>
  </si>
  <si>
    <t>Sinopharm Zhongsheng Biotechnology Research Institute Co Ltd</t>
  </si>
  <si>
    <t>{"Tier":"NON_COMMERCIAL","Company":"Sinopharm Zhongsheng Biotechnology Research Institute Co Ltd","Company Type":"NON_COMMERCIAL","GD Active Assets":2,"GD All Assets":2,"GD Phase II+":0,"Highest GD Stage":"IND/CTA Filed","Research Area Tags":null,"Bridging Tags":"VAC","Public Source":null,"GlobalData As-of":"2026-07-31","Data Interpretation":"GlobalData snapshot only; validate current asset status","Company ID":"CMP-00eb6d6b539"}</t>
  </si>
  <si>
    <t>PR-ALL-CMP-f9cdfd4921d</t>
  </si>
  <si>
    <t>CMP-f9cdfd4921d</t>
  </si>
  <si>
    <t>ANRS Research Center</t>
  </si>
  <si>
    <t>{"Tier":"NON_COMMERCIAL","Company":"ANRS Research Center","Company Type":"NON_COMMERCIAL","GD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ID":"CMP-f9cdfd4921d"}</t>
  </si>
  <si>
    <t>PR-ALL-CMP-89235bb5911</t>
  </si>
  <si>
    <t>CMP-89235bb5911</t>
  </si>
  <si>
    <t>Aaron Diamond AIDS Research Center</t>
  </si>
  <si>
    <t>{"Tier":"NON_COMMERCIAL","Company":"Aaron Diamond AIDS Research Center","Company Type":"NON_COMMERCIAL","GD Active Assets":1,"GD All Assets":1,"GD Phase II+":0,"Highest GD Stage":"Phase I","Research Area Tags":"HIV","Bridging Tags":"MAB","Public Source":null,"GlobalData As-of":"2026-07-31","Data Interpretation":"GlobalData snapshot only; validate current asset status","Company ID":"CMP-89235bb5911"}</t>
  </si>
  <si>
    <t>PR-ALL-CMP-5834a943938</t>
  </si>
  <si>
    <t>CMP-5834a943938</t>
  </si>
  <si>
    <t>Acibadem University</t>
  </si>
  <si>
    <t>{"Tier":"NON_COMMERCIAL","Company":"Acibadem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ID":"CMP-5834a943938"}</t>
  </si>
  <si>
    <t>PR-ALL-CMP-a047741332a</t>
  </si>
  <si>
    <t>CMP-a047741332a</t>
  </si>
  <si>
    <t>Akdeniz University</t>
  </si>
  <si>
    <t>{"Tier":"NON_COMMERCIAL","Company":"Akdeniz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ID":"CMP-a047741332a"}</t>
  </si>
  <si>
    <t>PR-ALL-CMP-1047eab0fa2</t>
  </si>
  <si>
    <t>CMP-1047eab0fa2</t>
  </si>
  <si>
    <t>Albert Einstein College of Medicine</t>
  </si>
  <si>
    <t>{"Tier":"NON_COMMERCIAL","Company":"Albert Einstein College of Medicine","Company Type":"NON_COMMERCIAL","GD Active Assets":1,"GD All Assets":1,"GD Phase II+":0,"Highest GD Stage":"Preclinical","Research Area Tags":"EMG","Bridging Tags":"MAB","Public Source":null,"GlobalData As-of":"2026-07-31","Data Interpretation":"GlobalData snapshot only; validate current asset status","Company ID":"CMP-1047eab0fa2"}</t>
  </si>
  <si>
    <t>PR-ALL-CMP-882005f215b</t>
  </si>
  <si>
    <t>CMP-882005f215b</t>
  </si>
  <si>
    <t>Ataturk University</t>
  </si>
  <si>
    <t>{"Tier":"NON_COMMERCIAL","Company":"Ataturk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ID":"CMP-882005f215b"}</t>
  </si>
  <si>
    <t>PR-ALL-CMP-827aebf6239</t>
  </si>
  <si>
    <t>CMP-827aebf6239</t>
  </si>
  <si>
    <t>Auburn University</t>
  </si>
  <si>
    <t>{"Tier":"NON_COMMERCIAL","Company":"Auburn University","Company Type":"NON_COMMERCIAL","GD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ID":"CMP-827aebf6239"}</t>
  </si>
  <si>
    <t>PR-ALL-CMP-55fbdef238f</t>
  </si>
  <si>
    <t>CMP-55fbdef238f</t>
  </si>
  <si>
    <t>Bezmialem Vakif University</t>
  </si>
  <si>
    <t>{"Tier":"NON_COMMERCIAL","Company":"Bezmialem Vakif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ID":"CMP-55fbdef238f"}</t>
  </si>
  <si>
    <t>PR-ALL-CMP-161adfccd57</t>
  </si>
  <si>
    <t>CMP-161adfccd57</t>
  </si>
  <si>
    <t>Biomedical Primate Research Centre</t>
  </si>
  <si>
    <t>{"Tier":"NON_COMMERCIAL","Company":"Biomedical Primate Research Centre","Company Type":"NON_COMMERCIAL","GD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ID":"CMP-161adfccd57"}</t>
  </si>
  <si>
    <t>PR-ALL-CMP-0a0f64632bd</t>
  </si>
  <si>
    <t>CMP-0a0f64632bd</t>
  </si>
  <si>
    <t>Bogazici University</t>
  </si>
  <si>
    <t>{"Tier":"NON_COMMERCIAL","Company":"Bogazici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ID":"CMP-0a0f64632bd"}</t>
  </si>
  <si>
    <t>PR-ALL-CMP-f58ae41a1c1</t>
  </si>
  <si>
    <t>CMP-f58ae41a1c1</t>
  </si>
  <si>
    <t>Boston Children's Hospital</t>
  </si>
  <si>
    <t>{"Tier":"NON_COMMERCIAL","Company":"Boston Children's Hospital","Company Type":"NON_COMMERCIAL","GD Active Assets":1,"GD All Assets":1,"GD Phase II+":0,"Highest GD Stage":"Preclinical","Research Area Tags":"HIV","Bridging Tags":"VAC","Public Source":null,"GlobalData As-of":"2026-07-31","Data Interpretation":"GlobalData snapshot only; validate current asset status","Company ID":"CMP-f58ae41a1c1"}</t>
  </si>
  <si>
    <t>PR-ALL-CMP-288b00c365e</t>
  </si>
  <si>
    <t>CMP-288b00c365e</t>
  </si>
  <si>
    <t>Case Western Reserve University</t>
  </si>
  <si>
    <t>{"Tier":"NON_COMMERCIAL","Company":"Case Western Reserve University","Company Type":"NON_COMMERCIAL","GD Active Assets":1,"GD All Assets":1,"GD Phase II+":0,"Highest GD Stage":"Phase 0","Research Area Tags":"ICH","Bridging Tags":null,"Public Source":null,"GlobalData As-of":"2026-07-31","Data Interpretation":"GlobalData snapshot only; validate current asset status","Company ID":"CMP-288b00c365e"}</t>
  </si>
  <si>
    <t>PR-ALL-CMP-4efa09210be</t>
  </si>
  <si>
    <t>CMP-4efa09210be</t>
  </si>
  <si>
    <t>Catholic University of Leuven</t>
  </si>
  <si>
    <t>{"Tier":"NON_COMMERCIAL","Company":"Catholic University of Leuven","Company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ID":"CMP-4efa09210be"}</t>
  </si>
  <si>
    <t>PR-ALL-CMP-6089baa9f4b</t>
  </si>
  <si>
    <t>CMP-6089baa9f4b</t>
  </si>
  <si>
    <t>Centers for Disease Control and Prevention</t>
  </si>
  <si>
    <t>{"Tier":"NON_COMMERCIAL","Company":"Centers for Disease Control and Prevention","Company Type":"NON_COMMERCIAL","GD Active Assets":1,"GD All Assets":1,"GD Phase II+":0,"Highest GD Stage":"Phase I","Research Area Tags":"MUC","Bridging Tags":"VAC","Public Source":null,"GlobalData As-of":"2026-07-31","Data Interpretation":"GlobalData snapshot only; validate current asset status","Company ID":"CMP-6089baa9f4b"}</t>
  </si>
  <si>
    <t>PR-ALL-CMP-54557ea8a0b</t>
  </si>
  <si>
    <t>CMP-54557ea8a0b</t>
  </si>
  <si>
    <t>Central Drug Research Institute</t>
  </si>
  <si>
    <t>{"Tier":"NON_COMMERCIAL","Company":"Central Drug Research Institute","Company Type":"NON_COMMERCIAL","GD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ID":"CMP-54557ea8a0b"}</t>
  </si>
  <si>
    <t>PR-ALL-CMP-4be5d269be7</t>
  </si>
  <si>
    <t>CMP-4be5d269be7</t>
  </si>
  <si>
    <t>Children's Hospital Oakland Research Institute</t>
  </si>
  <si>
    <t>{"Tier":"NON_COMMERCIAL","Company":"Children's Hospital Oakland Research Institute","Company Type":"NON_COMMERCIAL","GD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ID":"CMP-4be5d269be7"}</t>
  </si>
  <si>
    <t>PR-ALL-CMP-e3763ebf139</t>
  </si>
  <si>
    <t>CMP-e3763ebf139</t>
  </si>
  <si>
    <t>Children's Hospital of Philadelphia</t>
  </si>
  <si>
    <t>{"Tier":"NON_COMMERCIAL","Company":"Children's Hospital of Philadelphia","Company Type":"NON_COMMERCIAL","GD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ID":"CMP-e3763ebf139"}</t>
  </si>
  <si>
    <t>PR-ALL-CMP-934748b0957</t>
  </si>
  <si>
    <t>CMP-934748b0957</t>
  </si>
  <si>
    <t>Children's National Hospital</t>
  </si>
  <si>
    <t>{"Tier":"NON_COMMERCIAL","Company":"Children's National Hospital","Company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ID":"CMP-934748b0957"}</t>
  </si>
  <si>
    <t>PR-ALL-CMP-4b4788e41fa</t>
  </si>
  <si>
    <t>CMP-4b4788e41fa</t>
  </si>
  <si>
    <t>Children's National Research Institute</t>
  </si>
  <si>
    <t>{"Tier":"NON_COMMERCIAL","Company":"Children's National Research Institute","Company Type":"NON_COMMERCIAL","GD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ID":"CMP-4b4788e41fa"}</t>
  </si>
  <si>
    <t>PR-ALL-CMP-41722ab9d4b</t>
  </si>
  <si>
    <t>CMP-41722ab9d4b</t>
  </si>
  <si>
    <t>China Pharmaceutical University</t>
  </si>
  <si>
    <t>{"Tier":"NON_COMMERCIAL","Company":"China Pharmaceutical University","Company Type":"NON_COMMERCIAL","GD Active Assets":1,"GD All Assets":1,"GD Phase II+":0,"Highest GD Stage":"IND/CTA Filed","Research Area Tags":"HEP","Bridging Tags":null,"Public Source":null,"GlobalData As-of":"2026-07-31","Data Interpretation":"GlobalData snapshot only; validate current asset status","Company ID":"CMP-41722ab9d4b"}</t>
  </si>
  <si>
    <t>PR-ALL-CMP-590488ca24e</t>
  </si>
  <si>
    <t>CMP-590488ca24e</t>
  </si>
  <si>
    <t>Chongqing Medical University</t>
  </si>
  <si>
    <t>{"Tier":"NON_COMMERCIAL","Company":"Chongqing Medical University","Company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ID":"CMP-590488ca24e"}</t>
  </si>
  <si>
    <t>PR-ALL-CMP-d78a210def7</t>
  </si>
  <si>
    <t>CMP-d78a210def7</t>
  </si>
  <si>
    <t>Chulalongkorn University</t>
  </si>
  <si>
    <t>{"Tier":"NON_COMMERCIAL","Company":"Chulalongkorn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ID":"CMP-d78a210def7"}</t>
  </si>
  <si>
    <t>PR-ALL-CMP-93d2f039212</t>
  </si>
  <si>
    <t>CMP-93d2f039212</t>
  </si>
  <si>
    <t>Clinic Barcelona August Pi i Sunyer Biomedical Research Institute</t>
  </si>
  <si>
    <t>{"Tier":"NON_COMMERCIAL","Company":"Clinic Barcelona August Pi i Sunyer Biomedical Research Institute","Company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ID":"CMP-93d2f039212"}</t>
  </si>
  <si>
    <t>PR-ALL-CMP-d6e561c54b2</t>
  </si>
  <si>
    <t>CMP-d6e561c54b2</t>
  </si>
  <si>
    <t>Clinical Foundation for Biomedical Research</t>
  </si>
  <si>
    <t>{"Tier":"NON_COMMERCIAL","Company":"Clinical Foundation for Biomedical Research","Company Type":"NON_COMMERCIAL","GD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ID":"CMP-d6e561c54b2"}</t>
  </si>
  <si>
    <t>PR-ALL-CMP-d19178b037c</t>
  </si>
  <si>
    <t>CMP-d19178b037c</t>
  </si>
  <si>
    <t>Colorado State University</t>
  </si>
  <si>
    <t>{"Tier":"NON_COMMERCIAL","Company":"Colorado State University","Company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ID":"CMP-d19178b037c"}</t>
  </si>
  <si>
    <t>PR-ALL-CMP-74c33d6f74d</t>
  </si>
  <si>
    <t>CMP-74c33d6f74d</t>
  </si>
  <si>
    <t>D'Or Institute for Research and Education</t>
  </si>
  <si>
    <t>{"Tier":"NON_COMMERCIAL","Company":"D'Or Institute for Research and Education","Company Type":"NON_COMMERCIAL","GD Active Assets":1,"GD All Assets":1,"GD Phase II+":0,"Highest GD Stage":"Preclinical","Research Area Tags":"EMG","Bridging Tags":"MAB","Public Source":null,"GlobalData As-of":"2026-07-31","Data Interpretation":"GlobalData snapshot only; validate current asset status","Company ID":"CMP-74c33d6f74d"}</t>
  </si>
  <si>
    <t>PR-ALL-CMP-4edf61b18a4</t>
  </si>
  <si>
    <t>CMP-4edf61b18a4</t>
  </si>
  <si>
    <t>Duke University</t>
  </si>
  <si>
    <t>{"Tier":"NON_COMMERCIAL","Company":"Duke University","Company Type":"NON_COMMERCIAL","GD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ID":"CMP-4edf61b18a4"}</t>
  </si>
  <si>
    <t>PR-ALL-CMP-7f1024c6528</t>
  </si>
  <si>
    <t>CMP-7f1024c6528</t>
  </si>
  <si>
    <t>Ege University</t>
  </si>
  <si>
    <t>{"Tier":"NON_COMMERCIAL","Company":"Ege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ID":"CMP-7f1024c6528"}</t>
  </si>
  <si>
    <t>PR-ALL-CMP-896340d9117</t>
  </si>
  <si>
    <t>CMP-896340d9117</t>
  </si>
  <si>
    <t>EspeRare Foundation</t>
  </si>
  <si>
    <t>{"Tier":"NON_COMMERCIAL","Company":"EspeRare Foundation","Company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ID":"CMP-896340d9117"}</t>
  </si>
  <si>
    <t>PR-ALL-CMP-c59610a64ff</t>
  </si>
  <si>
    <t>CMP-c59610a64ff</t>
  </si>
  <si>
    <t>Federal University of Parana</t>
  </si>
  <si>
    <t>{"Tier":"NON_COMMERCIAL","Company":"Federal University of Parana","Company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ID":"CMP-c59610a64ff"}</t>
  </si>
  <si>
    <t>PR-ALL-CMP-4cc0c147319</t>
  </si>
  <si>
    <t>CMP-4cc0c147319</t>
  </si>
  <si>
    <t>Flanders Institute for Biotechnology</t>
  </si>
  <si>
    <t>{"Tier":"NON_COMMERCIAL","Company":"Flanders Institute for Biotechnology","Company Type":"NON_COMMERCIAL","GD Active Assets":1,"GD All Assets":1,"GD Phase II+":0,"Highest GD Stage":"Preclinical","Research Area Tags":"NTD","Bridging Tags":"VAC","Public Source":null,"GlobalData As-of":"2026-07-31","Data Interpretation":"GlobalData snapshot only; validate current asset status","Company ID":"CMP-4cc0c147319"}</t>
  </si>
  <si>
    <t>PR-ALL-CMP-e3196dd0472</t>
  </si>
  <si>
    <t>CMP-e3196dd0472</t>
  </si>
  <si>
    <t>Geneva Foundation for Medical Education and Research</t>
  </si>
  <si>
    <t>{"Tier":"NON_COMMERCIAL","Company":"Geneva Foundation for Medical Education and Research","Company Type":"NON_COMMERCIAL","GD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ID":"CMP-e3196dd0472"}</t>
  </si>
  <si>
    <t>PR-ALL-CMP-d52d24f7147</t>
  </si>
  <si>
    <t>CMP-d52d24f7147</t>
  </si>
  <si>
    <t>Georgia State University</t>
  </si>
  <si>
    <t>{"Tier":"NON_COMMERCIAL","Company":"Georgia State University","Company Type":"NON_COMMERCIAL","GD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ID":"CMP-d52d24f7147"}</t>
  </si>
  <si>
    <t>PR-ALL-CMP-c5f7a10c443</t>
  </si>
  <si>
    <t>CMP-c5f7a10c443</t>
  </si>
  <si>
    <t>German Cancer Research Center</t>
  </si>
  <si>
    <t>{"Tier":"NON_COMMERCIAL","Company":"German Cancer Research Center","Company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ID":"CMP-c5f7a10c443"}</t>
  </si>
  <si>
    <t>PR-ALL-CMP-ed4364cd637</t>
  </si>
  <si>
    <t>CMP-ed4364cd637</t>
  </si>
  <si>
    <t>Hacettepe University</t>
  </si>
  <si>
    <t>{"Tier":"NON_COMMERCIAL","Company":"Hacettepe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ID":"CMP-ed4364cd637"}</t>
  </si>
  <si>
    <t>PR-ALL-CMP-b6b4cca5ed6</t>
  </si>
  <si>
    <t>CMP-b6b4cca5ed6</t>
  </si>
  <si>
    <t>{"Tier":"NON_COMMERCIAL","Company":"Hannover Medical School","Company Type":"NON_COMMERCIAL","GD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ID":"CMP-b6b4cca5ed6"}</t>
  </si>
  <si>
    <t>PR-ALL-CMP-9e0b82d0e14</t>
  </si>
  <si>
    <t>CMP-9e0b82d0e14</t>
  </si>
  <si>
    <t>Harvard University</t>
  </si>
  <si>
    <t>{"Tier":"NON_COMMERCIAL","Company":"Harvard University","Company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ID":"CMP-9e0b82d0e14"}</t>
  </si>
  <si>
    <t>PR-ALL-CMP-3f285420146</t>
  </si>
  <si>
    <t>CMP-3f285420146</t>
  </si>
  <si>
    <t>Heidelberg University Hospital</t>
  </si>
  <si>
    <t>{"Tier":"NON_COMMERCIAL","Company":"Heidelberg University Hospital","Company Type":"NON_COMMERCIAL","GD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ID":"CMP-3f285420146"}</t>
  </si>
  <si>
    <t>PR-ALL-CMP-57ac34799f4</t>
  </si>
  <si>
    <t>CMP-57ac34799f4</t>
  </si>
  <si>
    <t>Hospital Israelita Albert Einstein</t>
  </si>
  <si>
    <t>{"Tier":"NON_COMMERCIAL","Company":"Hospital Israelita Albert Einstein","Company Type":"NON_COMMERCIAL","GD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ID":"CMP-57ac34799f4"}</t>
  </si>
  <si>
    <t>PR-ALL-CMP-0f9b2deaa22</t>
  </si>
  <si>
    <t>CMP-0f9b2deaa22</t>
  </si>
  <si>
    <t>Institute of Hematology &amp; Blood Diseases Hospital</t>
  </si>
  <si>
    <t>{"Tier":"NON_COMMERCIAL","Company":"Institute of Hematology &amp; Blood Diseases Hospital","Company Type":"NON_COMMERCIAL","GD Active Assets":1,"GD All Assets":1,"GD Phase II+":0,"Highest GD Stage":"Phase I","Research Area Tags":"HIV","Bridging Tags":"CGT","Public Source":null,"GlobalData As-of":"2026-07-31","Data Interpretation":"GlobalData snapshot only; validate current asset status","Company ID":"CMP-0f9b2deaa22"}</t>
  </si>
  <si>
    <t>PR-ALL-CMP-51eefdced61</t>
  </si>
  <si>
    <t>CMP-51eefdced61</t>
  </si>
  <si>
    <t>Juntendo University</t>
  </si>
  <si>
    <t>{"Tier":"NON_COMMERCIAL","Company":"Juntendo University","Company Type":"NON_COMMERCIAL","GD Active Assets":1,"GD All Assets":1,"GD Phase II+":0,"Highest GD Stage":"IND/CTA Filed","Research Area Tags":"ICH","Bridging Tags":null,"Public Source":null,"GlobalData As-of":"2026-07-31","Data Interpretation":"GlobalData snapshot only; validate current asset status","Company ID":"CMP-51eefdced61"}</t>
  </si>
  <si>
    <t>PR-ALL-CMP-2fe9615ec8b</t>
  </si>
  <si>
    <t>CMP-2fe9615ec8b</t>
  </si>
  <si>
    <t>Kagawa University</t>
  </si>
  <si>
    <t>{"Tier":"NON_COMMERCIAL","Company":"Kagawa University","Company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ID":"CMP-2fe9615ec8b"}</t>
  </si>
  <si>
    <t>PR-ALL-CMP-aab9bd8d2a5</t>
  </si>
  <si>
    <t>CMP-aab9bd8d2a5</t>
  </si>
  <si>
    <t>Kazan Federal University</t>
  </si>
  <si>
    <t>{"Tier":"NON_COMMERCIAL","Company":"Kazan Federal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ID":"CMP-aab9bd8d2a5"}</t>
  </si>
  <si>
    <t>PR-ALL-CMP-45f9e80ad64</t>
  </si>
  <si>
    <t>CMP-45f9e80ad64</t>
  </si>
  <si>
    <t>Kumamoto University</t>
  </si>
  <si>
    <t>{"Tier":"NON_COMMERCIAL","Company":"Kumamoto University","Company Type":"NON_COMMERCIAL","GD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ID":"CMP-45f9e80ad64"}</t>
  </si>
  <si>
    <t>PR-ALL-CMP-5ea9876e49d</t>
  </si>
  <si>
    <t>CMP-5ea9876e49d</t>
  </si>
  <si>
    <t>Lancaster University</t>
  </si>
  <si>
    <t>{"Tier":"NON_COMMERCIAL","Company":"Lancaster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ID":"CMP-5ea9876e49d"}</t>
  </si>
  <si>
    <t>PR-ALL-CMP-53fbbb5b15f</t>
  </si>
  <si>
    <t>CMP-53fbbb5b15f</t>
  </si>
  <si>
    <t>Lawson Health Research Institute</t>
  </si>
  <si>
    <t>{"Tier":"NON_COMMERCIAL","Company":"Lawson Health Research Institute","Company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ID":"CMP-53fbbb5b15f"}</t>
  </si>
  <si>
    <t>PR-ALL-CMP-6024e1d4855</t>
  </si>
  <si>
    <t>CMP-6024e1d4855</t>
  </si>
  <si>
    <t>Lomonosov Moscow State University</t>
  </si>
  <si>
    <t>{"Tier":"NON_COMMERCIAL","Company":"Lomonosov Moscow State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ID":"CMP-6024e1d4855"}</t>
  </si>
  <si>
    <t>PR-ALL-CMP-b146f441b11</t>
  </si>
  <si>
    <t>CMP-b146f441b11</t>
  </si>
  <si>
    <t>Marmara University</t>
  </si>
  <si>
    <t>{"Tier":"NON_COMMERCIAL","Company":"Marmara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ID":"CMP-b146f441b11"}</t>
  </si>
  <si>
    <t>PR-ALL-CMP-4f2ef30eb75</t>
  </si>
  <si>
    <t>CMP-4f2ef30eb75</t>
  </si>
  <si>
    <t>Medical Center of Chinese PLA General Hospital 5</t>
  </si>
  <si>
    <t>{"Tier":"NON_COMMERCIAL","Company":"Medical Center of Chinese PLA General Hospital 5","Company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ID":"CMP-4f2ef30eb75"}</t>
  </si>
  <si>
    <t>PR-ALL-CMP-bfdbb2878ec</t>
  </si>
  <si>
    <t>CMP-bfdbb2878ec</t>
  </si>
  <si>
    <t>Medical Research Council</t>
  </si>
  <si>
    <t>{"Tier":"NON_COMMERCIAL","Company":"Medical Research Council","Company Type":"NON_COMMERCIAL","GD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ID":"CMP-bfdbb2878ec"}</t>
  </si>
  <si>
    <t>PR-ALL-CMP-3196a1dc0a0</t>
  </si>
  <si>
    <t>CMP-3196a1dc0a0</t>
  </si>
  <si>
    <t>Medical University of Vienna</t>
  </si>
  <si>
    <t>{"Tier":"NON_COMMERCIAL","Company":"Medical University of Vienna","Company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ID":"CMP-3196a1dc0a0"}</t>
  </si>
  <si>
    <t>PR-ALL-CMP-e744929c686</t>
  </si>
  <si>
    <t>CMP-e744929c686</t>
  </si>
  <si>
    <t>Middle East Technical University</t>
  </si>
  <si>
    <t>{"Tier":"NON_COMMERCIAL","Company":"Middle East Technical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ID":"CMP-e744929c686"}</t>
  </si>
  <si>
    <t>PR-ALL-CMP-d4fb075cbfd</t>
  </si>
  <si>
    <t>CMP-d4fb075cbfd</t>
  </si>
  <si>
    <t>Ministry of Education and Science</t>
  </si>
  <si>
    <t>{"Tier":"NON_COMMERCIAL","Company":"Ministry of Education and Science","Company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ID":"CMP-d4fb075cbfd"}</t>
  </si>
  <si>
    <t>PR-ALL-CMP-66dcb8db760</t>
  </si>
  <si>
    <t>CMP-66dcb8db760</t>
  </si>
  <si>
    <t>Nanjing Drum Tower Hospital</t>
  </si>
  <si>
    <t>{"Tier":"NON_COMMERCIAL","Company":"Nanjing Drum Tower Hospital","Company Type":"NON_COMMERCIAL","GD Active Assets":1,"GD All Assets":1,"GD Phase II+":0,"Highest GD Stage":"Phase I","Research Area Tags":"ABX","Bridging Tags":null,"Public Source":null,"GlobalData As-of":"2026-07-31","Data Interpretation":"GlobalData snapshot only; validate current asset status","Company ID":"CMP-66dcb8db760"}</t>
  </si>
  <si>
    <t>PR-ALL-CMP-c7e55559427</t>
  </si>
  <si>
    <t>CMP-c7e55559427</t>
  </si>
  <si>
    <t>Nanjing Medical University</t>
  </si>
  <si>
    <t>{"Tier":"NON_COMMERCIAL","Company":"Nanjing Medical University","Company Type":"NON_COMMERCIAL","GD Active Assets":1,"GD All Assets":1,"GD Phase II+":0,"Highest GD Stage":"Phase I","Research Area Tags":"ABX","Bridging Tags":null,"Public Source":null,"GlobalData As-of":"2026-07-31","Data Interpretation":"GlobalData snapshot only; validate current asset status","Company ID":"CMP-c7e55559427"}</t>
  </si>
  <si>
    <t>PR-ALL-CMP-7041fc747b1</t>
  </si>
  <si>
    <t>CMP-7041fc747b1</t>
  </si>
  <si>
    <t>Nantes University Hospital</t>
  </si>
  <si>
    <t>{"Tier":"NON_COMMERCIAL","Company":"Nantes University Hospital","Company Type":"NON_COMMERCIAL","GD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ID":"CMP-7041fc747b1"}</t>
  </si>
  <si>
    <t>PR-ALL-CMP-fee79c40bb8</t>
  </si>
  <si>
    <t>CMP-fee79c40bb8</t>
  </si>
  <si>
    <t>National Center for Genetic Engineering and Biotechnology</t>
  </si>
  <si>
    <t>{"Tier":"NON_COMMERCIAL","Company":"National Center for Genetic Engineering and Biotechnology","Company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ID":"CMP-fee79c40bb8"}</t>
  </si>
  <si>
    <t>PR-ALL-CMP-594cdfcf5d7</t>
  </si>
  <si>
    <t>CMP-594cdfcf5d7</t>
  </si>
  <si>
    <t>National Health Research Institutes</t>
  </si>
  <si>
    <t>{"Tier":"NON_COMMERCIAL","Company":"National Health Research Institutes","Company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ID":"CMP-594cdfcf5d7"}</t>
  </si>
  <si>
    <t>PR-ALL-CMP-92da8048a23</t>
  </si>
  <si>
    <t>CMP-92da8048a23</t>
  </si>
  <si>
    <t>National Institute for Medical Research Tanzania</t>
  </si>
  <si>
    <t>{"Tier":"NON_COMMERCIAL","Company":"National Institute for Medical Research Tanzania","Company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ID":"CMP-92da8048a23"}</t>
  </si>
  <si>
    <t>PR-ALL-CMP-c7965888541</t>
  </si>
  <si>
    <t>CMP-c7965888541</t>
  </si>
  <si>
    <t>National Institute of Infectious Diseases</t>
  </si>
  <si>
    <t>{"Tier":"NON_COMMERCIAL","Company":"National Institute of Infectious Diseases","Company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ID":"CMP-c7965888541"}</t>
  </si>
  <si>
    <t>PR-ALL-CMP-9f301abfd5d</t>
  </si>
  <si>
    <t>CMP-9f301abfd5d</t>
  </si>
  <si>
    <t>National University of Singapore</t>
  </si>
  <si>
    <t>{"Tier":"NON_COMMERCIAL","Company":"National University of Singapore","Company Type":"NON_COMMERCIAL","GD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ID":"CMP-9f301abfd5d"}</t>
  </si>
  <si>
    <t>PR-ALL-CMP-87fcda148b0</t>
  </si>
  <si>
    <t>CMP-87fcda148b0</t>
  </si>
  <si>
    <t>Ohio State University</t>
  </si>
  <si>
    <t>{"Tier":"NON_COMMERCIAL","Company":"Ohio State University","Company Type":"NON_COMMERCIAL","GD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ID":"CMP-87fcda148b0"}</t>
  </si>
  <si>
    <t>PR-ALL-CMP-8843642da4e</t>
  </si>
  <si>
    <t>CMP-8843642da4e</t>
  </si>
  <si>
    <t>Ohio State University Comprehensive Cancer Center</t>
  </si>
  <si>
    <t>{"Tier":"NON_COMMERCIAL","Company":"Ohio State University Comprehensive Cancer Center","Company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ID":"CMP-8843642da4e"}</t>
  </si>
  <si>
    <t>PR-ALL-CMP-107644f791a</t>
  </si>
  <si>
    <t>CMP-107644f791a</t>
  </si>
  <si>
    <t>Oncogen Research Center</t>
  </si>
  <si>
    <t>{"Tier":"NON_COMMERCIAL","Company":"Oncogen Research Center","Company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ID":"CMP-107644f791a"}</t>
  </si>
  <si>
    <t>PR-ALL-CMP-4980733ad0f</t>
  </si>
  <si>
    <t>CMP-4980733ad0f</t>
  </si>
  <si>
    <t>Oslo University Hospital</t>
  </si>
  <si>
    <t>{"Tier":"NON_COMMERCIAL","Company":"Oslo University Hospital","Company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ID":"CMP-4980733ad0f"}</t>
  </si>
  <si>
    <t>PR-ALL-CMP-7243eeb8ee7</t>
  </si>
  <si>
    <t>CMP-7243eeb8ee7</t>
  </si>
  <si>
    <t>PATH Malaria Vaccine Initiative</t>
  </si>
  <si>
    <t>{"Tier":"NON_COMMERCIAL","Company":"PATH Malaria Vaccine Initiative","Company Type":"NON_COMMERCIAL","GD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ID":"CMP-7243eeb8ee7"}</t>
  </si>
  <si>
    <t>PR-ALL-CMP-14f3eec665e</t>
  </si>
  <si>
    <t>CMP-14f3eec665e</t>
  </si>
  <si>
    <t>Public Health England</t>
  </si>
  <si>
    <t>{"Tier":"NON_COMMERCIAL","Company":"Public Health England","Company Type":"NON_COMMERCIAL","GD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ID":"CMP-14f3eec665e"}</t>
  </si>
  <si>
    <t>PR-ALL-CMP-9d24f630871</t>
  </si>
  <si>
    <t>CMP-9d24f630871</t>
  </si>
  <si>
    <t>Public Health Vaccines LLC</t>
  </si>
  <si>
    <t>{"Tier":"NON_COMMERCIAL","Company":"Public Health Vaccines LLC","Company Type":"NON_COMMERCIAL","GD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ID":"CMP-9d24f630871"}</t>
  </si>
  <si>
    <t>PR-ALL-CMP-88ee84d2e59</t>
  </si>
  <si>
    <t>CMP-88ee84d2e59</t>
  </si>
  <si>
    <t>Resilience Government Services Inc</t>
  </si>
  <si>
    <t>{"Tier":"NON_COMMERCIAL","Company":"Resilience Government Services Inc","Company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ID":"CMP-88ee84d2e59"}</t>
  </si>
  <si>
    <t>PR-ALL-CMP-420bb60fac1</t>
  </si>
  <si>
    <t>CMP-420bb60fac1</t>
  </si>
  <si>
    <t>Rockefeller University</t>
  </si>
  <si>
    <t>{"Tier":"NON_COMMERCIAL","Company":"Rockefeller University","Company Type":"NON_COMMERCIAL","GD Active Assets":1,"GD All Assets":1,"GD Phase II+":0,"Highest GD Stage":"Phase I","Research Area Tags":"HEP","Bridging Tags":null,"Public Source":null,"GlobalData As-of":"2026-07-31","Data Interpretation":"GlobalData snapshot only; validate current asset status","Company ID":"CMP-420bb60fac1"}</t>
  </si>
  <si>
    <t>PR-ALL-CMP-2f3ae7b70d8</t>
  </si>
  <si>
    <t>CMP-2f3ae7b70d8</t>
  </si>
  <si>
    <t>Saint Louis University</t>
  </si>
  <si>
    <t>{"Tier":"NON_COMMERCIAL","Company":"Saint Louis University","Company Type":"NON_COMMERCIAL","GD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ID":"CMP-2f3ae7b70d8"}</t>
  </si>
  <si>
    <t>PR-ALL-CMP-9f249763bf9</t>
  </si>
  <si>
    <t>CMP-9f249763bf9</t>
  </si>
  <si>
    <t>Second Affiliated Hospital of Guangdong Medical University</t>
  </si>
  <si>
    <t>{"Tier":"NON_COMMERCIAL","Company":"Second Affiliated Hospital of Guangdong Medical University","Company Type":"NON_COMMERCIAL","GD Active Assets":1,"GD All Assets":1,"GD Phase II+":0,"Highest GD Stage":"Phase 0","Research Area Tags":"HIV","Bridging Tags":null,"Public Source":null,"GlobalData As-of":"2026-07-31","Data Interpretation":"GlobalData snapshot only; validate current asset status","Company ID":"CMP-9f249763bf9"}</t>
  </si>
  <si>
    <t>PR-ALL-CMP-98a8634027d</t>
  </si>
  <si>
    <t>CMP-98a8634027d</t>
  </si>
  <si>
    <t>Shanghai Jiao Tong University School of Medicine</t>
  </si>
  <si>
    <t>{"Tier":"NON_COMMERCIAL","Company":"Shanghai Jiao Tong University School of Medicine","Company Type":"NON_COMMERCIAL","GD Active Assets":1,"GD All Assets":1,"GD Phase II+":0,"Highest GD Stage":"Preclinical","Research Area Tags":"ICH","Bridging Tags":null,"Public Source":null,"GlobalData As-of":"2026-07-31","Data Interpretation":"GlobalData snapshot only; validate current asset status","Company ID":"CMP-98a8634027d"}</t>
  </si>
  <si>
    <t>PR-ALL-CMP-06c53e3d066</t>
  </si>
  <si>
    <t>CMP-06c53e3d066</t>
  </si>
  <si>
    <t>Shanghai Public Health Clinical Center</t>
  </si>
  <si>
    <t>{"Tier":"NON_COMMERCIAL","Company":"Shanghai Public Health Clinical Center","Company Type":"NON_COMMERCIAL","GD Active Assets":1,"GD All Assets":1,"GD Phase II+":0,"Highest GD Stage":"Präklinisch","Research Area Tags":"EMG","Bridging Tags":"VAC","Public Source":null,"GlobalData As-of":"2026-07-31","Data Interpretation":"GlobalData snapshot only; validate current asset status","Company ID":"CMP-06c53e3d066"}</t>
  </si>
  <si>
    <t>PR-ALL-CMP-458e269d9a5</t>
  </si>
  <si>
    <t>CMP-458e269d9a5</t>
  </si>
  <si>
    <t>Shanxi Medical University</t>
  </si>
  <si>
    <t>{"Tier":"NON_COMMERCIAL","Company":"Shanxi Medical University","Company Type":"NON_COMMERCIAL","GD Active Assets":1,"GD All Assets":1,"GD Phase II+":0,"Highest GD Stage":"Phase 0","Research Area Tags":"EMG","Bridging Tags":"VAC","Public Source":null,"GlobalData As-of":"2026-07-31","Data Interpretation":"GlobalData snapshot only; validate current asset status","Company ID":"CMP-458e269d9a5"}</t>
  </si>
  <si>
    <t>PR-ALL-CMP-b4bcfc3d7b0</t>
  </si>
  <si>
    <t>CMP-b4bcfc3d7b0</t>
  </si>
  <si>
    <t>Shiraz University of Medical Sciences</t>
  </si>
  <si>
    <t>{"Tier":"NON_COMMERCIAL","Company":"Shiraz University of Medical Sciences","Company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ID":"CMP-b4bcfc3d7b0"}</t>
  </si>
  <si>
    <t>PR-ALL-CMP-462a5ab4819</t>
  </si>
  <si>
    <t>CMP-462a5ab4819</t>
  </si>
  <si>
    <t>Sorbonne University</t>
  </si>
  <si>
    <t>{"Tier":"NON_COMMERCIAL","Company":"Sorbonne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ID":"CMP-462a5ab4819"}</t>
  </si>
  <si>
    <t>PR-ALL-CMP-02ec9fab089</t>
  </si>
  <si>
    <t>CMP-02ec9fab089</t>
  </si>
  <si>
    <t>Sun Yat-sen University</t>
  </si>
  <si>
    <t>{"Tier":"NON_COMMERCIAL","Company":"Sun Yat-sen University","Company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ID":"CMP-02ec9fab089"}</t>
  </si>
  <si>
    <t>PR-ALL-CMP-841204169b2</t>
  </si>
  <si>
    <t>CMP-841204169b2</t>
  </si>
  <si>
    <t>The Affiliated Hospital of the Chinese Academy of Military Medical Sciences</t>
  </si>
  <si>
    <t>{"Tier":"NON_COMMERCIAL","Company":"The Affiliated Hospital of the Chinese Academy of Military Medical Sciences","Company Type":"NON_COMMERCIAL","GD Active Assets":1,"GD All Assets":1,"GD Phase II+":0,"Highest GD Stage":"Phase I","Research Area Tags":"HIV","Bridging Tags":"CGT","Public Source":null,"GlobalData As-of":"2026-07-31","Data Interpretation":"GlobalData snapshot only; validate current asset status","Company ID":"CMP-841204169b2"}</t>
  </si>
  <si>
    <t>PR-ALL-CMP-4a3873cfc24</t>
  </si>
  <si>
    <t>CMP-4a3873cfc24</t>
  </si>
  <si>
    <t>The Cleveland Clinic Foundation</t>
  </si>
  <si>
    <t>{"Tier":"NON_COMMERCIAL","Company":"The Cleveland Clinic Foundation","Company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ID":"CMP-4a3873cfc24"}</t>
  </si>
  <si>
    <t>PR-ALL-CMP-220b38673dd</t>
  </si>
  <si>
    <t>CMP-220b38673dd</t>
  </si>
  <si>
    <t>The Scripps Research Institute</t>
  </si>
  <si>
    <t>{"Tier":"NON_COMMERCIAL","Company":"The Scripps Research Institute","Company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ID":"CMP-220b38673dd"}</t>
  </si>
  <si>
    <t>PR-ALL-CMP-43f6c26cffe</t>
  </si>
  <si>
    <t>CMP-43f6c26cffe</t>
  </si>
  <si>
    <t>The University of Adelaide</t>
  </si>
  <si>
    <t>{"Tier":"NON_COMMERCIAL","Company":"The University of Adelaide","Company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ID":"CMP-43f6c26cffe"}</t>
  </si>
  <si>
    <t>PR-ALL-CMP-2d01ee8e4af</t>
  </si>
  <si>
    <t>CMP-2d01ee8e4af</t>
  </si>
  <si>
    <t>The University of Nottingham</t>
  </si>
  <si>
    <t>{"Tier":"NON_COMMERCIAL","Company":"The University of Nottingham","Company Type":"NON_COMMERCIAL","GD Active Assets":1,"GD All Assets":1,"GD Phase II+":0,"Highest GD Stage":"Preclinical","Research Area Tags":"MUC","Bridging Tags":null,"Public Source":null,"GlobalData As-of":"2026-07-31","Data Interpretation":"GlobalData snapshot only; validate current asset status","Company ID":"CMP-2d01ee8e4af"}</t>
  </si>
  <si>
    <t>PR-ALL-CMP-ce9d25814bc</t>
  </si>
  <si>
    <t>CMP-ce9d25814bc</t>
  </si>
  <si>
    <t>Thomas Jefferson University</t>
  </si>
  <si>
    <t>{"Tier":"NON_COMMERCIAL","Company":"Thomas Jefferson University","Company Type":"NON_COMMERCIAL","GD Active Assets":1,"GD All Assets":1,"GD Phase II+":0,"Highest GD Stage":"Phase I","Research Area Tags":"EMG","Bridging Tags":"VAC","Public Source":null,"GlobalData As-of":"2026-07-31","Data Interpretation":"GlobalData snapshot only; validate current asset status","Company ID":"CMP-ce9d25814bc"}</t>
  </si>
  <si>
    <t>PR-ALL-CMP-6dda2e551cf</t>
  </si>
  <si>
    <t>CMP-6dda2e551cf</t>
  </si>
  <si>
    <t>Tianjin Medical University General Hospital</t>
  </si>
  <si>
    <t>{"Tier":"NON_COMMERCIAL","Company":"Tianjin Medical University General Hospital","Company Type":"NON_COMMERCIAL","GD Active Assets":1,"GD All Assets":1,"GD Phase II+":0,"Highest GD Stage":"Phase I","Research Area Tags":"HIV","Bridging Tags":null,"Public Source":null,"GlobalData As-of":"2026-07-31","Data Interpretation":"GlobalData snapshot only; validate current asset status","Company ID":"CMP-6dda2e551cf"}</t>
  </si>
  <si>
    <t>PR-ALL-CMP-832fc05f3e2</t>
  </si>
  <si>
    <t>CMP-832fc05f3e2</t>
  </si>
  <si>
    <t>Tulane University</t>
  </si>
  <si>
    <t>{"Tier":"NON_COMMERCIAL","Company":"Tulane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ID":"CMP-832fc05f3e2"}</t>
  </si>
  <si>
    <t>PR-ALL-CMP-f40f874d8f4</t>
  </si>
  <si>
    <t>CMP-f40f874d8f4</t>
  </si>
  <si>
    <t>University of Amsterdam</t>
  </si>
  <si>
    <t>{"Tier":"NON_COMMERCIAL","Company":"University of Amsterdam","Company Type":"NON_COMMERCIAL","GD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ID":"CMP-f40f874d8f4"}</t>
  </si>
  <si>
    <t>PR-ALL-CMP-591b35b14f3</t>
  </si>
  <si>
    <t>CMP-591b35b14f3</t>
  </si>
  <si>
    <t>University of Buea</t>
  </si>
  <si>
    <t>{"Tier":"NON_COMMERCIAL","Company":"University of Buea","Company Type":"NON_COMMERCIAL","GD Active Assets":1,"GD All Assets":1,"GD Phase II+":0,"Highest GD Stage":"Phase I","Research Area Tags":"NTD","Bridging Tags":null,"Public Source":null,"GlobalData As-of":"2026-07-31","Data Interpretation":"GlobalData snapshot only; validate current asset status","Company ID":"CMP-591b35b14f3"}</t>
  </si>
  <si>
    <t>PR-ALL-CMP-dfc8fa2ef22</t>
  </si>
  <si>
    <t>CMP-dfc8fa2ef22</t>
  </si>
  <si>
    <t>University of Dundee</t>
  </si>
  <si>
    <t>{"Tier":"NON_COMMERCIAL","Company":"University of Dundee","Company Type":"NON_COMMERCIAL","GD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ID":"CMP-dfc8fa2ef22"}</t>
  </si>
  <si>
    <t>PR-ALL-CMP-2698210733b</t>
  </si>
  <si>
    <t>CMP-2698210733b</t>
  </si>
  <si>
    <t>University of Heidelberg</t>
  </si>
  <si>
    <t>{"Tier":"NON_COMMERCIAL","Company":"University of Heidelberg","Company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ID":"CMP-2698210733b"}</t>
  </si>
  <si>
    <t>PR-ALL-CMP-65449177f57</t>
  </si>
  <si>
    <t>CMP-65449177f57</t>
  </si>
  <si>
    <t>University of Lausanne</t>
  </si>
  <si>
    <t>{"Tier":"NON_COMMERCIAL","Company":"University of Lausanne","Company Type":"NON_COMMERCIAL","GD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ID":"CMP-65449177f57"}</t>
  </si>
  <si>
    <t>PR-ALL-CMP-ac0ce65ef63</t>
  </si>
  <si>
    <t>CMP-ac0ce65ef63</t>
  </si>
  <si>
    <t>University of Lubeck</t>
  </si>
  <si>
    <t>{"Tier":"NON_COMMERCIAL","Company":"University of Lubeck","Company Type":"NON_COMMERCIAL","GD Active Assets":1,"GD All Assets":1,"GD Phase II+":0,"Highest GD Stage":"Preclinical","Research Area Tags":"HEP","Bridging Tags":"MAB","Public Source":null,"GlobalData As-of":"2026-07-31","Data Interpretation":"GlobalData snapshot only; validate current asset status","Company ID":"CMP-ac0ce65ef63"}</t>
  </si>
  <si>
    <t>PR-ALL-CMP-fa40d347e61</t>
  </si>
  <si>
    <t>CMP-fa40d347e61</t>
  </si>
  <si>
    <t>University of Manitoba</t>
  </si>
  <si>
    <t>{"Tier":"NON_COMMERCIAL","Company":"University of Manitoba","Company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ID":"CMP-fa40d347e61"}</t>
  </si>
  <si>
    <t>PR-ALL-CMP-3facf207fa7</t>
  </si>
  <si>
    <t>CMP-3facf207fa7</t>
  </si>
  <si>
    <t>University of Melbourne</t>
  </si>
  <si>
    <t>{"Tier":"NON_COMMERCIAL","Company":"University of Melbourne","Company Type":"NON_COMMERCIAL","GD Active Assets":1,"GD All Assets":1,"GD Phase II+":0,"Highest GD Stage":"Phase I","Research Area Tags":"EMG","Bridging Tags":null,"Public Source":null,"GlobalData As-of":"2026-07-31","Data Interpretation":"GlobalData snapshot only; validate current asset status","Company ID":"CMP-3facf207fa7"}</t>
  </si>
  <si>
    <t>PR-ALL-CMP-9e505ee3628</t>
  </si>
  <si>
    <t>CMP-9e505ee3628</t>
  </si>
  <si>
    <t>University of Nantes</t>
  </si>
  <si>
    <t>{"Tier":"NON_COMMERCIAL","Company":"University of Nantes","Company Type":"NON_COMMERCIAL","GD Active Assets":1,"GD All Assets":1,"GD Phase II+":0,"Highest GD Stage":"Preclinical","Research Area Tags":"NTD","Bridging Tags":null,"Public Source":null,"GlobalData As-of":"2026-07-31","Data Interpretation":"GlobalData snapshot only; validate current asset status","Company ID":"CMP-9e505ee3628"}</t>
  </si>
  <si>
    <t>PR-ALL-CMP-78ce0647097</t>
  </si>
  <si>
    <t>CMP-78ce0647097</t>
  </si>
  <si>
    <t>University of New South Wales</t>
  </si>
  <si>
    <t>{"Tier":"NON_COMMERCIAL","Company":"University of New South Wales","Company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ID":"CMP-78ce0647097"}</t>
  </si>
  <si>
    <t>PR-ALL-CMP-40f50ac5a63</t>
  </si>
  <si>
    <t>CMP-40f50ac5a63</t>
  </si>
  <si>
    <t>University of Pittsburgh School of Medicine</t>
  </si>
  <si>
    <t>{"Tier":"NON_COMMERCIAL","Company":"University of Pittsburgh School of Medicine","Company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ID":"CMP-40f50ac5a63"}</t>
  </si>
  <si>
    <t>PR-ALL-CMP-370f0d6a068</t>
  </si>
  <si>
    <t>CMP-370f0d6a068</t>
  </si>
  <si>
    <t>University of Sao Paulo</t>
  </si>
  <si>
    <t>{"Tier":"NON_COMMERCIAL","Company":"University of Sao Paulo","Company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ID":"CMP-370f0d6a068"}</t>
  </si>
  <si>
    <t>PR-ALL-CMP-ac2248dffdf</t>
  </si>
  <si>
    <t>CMP-ac2248dffdf</t>
  </si>
  <si>
    <t>University of Science and Technology of China</t>
  </si>
  <si>
    <t>{"Tier":"NON_COMMERCIAL","Company":"University of Science and Technology of China","Company Type":"NON_COMMERCIAL","GD Active Assets":1,"GD All Assets":1,"GD Phase II+":0,"Highest GD Stage":"Phase 0","Research Area Tags":"ICH","Bridging Tags":null,"Public Source":null,"GlobalData As-of":"2026-07-31","Data Interpretation":"GlobalData snapshot only; validate current asset status","Company ID":"CMP-ac2248dffdf"}</t>
  </si>
  <si>
    <t>PR-ALL-CMP-ef2de4134bb</t>
  </si>
  <si>
    <t>CMP-ef2de4134bb</t>
  </si>
  <si>
    <t>University of Sciences Techniques and Technologies Bamako</t>
  </si>
  <si>
    <t>{"Tier":"NON_COMMERCIAL","Company":"University of Sciences Techniques and Technologies Bamako","Company Type":"NON_COMMERCIAL","GD Active Assets":1,"GD All Assets":1,"GD Phase II+":0,"Highest GD Stage":"Phase I","Research Area Tags":"NTD","Bridging Tags":"VAC","Public Source":null,"GlobalData As-of":"2026-07-31","Data Interpretation":"GlobalData snapshot only; validate current asset status","Company ID":"CMP-ef2de4134bb"}</t>
  </si>
  <si>
    <t>PR-ALL-CMP-5d349b6edec</t>
  </si>
  <si>
    <t>CMP-5d349b6edec</t>
  </si>
  <si>
    <t>University of Southern California</t>
  </si>
  <si>
    <t>{"Tier":"NON_COMMERCIAL","Company":"University of Southern California","Company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ID":"CMP-5d349b6edec"}</t>
  </si>
  <si>
    <t>PR-ALL-CMP-2fbb95d301a</t>
  </si>
  <si>
    <t>CMP-2fbb95d301a</t>
  </si>
  <si>
    <t>University of Tennessee Research Foundation</t>
  </si>
  <si>
    <t>{"Tier":"NON_COMMERCIAL","Company":"University of Tennessee Research Foundation","Company Type":"NON_COMMERCIAL","GD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ID":"CMP-2fbb95d301a"}</t>
  </si>
  <si>
    <t>PR-ALL-CMP-b072fb955f6</t>
  </si>
  <si>
    <t>CMP-b072fb955f6</t>
  </si>
  <si>
    <t>University of Texas at Austin OTC</t>
  </si>
  <si>
    <t>{"Tier":"NON_COMMERCIAL","Company":"University of Texas at Austin OTC","Company Type":"NON_COMMERCIAL","GD Active Assets":1,"GD All Assets":1,"GD Phase II+":0,"Highest GD Stage":"Preclinical","Research Area Tags":"ABX","Bridging Tags":"VAC","Public Source":null,"GlobalData As-of":"2026-07-31","Data Interpretation":"GlobalData snapshot only; validate current asset status","Company ID":"CMP-b072fb955f6"}</t>
  </si>
  <si>
    <t>PR-ALL-CMP-b912cbbcc5d</t>
  </si>
  <si>
    <t>CMP-b912cbbcc5d</t>
  </si>
  <si>
    <t>University of Toronto</t>
  </si>
  <si>
    <t>{"Tier":"NON_COMMERCIAL","Company":"University of Toronto","Company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ID":"CMP-b912cbbcc5d"}</t>
  </si>
  <si>
    <t>PR-ALL-CMP-2632c7611ad</t>
  </si>
  <si>
    <t>CMP-2632c7611ad</t>
  </si>
  <si>
    <t>University of Virginia</t>
  </si>
  <si>
    <t>{"Tier":"NON_COMMERCIAL","Company":"University of Virginia","Company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ID":"CMP-2632c7611ad"}</t>
  </si>
  <si>
    <t>PR-ALL-CMP-6ec7e690b38</t>
  </si>
  <si>
    <t>CMP-6ec7e690b38</t>
  </si>
  <si>
    <t>University of Waterloo</t>
  </si>
  <si>
    <t>{"Tier":"NON_COMMERCIAL","Company":"University of Waterloo","Company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ID":"CMP-6ec7e690b38"}</t>
  </si>
  <si>
    <t>PR-ALL-CMP-1a410944191</t>
  </si>
  <si>
    <t>CMP-1a410944191</t>
  </si>
  <si>
    <t>Vaccine Research Institute</t>
  </si>
  <si>
    <t>{"Tier":"NON_COMMERCIAL","Company":"Vaccine Research Institute","Company Type":"NON_COMMERCIAL","GD Active Assets":1,"GD All Assets":1,"GD Phase II+":0,"Highest GD Stage":"Phase I","Research Area Tags":"HIV","Bridging Tags":"VAC","Public Source":null,"GlobalData As-of":"2026-07-31","Data Interpretation":"GlobalData snapshot only; validate current asset status","Company ID":"CMP-1a410944191"}</t>
  </si>
  <si>
    <t>PR-ALL-CMP-48930d2010a</t>
  </si>
  <si>
    <t>CMP-48930d2010a</t>
  </si>
  <si>
    <t>West China Hospital of Sichuan University</t>
  </si>
  <si>
    <t>{"Tier":"NON_COMMERCIAL","Company":"West China Hospital of Sichuan University","Company Type":"NON_COMMERCIAL","GD Active Assets":1,"GD All Assets":1,"GD Phase II+":0,"Highest GD Stage":"Phase 0","Research Area Tags":"EMG","Bridging Tags":"VAC","Public Source":null,"GlobalData As-of":"2026-07-31","Data Interpretation":"GlobalData snapshot only; validate current asset status","Company ID":"CMP-48930d2010a"}</t>
  </si>
  <si>
    <t>PR-ALL-CMP-196588226f1</t>
  </si>
  <si>
    <t>CMP-196588226f1</t>
  </si>
  <si>
    <t>Western University</t>
  </si>
  <si>
    <t>{"Tier":"NON_COMMERCIAL","Company":"Western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ID":"CMP-196588226f1"}</t>
  </si>
  <si>
    <t>PR-ALL-CMP-f131671af2e</t>
  </si>
  <si>
    <t>CMP-f131671af2e</t>
  </si>
  <si>
    <t>Westmead Hospital</t>
  </si>
  <si>
    <t>{"Tier":"NON_COMMERCIAL","Company":"Westmead Hospital","Company Type":"NON_COMMERCIAL","GD Active Assets":1,"GD All Assets":1,"GD Phase II+":0,"Highest GD Stage":"Phase I","Research Area Tags":"ICH","Bridging Tags":null,"Public Source":null,"GlobalData As-of":"2026-07-31","Data Interpretation":"GlobalData snapshot only; validate current asset status","Company ID":"CMP-f131671af2e"}</t>
  </si>
  <si>
    <t>PR-ALL-CMP-736b0de337b</t>
  </si>
  <si>
    <t>CMP-736b0de337b</t>
  </si>
  <si>
    <t>Xi'an Medical University Hospital 2</t>
  </si>
  <si>
    <t>{"Tier":"NON_COMMERCIAL","Company":"Xi'an Medical University Hospital 2","Company Type":"NON_COMMERCIAL","GD Active Assets":1,"GD All Assets":1,"GD Phase II+":0,"Highest GD Stage":"Preclinical","Research Area Tags":"EMG","Bridging Tags":null,"Public Source":null,"GlobalData As-of":"2026-07-31","Data Interpretation":"GlobalData snapshot only; validate current asset status","Company ID":"CMP-736b0de337b"}</t>
  </si>
  <si>
    <t>PR-ALL-CMP-a475890e4f3</t>
  </si>
  <si>
    <t>CMP-a475890e4f3</t>
  </si>
  <si>
    <t>Yildiz Technical University</t>
  </si>
  <si>
    <t>{"Tier":"NON_COMMERCIAL","Company":"Yildiz Technical University","Company Type":"NON_COMMERCIAL","GD Active Assets":1,"GD All Assets":1,"GD Phase II+":0,"Highest GD Stage":"Preclinical","Research Area Tags":"EMG","Bridging Tags":"VAC","Public Source":null,"GlobalData As-of":"2026-07-31","Data Interpretation":"GlobalData snapshot only; validate current asset status","Company ID":"CMP-a475890e4f3"}</t>
  </si>
  <si>
    <t>PR-ALL-CMP-07e659ff00c</t>
  </si>
  <si>
    <t>CMP-07e659ff00c</t>
  </si>
  <si>
    <t>Zhejiang University School of Medicine Hospital 1</t>
  </si>
  <si>
    <t>{"Tier":"NON_COMMERCIAL","Company":"Zhejiang University School of Medicine Hospital 1","Company Type":"NON_COMMERCIAL","GD Active Assets":1,"GD All Assets":1,"GD Phase II+":0,"Highest GD Stage":"Preclinical","Research Area Tags":"HIV","Bridging Tags":null,"Public Source":null,"GlobalData As-of":"2026-07-31","Data Interpretation":"GlobalData snapshot only; validate current asset status","Company ID":"CMP-07e659ff00c"}</t>
  </si>
  <si>
    <t>PR-ALL-CMP-9e0c4b6ad3e</t>
  </si>
  <si>
    <t>CMP-9e0c4b6ad3e</t>
  </si>
  <si>
    <t>Zhongshan Hospital</t>
  </si>
  <si>
    <t>{"Tier":"NON_COMMERCIAL","Company":"Zhongshan Hospital","Company Type":"NON_COMMERCIAL","GD Active Assets":1,"GD All Assets":1,"GD Phase II+":0,"Highest GD Stage":"Preclinical","Research Area Tags":"ABX","Bridging Tags":null,"Public Source":null,"GlobalData As-of":"2026-07-31","Data Interpretation":"GlobalData snapshot only; validate current asset status","Company ID":"CMP-9e0c4b6ad3e"}</t>
  </si>
  <si>
    <t>PR-ALL-CMP-e3e46b6e759</t>
  </si>
  <si>
    <t>CMP-e3e46b6e759</t>
  </si>
  <si>
    <t>Chinese Academy of Medical Sciences and Peking Union Medical College</t>
  </si>
  <si>
    <t>{"Tier":"NON_COMMERCIAL","Company":"Chinese Academy of Medical Sciences and Peking Union Medical College","Company Type":"NON_COMMERCIAL","GD Active Assets":1,"GD All Assets":1,"GD Phase II+":1,"Highest GD Stage":"Phase III","Research Area Tags":null,"Bridging Tags":"VAC","Public Source":null,"GlobalData As-of":"2026-07-31","Data Interpretation":"GlobalData snapshot only; validate current asset status","Company ID":"CMP-e3e46b6e759"}</t>
  </si>
  <si>
    <t>PR-ALL-CMP-cedb27a6b2a</t>
  </si>
  <si>
    <t>CMP-cedb27a6b2a</t>
  </si>
  <si>
    <t>Nanyang Medical College First Affiliated Hospital</t>
  </si>
  <si>
    <t>{"Tier":"NON_COMMERCIAL","Company":"Nanyang Medical College First Affiliated Hospital","Company Type":"NON_COMMERCIAL","GD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ID":"CMP-cedb27a6b2a"}</t>
  </si>
  <si>
    <t>PR-ALL-CMP-606929559d6</t>
  </si>
  <si>
    <t>CMP-606929559d6</t>
  </si>
  <si>
    <t>National Institute of Hygiene and Epidemiology</t>
  </si>
  <si>
    <t>{"Tier":"NON_COMMERCIAL","Company":"National Institute of Hygiene and Epidemiology","Company Type":"NON_COMMERCIAL","GD Active Assets":1,"GD All Assets":1,"GD Phase II+":1,"Highest GD Stage":"Phase II","Research Area Tags":null,"Bridging Tags":"VAC","Public Source":null,"GlobalData As-of":"2026-07-31","Data Interpretation":"GlobalData snapshot only; validate current asset status","Company ID":"CMP-606929559d6"}</t>
  </si>
  <si>
    <t>PR-ALL-CMP-2fbefb7b30b</t>
  </si>
  <si>
    <t>CMP-2fbefb7b30b</t>
  </si>
  <si>
    <t>Ruijin Hospital</t>
  </si>
  <si>
    <t>{"Tier":"NON_COMMERCIAL","Company":"Ruijin Hospital","Company Type":"NON_COMMERCIAL","GD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ID":"CMP-2fbefb7b30b"}</t>
  </si>
  <si>
    <t>PR-ALL-CMP-c4a266a43d0</t>
  </si>
  <si>
    <t>CMP-c4a266a43d0</t>
  </si>
  <si>
    <t>Shenzhen Second People's Hospital</t>
  </si>
  <si>
    <t>{"Tier":"NON_COMMERCIAL","Company":"Shenzhen Second People's Hospital","Company Type":"NON_COMMERCIAL","GD Active Assets":1,"GD All Assets":1,"GD Phase II+":1,"Highest GD Stage":"Phase II","Research Area Tags":null,"Bridging Tags":null,"Public Source":null,"GlobalData As-of":"2026-07-31","Data Interpretation":"GlobalData snapshot only; validate current asset status","Company ID":"CMP-c4a266a43d0"}</t>
  </si>
  <si>
    <t>PR-ALL-CMP-c66e114a765</t>
  </si>
  <si>
    <t>CMP-c66e114a765</t>
  </si>
  <si>
    <t>University Hospital of Nancy</t>
  </si>
  <si>
    <t>{"Tier":"NON_COMMERCIAL","Company":"University Hospital of Nancy","Company Type":"NON_COMMERCIAL","GD Active Assets":1,"GD All Assets":1,"GD Phase II+":1,"Highest GD Stage":"Phase II","Research Area Tags":null,"Bridging Tags":"CGT","Public Source":null,"GlobalData As-of":"2026-07-31","Data Interpretation":"GlobalData snapshot only; validate current asset status","Company ID":"CMP-c66e114a765"}</t>
  </si>
  <si>
    <t>PR-ALL-CMP-3258fa997c7</t>
  </si>
  <si>
    <t>CMP-3258fa997c7</t>
  </si>
  <si>
    <t>University of Maryland Baltimore</t>
  </si>
  <si>
    <t>{"Tier":"NON_COMMERCIAL","Company":"University of Maryland Baltimore","Company Type":"NON_COMMERCIAL","GD Active Assets":1,"GD All Assets":1,"GD Phase II+":1,"Highest GD Stage":"Phase II","Research Area Tags":null,"Bridging Tags":"VAC","Public Source":null,"GlobalData As-of":"2026-07-31","Data Interpretation":"GlobalData snapshot only; validate current asset status","Company ID":"CMP-3258fa997c7"}</t>
  </si>
  <si>
    <t>PR-ALL-CMP-b97baa4237c</t>
  </si>
  <si>
    <t>CMP-b97baa4237c</t>
  </si>
  <si>
    <t>Institut Pasteur of Shanghai Chinese Academy of Sciences</t>
  </si>
  <si>
    <t>{"Tier":"NON_COMMERCIAL","Company":"Institut Pasteur of Shanghai Chinese Academy of Sciences","Company Type":"NON_COMMERCIAL","GD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ID":"CMP-b97baa4237c"}</t>
  </si>
  <si>
    <t>PR-ALL-CMP-ccab92252c4</t>
  </si>
  <si>
    <t>CMP-ccab92252c4</t>
  </si>
  <si>
    <t>Monash University</t>
  </si>
  <si>
    <t>{"Tier":"NON_COMMERCIAL","Company":"Monash University","Company Type":"NON_COMMERCIAL","GD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ID":"CMP-ccab92252c4"}</t>
  </si>
  <si>
    <t>PR-ALL-CMP-41a4721365e</t>
  </si>
  <si>
    <t>CMP-41a4721365e</t>
  </si>
  <si>
    <t>Temple University</t>
  </si>
  <si>
    <t>{"Tier":"NON_COMMERCIAL","Company":"Temple University","Company Type":"NON_COMMERCIAL","GD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ID":"CMP-41a4721365e"}</t>
  </si>
  <si>
    <t>PR-ALL-CMP-e5d014d4d57</t>
  </si>
  <si>
    <t>CMP-e5d014d4d57</t>
  </si>
  <si>
    <t>Tongji University</t>
  </si>
  <si>
    <t>{"Tier":"NON_COMMERCIAL","Company":"Tongji University","Company Type":"NON_COMMERCIAL","GD Active Assets":1,"GD All Assets":1,"GD Phase II+":0,"Highest GD Stage":"Phase 0","Research Area Tags":null,"Bridging Tags":null,"Public Source":null,"GlobalData As-of":"2026-07-31","Data Interpretation":"GlobalData snapshot only; validate current asset status","Company ID":"CMP-e5d014d4d57"}</t>
  </si>
  <si>
    <t>PR-ALL-CMP-2cbdb26cb45</t>
  </si>
  <si>
    <t>CMP-2cbdb26cb45</t>
  </si>
  <si>
    <t>University of California San Diego</t>
  </si>
  <si>
    <t>{"Tier":"NON_COMMERCIAL","Company":"University of California San Diego","Company Type":"NON_COMMERCIAL","GD Active Assets":1,"GD All Assets":1,"GD Phase II+":0,"Highest GD Stage":"Preclinical","Research Area Tags":null,"Bridging Tags":"VAC","Public Source":null,"GlobalData As-of":"2026-07-31","Data Interpretation":"GlobalData snapshot only; validate current asset status","Company ID":"CMP-2cbdb26cb45"}</t>
  </si>
  <si>
    <t>PR-ALL-CMP-55c7d537bb4</t>
  </si>
  <si>
    <t>CMP-55c7d537bb4</t>
  </si>
  <si>
    <t>Vanderbilt University Medical Center</t>
  </si>
  <si>
    <t>{"Tier":"NON_COMMERCIAL","Company":"Vanderbilt University Medical Center","Company Type":"NON_COMMERCIAL","GD Active Assets":1,"GD All Assets":1,"GD Phase II+":0,"Highest GD Stage":"Preclinical","Research Area Tags":null,"Bridging Tags":"MAB","Public Source":null,"GlobalData As-of":"2026-07-31","Data Interpretation":"GlobalData snapshot only; validate current asset status","Company ID":"CMP-55c7d537bb4"}</t>
  </si>
  <si>
    <t>PR-ALL-CMP-53abdd440f9</t>
  </si>
  <si>
    <t>CMP-53abdd440f9</t>
  </si>
  <si>
    <t>Wake Forest University</t>
  </si>
  <si>
    <t>{"Tier":"NON_COMMERCIAL","Company":"Wake Forest University","Company Type":"NON_COMMERCIAL","GD Active Assets":1,"GD All Assets":1,"GD Phase II+":0,"Highest GD Stage":"Phase I","Research Area Tags":null,"Bridging Tags":"VAC","Public Source":null,"GlobalData As-of":"2026-07-31","Data Interpretation":"GlobalData snapshot only; validate current asset status","Company ID":"CMP-53abdd440f9"}</t>
  </si>
  <si>
    <t>PR-ALL-CMP-2fafcff0b32</t>
  </si>
  <si>
    <t>CMP-2fafcff0b32</t>
  </si>
  <si>
    <t>Zhejiang University</t>
  </si>
  <si>
    <t>{"Tier":"NON_COMMERCIAL","Company":"Zhejiang University","Company Type":"NON_COMMERCIAL","GD Active Assets":1,"GD All Assets":1,"GD Phase II+":0,"Highest GD Stage":"Preclinical","Research Area Tags":null,"Bridging Tags":null,"Public Source":null,"GlobalData As-of":"2026-07-31","Data Interpretation":"GlobalData snapshot only; validate current asset status","Company ID":"CMP-2fafcff0b32"}</t>
  </si>
  <si>
    <t>PR-ALL-CMP-edc657a0542</t>
  </si>
  <si>
    <t>CMP-edc657a0542</t>
  </si>
  <si>
    <t>Aeras Global TB Vaccine Foundation Inc (Inactive)</t>
  </si>
  <si>
    <t>{"Tier":"NON_COMMERCIAL","Company":"Aeras Global TB Vaccine Foundation Inc (Inactive)","Company Type":"NON_COMMERCIAL","GD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ID":"CMP-edc657a0542"}</t>
  </si>
  <si>
    <t>PR-ALL-CMP-c414857eb7a</t>
  </si>
  <si>
    <t>CMP-c414857eb7a</t>
  </si>
  <si>
    <t>Tohoku University</t>
  </si>
  <si>
    <t>{"Tier":"NON_COMMERCIAL","Company":"Tohoku University","Company Type":"NON_COMMERCIAL","GD Active Assets":0,"GD All Assets":1,"GD Phase II+":0,"Highest GD Stage":"-","Research Area Tags":null,"Bridging Tags":null,"Public Source":null,"GlobalData As-of":"2026-07-31","Data Interpretation":"GlobalData snapshot only; validate current asset status","Company ID":"CMP-c414857eb7a"}</t>
  </si>
  <si>
    <t>PR-05-4</t>
  </si>
  <si>
    <t>05_ADDITIONS</t>
  </si>
  <si>
    <t>Ergaenzende Herkunft vollstaendig erhalten; Themenzuordnungen sind keine Asset-Level-Validierung.</t>
  </si>
  <si>
    <t>{"Public/Curated Name":"Infex Therapeutics","Matched Company Name":"Infex Therapeutics Ltd","In GD source":"Yes","Added RA Tags":"ABX,HAI","Added Bridging Tags":"MAB,SMD","Role":"Therapeutics","Reference URL":"https://beam-alliance.eu/pipeline/","Focus / Inclusion Reason":"BEAM membership / pipeline","CORE by Curation":"Yes"}</t>
  </si>
  <si>
    <t>PR-05-5</t>
  </si>
  <si>
    <t>{"Public/Curated Name":"Antabio","Matched Company Name":"Antabio SAS","In GD source":"Yes","Added RA Tags":"ABX,HAI","Added Bridging Tags":"SMD","Role":"Therapeutics","Reference URL":"https://beam-alliance.eu/pipeline/","Focus / Inclusion Reason":"BEAM membership / pipeline","CORE by Curation":"Yes"}</t>
  </si>
  <si>
    <t>PR-05-6</t>
  </si>
  <si>
    <t>{"Public/Curated Name":"BioVersys","Matched Company Name":"Bioversys AG","In GD source":"Yes","Added RA Tags":"ABX,HAI,TB","Added Bridging Tags":"SMD","Role":"Therapeutics","Reference URL":"https://beam-alliance.eu/pipeline/","Focus / Inclusion Reason":"BEAM membership / pipeline","CORE by Curation":"Yes"}</t>
  </si>
  <si>
    <t>PR-05-7</t>
  </si>
  <si>
    <t>Basilea</t>
  </si>
  <si>
    <t>{"Public/Curated Name":"Basilea","Matched Company Name":"Basilea Pharmaceutica Ltd","In GD source":"Yes","Added RA Tags":"ABX,HAI,ICH","Added Bridging Tags":"SMD","Role":"Therapeutics","Reference URL":"https://beam-alliance.eu/pipeline/","Focus / Inclusion Reason":"BEAM membership / pipeline","CORE by Curation":"Yes"}</t>
  </si>
  <si>
    <t>PR-05-8</t>
  </si>
  <si>
    <t>Aurobac Therapeutics</t>
  </si>
  <si>
    <t>{"Public/Curated Name":"Aurobac Therapeutics","Matched Company Name":"Aurobac Therapeutics SAS","In GD source":"Yes","Added RA Tags":"ABX,HAI","Added Bridging Tags":"SMD","Role":"Therapeutics","Reference URL":"https://beam-alliance.eu/pipeline/","Focus / Inclusion Reason":"BEAM membership / pipeline","CORE by Curation":"Yes"}</t>
  </si>
  <si>
    <t>PR-05-9</t>
  </si>
  <si>
    <t>{"Public/Curated Name":"Omnix Medical","Matched Company Name":"Omnix Medical","In GD source":"No","Added RA Tags":"ABX,HAI","Added Bridging Tags":null,"Role":"Therapeutics","Reference URL":"https://beam-alliance.eu/pipeline/","Focus / Inclusion Reason":"BEAM membership / pipeline","CORE by Curation":"Yes"}</t>
  </si>
  <si>
    <t>PR-05-10</t>
  </si>
  <si>
    <t>SNIPR Biome</t>
  </si>
  <si>
    <t>{"Public/Curated Name":"SNIPR Biome","Matched Company Name":"SNIPR Biome ApS","In GD source":"Yes","Added RA Tags":"ABX,HAI,ICH","Added Bridging Tags":"MIC","Role":"Therapeutics","Reference URL":"https://beam-alliance.eu/pipeline/","Focus / Inclusion Reason":"BEAM membership / pipeline","CORE by Curation":"Yes"}</t>
  </si>
  <si>
    <t>PR-05-11</t>
  </si>
  <si>
    <t>{"Public/Curated Name":"VAXDYN","Matched Company Name":"VAXDYN","In GD source":"No","Added RA Tags":"ABX,HAI","Added Bridging Tags":"VAC","Role":"Therapeutics","Reference URL":"https://beam-alliance.eu/pipeline/","Focus / Inclusion Reason":"BEAM membership / pipeline","CORE by Curation":"Yes"}</t>
  </si>
  <si>
    <t>PR-05-12</t>
  </si>
  <si>
    <t>{"Public/Curated Name":"IMMUNETHEP","Matched Company Name":"IMMUNETHEP","In GD source":"No","Added RA Tags":"ABX,HAI,MUC","Added Bridging Tags":"MAB,VAC","Role":"Therapeutics","Reference URL":"https://beam-alliance.eu/pipeline/","Focus / Inclusion Reason":"BEAM membership / pipeline","CORE by Curation":"Yes"}</t>
  </si>
  <si>
    <t>PR-05-13</t>
  </si>
  <si>
    <t>{"Public/Curated Name":"F2G","Matched Company Name":"F2G Ltd","In GD source":"Yes","Added RA Tags":"ICH","Added Bridging Tags":"SMD","Role":"Therapeutics","Reference URL":"https://beam-alliance.eu/pipeline/","Focus / Inclusion Reason":"BEAM membership / pipeline","CORE by Curation":"Yes"}</t>
  </si>
  <si>
    <t>PR-05-14</t>
  </si>
  <si>
    <t>{"Public/Curated Name":"Telum Therapeutics","Matched Company Name":"Telum Therapeutics","In GD source":"No","Added RA Tags":"ABX,HAI","Added Bridging Tags":null,"Role":"Therapeutics","Reference URL":"https://beam-alliance.eu/pipeline/","Focus / Inclusion Reason":"BEAM membership / pipeline","CORE by Curation":"Yes"}</t>
  </si>
  <si>
    <t>PR-05-15</t>
  </si>
  <si>
    <t>{"Public/Curated Name":"Bactobio","Matched Company Name":"Bactobio","In GD source":"No","Added RA Tags":"ABX,HAI","Added Bridging Tags":"SMD","Role":"Therapeutics","Reference URL":"https://beam-alliance.eu/pipeline/","Focus / Inclusion Reason":"BEAM membership / pipeline","CORE by Curation":"Yes"}</t>
  </si>
  <si>
    <t>PR-05-16</t>
  </si>
  <si>
    <t>Qpex Biopharma</t>
  </si>
  <si>
    <t>{"Public/Curated Name":"Qpex Biopharma","Matched Company Name":"Qpex Biopharma Inc","In GD source":"Yes","Added RA Tags":"ABX,HAI","Added Bridging Tags":"SMD","Role":"Therapeutics","Reference URL":"https://beam-alliance.eu/pipeline/","Focus / Inclusion Reason":"BEAM membership / pipeline","CORE by Curation":"Yes"}</t>
  </si>
  <si>
    <t>PR-05-17</t>
  </si>
  <si>
    <t>{"Public/Curated Name":"ArrePath","Matched Company Name":"ArrePath","In GD source":"No","Added RA Tags":"ABX,HAI","Added Bridging Tags":"SMD","Role":"Therapeutics","Reference URL":"https://beam-alliance.eu/pipeline/","Focus / Inclusion Reason":"BEAM membership / pipeline","CORE by Curation":"Yes"}</t>
  </si>
  <si>
    <t>PR-05-18</t>
  </si>
  <si>
    <t>{"Public/Curated Name":"Syntinel Biologics","Matched Company Name":"Syntinel Biologics","In GD source":"No","Added RA Tags":"ABX,HAI","Added Bridging Tags":"VAC","Role":"Therapeutics","Reference URL":"https://beam-alliance.eu/pipeline/","Focus / Inclusion Reason":"BEAM membership / pipeline","CORE by Curation":"Yes"}</t>
  </si>
  <si>
    <t>PR-05-19</t>
  </si>
  <si>
    <t>{"Public/Curated Name":"Obulytix","Matched Company Name":"Obulytix","In GD source":"No","Added RA Tags":"ABX,HAI","Added Bridging Tags":null,"Role":"Therapeutics","Reference URL":"https://beam-alliance.eu/pipeline/","Focus / Inclusion Reason":"BEAM membership / pipeline","CORE by Curation":"Yes"}</t>
  </si>
  <si>
    <t>PR-05-20</t>
  </si>
  <si>
    <t>{"Public/Curated Name":"INTELIPHAGE","Matched Company Name":"INTELIPHAGE","In GD source":"No","Added RA Tags":"ABX,HAI","Added Bridging Tags":null,"Role":"Therapeutics","Reference URL":"https://beam-alliance.eu/pipeline/","Focus / Inclusion Reason":"BEAM membership / pipeline","CORE by Curation":"Yes"}</t>
  </si>
  <si>
    <t>PR-05-21</t>
  </si>
  <si>
    <t>{"Public/Curated Name":"Phagos","Matched Company Name":"Phagos","In GD source":"No","Added RA Tags":"ABX,HAI","Added Bridging Tags":null,"Role":"Therapeutics","Reference URL":"https://beam-alliance.eu/pipeline/","Focus / Inclusion Reason":"BEAM membership / pipeline","CORE by Curation":"Yes"}</t>
  </si>
  <si>
    <t>PR-05-22</t>
  </si>
  <si>
    <t>{"Public/Curated Name":"Nexbiome Therapeutics","Matched Company Name":"Nexbiome Therapeutics","In GD source":"No","Added RA Tags":"ABX,HAI","Added Bridging Tags":"MIC","Role":"Therapeutics","Reference URL":"https://beam-alliance.eu/pipeline/","Focus / Inclusion Reason":"BEAM membership / pipeline","CORE by Curation":"Yes"}</t>
  </si>
  <si>
    <t>PR-05-23</t>
  </si>
  <si>
    <t>{"Public/Curated Name":"Centauri Therapeutics","Matched Company Name":"Centauri Therapeutics","In GD source":"No","Added RA Tags":"ABX,HAI","Added Bridging Tags":"MAB","Role":"Therapeutics","Reference URL":"https://beam-alliance.eu/pipeline/","Focus / Inclusion Reason":"BEAM membership / pipeline","CORE by Curation":"Yes"}</t>
  </si>
  <si>
    <t>PR-05-24</t>
  </si>
  <si>
    <t>{"Public/Curated Name":"Debiopharm International","Matched Company Name":"Debiopharm International","In GD source":"No","Added RA Tags":"ABX,HAI","Added Bridging Tags":"SMD","Role":"Therapeutics","Reference URL":"https://beam-alliance.eu/pipeline/","Focus / Inclusion Reason":"BEAM membership / pipeline","CORE by Curation":"Yes"}</t>
  </si>
  <si>
    <t>PR-05-25</t>
  </si>
  <si>
    <t>{"Public/Curated Name":"Disperazol Pharma","Matched Company Name":"Disperazol Pharma","In GD source":"No","Added RA Tags":"ABX,HAI","Added Bridging Tags":"SMD","Role":"Therapeutics","Reference URL":"https://beam-alliance.eu/pipeline/","Focus / Inclusion Reason":"BEAM membership / pipeline","CORE by Curation":"Yes"}</t>
  </si>
  <si>
    <t>PR-05-26</t>
  </si>
  <si>
    <t>{"Public/Curated Name":"smartbax","Matched Company Name":"smartbax","In GD source":"No","Added RA Tags":"ABX,HAI","Added Bridging Tags":"SMD","Role":"Therapeutics","Reference URL":"https://beam-alliance.eu/pipeline/","Focus / Inclusion Reason":"BEAM membership / pipeline","CORE by Curation":"Yes"}</t>
  </si>
  <si>
    <t>PR-05-27</t>
  </si>
  <si>
    <t>{"Public/Curated Name":"Hypharm","Matched Company Name":"Hypharm","In GD source":"No","Added RA Tags":"ABX,HAI","Added Bridging Tags":null,"Role":"Therapeutics","Reference URL":"https://beam-alliance.eu/pipeline/","Focus / Inclusion Reason":"BEAM membership / pipeline","CORE by Curation":"Yes"}</t>
  </si>
  <si>
    <t>PR-05-28</t>
  </si>
  <si>
    <t>{"Public/Curated Name":"Santero Therapeutics","Matched Company Name":"Santero Therapeutics","In GD source":"No","Added RA Tags":"ABX,HAI","Added Bridging Tags":"SMD","Role":"Therapeutics","Reference URL":"https://beam-alliance.eu/pipeline/","Focus / Inclusion Reason":"BEAM membership / pipeline","CORE by Curation":"Yes"}</t>
  </si>
  <si>
    <t>PR-05-29</t>
  </si>
  <si>
    <t>{"Public/Curated Name":"OM Pharma","Matched Company Name":"OM Pharma","In GD source":"No","Added RA Tags":"HAI,MUC","Added Bridging Tags":"VAC","Role":"Therapeutics","Reference URL":"https://beam-alliance.eu/pipeline/","Focus / Inclusion Reason":"BEAM membership / pipeline","CORE by Curation":"Yes"}</t>
  </si>
  <si>
    <t>PR-05-30</t>
  </si>
  <si>
    <t>{"Public/Curated Name":"Akthelia","Matched Company Name":"Akthelia","In GD source":"No","Added RA Tags":"HAI,ICH","Added Bridging Tags":null,"Role":"Therapeutics","Reference URL":"https://beam-alliance.eu/members/","Focus / Inclusion Reason":"BEAM membership / pipeline","CORE by Curation":"No"}</t>
  </si>
  <si>
    <t>PR-05-31</t>
  </si>
  <si>
    <t>{"Public/Curated Name":"Selmod","Matched Company Name":"Selmod","In GD source":"No","Added RA Tags":"ABX,HAI","Added Bridging Tags":"SMD","Role":"Therapeutics","Reference URL":"https://beam-alliance.eu/members/","Focus / Inclusion Reason":"BEAM membership / pipeline","CORE by Curation":"No"}</t>
  </si>
  <si>
    <t>PR-05-32</t>
  </si>
  <si>
    <t>{"Public/Curated Name":"AdjuTec Pharma","Matched Company Name":"AdjuTec Pharma","In GD source":"No","Added RA Tags":"ABX,HAI,ICH","Added Bridging Tags":"SMD","Role":"Therapeutics","Reference URL":"https://beam-alliance.eu/members/","Focus / Inclusion Reason":"BEAM membership / pipeline","CORE by Curation":"No"}</t>
  </si>
  <si>
    <t>PR-05-33</t>
  </si>
  <si>
    <t>{"Public/Curated Name":"AB2 Therapeutics","Matched Company Name":"AB2 Therapeutics","In GD source":"No","Added RA Tags":"ABX,HAI,ICH","Added Bridging Tags":"MAB","Role":"Therapeutics","Reference URL":"https://beam-alliance.eu/members/","Focus / Inclusion Reason":"BEAM membership / pipeline","CORE by Curation":"No"}</t>
  </si>
  <si>
    <t>PR-05-34</t>
  </si>
  <si>
    <t>{"Public/Curated Name":"Brigid Bio","Matched Company Name":"Brigid Bio","In GD source":"No","Added RA Tags":"ICH","Added Bridging Tags":"MAB","Role":"Therapeutics","Reference URL":"https://beam-alliance.eu/members/","Focus / Inclusion Reason":"BEAM membership / pipeline","CORE by Curation":"No"}</t>
  </si>
  <si>
    <t>PR-05-35</t>
  </si>
  <si>
    <t>{"Public/Curated Name":"DevsHealth","Matched Company Name":"DevsHealth","In GD source":"No","Added RA Tags":"ABX,HAI","Added Bridging Tags":"SMD","Role":"Therapeutics","Reference URL":"https://beam-alliance.eu/members/","Focus / Inclusion Reason":"BEAM membership / pipeline","CORE by Curation":"No"}</t>
  </si>
  <si>
    <t>PR-05-36</t>
  </si>
  <si>
    <t>{"Public/Curated Name":"Nostics","Matched Company Name":"Nostics","In GD source":"No","Added RA Tags":"HAI","Added Bridging Tags":"DIA","Role":"Diagnostics","Reference URL":"https://beam-alliance.eu/pipeline/","Focus / Inclusion Reason":"BEAM membership / pipeline","CORE by Curation":"Yes"}</t>
  </si>
  <si>
    <t>PR-05-37</t>
  </si>
  <si>
    <t>{"Public/Curated Name":"BugSee","Matched Company Name":"BugSee","In GD source":"No","Added RA Tags":"HAI","Added Bridging Tags":"DIA","Role":"Diagnostics","Reference URL":"https://beam-alliance.eu/pipeline/","Focus / Inclusion Reason":"BEAM membership / pipeline","CORE by Curation":"Yes"}</t>
  </si>
  <si>
    <t>PR-05-38</t>
  </si>
  <si>
    <t>{"Public/Curated Name":"Microbira","Matched Company Name":"Microbira","In GD source":"No","Added RA Tags":"HAI","Added Bridging Tags":"DIA","Role":"Diagnostics","Reference URL":"https://beam-alliance.eu/pipeline/","Focus / Inclusion Reason":"BEAM membership / pipeline","CORE by Curation":"Yes"}</t>
  </si>
  <si>
    <t>PR-05-39</t>
  </si>
  <si>
    <t>{"Public/Curated Name":"Profionics","Matched Company Name":"Profionics","In GD source":"No","Added RA Tags":"HAI","Added Bridging Tags":"DIA","Role":"Diagnostics","Reference URL":"https://beam-alliance.eu/members/","Focus / Inclusion Reason":"BEAM membership / pipeline","CORE by Curation":"No"}</t>
  </si>
  <si>
    <t>PR-05-40</t>
  </si>
  <si>
    <t>{"Public/Curated Name":"Ferring Pharmaceuticals","Matched Company Name":"Ferring Pharmaceuticals","In GD source":"No","Added RA Tags":"HAI,ICH","Added Bridging Tags":"MIC","Role":"Microbiome therapeutics","Reference URL":"https://www.ferring.com/science-innovation/research-and-development/product-pipeline/","Focus / Inclusion Reason":"Rebyota / recurrent C. difficile","CORE by Curation":"Yes"}</t>
  </si>
  <si>
    <t>PR-05-41</t>
  </si>
  <si>
    <t>{"Public/Curated Name":"MaaT Pharma","Matched Company Name":"MaaT Pharma","In GD source":"No","Added RA Tags":"HAI,ICH","Added Bridging Tags":"MIC","Role":"Microbiome therapeutics","Reference URL":"https://www.maatpharma.com/pipeline/","Focus / Inclusion Reason":"Microbiota / allo-HCT (adjacent)","CORE by Curation":"Yes"}</t>
  </si>
  <si>
    <t>PR-05-42</t>
  </si>
  <si>
    <t>{"Public/Curated Name":"Atara Biotherapeutics","Matched Company Name":"Atara Biotherapeutics","In GD source":"No","Added RA Tags":"EMG,ICH","Added Bridging Tags":"CGT","Role":"Cell therapy","Reference URL":"https://investors.atarabio.com/news-events/press-releases","Focus / Inclusion Reason":"Tabelecleucel / EBV+ PTLD","CORE by Curation":"Yes"}</t>
  </si>
  <si>
    <t>PR-05-43</t>
  </si>
  <si>
    <t>{"Public/Curated Name":"Excision BioTherapeutics","Matched Company Name":"Excision BioTherapeutics","In GD source":"No","Added RA Tags":"HIV","Added Bridging Tags":"CGT","Role":"Gene therapy","Reference URL":"https://excisionbiotherapeutics.com/pipeline","Focus / Inclusion Reason":"EBT-101 HIV gene editing","CORE by Curation":"Yes"}</t>
  </si>
  <si>
    <t>PR-05-44</t>
  </si>
  <si>
    <t>{"Public/Curated Name":"Roche Diagnostics","Matched Company Name":"Roche Diagnostics","In GD source":"No","Added RA Tags":"HAI,HEP,HIV,MUC,TB","Added Bridging Tags":"DIA","Role":"Diagnostics","Reference URL":"https://diagnostics.roche.com/global/en/products/product-category/health-topic/infectious-diseases.html","Focus / Inclusion Reason":"Infectious-disease tests","CORE by Curation":"Yes"}</t>
  </si>
  <si>
    <t>PR-05-45</t>
  </si>
  <si>
    <t>{"Public/Curated Name":"QIAGEN","Matched Company Name":"QIAGEN","In GD source":"No","Added RA Tags":"HAI,HEP,HIV,MUC,TB","Added Bridging Tags":"DIA","Role":"Diagnostics","Reference URL":"https://www.qiagen.com/de/products/diagnostics-and-clinical-research/infectious-disease/qiastat-dx-syndromic-testing/qiastat-dx","Focus / Inclusion Reason":"Syndromic infectious disease testing","CORE by Curation":"Yes"}</t>
  </si>
  <si>
    <t>PR-05-46</t>
  </si>
  <si>
    <t>{"Public/Curated Name":"Becton, Dickinson and Company","Matched Company Name":"Becton, Dickinson and Company","In GD source":"No","Added RA Tags":"HAI,MUC,TB","Added Bridging Tags":"DIA","Role":"Diagnostics","Reference URL":"https://emea.bd.com/advancing-diagnostics/for-clinicians/","Focus / Inclusion Reason":"HAI / MDR-TB diagnostics","CORE by Curation":"Yes"}</t>
  </si>
  <si>
    <t>PR-05-47</t>
  </si>
  <si>
    <t>{"Public/Curated Name":"Cepheid","Matched Company Name":"Cepheid","In GD source":"No","Added RA Tags":"HAI,HIV,TB","Added Bridging Tags":"DIA","Role":"Diagnostics","Reference URL":"https://www.cepheid.com/","Focus / Inclusion Reason":"Molecular infectious disease tests","CORE by Curation":"Yes"}</t>
  </si>
  <si>
    <t>PR-05-48</t>
  </si>
  <si>
    <t>{"Public/Curated Name":"bioMerieux","Matched Company Name":"bioMerieux","In GD source":"No","Added RA Tags":"HAI,ICH,MUC","Added Bridging Tags":"DIA","Role":"Diagnostics","Reference URL":"https://www.biomerieux.com/","Focus / Inclusion Reason":"Clinical microbiology","CORE by Curation":"Yes"}</t>
  </si>
  <si>
    <t>PR-05-49</t>
  </si>
  <si>
    <t>Seres Therapeutics</t>
  </si>
  <si>
    <t>{"Public/Curated Name":"Seres Therapeutics","Matched Company Name":"Seres Therapeutics Inc","In GD source":"Yes","Added RA Tags":"HAI,ICH","Added Bridging Tags":"MIC","Role":"Microbiome therapeutics","Reference URL":"https://www.serestherapeutics.com/our-programs/","Focus / Inclusion Reason":"SER-155 allo-HSCT","CORE by Curation":"Yes"}</t>
  </si>
  <si>
    <t>PR-05-50</t>
  </si>
  <si>
    <t>Vedanta Biosciences</t>
  </si>
  <si>
    <t>{"Public/Curated Name":"Vedanta Biosciences","Matched Company Name":"Vedanta Biosciences Inc","In GD source":"Yes","Added RA Tags":"HAI,ICH","Added Bridging Tags":"MIC","Role":"Microbiome therapeutics","Reference URL":"https://www.vedantabio.com/pipeline-programs/pipeline/","Focus / Inclusion Reason":"VE303 CDI / VE707 AMR","CORE by Curation":"Yes"}</t>
  </si>
  <si>
    <t>PR-05-51</t>
  </si>
  <si>
    <t>{"Public/Curated Name":"Armata Pharmaceuticals","Matched Company Name":"Armata Pharmaceuticals Inc","In GD source":"Yes","Added RA Tags":"ABX,HAI","Added Bridging Tags":null,"Role":"Phage therapeutics","Reference URL":"https://www.armata.com/","Focus / Inclusion Reason":"Pseudomonas phages","CORE by Curation":"Yes"}</t>
  </si>
  <si>
    <t>PR-05-52</t>
  </si>
  <si>
    <t>{"Public/Curated Name":"Clarametyx Biosciences","Matched Company Name":"Clarametyx Biosciences Inc","In GD source":"Yes","Added RA Tags":"HAI,MUC","Added Bridging Tags":"MAB","Role":"Antibody therapeutics","Reference URL":"https://clarametyx.com/","Focus / Inclusion Reason":"Anti-biofilm","CORE by Curation":"Yes"}</t>
  </si>
  <si>
    <t>PR-05-53</t>
  </si>
  <si>
    <t>{"Public/Curated Name":"GSK plc","Matched Company Name":"GSK plc","In GD source":"Yes","Added RA Tags":"EMG,HEP,HIV,MUC,NTD","Added Bridging Tags":"MAB,VAC","Role":"Therapeutics","Reference URL":null,"Focus / Inclusion Reason":"Curated theme association; not verified active assets","CORE by Curation":"No"}</t>
  </si>
  <si>
    <t>PR-05-54</t>
  </si>
  <si>
    <t>{"Public/Curated Name":"Merck &amp; Co Inc","Matched Company Name":"Merck &amp; Co Inc","In GD source":"Yes","Added RA Tags":"EMG,HIV,MUC","Added Bridging Tags":"VAC","Role":"Therapeutics","Reference URL":null,"Focus / Inclusion Reason":"Curated theme association; not verified active assets","CORE by Curation":"No"}</t>
  </si>
  <si>
    <t>PR-05-55</t>
  </si>
  <si>
    <t>{"Public/Curated Name":"Pfizer Inc","Matched Company Name":"Pfizer Inc","In GD source":"Yes","Added RA Tags":"EMG,HAI,MUC","Added Bridging Tags":"VAC","Role":"Therapeutics","Reference URL":null,"Focus / Inclusion Reason":"Curated theme association; not verified active assets","CORE by Curation":"No"}</t>
  </si>
  <si>
    <t>PR-05-56</t>
  </si>
  <si>
    <t>{"Public/Curated Name":"Sanofi","Matched Company Name":"Sanofi","In GD source":"Yes","Added RA Tags":"EMG,MUC","Added Bridging Tags":"VAC","Role":"Therapeutics","Reference URL":null,"Focus / Inclusion Reason":"Curated theme association; not verified active assets","CORE by Curation":"No"}</t>
  </si>
  <si>
    <t>PR-05-57</t>
  </si>
  <si>
    <t>{"Public/Curated Name":"Moderna Inc","Matched Company Name":"Moderna Inc","In GD source":"Yes","Added RA Tags":"EMG,MUC","Added Bridging Tags":"VAC","Role":"Therapeutics","Reference URL":null,"Focus / Inclusion Reason":"Curated theme association; not verified active assets","CORE by Curation":"No"}</t>
  </si>
  <si>
    <t>PR-05-58</t>
  </si>
  <si>
    <t>{"Public/Curated Name":"BioNTech SE","Matched Company Name":"BioNTech SE","In GD source":"Yes","Added RA Tags":"EMG,MUC","Added Bridging Tags":"VAC","Role":"Therapeutics","Reference URL":null,"Focus / Inclusion Reason":"Curated theme association; not verified active assets","CORE by Curation":"No"}</t>
  </si>
  <si>
    <t>PR-05-59</t>
  </si>
  <si>
    <t>{"Public/Curated Name":"Novavax Inc","Matched Company Name":"Novavax Inc","In GD source":"Yes","Added RA Tags":"EMG,MUC","Added Bridging Tags":"VAC","Role":"Therapeutics","Reference URL":null,"Focus / Inclusion Reason":"Curated theme association; not verified active assets","CORE by Curation":"No"}</t>
  </si>
  <si>
    <t>PR-05-60</t>
  </si>
  <si>
    <t>{"Public/Curated Name":"Bavarian Nordic AS","Matched Company Name":"Bavarian Nordic AS","In GD source":"Yes","Added RA Tags":"EMG,MUC","Added Bridging Tags":"VAC","Role":"Therapeutics","Reference URL":null,"Focus / Inclusion Reason":"Curated theme association; not verified active assets","CORE by Curation":"No"}</t>
  </si>
  <si>
    <t>PR-05-61</t>
  </si>
  <si>
    <t>{"Public/Curated Name":"Sinovac Biotech Ltd","Matched Company Name":"Sinovac Biotech Ltd","In GD source":"Yes","Added RA Tags":"EMG,MUC","Added Bridging Tags":"VAC","Role":"Therapeutics","Reference URL":null,"Focus / Inclusion Reason":"Curated theme association; not verified active assets","CORE by Curation":"No"}</t>
  </si>
  <si>
    <t>PR-05-62</t>
  </si>
  <si>
    <t>{"Public/Curated Name":"CanSino Biologics Inc","Matched Company Name":"CanSino Biologics Inc","In GD source":"Yes","Added RA Tags":"EMG,MUC","Added Bridging Tags":"VAC","Role":"Therapeutics","Reference URL":null,"Focus / Inclusion Reason":"Curated theme association; not verified active assets","CORE by Curation":"No"}</t>
  </si>
  <si>
    <t>PR-05-63</t>
  </si>
  <si>
    <t>{"Public/Curated Name":"Valneva SE","Matched Company Name":"Valneva SE","In GD source":"Yes","Added RA Tags":"EMG,MUC,NTD","Added Bridging Tags":"VAC","Role":"Therapeutics","Reference URL":null,"Focus / Inclusion Reason":"Curated theme association; not verified active assets","CORE by Curation":"No"}</t>
  </si>
  <si>
    <t>PR-05-64</t>
  </si>
  <si>
    <t>{"Public/Curated Name":"Vaxart Inc","Matched Company Name":"Vaxart Inc","In GD source":"Yes","Added RA Tags":"EMG,MUC","Added Bridging Tags":"VAC","Role":"Therapeutics","Reference URL":null,"Focus / Inclusion Reason":"Curated theme association; not verified active assets","CORE by Curation":"No"}</t>
  </si>
  <si>
    <t>PR-05-65</t>
  </si>
  <si>
    <t>{"Public/Curated Name":"AIM Vaccine Co Ltd","Matched Company Name":"AIM Vaccine Co Ltd","In GD source":"Yes","Added RA Tags":"EMG,MUC","Added Bridging Tags":"VAC","Role":"Therapeutics","Reference URL":null,"Focus / Inclusion Reason":"Curated theme association; not verified active assets","CORE by Curation":"No"}</t>
  </si>
  <si>
    <t>PR-05-66</t>
  </si>
  <si>
    <t>{"Public/Curated Name":"SK Bioscience Ltd","Matched Company Name":"SK Bioscience Ltd","In GD source":"Yes","Added RA Tags":"EMG,MUC","Added Bridging Tags":"VAC","Role":"Therapeutics","Reference URL":null,"Focus / Inclusion Reason":"Curated theme association; not verified active assets","CORE by Curation":"No"}</t>
  </si>
  <si>
    <t>PR-05-67</t>
  </si>
  <si>
    <t>{"Public/Curated Name":"Chongqing Zhifei Biological Products Co Ltd","Matched Company Name":"Chongqing Zhifei Biological Products Co Ltd","In GD source":"Yes","Added RA Tags":"EMG,MUC","Added Bridging Tags":"VAC","Role":"Therapeutics","Reference URL":null,"Focus / Inclusion Reason":"Curated theme association; not verified active assets","CORE by Curation":"No"}</t>
  </si>
  <si>
    <t>PR-05-68</t>
  </si>
  <si>
    <t>{"Public/Curated Name":"ViiV Healthcare","Matched Company Name":"ViiV Healthcare UK Ltd","In GD source":"Yes","Added RA Tags":"HIV","Added Bridging Tags":"MAB,SMD","Role":"Therapeutics","Reference URL":null,"Focus / Inclusion Reason":"Curated theme association; not verified active assets","CORE by Curation":"No"}</t>
  </si>
  <si>
    <t>PR-05-69</t>
  </si>
  <si>
    <t>{"Public/Curated Name":"Gilead Sciences Inc","Matched Company Name":"Gilead Sciences Inc","In GD source":"Yes","Added RA Tags":"EMG,HEP,HIV","Added Bridging Tags":"SMD","Role":"Therapeutics","Reference URL":null,"Focus / Inclusion Reason":"Curated theme association; not verified active assets","CORE by Curation":"No"}</t>
  </si>
  <si>
    <t>PR-05-70</t>
  </si>
  <si>
    <t>{"Public/Curated Name":"Aligos Therapeutics Inc","Matched Company Name":"Aligos Therapeutics Inc","In GD source":"Yes","Added RA Tags":"HEP","Added Bridging Tags":"SMD","Role":"Therapeutics","Reference URL":null,"Focus / Inclusion Reason":"Curated theme association; not verified active assets","CORE by Curation":"No"}</t>
  </si>
  <si>
    <t>PR-05-71</t>
  </si>
  <si>
    <t>{"Public/Curated Name":"Arbutus Biopharma Corp","Matched Company Name":"Arbutus Biopharma Corp","In GD source":"Yes","Added RA Tags":"HEP","Added Bridging Tags":"SMD","Role":"Therapeutics","Reference URL":null,"Focus / Inclusion Reason":"Curated theme association; not verified active assets","CORE by Curation":"No"}</t>
  </si>
  <si>
    <t>PR-05-72</t>
  </si>
  <si>
    <t>{"Public/Curated Name":"Brii Biosciences Ltd","Matched Company Name":"Brii Biosciences Ltd","In GD source":"Yes","Added RA Tags":"HEP","Added Bridging Tags":"MAB","Role":"Therapeutics","Reference URL":null,"Focus / Inclusion Reason":"Curated theme association; not verified active assets","CORE by Curation":"No"}</t>
  </si>
  <si>
    <t>PR-05-73</t>
  </si>
  <si>
    <t>{"Public/Curated Name":"Assembly Biosciences Inc","Matched Company Name":"Assembly Biosciences Inc","In GD source":"Yes","Added RA Tags":"HEP","Added Bridging Tags":"SMD","Role":"Therapeutics","Reference URL":null,"Focus / Inclusion Reason":"Curated theme association; not verified active assets","CORE by Curation":"No"}</t>
  </si>
  <si>
    <t>PR-05-74</t>
  </si>
  <si>
    <t>{"Public/Curated Name":"Atea Pharmaceuticals Inc","Matched Company Name":"Atea Pharmaceuticals Inc","In GD source":"Yes","Added RA Tags":"EMG,HEP","Added Bridging Tags":"SMD","Role":"Therapeutics","Reference URL":null,"Focus / Inclusion Reason":"Curated theme association; not verified active assets","CORE by Curation":"No"}</t>
  </si>
  <si>
    <t>PR-05-75</t>
  </si>
  <si>
    <t>{"Public/Curated Name":"Vir Biotechnology Inc","Matched Company Name":"Vir Biotechnology Inc","In GD source":"Yes","Added RA Tags":"EMG,HEP","Added Bridging Tags":"MAB","Role":"Therapeutics","Reference URL":null,"Focus / Inclusion Reason":"Curated theme association; not verified active assets","CORE by Curation":"No"}</t>
  </si>
  <si>
    <t>PR-05-76</t>
  </si>
  <si>
    <t>{"Public/Curated Name":"AiCuris Anti-infective Cures AG","Matched Company Name":"AiCuris Anti-infective Cures AG","In GD source":"Yes","Added RA Tags":"ICH","Added Bridging Tags":"SMD","Role":"Therapeutics","Reference URL":null,"Focus / Inclusion Reason":"Curated theme association; not verified active assets","CORE by Curation":"No"}</t>
  </si>
  <si>
    <t>PR-05-77</t>
  </si>
  <si>
    <t>{"Public/Curated Name":"Otsuka Pharmaceutical Co Ltd","Matched Company Name":"Otsuka Pharmaceutical Co Ltd","In GD source":"Yes","Added RA Tags":"TB","Added Bridging Tags":"SMD","Role":"Therapeutics","Reference URL":null,"Focus / Inclusion Reason":"Curated theme association; not verified active assets","CORE by Curation":"No"}</t>
  </si>
  <si>
    <t>PR-05-78</t>
  </si>
  <si>
    <t>{"Public/Curated Name":"Johnson &amp; Johnson","Matched Company Name":"Johnson &amp; Johnson","In GD source":"Yes","Added RA Tags":"HAI,TB","Added Bridging Tags":"SMD","Role":"Therapeutics","Reference URL":null,"Focus / Inclusion Reason":"Curated theme association; not verified active assets","CORE by Curation":"No"}</t>
  </si>
  <si>
    <t>PR-05-79</t>
  </si>
  <si>
    <t>{"Public/Curated Name":"60 Degrees Pharmaceuticals Inc","Matched Company Name":"60 Degrees Pharmaceuticals Inc","In GD source":"Yes","Added RA Tags":"NTD","Added Bridging Tags":"SMD","Role":"Therapeutics","Reference URL":null,"Focus / Inclusion Reason":"Curated theme association; not verified active assets","CORE by Curation":"No"}</t>
  </si>
  <si>
    <t>PR-05-80</t>
  </si>
  <si>
    <t>{"Public/Curated Name":"Novartis AG","Matched Company Name":"Novartis AG","In GD source":"Yes","Added RA Tags":"ICH,NTD","Added Bridging Tags":"SMD","Role":"Therapeutics","Reference URL":null,"Focus / Inclusion Reason":"Curated theme association; not verified active assets","CORE by Curation":"No"}</t>
  </si>
  <si>
    <t>PR-05-81</t>
  </si>
  <si>
    <t>{"Public/Curated Name":"AstraZeneca Plc","Matched Company Name":"AstraZeneca Plc","In GD source":"Yes","Added RA Tags":"EMG,HAI","Added Bridging Tags":"MAB","Role":"Therapeutics","Reference URL":null,"Focus / Inclusion Reason":"Curated theme association; not verified active assets","CORE by Curation":"No"}</t>
  </si>
  <si>
    <t>PR-05-82</t>
  </si>
  <si>
    <t>{"Public/Curated Name":"Shionogi &amp; Co Ltd","Matched Company Name":"Shionogi &amp; Co Ltd","In GD source":"Yes","Added RA Tags":"ABX,HAI","Added Bridging Tags":"SMD","Role":"Therapeutics","Reference URL":null,"Focus / Inclusion Reason":"Curated theme association; not verified active assets","CORE by Curation":"No"}</t>
  </si>
  <si>
    <t>PR-05-83</t>
  </si>
  <si>
    <t>{"Public/Curated Name":"Aridis Pharmaceuticals Inc","Matched Company Name":"Aridis Pharmaceuticals Inc","In GD source":"Yes","Added RA Tags":"ABX,HAI","Added Bridging Tags":"MAB","Role":"Therapeutics","Reference URL":null,"Focus / Inclusion Reason":"Curated theme association; not verified active assets","CORE by Curation":"No"}</t>
  </si>
  <si>
    <t>PR-05-84</t>
  </si>
  <si>
    <t>{"Public/Curated Name":"VenatoRx Pharmaceuticals Inc","Matched Company Name":"VenatoRx Pharmaceuticals Inc","In GD source":"Yes","Added RA Tags":"ABX,HAI","Added Bridging Tags":"SMD","Role":"Therapeutics","Reference URL":null,"Focus / Inclusion Reason":"Curated theme association; not verified active assets","CORE by Curation":"No"}</t>
  </si>
  <si>
    <t>PR-05-85</t>
  </si>
  <si>
    <t>{"Public/Curated Name":"Locus Biosciences Inc","Matched Company Name":"Locus Biosciences Inc","In GD source":"Yes","Added RA Tags":"ABX,HAI","Added Bridging Tags":null,"Role":"Therapeutics","Reference URL":null,"Focus / Inclusion Reason":"Curated theme association; not verified active assets","CORE by Curation":"No"}</t>
  </si>
  <si>
    <t>PR-05-86</t>
  </si>
  <si>
    <t>{"Public/Curated Name":"Vaxcyte Inc","Matched Company Name":"Vaxcyte Inc","In GD source":"Yes","Added RA Tags":"HAI,MUC","Added Bridging Tags":"VAC","Role":"Therapeutics","Reference URL":null,"Focus / Inclusion Reason":"Curated theme association; not verified active assets","CORE by Curation":"No"}</t>
  </si>
  <si>
    <t>PR-05-87</t>
  </si>
  <si>
    <t>{"Public/Curated Name":"BioAegis Therapeutics Inc","Matched Company Name":"BioAegis Therapeutics Inc","In GD source":"Yes","Added RA Tags":"HAI,ICH","Added Bridging Tags":"MAB","Role":"Therapeutics","Reference URL":null,"Focus / Inclusion Reason":"Curated theme association; not verified active assets","CORE by Curation":"No"}</t>
  </si>
  <si>
    <t>PR-03-4</t>
  </si>
  <si>
    <t>03_TOPIC_MATRIX</t>
  </si>
  <si>
    <t>{"Company ID":"CMP-579c450159e","Tier":"CORE","Company":"GSK plc","GD Active Assets":34,"Source Basis":"GlobalData","HIV":1,"HEP":1,"HAI":1,"ABX":1,"EMG":1,"TB":1,"NTD":1,"MUC":1,"ICH":1,"VAC":1,"MAB":1,"CGT":0,"DIA":0,"MIC":0,"SMD":0,"GHC":0}</t>
  </si>
  <si>
    <t>PR-03-5</t>
  </si>
  <si>
    <t>{"Company ID":"CMP-3f134522796","Tier":"CORE","Company":"Merck &amp; Co Inc","GD Active Assets":28,"Source Basis":"GlobalData","HIV":1,"HEP":1,"HAI":1,"ABX":1,"EMG":1,"TB":0,"NTD":1,"MUC":1,"ICH":1,"VAC":1,"MAB":0,"CGT":0,"DIA":0,"MIC":0,"SMD":0,"GHC":0}</t>
  </si>
  <si>
    <t>PR-03-6</t>
  </si>
  <si>
    <t>{"Company ID":"CMP-ef3fd5062fb","Tier":"CORE","Company":"Sanofi","GD Active Assets":20,"Source Basis":"GlobalData","HIV":0,"HEP":0,"HAI":1,"ABX":1,"EMG":1,"TB":1,"NTD":1,"MUC":1,"ICH":1,"VAC":1,"MAB":0,"CGT":0,"DIA":0,"MIC":0,"SMD":0,"GHC":0}</t>
  </si>
  <si>
    <t>PR-03-7</t>
  </si>
  <si>
    <t>{"Company ID":"CMP-cc9fc6ac0ff","Tier":"CORE","Company":"Chongqing Zhifei Biological Products Co Ltd","GD Active Assets":25,"Source Basis":"GlobalData","HIV":0,"HEP":0,"HAI":1,"ABX":1,"EMG":1,"TB":1,"NTD":0,"MUC":1,"ICH":1,"VAC":1,"MAB":0,"CGT":0,"DIA":0,"MIC":0,"SMD":0,"GHC":0}</t>
  </si>
  <si>
    <t>PR-03-8</t>
  </si>
  <si>
    <t>{"Company ID":"CMP-24531a6b01f","Tier":"CORE","Company":"Moderna Inc","GD Active Assets":24,"Source Basis":"GlobalData","HIV":1,"HEP":0,"HAI":0,"ABX":0,"EMG":1,"TB":0,"NTD":0,"MUC":1,"ICH":1,"VAC":1,"MAB":0,"CGT":0,"DIA":0,"MIC":0,"SMD":0,"GHC":0}</t>
  </si>
  <si>
    <t>PR-03-9</t>
  </si>
  <si>
    <t>{"Company ID":"CMP-384891abbee","Tier":"CORE","Company":"Gilead Sciences Inc","GD Active Assets":19,"Source Basis":"GlobalData","HIV":1,"HEP":1,"HAI":1,"ABX":0,"EMG":1,"TB":0,"NTD":0,"MUC":1,"ICH":1,"VAC":0,"MAB":0,"CGT":0,"DIA":0,"MIC":0,"SMD":1,"GHC":0}</t>
  </si>
  <si>
    <t>PR-03-10</t>
  </si>
  <si>
    <t>{"Company ID":"CMP-335ff7e594c","Tier":"CORE","Company":"Pfizer Inc","GD Active Assets":22,"Source Basis":"GlobalData","HIV":0,"HEP":0,"HAI":1,"ABX":1,"EMG":1,"TB":0,"NTD":0,"MUC":1,"ICH":0,"VAC":1,"MAB":0,"CGT":0,"DIA":0,"MIC":0,"SMD":0,"GHC":0}</t>
  </si>
  <si>
    <t>PR-03-11</t>
  </si>
  <si>
    <t>{"Company ID":"CMP-85e7acc8115","Tier":"CORE","Company":"AstraZeneca Plc","GD Active Assets":14,"Source Basis":"GlobalData","HIV":0,"HEP":0,"HAI":1,"ABX":1,"EMG":1,"TB":1,"NTD":0,"MUC":1,"ICH":1,"VAC":1,"MAB":1,"CGT":0,"DIA":0,"MIC":0,"SMD":0,"GHC":0}</t>
  </si>
  <si>
    <t>PR-03-12</t>
  </si>
  <si>
    <t>{"Company ID":"CMP-1c8ca8e408e","Tier":"CORE","Company":"Sinovac Biotech Ltd","GD Active Assets":16,"Source Basis":"GlobalData","HIV":0,"HEP":0,"HAI":0,"ABX":1,"EMG":1,"TB":0,"NTD":0,"MUC":1,"ICH":1,"VAC":1,"MAB":1,"CGT":0,"DIA":0,"MIC":0,"SMD":0,"GHC":0}</t>
  </si>
  <si>
    <t>PR-03-13</t>
  </si>
  <si>
    <t>{"Company ID":"CMP-add35b11171","Tier":"CORE","Company":"CanSino Biologics Inc","GD Active Assets":16,"Source Basis":"GlobalData","HIV":0,"HEP":0,"HAI":0,"ABX":1,"EMG":1,"TB":1,"NTD":0,"MUC":1,"ICH":1,"VAC":1,"MAB":0,"CGT":0,"DIA":0,"MIC":0,"SMD":0,"GHC":0}</t>
  </si>
  <si>
    <t>PR-03-14</t>
  </si>
  <si>
    <t>{"Company ID":"CMP-b69f0599844","Tier":"CORE","Company":"AIM Vaccine Co Ltd","GD Active Assets":19,"Source Basis":"GlobalData","HIV":0,"HEP":0,"HAI":1,"ABX":1,"EMG":1,"TB":0,"NTD":0,"MUC":1,"ICH":1,"VAC":1,"MAB":0,"CGT":0,"DIA":0,"MIC":0,"SMD":0,"GHC":0}</t>
  </si>
  <si>
    <t>PR-03-15</t>
  </si>
  <si>
    <t>{"Company ID":"CMP-a133809740b","Tier":"CORE","Company":"Johnson &amp; Johnson","GD Active Assets":11,"Source Basis":"GlobalData","HIV":1,"HEP":1,"HAI":1,"ABX":1,"EMG":1,"TB":1,"NTD":1,"MUC":1,"ICH":0,"VAC":1,"MAB":0,"CGT":0,"DIA":0,"MIC":0,"SMD":1,"GHC":0}</t>
  </si>
  <si>
    <t>PR-03-16</t>
  </si>
  <si>
    <t>{"Company ID":"CMP-e1f2b6c9f07","Tier":"CORE","Company":"Shionogi &amp; Co Ltd","GD Active Assets":10,"Source Basis":"GlobalData","HIV":0,"HEP":1,"HAI":1,"ABX":1,"EMG":1,"TB":0,"NTD":0,"MUC":1,"ICH":1,"VAC":1,"MAB":0,"CGT":0,"DIA":0,"MIC":0,"SMD":1,"GHC":0}</t>
  </si>
  <si>
    <t>PR-03-17</t>
  </si>
  <si>
    <t>{"Company ID":"CMP-b82e0112382","Tier":"CORE","Company":"Bioversys AG","GD Active Assets":6,"Source Basis":"GlobalData+public","HIV":0,"HEP":0,"HAI":1,"ABX":1,"EMG":0,"TB":1,"NTD":0,"MUC":1,"ICH":0,"VAC":0,"MAB":0,"CGT":0,"DIA":0,"MIC":0,"SMD":1,"GHC":0}</t>
  </si>
  <si>
    <t>PR-03-18</t>
  </si>
  <si>
    <t>{"Company ID":"CMP-4e3acc2788c","Tier":"CORE","Company":"Biological E Ltd","GD Active Assets":10,"Source Basis":"GlobalData","HIV":0,"HEP":1,"HAI":0,"ABX":1,"EMG":1,"TB":0,"NTD":1,"MUC":1,"ICH":0,"VAC":1,"MAB":0,"CGT":0,"DIA":0,"MIC":0,"SMD":0,"GHC":0}</t>
  </si>
  <si>
    <t>PR-03-19</t>
  </si>
  <si>
    <t>{"Company ID":"CMP-c0364501a9f","Tier":"CORE","Company":"Novartis AG","GD Active Assets":8,"Source Basis":"GlobalData","HIV":0,"HEP":0,"HAI":1,"ABX":1,"EMG":1,"TB":0,"NTD":1,"MUC":0,"ICH":1,"VAC":0,"MAB":0,"CGT":0,"DIA":0,"MIC":0,"SMD":1,"GHC":0}</t>
  </si>
  <si>
    <t>PR-03-20</t>
  </si>
  <si>
    <t>{"Company ID":"CMP-425a0205bf3","Tier":"CORE","Company":"Bharat Biotech Ltd","GD Active Assets":9,"Source Basis":"GlobalData","HIV":0,"HEP":0,"HAI":1,"ABX":1,"EMG":1,"TB":0,"NTD":1,"MUC":1,"ICH":0,"VAC":1,"MAB":0,"CGT":0,"DIA":0,"MIC":0,"SMD":0,"GHC":0}</t>
  </si>
  <si>
    <t>PR-03-21</t>
  </si>
  <si>
    <t>{"Company ID":"CMP-fbe85e38ed1","Tier":"CORE","Company":"Novavax Inc","GD Active Assets":9,"Source Basis":"GlobalData","HIV":0,"HEP":0,"HAI":1,"ABX":1,"EMG":1,"TB":0,"NTD":0,"MUC":1,"ICH":0,"VAC":1,"MAB":0,"CGT":0,"DIA":0,"MIC":0,"SMD":0,"GHC":0}</t>
  </si>
  <si>
    <t>PR-03-22</t>
  </si>
  <si>
    <t>{"Company ID":"CMP-93148ce3ea6","Tier":"CORE","Company":"Basilea Pharmaceutica Ltd","GD Active Assets":5,"Source Basis":"GlobalData+public","HIV":0,"HEP":0,"HAI":1,"ABX":1,"EMG":0,"TB":0,"NTD":0,"MUC":1,"ICH":1,"VAC":0,"MAB":0,"CGT":0,"DIA":0,"MIC":0,"SMD":1,"GHC":0}</t>
  </si>
  <si>
    <t>PR-03-23</t>
  </si>
  <si>
    <t>{"Company ID":"CMP-2ce03c6442a","Tier":"CORE","Company":"Vital Korea","GD Active Assets":7,"Source Basis":"GlobalData","HIV":0,"HEP":1,"HAI":0,"ABX":1,"EMG":1,"TB":1,"NTD":0,"MUC":1,"ICH":0,"VAC":1,"MAB":0,"CGT":0,"DIA":0,"MIC":0,"SMD":0,"GHC":0}</t>
  </si>
  <si>
    <t>PR-03-24</t>
  </si>
  <si>
    <t>{"Company ID":"CMP-1dc25b959ce","Tier":"CORE","Company":"BioNTech SE","GD Active Assets":8,"Source Basis":"GlobalData","HIV":1,"HEP":0,"HAI":0,"ABX":1,"EMG":1,"TB":1,"NTD":1,"MUC":1,"ICH":0,"VAC":1,"MAB":0,"CGT":0,"DIA":0,"MIC":0,"SMD":0,"GHC":0}</t>
  </si>
  <si>
    <t>PR-03-25</t>
  </si>
  <si>
    <t>{"Company ID":"CMP-272f19fd220","Tier":"CORE","Company":"Serum Institute of India Pvt Ltd","GD Active Assets":7,"Source Basis":"GlobalData","HIV":0,"HEP":0,"HAI":0,"ABX":1,"EMG":1,"TB":1,"NTD":1,"MUC":0,"ICH":0,"VAC":1,"MAB":1,"CGT":0,"DIA":0,"MIC":0,"SMD":0,"GHC":0}</t>
  </si>
  <si>
    <t>PR-03-26</t>
  </si>
  <si>
    <t>{"Company ID":"CMP-b372a79ea29","Tier":"CORE","Company":"AbbVie Inc","GD Active Assets":7,"Source Basis":"GlobalData","HIV":1,"HEP":0,"HAI":1,"ABX":1,"EMG":1,"TB":0,"NTD":0,"MUC":1,"ICH":1,"VAC":1,"MAB":0,"CGT":0,"DIA":0,"MIC":0,"SMD":0,"GHC":0}</t>
  </si>
  <si>
    <t>PR-03-27</t>
  </si>
  <si>
    <t>{"Company ID":"CMP-c132e3a36c6","Tier":"CORE","Company":"CSPC Pharmaceutical Group Ltd","GD Active Assets":9,"Source Basis":"GlobalData","HIV":0,"HEP":1,"HAI":0,"ABX":0,"EMG":1,"TB":0,"NTD":0,"MUC":1,"ICH":1,"VAC":1,"MAB":0,"CGT":0,"DIA":0,"MIC":0,"SMD":0,"GHC":0}</t>
  </si>
  <si>
    <t>PR-03-28</t>
  </si>
  <si>
    <t>{"Company ID":"CMP-bebf092fda0","Tier":"CORE","Company":"Brii Biosciences Ltd","GD Active Assets":7,"Source Basis":"GlobalData","HIV":1,"HEP":1,"HAI":1,"ABX":1,"EMG":0,"TB":0,"NTD":0,"MUC":0,"ICH":0,"VAC":0,"MAB":1,"CGT":0,"DIA":0,"MIC":0,"SMD":0,"GHC":0}</t>
  </si>
  <si>
    <t>PR-03-29</t>
  </si>
  <si>
    <t>{"Company ID":"CMP-8ee8900c31c","Tier":"CORE","Company":"Zydus Lifesciences Ltd","GD Active Assets":7,"Source Basis":"GlobalData","HIV":0,"HEP":1,"HAI":1,"ABX":1,"EMG":1,"TB":0,"NTD":1,"MUC":0,"ICH":1,"VAC":1,"MAB":0,"CGT":0,"DIA":0,"MIC":0,"SMD":0,"GHC":0}</t>
  </si>
  <si>
    <t>PR-03-30</t>
  </si>
  <si>
    <t>{"Company ID":"CMP-870018ed6f8","Tier":"CORE","Company":"Suzhou Abogen Biosciences Co Ltd","GD Active Assets":5,"Source Basis":"GlobalData","HIV":0,"HEP":0,"HAI":0,"ABX":1,"EMG":1,"TB":1,"NTD":0,"MUC":1,"ICH":1,"VAC":1,"MAB":0,"CGT":0,"DIA":0,"MIC":0,"SMD":0,"GHC":0}</t>
  </si>
  <si>
    <t>PR-03-31</t>
  </si>
  <si>
    <t>{"Company ID":"CMP-58902c4b7fe","Tier":"CORE","Company":"Inovio Pharmaceuticals Inc","GD Active Assets":8,"Source Basis":"GlobalData","HIV":1,"HEP":1,"HAI":0,"ABX":0,"EMG":1,"TB":0,"NTD":1,"MUC":0,"ICH":0,"VAC":1,"MAB":0,"CGT":0,"DIA":0,"MIC":0,"SMD":0,"GHC":0}</t>
  </si>
  <si>
    <t>PR-03-32</t>
  </si>
  <si>
    <t>{"Company ID":"CMP-89418911969","Tier":"CORE","Company":"Chia Tai Tianqing Pharmaceutical Group Co Ltd","GD Active Assets":8,"Source Basis":"GlobalData","HIV":0,"HEP":1,"HAI":1,"ABX":1,"EMG":0,"TB":0,"NTD":0,"MUC":0,"ICH":0,"VAC":0,"MAB":0,"CGT":0,"DIA":0,"MIC":0,"SMD":0,"GHC":0}</t>
  </si>
  <si>
    <t>PR-03-33</t>
  </si>
  <si>
    <t>{"Company ID":"CMP-eac17a0cae7","Tier":"CORE","Company":"SK Bioscience Ltd","GD Active Assets":8,"Source Basis":"GlobalData","HIV":0,"HEP":1,"HAI":0,"ABX":0,"EMG":1,"TB":0,"NTD":0,"MUC":1,"ICH":0,"VAC":1,"MAB":0,"CGT":0,"DIA":0,"MIC":0,"SMD":0,"GHC":0}</t>
  </si>
  <si>
    <t>PR-03-34</t>
  </si>
  <si>
    <t>{"Company ID":"CMP-feb7d44c4f0","Tier":"CORE","Company":"Beijing Minhai Biotechnology Co Ltd","GD Active Assets":14,"Source Basis":"GlobalData","HIV":0,"HEP":0,"HAI":0,"ABX":0,"EMG":0,"TB":0,"NTD":0,"MUC":1,"ICH":0,"VAC":1,"MAB":0,"CGT":0,"DIA":0,"MIC":0,"SMD":0,"GHC":0}</t>
  </si>
  <si>
    <t>PR-03-35</t>
  </si>
  <si>
    <t>{"Company ID":"CMP-4146497d3c7","Tier":"CORE","Company":"Aligos Therapeutics Inc","GD Active Assets":15,"Source Basis":"GlobalData","HIV":0,"HEP":1,"HAI":0,"ABX":0,"EMG":1,"TB":0,"NTD":0,"MUC":0,"ICH":0,"VAC":0,"MAB":0,"CGT":0,"DIA":0,"MIC":0,"SMD":1,"GHC":0}</t>
  </si>
  <si>
    <t>PR-03-36</t>
  </si>
  <si>
    <t>{"Company ID":"CMP-246ca48d6d7","Tier":"CORE","Company":"Chengdu Olymvax Biopharmaceuticals Inc","GD Active Assets":5,"Source Basis":"GlobalData","HIV":0,"HEP":0,"HAI":1,"ABX":1,"EMG":0,"TB":0,"NTD":0,"MUC":1,"ICH":1,"VAC":1,"MAB":0,"CGT":0,"DIA":0,"MIC":0,"SMD":0,"GHC":0}</t>
  </si>
  <si>
    <t>PR-03-37</t>
  </si>
  <si>
    <t>{"Company ID":"CMP-8c64c4d04de","Tier":"CORE","Company":"Shanxi Kangbao Biological Product Co Ltd","GD Active Assets":5,"Source Basis":"GlobalData","HIV":1,"HEP":1,"HAI":0,"ABX":1,"EMG":0,"TB":0,"NTD":0,"MUC":1,"ICH":1,"VAC":1,"MAB":1,"CGT":0,"DIA":0,"MIC":0,"SMD":0,"GHC":0}</t>
  </si>
  <si>
    <t>PR-03-38</t>
  </si>
  <si>
    <t>{"Company ID":"CMP-08a8fbeac27","Tier":"CORE","Company":"KM Biologics Co Ltd","GD Active Assets":4,"Source Basis":"GlobalData","HIV":0,"HEP":1,"HAI":0,"ABX":0,"EMG":1,"TB":0,"NTD":1,"MUC":1,"ICH":0,"VAC":0,"MAB":0,"CGT":0,"DIA":0,"MIC":0,"SMD":0,"GHC":0}</t>
  </si>
  <si>
    <t>PR-03-39</t>
  </si>
  <si>
    <t>{"Company ID":"CMP-ba04c7a5187","Tier":"CORE","Company":"Suzhou Juwei Biotech Co Ltd","GD Active Assets":7,"Source Basis":"GlobalData","HIV":0,"HEP":0,"HAI":1,"ABX":1,"EMG":0,"TB":0,"NTD":0,"MUC":1,"ICH":1,"VAC":1,"MAB":0,"CGT":0,"DIA":0,"MIC":0,"SMD":0,"GHC":0}</t>
  </si>
  <si>
    <t>PR-03-40</t>
  </si>
  <si>
    <t>{"Company ID":"CMP-3a0fa1b3462","Tier":"CORE","Company":"Armata Pharmaceuticals Inc","GD Active Assets":2,"Source Basis":"GlobalData+public","HIV":0,"HEP":0,"HAI":1,"ABX":1,"EMG":0,"TB":0,"NTD":0,"MUC":0,"ICH":1,"VAC":0,"MAB":0,"CGT":0,"DIA":0,"MIC":0,"SMD":0,"GHC":0}</t>
  </si>
  <si>
    <t>PR-03-41</t>
  </si>
  <si>
    <t>{"Company ID":"CMP-cdc8013144b","Tier":"CORE","Company":"AriBioLab Co Ltd","GD Active Assets":4,"Source Basis":"GlobalData","HIV":0,"HEP":1,"HAI":0,"ABX":0,"EMG":1,"TB":0,"NTD":0,"MUC":1,"ICH":1,"VAC":1,"MAB":0,"CGT":0,"DIA":0,"MIC":0,"SMD":0,"GHC":0}</t>
  </si>
  <si>
    <t>PR-03-42</t>
  </si>
  <si>
    <t>{"Company ID":"CMP-994d1e3fd3b","Tier":"CORE","Company":"GeneOne Life Science Inc","GD Active Assets":4,"Source Basis":"GlobalData","HIV":0,"HEP":1,"HAI":0,"ABX":0,"EMG":1,"TB":0,"NTD":1,"MUC":1,"ICH":0,"VAC":0,"MAB":0,"CGT":0,"DIA":0,"MIC":0,"SMD":0,"GHC":0}</t>
  </si>
  <si>
    <t>PR-03-43</t>
  </si>
  <si>
    <t>{"Company ID":"CMP-a455fe8ed3b","Tier":"CORE","Company":"Changchun Bcht Biotechnology Co Ltd","GD Active Assets":10,"Source Basis":"GlobalData","HIV":0,"HEP":0,"HAI":0,"ABX":0,"EMG":0,"TB":0,"NTD":0,"MUC":1,"ICH":1,"VAC":1,"MAB":1,"CGT":0,"DIA":0,"MIC":0,"SMD":0,"GHC":0}</t>
  </si>
  <si>
    <t>PR-03-44</t>
  </si>
  <si>
    <t>{"Company ID":"CMP-a5c7a831bb1","Tier":"CORE","Company":"Aurobac Therapeutics SAS","GD Active Assets":4,"Source Basis":"GlobalData+public","HIV":0,"HEP":0,"HAI":1,"ABX":1,"EMG":0,"TB":0,"NTD":0,"MUC":1,"ICH":0,"VAC":0,"MAB":0,"CGT":0,"DIA":0,"MIC":0,"SMD":1,"GHC":0}</t>
  </si>
  <si>
    <t>PR-03-45</t>
  </si>
  <si>
    <t>{"Company ID":"CMP-455a5cf00a7","Tier":"CORE","Company":"Indian Immunologicals Ltd","GD Active Assets":6,"Source Basis":"GlobalData","HIV":0,"HEP":1,"HAI":0,"ABX":0,"EMG":1,"TB":0,"NTD":1,"MUC":1,"ICH":0,"VAC":1,"MAB":0,"CGT":0,"DIA":0,"MIC":0,"SMD":0,"GHC":0}</t>
  </si>
  <si>
    <t>PR-03-46</t>
  </si>
  <si>
    <t>{"Company ID":"CMP-59cc13297d8","Tier":"CORE","Company":"BioNet-Asia Co Ltd","GD Active Assets":6,"Source Basis":"GlobalData","HIV":0,"HEP":0,"HAI":0,"ABX":0,"EMG":1,"TB":0,"NTD":1,"MUC":1,"ICH":0,"VAC":1,"MAB":0,"CGT":0,"DIA":0,"MIC":0,"SMD":0,"GHC":0}</t>
  </si>
  <si>
    <t>PR-03-47</t>
  </si>
  <si>
    <t>{"Company ID":"CMP-d30edde7435","Tier":"CORE","Company":"Akagera Medicines Inc","GD Active Assets":8,"Source Basis":"GlobalData","HIV":0,"HEP":0,"HAI":1,"ABX":1,"EMG":1,"TB":1,"NTD":0,"MUC":1,"ICH":0,"VAC":0,"MAB":0,"CGT":0,"DIA":0,"MIC":0,"SMD":0,"GHC":0}</t>
  </si>
  <si>
    <t>PR-03-48</t>
  </si>
  <si>
    <t>{"Company ID":"CMP-b223897f72c","Tier":"CORE","Company":"Valneva SE","GD Active Assets":5,"Source Basis":"GlobalData","HIV":0,"HEP":0,"HAI":0,"ABX":0,"EMG":1,"TB":0,"NTD":1,"MUC":1,"ICH":0,"VAC":1,"MAB":0,"CGT":0,"DIA":0,"MIC":0,"SMD":0,"GHC":0}</t>
  </si>
  <si>
    <t>PR-03-49</t>
  </si>
  <si>
    <t>{"Company ID":"CMP-5ad19a5f747","Tier":"CORE","Company":"ViiV Healthcare UK Ltd","GD Active Assets":10,"Source Basis":"GlobalData","HIV":1,"HEP":0,"HAI":0,"ABX":0,"EMG":0,"TB":0,"NTD":0,"MUC":0,"ICH":0,"VAC":0,"MAB":1,"CGT":0,"DIA":0,"MIC":0,"SMD":1,"GHC":0}</t>
  </si>
  <si>
    <t>PR-03-50</t>
  </si>
  <si>
    <t>{"Company ID":"CMP-fa8243cafa7","Tier":"CORE","Company":"Infex Therapeutics Ltd","GD Active Assets":2,"Source Basis":"GlobalData+public","HIV":0,"HEP":0,"HAI":1,"ABX":1,"EMG":1,"TB":0,"NTD":0,"MUC":0,"ICH":0,"VAC":0,"MAB":1,"CGT":0,"DIA":0,"MIC":0,"SMD":1,"GHC":0}</t>
  </si>
  <si>
    <t>PR-03-51</t>
  </si>
  <si>
    <t>{"Company ID":"CMP-bede831b69b","Tier":"CORE","Company":"SNIPR Biome ApS","GD Active Assets":1,"Source Basis":"GlobalData+public","HIV":0,"HEP":0,"HAI":1,"ABX":1,"EMG":0,"TB":0,"NTD":0,"MUC":1,"ICH":1,"VAC":0,"MAB":0,"CGT":0,"DIA":0,"MIC":1,"SMD":0,"GHC":0}</t>
  </si>
  <si>
    <t>PR-03-52</t>
  </si>
  <si>
    <t>{"Company ID":"CMP-b6c031ebf37","Tier":"CORE","Company":"Lanzhou Institute of Biological Products Co Ltd","GD Active Assets":6,"Source Basis":"GlobalData","HIV":0,"HEP":0,"HAI":0,"ABX":0,"EMG":1,"TB":0,"NTD":0,"MUC":1,"ICH":0,"VAC":1,"MAB":1,"CGT":0,"DIA":0,"MIC":0,"SMD":0,"GHC":0}</t>
  </si>
  <si>
    <t>PR-03-53</t>
  </si>
  <si>
    <t>{"Company ID":"CMP-413f8fd9f55","Tier":"CORE","Company":"Bayer AG","GD Active Assets":3,"Source Basis":"GlobalData","HIV":0,"HEP":0,"HAI":1,"ABX":1,"EMG":1,"TB":0,"NTD":1,"MUC":0,"ICH":1,"VAC":0,"MAB":0,"CGT":0,"DIA":0,"MIC":0,"SMD":0,"GHC":0}</t>
  </si>
  <si>
    <t>PR-03-54</t>
  </si>
  <si>
    <t>{"Company ID":"CMP-3fd58dd38dd","Tier":"CORE","Company":"Aridis Pharmaceuticals Inc","GD Active Assets":4,"Source Basis":"GlobalData","HIV":0,"HEP":0,"HAI":1,"ABX":1,"EMG":1,"TB":0,"NTD":0,"MUC":1,"ICH":1,"VAC":0,"MAB":1,"CGT":0,"DIA":0,"MIC":0,"SMD":0,"GHC":0}</t>
  </si>
  <si>
    <t>PR-03-55</t>
  </si>
  <si>
    <t>{"Company ID":"CMP-9c376d2b7ab","Tier":"CORE","Company":"MicuRx Pharmaceuticals Inc","GD Active Assets":4,"Source Basis":"GlobalData","HIV":0,"HEP":0,"HAI":1,"ABX":1,"EMG":0,"TB":1,"NTD":0,"MUC":1,"ICH":1,"VAC":0,"MAB":0,"CGT":0,"DIA":0,"MIC":0,"SMD":0,"GHC":0}</t>
  </si>
  <si>
    <t>PR-03-56</t>
  </si>
  <si>
    <t>{"Company ID":"CMP-fcc9f977944","Tier":"CORE","Company":"SPbNIIVS FMBA of Russia","GD Active Assets":4,"Source Basis":"GlobalData","HIV":0,"HEP":0,"HAI":0,"ABX":1,"EMG":1,"TB":1,"NTD":0,"MUC":1,"ICH":0,"VAC":1,"MAB":0,"CGT":0,"DIA":0,"MIC":0,"SMD":0,"GHC":0}</t>
  </si>
  <si>
    <t>PR-03-57</t>
  </si>
  <si>
    <t>{"Company ID":"CMP-0a76928b480","Tier":"CORE","Company":"Shenzhen Rhegen Biotechnology Co Ltd","GD Active Assets":4,"Source Basis":"GlobalData","HIV":0,"HEP":0,"HAI":0,"ABX":1,"EMG":0,"TB":1,"NTD":0,"MUC":1,"ICH":1,"VAC":1,"MAB":0,"CGT":0,"DIA":0,"MIC":0,"SMD":0,"GHC":0}</t>
  </si>
  <si>
    <t>PR-03-58</t>
  </si>
  <si>
    <t>{"Company ID":"CMP-601bca434c7","Tier":"CORE","Company":"Vir Biotechnology Inc","GD Active Assets":4,"Source Basis":"GlobalData","HIV":1,"HEP":1,"HAI":0,"ABX":0,"EMG":1,"TB":0,"NTD":0,"MUC":0,"ICH":0,"VAC":0,"MAB":1,"CGT":0,"DIA":0,"MIC":0,"SMD":0,"GHC":0}</t>
  </si>
  <si>
    <t>PR-03-59</t>
  </si>
  <si>
    <t>{"Company ID":"CMP-ea5495c6494","Tier":"CORE","Company":"Bristol-Myers Squibb Co","GD Active Assets":3,"Source Basis":"GlobalData","HIV":1,"HEP":0,"HAI":1,"ABX":1,"EMG":1,"TB":0,"NTD":1,"MUC":0,"ICH":1,"VAC":0,"MAB":0,"CGT":0,"DIA":0,"MIC":0,"SMD":0,"GHC":0}</t>
  </si>
  <si>
    <t>PR-03-60</t>
  </si>
  <si>
    <t>{"Company ID":"CMP-251613697f2","Tier":"CORE","Company":"Quratis Inc","GD Active Assets":4,"Source Basis":"GlobalData","HIV":0,"HEP":0,"HAI":0,"ABX":1,"EMG":0,"TB":1,"NTD":1,"MUC":0,"ICH":0,"VAC":1,"MAB":0,"CGT":0,"DIA":0,"MIC":0,"SMD":0,"GHC":0}</t>
  </si>
  <si>
    <t>PR-03-61</t>
  </si>
  <si>
    <t>{"Company ID":"CMP-0fd9a9b02c5","Tier":"CORE","Company":"Seres Therapeutics Inc","GD Active Assets":1,"Source Basis":"GlobalData+public","HIV":0,"HEP":0,"HAI":1,"ABX":1,"EMG":0,"TB":0,"NTD":0,"MUC":1,"ICH":1,"VAC":0,"MAB":0,"CGT":0,"DIA":0,"MIC":1,"SMD":0,"GHC":0}</t>
  </si>
  <si>
    <t>PR-03-62</t>
  </si>
  <si>
    <t>{"Company ID":"CMP-410a276e6c6","Tier":"CORE","Company":"Clarametyx Biosciences Inc","GD Active Assets":1,"Source Basis":"GlobalData+public","HIV":0,"HEP":0,"HAI":1,"ABX":1,"EMG":0,"TB":0,"NTD":0,"MUC":1,"ICH":0,"VAC":0,"MAB":1,"CGT":0,"DIA":0,"MIC":0,"SMD":0,"GHC":0}</t>
  </si>
  <si>
    <t>PR-03-63</t>
  </si>
  <si>
    <t>{"Company ID":"CMP-2e66edddf5d","Tier":"CORE","Company":"Vedanta Biosciences Inc","GD Active Assets":1,"Source Basis":"GlobalData+public","HIV":0,"HEP":0,"HAI":1,"ABX":1,"EMG":0,"TB":0,"NTD":0,"MUC":0,"ICH":1,"VAC":0,"MAB":0,"CGT":0,"DIA":0,"MIC":1,"SMD":0,"GHC":0}</t>
  </si>
  <si>
    <t>PR-03-64</t>
  </si>
  <si>
    <t>{"Company ID":"CMP-aedbc6dad69","Tier":"CORE","Company":"Crestone Inc","GD Active Assets":3,"Source Basis":"GlobalData","HIV":0,"HEP":0,"HAI":1,"ABX":1,"EMG":0,"TB":1,"NTD":0,"MUC":0,"ICH":1,"VAC":0,"MAB":0,"CGT":0,"DIA":0,"MIC":0,"SMD":0,"GHC":0}</t>
  </si>
  <si>
    <t>PR-03-65</t>
  </si>
  <si>
    <t>{"Company ID":"CMP-92fc1bf734e","Tier":"CORE","Company":"International AIDS Vaccine Initiative Inc","GD Active Assets":6,"Source Basis":"GlobalData","HIV":1,"HEP":0,"HAI":0,"ABX":0,"EMG":1,"TB":0,"NTD":0,"MUC":0,"ICH":0,"VAC":1,"MAB":0,"CGT":0,"DIA":0,"MIC":0,"SMD":0,"GHC":0}</t>
  </si>
  <si>
    <t>PR-03-66</t>
  </si>
  <si>
    <t>{"Company ID":"CMP-3d6b5bd3377","Tier":"CORE","Company":"Palisades Therapeutics","GD Active Assets":4,"Source Basis":"GlobalData","HIV":1,"HEP":1,"HAI":0,"ABX":1,"EMG":1,"TB":1,"NTD":1,"MUC":1,"ICH":1,"VAC":0,"MAB":0,"CGT":0,"DIA":0,"MIC":0,"SMD":0,"GHC":0}</t>
  </si>
  <si>
    <t>PR-03-67</t>
  </si>
  <si>
    <t>{"Company ID":"CMP-68725fd05c9","Tier":"CORE","Company":"Atea Pharmaceuticals Inc","GD Active Assets":5,"Source Basis":"GlobalData","HIV":0,"HEP":1,"HAI":0,"ABX":0,"EMG":1,"TB":0,"NTD":0,"MUC":0,"ICH":0,"VAC":0,"MAB":0,"CGT":0,"DIA":0,"MIC":0,"SMD":1,"GHC":0}</t>
  </si>
  <si>
    <t>PR-03-68</t>
  </si>
  <si>
    <t>{"Company ID":"CMP-e6d28a1f43f","Tier":"CORE","Company":"Henan Genuine Biotech Co Ltd","GD Active Assets":3,"Source Basis":"GlobalData","HIV":1,"HEP":0,"HAI":0,"ABX":0,"EMG":1,"TB":0,"NTD":0,"MUC":1,"ICH":0,"VAC":0,"MAB":0,"CGT":0,"DIA":0,"MIC":0,"SMD":0,"GHC":0}</t>
  </si>
  <si>
    <t>PR-03-69</t>
  </si>
  <si>
    <t>{"Company ID":"CMP-1a25fe5bbff","Tier":"CORE","Company":"60 Degrees Pharmaceuticals Inc","GD Active Assets":2,"Source Basis":"GlobalData","HIV":0,"HEP":0,"HAI":0,"ABX":0,"EMG":1,"TB":0,"NTD":1,"MUC":1,"ICH":1,"VAC":0,"MAB":0,"CGT":0,"DIA":0,"MIC":0,"SMD":1,"GHC":0}</t>
  </si>
  <si>
    <t>PR-03-70</t>
  </si>
  <si>
    <t>{"Company ID":"CMP-42c932e38d3","Tier":"CORE","Company":"Antabio SAS","GD Active Assets":2,"Source Basis":"GlobalData+public","HIV":0,"HEP":0,"HAI":1,"ABX":1,"EMG":0,"TB":0,"NTD":0,"MUC":0,"ICH":0,"VAC":0,"MAB":0,"CGT":0,"DIA":0,"MIC":0,"SMD":1,"GHC":0}</t>
  </si>
  <si>
    <t>PR-03-71</t>
  </si>
  <si>
    <t>{"Company ID":"CMP-b3350328f73","Tier":"CORE","Company":"F2G Ltd","GD Active Assets":1,"Source Basis":"GlobalData+public","HIV":0,"HEP":0,"HAI":1,"ABX":0,"EMG":0,"TB":0,"NTD":0,"MUC":0,"ICH":1,"VAC":0,"MAB":0,"CGT":0,"DIA":0,"MIC":0,"SMD":1,"GHC":0}</t>
  </si>
  <si>
    <t>PR-03-72</t>
  </si>
  <si>
    <t>{"Company ID":"CMP-b67700d6c62","Tier":"CORE","Company":"QIAGEN","GD Active Assets":0,"Source Basis":"Public source","HIV":1,"HEP":1,"HAI":1,"ABX":0,"EMG":0,"TB":1,"NTD":0,"MUC":1,"ICH":0,"VAC":0,"MAB":0,"CGT":0,"DIA":1,"MIC":0,"SMD":0,"GHC":0}</t>
  </si>
  <si>
    <t>PR-03-73</t>
  </si>
  <si>
    <t>{"Company ID":"CMP-6c2d50627b9","Tier":"CORE","Company":"Roche Diagnostics","GD Active Assets":0,"Source Basis":"Public source","HIV":1,"HEP":1,"HAI":1,"ABX":0,"EMG":0,"TB":1,"NTD":0,"MUC":1,"ICH":0,"VAC":0,"MAB":0,"CGT":0,"DIA":1,"MIC":0,"SMD":0,"GHC":0}</t>
  </si>
  <si>
    <t>PR-03-74</t>
  </si>
  <si>
    <t>{"Company ID":"CMP-b77ac4d5aa1","Tier":"CORE","Company":"Qpex Biopharma Inc","GD Active Assets":1,"Source Basis":"GlobalData+public","HIV":0,"HEP":0,"HAI":1,"ABX":1,"EMG":0,"TB":0,"NTD":0,"MUC":0,"ICH":0,"VAC":0,"MAB":0,"CGT":0,"DIA":0,"MIC":0,"SMD":1,"GHC":0}</t>
  </si>
  <si>
    <t>PR-03-75</t>
  </si>
  <si>
    <t>{"Company ID":"CMP-c6b22982ad3","Tier":"CORE","Company":"Shenzhen Geno-Immune Medical Institute","GD Active Assets":3,"Source Basis":"GlobalData","HIV":0,"HEP":0,"HAI":0,"ABX":0,"EMG":1,"TB":0,"NTD":0,"MUC":0,"ICH":0,"VAC":0,"MAB":0,"CGT":1,"DIA":0,"MIC":0,"SMD":0,"GHC":0}</t>
  </si>
  <si>
    <t>PR-03-76</t>
  </si>
  <si>
    <t>{"Company ID":"CMP-bb2003e8cb6","Tier":"CORE","Company":"Becton, Dickinson and Company","GD Active Assets":0,"Source Basis":"Public source","HIV":0,"HEP":0,"HAI":1,"ABX":0,"EMG":0,"TB":1,"NTD":0,"MUC":1,"ICH":0,"VAC":0,"MAB":0,"CGT":0,"DIA":1,"MIC":0,"SMD":0,"GHC":0}</t>
  </si>
  <si>
    <t>PR-03-77</t>
  </si>
  <si>
    <t>{"Company ID":"CMP-36f899e5b8d","Tier":"CORE","Company":"Cepheid","GD Active Assets":0,"Source Basis":"Public source","HIV":1,"HEP":0,"HAI":1,"ABX":0,"EMG":0,"TB":1,"NTD":0,"MUC":0,"ICH":0,"VAC":0,"MAB":0,"CGT":0,"DIA":1,"MIC":0,"SMD":0,"GHC":0}</t>
  </si>
  <si>
    <t>PR-03-78</t>
  </si>
  <si>
    <t>{"Company ID":"CMP-4eec897c81d","Tier":"CORE","Company":"IMMUNETHEP","GD Active Assets":0,"Source Basis":"Public source","HIV":0,"HEP":0,"HAI":1,"ABX":1,"EMG":0,"TB":0,"NTD":0,"MUC":1,"ICH":0,"VAC":1,"MAB":1,"CGT":0,"DIA":0,"MIC":0,"SMD":0,"GHC":0}</t>
  </si>
  <si>
    <t>PR-03-79</t>
  </si>
  <si>
    <t>{"Company ID":"CMP-3f2e0eccbeb","Tier":"CORE","Company":"bioMerieux","GD Active Assets":0,"Source Basis":"Public source","HIV":0,"HEP":0,"HAI":1,"ABX":0,"EMG":0,"TB":0,"NTD":0,"MUC":1,"ICH":1,"VAC":0,"MAB":0,"CGT":0,"DIA":1,"MIC":0,"SMD":0,"GHC":0}</t>
  </si>
  <si>
    <t>PR-03-80</t>
  </si>
  <si>
    <t>{"Company ID":"CMP-a8a014d97c6","Tier":"CORE","Company":"ArrePath","GD Active Assets":0,"Source Basis":"Public source","HIV":0,"HEP":0,"HAI":1,"ABX":1,"EMG":0,"TB":0,"NTD":0,"MUC":0,"ICH":0,"VAC":0,"MAB":0,"CGT":0,"DIA":0,"MIC":0,"SMD":1,"GHC":0}</t>
  </si>
  <si>
    <t>PR-03-81</t>
  </si>
  <si>
    <t>{"Company ID":"CMP-db564be93cb","Tier":"CORE","Company":"Atara Biotherapeutics","GD Active Assets":0,"Source Basis":"Public source","HIV":0,"HEP":0,"HAI":0,"ABX":0,"EMG":1,"TB":0,"NTD":0,"MUC":0,"ICH":1,"VAC":0,"MAB":0,"CGT":1,"DIA":0,"MIC":0,"SMD":0,"GHC":0}</t>
  </si>
  <si>
    <t>PR-03-82</t>
  </si>
  <si>
    <t>{"Company ID":"CMP-662744fae82","Tier":"CORE","Company":"Bactobio","GD Active Assets":0,"Source Basis":"Public source","HIV":0,"HEP":0,"HAI":1,"ABX":1,"EMG":0,"TB":0,"NTD":0,"MUC":0,"ICH":0,"VAC":0,"MAB":0,"CGT":0,"DIA":0,"MIC":0,"SMD":1,"GHC":0}</t>
  </si>
  <si>
    <t>PR-03-83</t>
  </si>
  <si>
    <t>{"Company ID":"CMP-33c76a2d988","Tier":"CORE","Company":"Centauri Therapeutics","GD Active Assets":0,"Source Basis":"Public source","HIV":0,"HEP":0,"HAI":1,"ABX":1,"EMG":0,"TB":0,"NTD":0,"MUC":0,"ICH":0,"VAC":0,"MAB":1,"CGT":0,"DIA":0,"MIC":0,"SMD":0,"GHC":0}</t>
  </si>
  <si>
    <t>PR-03-84</t>
  </si>
  <si>
    <t>{"Company ID":"CMP-e0fa5955eec","Tier":"CORE","Company":"Debiopharm International","GD Active Assets":0,"Source Basis":"Public source","HIV":0,"HEP":0,"HAI":1,"ABX":1,"EMG":0,"TB":0,"NTD":0,"MUC":0,"ICH":0,"VAC":0,"MAB":0,"CGT":0,"DIA":0,"MIC":0,"SMD":1,"GHC":0}</t>
  </si>
  <si>
    <t>PR-03-85</t>
  </si>
  <si>
    <t>{"Company ID":"CMP-4cdbd28fa00","Tier":"CORE","Company":"Disperazol Pharma","GD Active Assets":0,"Source Basis":"Public source","HIV":0,"HEP":0,"HAI":1,"ABX":1,"EMG":0,"TB":0,"NTD":0,"MUC":0,"ICH":0,"VAC":0,"MAB":0,"CGT":0,"DIA":0,"MIC":0,"SMD":1,"GHC":0}</t>
  </si>
  <si>
    <t>PR-03-86</t>
  </si>
  <si>
    <t>{"Company ID":"CMP-1c39dd558a2","Tier":"CORE","Company":"Ferring Pharmaceuticals","GD Active Assets":0,"Source Basis":"Public source","HIV":0,"HEP":0,"HAI":1,"ABX":0,"EMG":0,"TB":0,"NTD":0,"MUC":0,"ICH":1,"VAC":0,"MAB":0,"CGT":0,"DIA":0,"MIC":1,"SMD":0,"GHC":0}</t>
  </si>
  <si>
    <t>PR-03-87</t>
  </si>
  <si>
    <t>{"Company ID":"CMP-02e13c78d23","Tier":"CORE","Company":"Hypharm","GD Active Assets":0,"Source Basis":"Public source","HIV":0,"HEP":0,"HAI":1,"ABX":1,"EMG":0,"TB":0,"NTD":0,"MUC":0,"ICH":0,"VAC":0,"MAB":0,"CGT":0,"DIA":0,"MIC":0,"SMD":0,"GHC":0}</t>
  </si>
  <si>
    <t>PR-03-88</t>
  </si>
  <si>
    <t>{"Company ID":"CMP-e149f79216b","Tier":"CORE","Company":"INTELIPHAGE","GD Active Assets":0,"Source Basis":"Public source","HIV":0,"HEP":0,"HAI":1,"ABX":1,"EMG":0,"TB":0,"NTD":0,"MUC":0,"ICH":0,"VAC":0,"MAB":0,"CGT":0,"DIA":0,"MIC":0,"SMD":0,"GHC":0}</t>
  </si>
  <si>
    <t>PR-03-89</t>
  </si>
  <si>
    <t>{"Company ID":"CMP-c03b5eb46a0","Tier":"CORE","Company":"MaaT Pharma","GD Active Assets":0,"Source Basis":"Public source","HIV":0,"HEP":0,"HAI":1,"ABX":0,"EMG":0,"TB":0,"NTD":0,"MUC":0,"ICH":1,"VAC":0,"MAB":0,"CGT":0,"DIA":0,"MIC":1,"SMD":0,"GHC":0}</t>
  </si>
  <si>
    <t>PR-03-90</t>
  </si>
  <si>
    <t>{"Company ID":"CMP-b41888fba29","Tier":"CORE","Company":"Nexbiome Therapeutics","GD Active Assets":0,"Source Basis":"Public source","HIV":0,"HEP":0,"HAI":1,"ABX":1,"EMG":0,"TB":0,"NTD":0,"MUC":0,"ICH":0,"VAC":0,"MAB":0,"CGT":0,"DIA":0,"MIC":1,"SMD":0,"GHC":0}</t>
  </si>
  <si>
    <t>PR-03-91</t>
  </si>
  <si>
    <t>{"Company ID":"CMP-6ebc81fa4e8","Tier":"CORE","Company":"OM Pharma","GD Active Assets":0,"Source Basis":"Public source","HIV":0,"HEP":0,"HAI":1,"ABX":0,"EMG":0,"TB":0,"NTD":0,"MUC":1,"ICH":0,"VAC":1,"MAB":0,"CGT":0,"DIA":0,"MIC":0,"SMD":0,"GHC":0}</t>
  </si>
  <si>
    <t>PR-03-92</t>
  </si>
  <si>
    <t>{"Company ID":"CMP-c26d0b0b2ae","Tier":"CORE","Company":"Obulytix","GD Active Assets":0,"Source Basis":"Public source","HIV":0,"HEP":0,"HAI":1,"ABX":1,"EMG":0,"TB":0,"NTD":0,"MUC":0,"ICH":0,"VAC":0,"MAB":0,"CGT":0,"DIA":0,"MIC":0,"SMD":0,"GHC":0}</t>
  </si>
  <si>
    <t>PR-03-93</t>
  </si>
  <si>
    <t>{"Company ID":"CMP-d4bb4737696","Tier":"CORE","Company":"Omnix Medical","GD Active Assets":0,"Source Basis":"Public source","HIV":0,"HEP":0,"HAI":1,"ABX":1,"EMG":0,"TB":0,"NTD":0,"MUC":0,"ICH":0,"VAC":0,"MAB":0,"CGT":0,"DIA":0,"MIC":0,"SMD":0,"GHC":0}</t>
  </si>
  <si>
    <t>PR-03-94</t>
  </si>
  <si>
    <t>{"Company ID":"CMP-421dd2c5f23","Tier":"CORE","Company":"Phagos","GD Active Assets":0,"Source Basis":"Public source","HIV":0,"HEP":0,"HAI":1,"ABX":1,"EMG":0,"TB":0,"NTD":0,"MUC":0,"ICH":0,"VAC":0,"MAB":0,"CGT":0,"DIA":0,"MIC":0,"SMD":0,"GHC":0}</t>
  </si>
  <si>
    <t>PR-03-95</t>
  </si>
  <si>
    <t>{"Company ID":"CMP-e5709fc55b5","Tier":"CORE","Company":"Santero Therapeutics","GD Active Assets":0,"Source Basis":"Public source","HIV":0,"HEP":0,"HAI":1,"ABX":1,"EMG":0,"TB":0,"NTD":0,"MUC":0,"ICH":0,"VAC":0,"MAB":0,"CGT":0,"DIA":0,"MIC":0,"SMD":1,"GHC":0}</t>
  </si>
  <si>
    <t>PR-03-96</t>
  </si>
  <si>
    <t>{"Company ID":"CMP-5b18365f8f7","Tier":"CORE","Company":"Syntinel Biologics","GD Active Assets":0,"Source Basis":"Public source","HIV":0,"HEP":0,"HAI":1,"ABX":1,"EMG":0,"TB":0,"NTD":0,"MUC":0,"ICH":0,"VAC":1,"MAB":0,"CGT":0,"DIA":0,"MIC":0,"SMD":0,"GHC":0}</t>
  </si>
  <si>
    <t>PR-03-97</t>
  </si>
  <si>
    <t>{"Company ID":"CMP-6aacfbb37e0","Tier":"CORE","Company":"Telum Therapeutics","GD Active Assets":0,"Source Basis":"Public source","HIV":0,"HEP":0,"HAI":1,"ABX":1,"EMG":0,"TB":0,"NTD":0,"MUC":0,"ICH":0,"VAC":0,"MAB":0,"CGT":0,"DIA":0,"MIC":0,"SMD":0,"GHC":0}</t>
  </si>
  <si>
    <t>PR-03-98</t>
  </si>
  <si>
    <t>{"Company ID":"CMP-726db97a94d","Tier":"CORE","Company":"VAXDYN","GD Active Assets":0,"Source Basis":"Public source","HIV":0,"HEP":0,"HAI":1,"ABX":1,"EMG":0,"TB":0,"NTD":0,"MUC":0,"ICH":0,"VAC":1,"MAB":0,"CGT":0,"DIA":0,"MIC":0,"SMD":0,"GHC":0}</t>
  </si>
  <si>
    <t>PR-03-99</t>
  </si>
  <si>
    <t>{"Company ID":"CMP-ad5a354e035","Tier":"CORE","Company":"smartbax","GD Active Assets":0,"Source Basis":"Public source","HIV":0,"HEP":0,"HAI":1,"ABX":1,"EMG":0,"TB":0,"NTD":0,"MUC":0,"ICH":0,"VAC":0,"MAB":0,"CGT":0,"DIA":0,"MIC":0,"SMD":1,"GHC":0}</t>
  </si>
  <si>
    <t>PR-03-100</t>
  </si>
  <si>
    <t>{"Company ID":"CMP-108641addb6","Tier":"CORE","Company":"City of Hope","GD Active Assets":2,"Source Basis":"GlobalData","HIV":1,"HEP":0,"HAI":0,"ABX":0,"EMG":1,"TB":0,"NTD":0,"MUC":0,"ICH":0,"VAC":0,"MAB":0,"CGT":1,"DIA":0,"MIC":0,"SMD":0,"GHC":0}</t>
  </si>
  <si>
    <t>PR-03-101</t>
  </si>
  <si>
    <t>{"Company ID":"CMP-de8e4c7e849","Tier":"CORE","Company":"Suzhou CureMed Biopharma Technology Co Ltd","GD Active Assets":2,"Source Basis":"GlobalData","HIV":0,"HEP":0,"HAI":0,"ABX":0,"EMG":1,"TB":0,"NTD":0,"MUC":0,"ICH":1,"VAC":0,"MAB":0,"CGT":1,"DIA":0,"MIC":0,"SMD":0,"GHC":0}</t>
  </si>
  <si>
    <t>PR-03-102</t>
  </si>
  <si>
    <t>{"Company ID":"CMP-9f2367b42ec","Tier":"CORE","Company":"Bristar Immunotech Biotechnology Co Ltd","GD Active Assets":2,"Source Basis":"GlobalData","HIV":0,"HEP":0,"HAI":0,"ABX":0,"EMG":0,"TB":0,"NTD":0,"MUC":0,"ICH":1,"VAC":0,"MAB":0,"CGT":1,"DIA":0,"MIC":0,"SMD":0,"GHC":0}</t>
  </si>
  <si>
    <t>PR-03-103</t>
  </si>
  <si>
    <t>{"Company ID":"CMP-ff43c4d38a6","Tier":"CORE","Company":"Lion TCR Pte Ltd","GD Active Assets":3,"Source Basis":"GlobalData","HIV":0,"HEP":1,"HAI":0,"ABX":0,"EMG":0,"TB":0,"NTD":0,"MUC":0,"ICH":0,"VAC":0,"MAB":0,"CGT":1,"DIA":0,"MIC":0,"SMD":0,"GHC":0}</t>
  </si>
  <si>
    <t>PR-03-104</t>
  </si>
  <si>
    <t>{"Company ID":"CMP-9b3f31b82f1","Tier":"CORE","Company":"BugSee","GD Active Assets":0,"Source Basis":"Public source","HIV":0,"HEP":0,"HAI":1,"ABX":0,"EMG":0,"TB":0,"NTD":0,"MUC":0,"ICH":0,"VAC":0,"MAB":0,"CGT":0,"DIA":1,"MIC":0,"SMD":0,"GHC":0}</t>
  </si>
  <si>
    <t>PR-03-105</t>
  </si>
  <si>
    <t>{"Company ID":"CMP-c2df97c26fd","Tier":"CORE","Company":"Excision BioTherapeutics","GD Active Assets":0,"Source Basis":"Public source","HIV":1,"HEP":0,"HAI":0,"ABX":0,"EMG":0,"TB":0,"NTD":0,"MUC":0,"ICH":0,"VAC":0,"MAB":0,"CGT":1,"DIA":0,"MIC":0,"SMD":0,"GHC":0}</t>
  </si>
  <si>
    <t>PR-03-106</t>
  </si>
  <si>
    <t>{"Company ID":"CMP-d65ad545b92","Tier":"CORE","Company":"Microbira","GD Active Assets":0,"Source Basis":"Public source","HIV":0,"HEP":0,"HAI":1,"ABX":0,"EMG":0,"TB":0,"NTD":0,"MUC":0,"ICH":0,"VAC":0,"MAB":0,"CGT":0,"DIA":1,"MIC":0,"SMD":0,"GHC":0}</t>
  </si>
  <si>
    <t>PR-03-107</t>
  </si>
  <si>
    <t>{"Company ID":"CMP-811101667a0","Tier":"CORE","Company":"Nostics","GD Active Assets":0,"Source Basis":"Public source","HIV":0,"HEP":0,"HAI":1,"ABX":0,"EMG":0,"TB":0,"NTD":0,"MUC":0,"ICH":0,"VAC":0,"MAB":0,"CGT":0,"DIA":1,"MIC":0,"SMD":0,"GHC":0}</t>
  </si>
  <si>
    <t>PR-03-108</t>
  </si>
  <si>
    <t>{"Company ID":"CMP-c6bc30af3d8","Tier":"CORE","Company":"Wuhan Bio-Raid Biotechnology Co Ltd","GD Active Assets":2,"Source Basis":"GlobalData","HIV":1,"HEP":0,"HAI":0,"ABX":0,"EMG":0,"TB":0,"NTD":0,"MUC":0,"ICH":0,"VAC":0,"MAB":0,"CGT":1,"DIA":0,"MIC":0,"SMD":0,"GHC":0}</t>
  </si>
  <si>
    <t>PR-03-109</t>
  </si>
  <si>
    <t>{"Company ID":"CMP-2100701d612","Tier":"CORE","Company":"Rebiotix Inc","GD Active Assets":1,"Source Basis":"GlobalData","HIV":0,"HEP":0,"HAI":1,"ABX":1,"EMG":0,"TB":0,"NTD":0,"MUC":0,"ICH":0,"VAC":0,"MAB":0,"CGT":0,"DIA":0,"MIC":1,"SMD":0,"GHC":0}</t>
  </si>
  <si>
    <t>PR-03-110</t>
  </si>
  <si>
    <t>{"Company ID":"CMP-13b02aead78","Tier":"CORE","Company":"Profionics","GD Active Assets":0,"Source Basis":"Public source","HIV":0,"HEP":0,"HAI":1,"ABX":0,"EMG":0,"TB":0,"NTD":0,"MUC":0,"ICH":0,"VAC":0,"MAB":0,"CGT":0,"DIA":1,"MIC":0,"SMD":0,"GHC":0}</t>
  </si>
  <si>
    <t>PR-03-111</t>
  </si>
  <si>
    <t>{"Company ID":"CMP-3f19c5bc4ac","Tier":"EXTENDED","Company":"Eubiologics Co Ltd","GD Active Assets":6,"Source Basis":"GlobalData","HIV":0,"HEP":0,"HAI":0,"ABX":1,"EMG":1,"TB":0,"NTD":0,"MUC":1,"ICH":0,"VAC":1,"MAB":0,"CGT":0,"DIA":0,"MIC":0,"SMD":0,"GHC":0}</t>
  </si>
  <si>
    <t>PR-03-112</t>
  </si>
  <si>
    <t>{"Company ID":"CMP-0934bdf51e6","Tier":"EXTENDED","Company":"Shanghai Institute of Biological Products Co Ltd","GD Active Assets":6,"Source Basis":"GlobalData","HIV":0,"HEP":0,"HAI":0,"ABX":0,"EMG":1,"TB":0,"NTD":0,"MUC":1,"ICH":1,"VAC":1,"MAB":0,"CGT":0,"DIA":0,"MIC":0,"SMD":0,"GHC":0}</t>
  </si>
  <si>
    <t>PR-03-113</t>
  </si>
  <si>
    <t>{"Company ID":"CMP-9c1a100dc59","Tier":"EXTENDED","Company":"SinoCelltech Group Ltd","GD Active Assets":5,"Source Basis":"GlobalData","HIV":0,"HEP":0,"HAI":0,"ABX":0,"EMG":1,"TB":0,"NTD":0,"MUC":1,"ICH":1,"VAC":1,"MAB":0,"CGT":0,"DIA":0,"MIC":0,"SMD":0,"GHC":0}</t>
  </si>
  <si>
    <t>PR-03-114</t>
  </si>
  <si>
    <t>{"Company ID":"CMP-9decd84757e","Tier":"EXTENDED","Company":"Biocidium Biopharmaceuticals Inc","GD Active Assets":10,"Source Basis":"GlobalData","HIV":0,"HEP":0,"HAI":1,"ABX":1,"EMG":0,"TB":0,"NTD":0,"MUC":1,"ICH":1,"VAC":0,"MAB":0,"CGT":0,"DIA":0,"MIC":0,"SMD":0,"GHC":0}</t>
  </si>
  <si>
    <t>PR-03-115</t>
  </si>
  <si>
    <t>{"Company ID":"CMP-078b33dd07f","Tier":"EXTENDED","Company":"Jiangsu Hengrui Pharmaceuticals Co Ltd","GD Active Assets":4,"Source Basis":"GlobalData","HIV":0,"HEP":1,"HAI":1,"ABX":1,"EMG":0,"TB":0,"NTD":0,"MUC":1,"ICH":1,"VAC":0,"MAB":0,"CGT":0,"DIA":0,"MIC":0,"SMD":0,"GHC":0}</t>
  </si>
  <si>
    <t>PR-03-116</t>
  </si>
  <si>
    <t>{"Company ID":"CMP-e06a0a2c903","Tier":"EXTENDED","Company":"Walvax Biotechnology Co Ltd","GD Active Assets":6,"Source Basis":"GlobalData","HIV":0,"HEP":0,"HAI":0,"ABX":0,"EMG":1,"TB":0,"NTD":0,"MUC":1,"ICH":1,"VAC":1,"MAB":0,"CGT":0,"DIA":0,"MIC":0,"SMD":0,"GHC":0}</t>
  </si>
  <si>
    <t>PR-03-117</t>
  </si>
  <si>
    <t>{"Company ID":"CMP-8286c6c630d","Tier":"EXTENDED","Company":"Vaxart Inc","GD Active Assets":7,"Source Basis":"GlobalData","HIV":0,"HEP":0,"HAI":0,"ABX":0,"EMG":1,"TB":0,"NTD":0,"MUC":1,"ICH":0,"VAC":1,"MAB":0,"CGT":0,"DIA":0,"MIC":0,"SMD":0,"GHC":0}</t>
  </si>
  <si>
    <t>PR-03-118</t>
  </si>
  <si>
    <t>{"Company ID":"CMP-f0ace507d0a","Tier":"EXTENDED","Company":"YouCare Pharmaceutical Group Co Ltd","GD Active Assets":5,"Source Basis":"GlobalData","HIV":0,"HEP":1,"HAI":0,"ABX":0,"EMG":1,"TB":0,"NTD":0,"MUC":1,"ICH":1,"VAC":0,"MAB":0,"CGT":0,"DIA":0,"MIC":0,"SMD":0,"GHC":0}</t>
  </si>
  <si>
    <t>PR-03-119</t>
  </si>
  <si>
    <t>{"Company ID":"CMP-5756f6656b7","Tier":"EXTENDED","Company":"GC Biopharma Corp","GD Active Assets":6,"Source Basis":"GlobalData","HIV":0,"HEP":0,"HAI":0,"ABX":0,"EMG":1,"TB":0,"NTD":0,"MUC":1,"ICH":0,"VAC":1,"MAB":0,"CGT":0,"DIA":0,"MIC":0,"SMD":0,"GHC":0}</t>
  </si>
  <si>
    <t>PR-03-120</t>
  </si>
  <si>
    <t>{"Company ID":"CMP-0c333834d33","Tier":"EXTENDED","Company":"Boehringer Ingelheim International GmbH","GD Active Assets":3,"Source Basis":"GlobalData","HIV":0,"HEP":0,"HAI":1,"ABX":1,"EMG":1,"TB":0,"NTD":0,"MUC":1,"ICH":1,"VAC":0,"MAB":0,"CGT":0,"DIA":0,"MIC":0,"SMD":0,"GHC":0}</t>
  </si>
  <si>
    <t>PR-03-121</t>
  </si>
  <si>
    <t>{"Company ID":"CMP-bf7e57274f6","Tier":"EXTENDED","Company":"Promomed LLC","GD Active Assets":6,"Source Basis":"GlobalData","HIV":0,"HEP":1,"HAI":0,"ABX":0,"EMG":1,"TB":0,"NTD":0,"MUC":0,"ICH":0,"VAC":0,"MAB":0,"CGT":0,"DIA":0,"MIC":0,"SMD":0,"GHC":0}</t>
  </si>
  <si>
    <t>PR-03-122</t>
  </si>
  <si>
    <t>{"Company ID":"CMP-9d444f16979","Tier":"EXTENDED","Company":"Xiamen Innovax Biotech Co Ltd","GD Active Assets":6,"Source Basis":"GlobalData","HIV":0,"HEP":1,"HAI":0,"ABX":0,"EMG":0,"TB":0,"NTD":0,"MUC":1,"ICH":0,"VAC":1,"MAB":0,"CGT":0,"DIA":0,"MIC":0,"SMD":0,"GHC":0}</t>
  </si>
  <si>
    <t>PR-03-123</t>
  </si>
  <si>
    <t>{"Company ID":"CMP-5e8e018b773","Tier":"EXTENDED","Company":"Abion Inc","GD Active Assets":6,"Source Basis":"GlobalData","HIV":0,"HEP":1,"HAI":1,"ABX":1,"EMG":1,"TB":0,"NTD":0,"MUC":1,"ICH":0,"VAC":0,"MAB":0,"CGT":0,"DIA":0,"MIC":0,"SMD":0,"GHC":0}</t>
  </si>
  <si>
    <t>PR-03-124</t>
  </si>
  <si>
    <t>{"Company ID":"CMP-6dcf8867166","Tier":"EXTENDED","Company":"Drugs for Neglected Diseases initiative","GD Active Assets":5,"Source Basis":"GlobalData","HIV":0,"HEP":0,"HAI":0,"ABX":0,"EMG":1,"TB":0,"NTD":1,"MUC":0,"ICH":1,"VAC":0,"MAB":0,"CGT":0,"DIA":0,"MIC":0,"SMD":0,"GHC":0}</t>
  </si>
  <si>
    <t>PR-03-125</t>
  </si>
  <si>
    <t>{"Company ID":"CMP-972583c6f34","Tier":"EXTENDED","Company":"Shenzhen Kangtai Biological Products Co Ltd","GD Active Assets":5,"Source Basis":"GlobalData","HIV":0,"HEP":1,"HAI":0,"ABX":0,"EMG":1,"TB":0,"NTD":0,"MUC":1,"ICH":0,"VAC":1,"MAB":0,"CGT":0,"DIA":0,"MIC":0,"SMD":0,"GHC":0}</t>
  </si>
  <si>
    <t>PR-03-126</t>
  </si>
  <si>
    <t>{"Company ID":"CMP-1441b9ac13e","Tier":"EXTENDED","Company":"Beijing Luzhu Biotechnology Co Ltd","GD Active Assets":3,"Source Basis":"GlobalData","HIV":0,"HEP":0,"HAI":1,"ABX":1,"EMG":0,"TB":0,"NTD":0,"MUC":1,"ICH":1,"VAC":1,"MAB":0,"CGT":0,"DIA":0,"MIC":0,"SMD":0,"GHC":0}</t>
  </si>
  <si>
    <t>PR-03-127</t>
  </si>
  <si>
    <t>{"Company ID":"CMP-4f8a2958e3d","Tier":"EXTENDED","Company":"Lumen Bioscience Inc","GD Active Assets":3,"Source Basis":"GlobalData","HIV":0,"HEP":0,"HAI":1,"ABX":1,"EMG":1,"TB":0,"NTD":0,"MUC":1,"ICH":0,"VAC":0,"MAB":0,"CGT":0,"DIA":0,"MIC":0,"SMD":0,"GHC":0}</t>
  </si>
  <si>
    <t>PR-03-128</t>
  </si>
  <si>
    <t>{"Company ID":"CMP-9d580665cfb","Tier":"EXTENDED","Company":"Phenobio Biopharmaceutical Technology (Hangzhou) Co Ltd","GD Active Assets":6,"Source Basis":"GlobalData","HIV":0,"HEP":0,"HAI":0,"ABX":1,"EMG":0,"TB":0,"NTD":0,"MUC":1,"ICH":1,"VAC":0,"MAB":0,"CGT":0,"DIA":0,"MIC":0,"SMD":0,"GHC":0}</t>
  </si>
  <si>
    <t>PR-03-129</t>
  </si>
  <si>
    <t>{"Company ID":"CMP-58ed874c974","Tier":"EXTENDED","Company":"Clover Biopharmaceuticals Ltd","GD Active Assets":6,"Source Basis":"GlobalData","HIV":0,"HEP":0,"HAI":0,"ABX":0,"EMG":1,"TB":0,"NTD":0,"MUC":1,"ICH":0,"VAC":1,"MAB":0,"CGT":0,"DIA":0,"MIC":0,"SMD":0,"GHC":0}</t>
  </si>
  <si>
    <t>PR-03-130</t>
  </si>
  <si>
    <t>{"Company ID":"CMP-3f15ddb6b50","Tier":"EXTENDED","Company":"Eisai Co Ltd","GD Active Assets":6,"Source Basis":"GlobalData","HIV":0,"HEP":0,"HAI":0,"ABX":0,"EMG":0,"TB":0,"NTD":1,"MUC":0,"ICH":1,"VAC":1,"MAB":0,"CGT":0,"DIA":0,"MIC":0,"SMD":0,"GHC":0}</t>
  </si>
  <si>
    <t>PR-03-131</t>
  </si>
  <si>
    <t>{"Company ID":"CMP-bba1a1ec87d","Tier":"EXTENDED","Company":"Swedish Orphan Biovitrum AB","GD Active Assets":2,"Source Basis":"GlobalData","HIV":0,"HEP":0,"HAI":1,"ABX":1,"EMG":1,"TB":0,"NTD":0,"MUC":1,"ICH":1,"VAC":0,"MAB":0,"CGT":0,"DIA":0,"MIC":0,"SMD":0,"GHC":0}</t>
  </si>
  <si>
    <t>PR-03-132</t>
  </si>
  <si>
    <t>{"Company ID":"CMP-cc6f0a4140b","Tier":"EXTENDED","Company":"Intravacc BV","GD Active Assets":4,"Source Basis":"GlobalData","HIV":0,"HEP":0,"HAI":0,"ABX":1,"EMG":1,"TB":0,"NTD":0,"MUC":1,"ICH":0,"VAC":1,"MAB":0,"CGT":0,"DIA":0,"MIC":0,"SMD":0,"GHC":0}</t>
  </si>
  <si>
    <t>PR-03-133</t>
  </si>
  <si>
    <t>{"Company ID":"CMP-dda1b1eb60d","Tier":"EXTENDED","Company":"Jiangsu Kunli Biopharmaceutical Co Ltd","GD Active Assets":5,"Source Basis":"GlobalData","HIV":0,"HEP":0,"HAI":1,"ABX":1,"EMG":0,"TB":0,"NTD":0,"MUC":1,"ICH":1,"VAC":1,"MAB":0,"CGT":0,"DIA":0,"MIC":0,"SMD":0,"GHC":0}</t>
  </si>
  <si>
    <t>PR-03-134</t>
  </si>
  <si>
    <t>{"Company ID":"CMP-e4f41a9d76c","Tier":"EXTENDED","Company":"Grand Theravac Life Sciences (Nanjing) Co Ltd","GD Active Assets":5,"Source Basis":"GlobalData","HIV":0,"HEP":1,"HAI":0,"ABX":0,"EMG":0,"TB":0,"NTD":0,"MUC":1,"ICH":1,"VAC":1,"MAB":0,"CGT":0,"DIA":0,"MIC":0,"SMD":0,"GHC":0}</t>
  </si>
  <si>
    <t>PR-03-135</t>
  </si>
  <si>
    <t>{"Company ID":"CMP-0b55c608dd1","Tier":"EXTENDED","Company":"LucasBio Co Ltd","GD Active Assets":5,"Source Basis":"GlobalData","HIV":0,"HEP":0,"HAI":0,"ABX":0,"EMG":1,"TB":0,"NTD":0,"MUC":0,"ICH":1,"VAC":0,"MAB":0,"CGT":0,"DIA":0,"MIC":0,"SMD":0,"GHC":0}</t>
  </si>
  <si>
    <t>PR-03-136</t>
  </si>
  <si>
    <t>{"Company ID":"CMP-ba0f4be8da0","Tier":"EXTENDED","Company":"Wuhan Institute of Biological Products Co Ltd","GD Active Assets":5,"Source Basis":"GlobalData","HIV":0,"HEP":0,"HAI":0,"ABX":0,"EMG":1,"TB":0,"NTD":0,"MUC":1,"ICH":0,"VAC":1,"MAB":0,"CGT":0,"DIA":0,"MIC":0,"SMD":0,"GHC":0}</t>
  </si>
  <si>
    <t>PR-03-137</t>
  </si>
  <si>
    <t>{"Company ID":"CMP-6f9f822213f","Tier":"EXTENDED","Company":"EyeGene Inc","GD Active Assets":3,"Source Basis":"GlobalData","HIV":0,"HEP":0,"HAI":0,"ABX":1,"EMG":1,"TB":0,"NTD":0,"MUC":1,"ICH":1,"VAC":0,"MAB":0,"CGT":0,"DIA":0,"MIC":0,"SMD":0,"GHC":0}</t>
  </si>
  <si>
    <t>PR-03-138</t>
  </si>
  <si>
    <t>{"Company ID":"CMP-2e8e0dfb894","Tier":"EXTENDED","Company":"RedHill Biopharma Ltd","GD Active Assets":3,"Source Basis":"GlobalData","HIV":0,"HEP":0,"HAI":0,"ABX":1,"EMG":1,"TB":0,"NTD":1,"MUC":1,"ICH":0,"VAC":0,"MAB":0,"CGT":0,"DIA":0,"MIC":0,"SMD":0,"GHC":0}</t>
  </si>
  <si>
    <t>PR-03-139</t>
  </si>
  <si>
    <t>{"Company ID":"CMP-9a50f62c0bf","Tier":"EXTENDED","Company":"Bavarian Nordic AS","GD Active Assets":3,"Source Basis":"GlobalData","HIV":0,"HEP":0,"HAI":0,"ABX":0,"EMG":1,"TB":0,"NTD":1,"MUC":1,"ICH":0,"VAC":1,"MAB":0,"CGT":0,"DIA":0,"MIC":0,"SMD":0,"GHC":0}</t>
  </si>
  <si>
    <t>PR-03-140</t>
  </si>
  <si>
    <t>{"Company ID":"CMP-2297c0d2f25","Tier":"EXTENDED","Company":"Dynavax Technologies Corp","GD Active Assets":3,"Source Basis":"GlobalData","HIV":0,"HEP":0,"HAI":0,"ABX":0,"EMG":1,"TB":0,"NTD":0,"MUC":1,"ICH":1,"VAC":1,"MAB":0,"CGT":0,"DIA":0,"MIC":0,"SMD":0,"GHC":0}</t>
  </si>
  <si>
    <t>PR-03-141</t>
  </si>
  <si>
    <t>{"Company ID":"CMP-78274050aea","Tier":"EXTENDED","Company":"LG Chem Ltd","GD Active Assets":3,"Source Basis":"GlobalData","HIV":0,"HEP":1,"HAI":0,"ABX":0,"EMG":1,"TB":0,"NTD":0,"MUC":1,"ICH":0,"VAC":0,"MAB":0,"CGT":0,"DIA":0,"MIC":0,"SMD":0,"GHC":0}</t>
  </si>
  <si>
    <t>PR-03-142</t>
  </si>
  <si>
    <t>{"Company ID":"CMP-e0ed1515d16","Tier":"EXTENDED","Company":"WestVac Biopharma Co Ltd","GD Active Assets":6,"Source Basis":"GlobalData","HIV":0,"HEP":0,"HAI":0,"ABX":0,"EMG":1,"TB":0,"NTD":0,"MUC":1,"ICH":0,"VAC":1,"MAB":0,"CGT":0,"DIA":0,"MIC":0,"SMD":0,"GHC":0}</t>
  </si>
  <si>
    <t>PR-03-143</t>
  </si>
  <si>
    <t>{"Company ID":"CMP-156cb401985","Tier":"EXTENDED","Company":"MAXVAX Biotechnology Co Ltd","GD Active Assets":4,"Source Basis":"GlobalData","HIV":0,"HEP":0,"HAI":0,"ABX":0,"EMG":0,"TB":0,"NTD":0,"MUC":1,"ICH":1,"VAC":1,"MAB":0,"CGT":0,"DIA":0,"MIC":0,"SMD":0,"GHC":0}</t>
  </si>
  <si>
    <t>PR-03-144</t>
  </si>
  <si>
    <t>{"Company ID":"CMP-1230b627b39","Tier":"EXTENDED","Company":"Alopexx Inc","GD Active Assets":2,"Source Basis":"GlobalData","HIV":0,"HEP":0,"HAI":1,"ABX":1,"EMG":0,"TB":1,"NTD":0,"MUC":1,"ICH":0,"VAC":0,"MAB":0,"CGT":0,"DIA":0,"MIC":0,"SMD":0,"GHC":0}</t>
  </si>
  <si>
    <t>PR-03-145</t>
  </si>
  <si>
    <t>{"Company ID":"CMP-c227f16eb1c","Tier":"EXTENDED","Company":"RinuaGene Biotechnology Co Ltd","GD Active Assets":7,"Source Basis":"GlobalData","HIV":0,"HEP":0,"HAI":0,"ABX":0,"EMG":1,"TB":0,"NTD":0,"MUC":1,"ICH":0,"VAC":0,"MAB":0,"CGT":0,"DIA":0,"MIC":0,"SMD":0,"GHC":0}</t>
  </si>
  <si>
    <t>PR-03-146</t>
  </si>
  <si>
    <t>{"Company ID":"CMP-83aac7ecc69","Tier":"EXTENDED","Company":"Grifols SA","GD Active Assets":3,"Source Basis":"GlobalData","HIV":0,"HEP":1,"HAI":0,"ABX":1,"EMG":1,"TB":0,"NTD":0,"MUC":0,"ICH":0,"VAC":0,"MAB":0,"CGT":0,"DIA":0,"MIC":0,"SMD":0,"GHC":0}</t>
  </si>
  <si>
    <t>PR-03-147</t>
  </si>
  <si>
    <t>{"Company ID":"CMP-fce0f58579d","Tier":"EXTENDED","Company":"Immorna Hangzhou Biotechnology Co Ltd","GD Active Assets":3,"Source Basis":"GlobalData","HIV":0,"HEP":0,"HAI":0,"ABX":0,"EMG":1,"TB":0,"NTD":0,"MUC":1,"ICH":1,"VAC":0,"MAB":0,"CGT":0,"DIA":0,"MIC":0,"SMD":0,"GHC":0}</t>
  </si>
  <si>
    <t>PR-03-148</t>
  </si>
  <si>
    <t>{"Company ID":"CMP-ef19cd41803","Tier":"EXTENDED","Company":"Livzon Pharmaceutical Group Inc","GD Active Assets":3,"Source Basis":"GlobalData","HIV":0,"HEP":0,"HAI":0,"ABX":1,"EMG":1,"TB":0,"NTD":0,"MUC":1,"ICH":0,"VAC":1,"MAB":0,"CGT":0,"DIA":0,"MIC":0,"SMD":0,"GHC":0}</t>
  </si>
  <si>
    <t>PR-03-149</t>
  </si>
  <si>
    <t>{"Company ID":"CMP-1d21555768c","Tier":"EXTENDED","Company":"Luye Life Sciences Group Ltd","GD Active Assets":3,"Source Basis":"GlobalData","HIV":0,"HEP":0,"HAI":0,"ABX":0,"EMG":1,"TB":0,"NTD":0,"MUC":1,"ICH":1,"VAC":0,"MAB":0,"CGT":0,"DIA":0,"MIC":0,"SMD":0,"GHC":0}</t>
  </si>
  <si>
    <t>PR-03-150</t>
  </si>
  <si>
    <t>{"Company ID":"CMP-9873271cb64","Tier":"EXTENDED","Company":"TaiGen Biotechnology Co Ltd","GD Active Assets":3,"Source Basis":"GlobalData","HIV":0,"HEP":1,"HAI":0,"ABX":0,"EMG":1,"TB":0,"NTD":0,"MUC":1,"ICH":0,"VAC":0,"MAB":0,"CGT":0,"DIA":0,"MIC":0,"SMD":0,"GHC":0}</t>
  </si>
  <si>
    <t>PR-03-151</t>
  </si>
  <si>
    <t>{"Company ID":"CMP-4d9ee3f1716","Tier":"EXTENDED","Company":"Regeneron Pharmaceuticals Inc","GD Active Assets":4,"Source Basis":"GlobalData","HIV":0,"HEP":0,"HAI":1,"ABX":1,"EMG":1,"TB":0,"NTD":0,"MUC":0,"ICH":1,"VAC":0,"MAB":0,"CGT":0,"DIA":0,"MIC":0,"SMD":0,"GHC":0}</t>
  </si>
  <si>
    <t>PR-03-152</t>
  </si>
  <si>
    <t>{"Company ID":"CMP-6a58fd2de4b","Tier":"EXTENDED","Company":"Chugai Pharmaceutical Co Ltd","GD Active Assets":2,"Source Basis":"GlobalData","HIV":0,"HEP":0,"HAI":1,"ABX":1,"EMG":1,"TB":0,"NTD":1,"MUC":0,"ICH":1,"VAC":0,"MAB":0,"CGT":0,"DIA":0,"MIC":0,"SMD":0,"GHC":0}</t>
  </si>
  <si>
    <t>PR-03-153</t>
  </si>
  <si>
    <t>{"Company ID":"CMP-b3f407f932b","Tier":"EXTENDED","Company":"Beijing Sinovac Biotech Co Ltd","GD Active Assets":4,"Source Basis":"GlobalData","HIV":0,"HEP":0,"HAI":0,"ABX":1,"EMG":0,"TB":0,"NTD":0,"MUC":1,"ICH":1,"VAC":1,"MAB":0,"CGT":0,"DIA":0,"MIC":0,"SMD":0,"GHC":0}</t>
  </si>
  <si>
    <t>PR-03-154</t>
  </si>
  <si>
    <t>{"Company ID":"CMP-561749078f8","Tier":"EXTENDED","Company":"Codagenix Inc","GD Active Assets":4,"Source Basis":"GlobalData","HIV":0,"HEP":0,"HAI":0,"ABX":0,"EMG":1,"TB":0,"NTD":1,"MUC":1,"ICH":0,"VAC":1,"MAB":0,"CGT":0,"DIA":0,"MIC":0,"SMD":0,"GHC":0}</t>
  </si>
  <si>
    <t>PR-03-155</t>
  </si>
  <si>
    <t>{"Company ID":"CMP-be25b80e3f0","Tier":"EXTENDED","Company":"Hefei Afana Biotechnology Co Ltd","GD Active Assets":4,"Source Basis":"GlobalData","HIV":0,"HEP":0,"HAI":0,"ABX":0,"EMG":1,"TB":0,"NTD":0,"MUC":1,"ICH":1,"VAC":0,"MAB":0,"CGT":0,"DIA":0,"MIC":0,"SMD":0,"GHC":0}</t>
  </si>
  <si>
    <t>PR-03-156</t>
  </si>
  <si>
    <t>{"Company ID":"CMP-01bd01edab9","Tier":"EXTENDED","Company":"Inventprise LLC","GD Active Assets":4,"Source Basis":"GlobalData","HIV":0,"HEP":0,"HAI":0,"ABX":1,"EMG":1,"TB":0,"NTD":0,"MUC":1,"ICH":0,"VAC":1,"MAB":0,"CGT":0,"DIA":0,"MIC":0,"SMD":0,"GHC":0}</t>
  </si>
  <si>
    <t>PR-03-157</t>
  </si>
  <si>
    <t>{"Company ID":"CMP-a3444927172","Tier":"EXTENDED","Company":"Adimmune Corp","GD Active Assets":4,"Source Basis":"GlobalData","HIV":0,"HEP":0,"HAI":0,"ABX":0,"EMG":1,"TB":0,"NTD":0,"MUC":1,"ICH":0,"VAC":1,"MAB":0,"CGT":0,"DIA":0,"MIC":0,"SMD":0,"GHC":0}</t>
  </si>
  <si>
    <t>PR-03-158</t>
  </si>
  <si>
    <t>{"Company ID":"CMP-53fd82f1af9","Tier":"EXTENDED","Company":"CSL Ltd","GD Active Assets":4,"Source Basis":"GlobalData","HIV":0,"HEP":0,"HAI":0,"ABX":0,"EMG":1,"TB":0,"NTD":0,"MUC":1,"ICH":0,"VAC":1,"MAB":0,"CGT":0,"DIA":0,"MIC":0,"SMD":0,"GHC":0}</t>
  </si>
  <si>
    <t>PR-03-159</t>
  </si>
  <si>
    <t>{"Company ID":"CMP-104615421c5","Tier":"EXTENDED","Company":"Citius Pharmaceuticals Inc","GD Active Assets":2,"Source Basis":"GlobalData","HIV":0,"HEP":0,"HAI":1,"ABX":1,"EMG":1,"TB":0,"NTD":0,"MUC":0,"ICH":1,"VAC":0,"MAB":0,"CGT":0,"DIA":0,"MIC":0,"SMD":0,"GHC":0}</t>
  </si>
  <si>
    <t>PR-03-160</t>
  </si>
  <si>
    <t>{"Company ID":"CMP-578ce8097cb","Tier":"EXTENDED","Company":"F. Hoffmann-La Roche Ltd","GD Active Assets":2,"Source Basis":"GlobalData","HIV":0,"HEP":0,"HAI":1,"ABX":1,"EMG":1,"TB":0,"NTD":0,"MUC":1,"ICH":0,"VAC":0,"MAB":0,"CGT":0,"DIA":0,"MIC":0,"SMD":0,"GHC":0}</t>
  </si>
  <si>
    <t>PR-03-161</t>
  </si>
  <si>
    <t>{"Company ID":"CMP-4ce16cef964","Tier":"EXTENDED","Company":"Joincare Pharmaceutical Group Industry Co Ltd","GD Active Assets":2,"Source Basis":"GlobalData","HIV":0,"HEP":0,"HAI":1,"ABX":1,"EMG":1,"TB":0,"NTD":0,"MUC":1,"ICH":0,"VAC":1,"MAB":0,"CGT":0,"DIA":0,"MIC":0,"SMD":0,"GHC":0}</t>
  </si>
  <si>
    <t>PR-03-162</t>
  </si>
  <si>
    <t>{"Company ID":"CMP-ce583ab95df","Tier":"EXTENDED","Company":"Beijing Kawin Technology Share-Holding Co Ltd","GD Active Assets":4,"Source Basis":"GlobalData","HIV":0,"HEP":1,"HAI":0,"ABX":0,"EMG":0,"TB":0,"NTD":0,"MUC":0,"ICH":1,"VAC":0,"MAB":0,"CGT":0,"DIA":0,"MIC":0,"SMD":0,"GHC":0}</t>
  </si>
  <si>
    <t>PR-03-163</t>
  </si>
  <si>
    <t>{"Company ID":"CMP-4b8976fa781","Tier":"EXTENDED","Company":"Genrix (Shanghai) Biopharmaceutical Co Ltd","GD Active Assets":4,"Source Basis":"GlobalData","HIV":0,"HEP":1,"HAI":0,"ABX":0,"EMG":0,"TB":0,"NTD":0,"MUC":1,"ICH":0,"VAC":0,"MAB":0,"CGT":0,"DIA":0,"MIC":0,"SMD":0,"GHC":0}</t>
  </si>
  <si>
    <t>PR-03-164</t>
  </si>
  <si>
    <t>{"Company ID":"CMP-b42b7fb59f0","Tier":"EXTENDED","Company":"Panacea Biotec Ltd","GD Active Assets":4,"Source Basis":"GlobalData","HIV":0,"HEP":0,"HAI":0,"ABX":0,"EMG":1,"TB":0,"NTD":1,"MUC":0,"ICH":0,"VAC":1,"MAB":1,"CGT":0,"DIA":0,"MIC":0,"SMD":0,"GHC":0}</t>
  </si>
  <si>
    <t>PR-03-165</t>
  </si>
  <si>
    <t>{"Company ID":"CMP-155bfcfe459","Tier":"EXTENDED","Company":"Seqirus Ltd","GD Active Assets":4,"Source Basis":"GlobalData","HIV":0,"HEP":0,"HAI":0,"ABX":0,"EMG":1,"TB":0,"NTD":0,"MUC":1,"ICH":0,"VAC":1,"MAB":0,"CGT":0,"DIA":0,"MIC":0,"SMD":0,"GHC":0}</t>
  </si>
  <si>
    <t>PR-03-166</t>
  </si>
  <si>
    <t>{"Company ID":"CMP-e85454a4b35","Tier":"EXTENDED","Company":"Yisheng Biopharma Co Ltd","GD Active Assets":4,"Source Basis":"GlobalData","HIV":0,"HEP":1,"HAI":0,"ABX":0,"EMG":1,"TB":0,"NTD":0,"MUC":0,"ICH":0,"VAC":1,"MAB":0,"CGT":0,"DIA":0,"MIC":0,"SMD":0,"GHC":0}</t>
  </si>
  <si>
    <t>PR-03-167</t>
  </si>
  <si>
    <t>{"Company ID":"CMP-5e80d86ddfe","Tier":"EXTENDED","Company":"AbVacc Inc","GD Active Assets":5,"Source Basis":"GlobalData","HIV":0,"HEP":0,"HAI":1,"ABX":1,"EMG":1,"TB":0,"NTD":0,"MUC":0,"ICH":0,"VAC":0,"MAB":0,"CGT":0,"DIA":0,"MIC":0,"SMD":0,"GHC":0}</t>
  </si>
  <si>
    <t>PR-03-168</t>
  </si>
  <si>
    <t>{"Company ID":"CMP-0e7071bcdb5","Tier":"EXTENDED","Company":"Aviex Technologies LLC","GD Active Assets":5,"Source Basis":"GlobalData","HIV":0,"HEP":0,"HAI":1,"ABX":1,"EMG":0,"TB":0,"NTD":1,"MUC":0,"ICH":0,"VAC":0,"MAB":0,"CGT":0,"DIA":0,"MIC":0,"SMD":0,"GHC":0}</t>
  </si>
  <si>
    <t>PR-03-169</t>
  </si>
  <si>
    <t>{"Company ID":"CMP-a192e827864","Tier":"EXTENDED","Company":"Emergent BioSolutions Inc","GD Active Assets":5,"Source Basis":"GlobalData","HIV":0,"HEP":0,"HAI":0,"ABX":0,"EMG":1,"TB":0,"NTD":0,"MUC":1,"ICH":0,"VAC":0,"MAB":0,"CGT":0,"DIA":0,"MIC":0,"SMD":0,"GHC":0}</t>
  </si>
  <si>
    <t>PR-03-170</t>
  </si>
  <si>
    <t>{"Company ID":"CMP-f2ce30354a7","Tier":"EXTENDED","Company":"VaxForm LLC","GD Active Assets":5,"Source Basis":"GlobalData","HIV":0,"HEP":0,"HAI":0,"ABX":0,"EMG":1,"TB":0,"NTD":0,"MUC":1,"ICH":0,"VAC":1,"MAB":0,"CGT":0,"DIA":0,"MIC":0,"SMD":0,"GHC":0}</t>
  </si>
  <si>
    <t>PR-03-171</t>
  </si>
  <si>
    <t>{"Company ID":"CMP-ca4713a975e","Tier":"EXTENDED","Company":"Xiamen Amoytop Biotech Co Ltd","GD Active Assets":5,"Source Basis":"GlobalData","HIV":0,"HEP":1,"HAI":0,"ABX":0,"EMG":1,"TB":0,"NTD":0,"MUC":0,"ICH":0,"VAC":0,"MAB":0,"CGT":0,"DIA":0,"MIC":0,"SMD":0,"GHC":0}</t>
  </si>
  <si>
    <t>PR-03-172</t>
  </si>
  <si>
    <t>{"Company ID":"CMP-3f23dcf79de","Tier":"EXTENDED","Company":"AimMax Therapeutics Inc","GD Active Assets":3,"Source Basis":"GlobalData","HIV":0,"HEP":0,"HAI":1,"ABX":1,"EMG":0,"TB":0,"NTD":0,"MUC":1,"ICH":1,"VAC":0,"MAB":0,"CGT":0,"DIA":0,"MIC":0,"SMD":0,"GHC":0}</t>
  </si>
  <si>
    <t>PR-03-173</t>
  </si>
  <si>
    <t>{"Company ID":"CMP-6d82459e523","Tier":"EXTENDED","Company":"Bolder Biotechnology Inc","GD Active Assets":3,"Source Basis":"GlobalData","HIV":1,"HEP":1,"HAI":0,"ABX":1,"EMG":0,"TB":0,"NTD":0,"MUC":0,"ICH":1,"VAC":0,"MAB":0,"CGT":0,"DIA":0,"MIC":0,"SMD":0,"GHC":0}</t>
  </si>
  <si>
    <t>PR-03-174</t>
  </si>
  <si>
    <t>{"Company ID":"CMP-a693719a769","Tier":"EXTENDED","Company":"Shanghai Bao Pharmaceuticals Co Ltd","GD Active Assets":3,"Source Basis":"GlobalData","HIV":0,"HEP":0,"HAI":1,"ABX":1,"EMG":0,"TB":0,"NTD":0,"MUC":1,"ICH":1,"VAC":0,"MAB":0,"CGT":0,"DIA":0,"MIC":0,"SMD":0,"GHC":0}</t>
  </si>
  <si>
    <t>PR-03-175</t>
  </si>
  <si>
    <t>{"Company ID":"CMP-bded2171a7f","Tier":"EXTENDED","Company":"Biotron Ltd","GD Active Assets":3,"Source Basis":"GlobalData","HIV":1,"HEP":1,"HAI":0,"ABX":0,"EMG":1,"TB":0,"NTD":0,"MUC":0,"ICH":0,"VAC":0,"MAB":0,"CGT":0,"DIA":0,"MIC":0,"SMD":0,"GHC":0}</t>
  </si>
  <si>
    <t>PR-03-176</t>
  </si>
  <si>
    <t>{"Company ID":"CMP-38726f0edd0","Tier":"EXTENDED","Company":"ConserV Bioscience Ltd","GD Active Assets":3,"Source Basis":"GlobalData","HIV":1,"HEP":0,"HAI":0,"ABX":0,"EMG":1,"TB":0,"NTD":1,"MUC":0,"ICH":0,"VAC":1,"MAB":0,"CGT":0,"DIA":0,"MIC":0,"SMD":0,"GHC":0}</t>
  </si>
  <si>
    <t>PR-03-177</t>
  </si>
  <si>
    <t>{"Company ID":"CMP-30076d157c9","Tier":"EXTENDED","Company":"Immuron Ltd","GD Active Assets":3,"Source Basis":"GlobalData","HIV":0,"HEP":0,"HAI":1,"ABX":1,"EMG":0,"TB":0,"NTD":0,"MUC":1,"ICH":0,"VAC":0,"MAB":1,"CGT":0,"DIA":0,"MIC":0,"SMD":0,"GHC":0}</t>
  </si>
  <si>
    <t>PR-03-178</t>
  </si>
  <si>
    <t>{"Company ID":"CMP-0f0e212f928","Tier":"EXTENDED","Company":"Huahui Health Ltd","GD Active Assets":3,"Source Basis":"GlobalData","HIV":0,"HEP":1,"HAI":0,"ABX":0,"EMG":1,"TB":0,"NTD":0,"MUC":0,"ICH":0,"VAC":0,"MAB":0,"CGT":0,"DIA":0,"MIC":0,"SMD":0,"GHC":0}</t>
  </si>
  <si>
    <t>PR-03-179</t>
  </si>
  <si>
    <t>{"Company ID":"CMP-ac2fdd1b3e6","Tier":"EXTENDED","Company":"VLP Therapeutics LLC","GD Active Assets":3,"Source Basis":"GlobalData","HIV":0,"HEP":0,"HAI":0,"ABX":0,"EMG":1,"TB":0,"NTD":1,"MUC":0,"ICH":0,"VAC":0,"MAB":0,"CGT":0,"DIA":0,"MIC":0,"SMD":0,"GHC":0}</t>
  </si>
  <si>
    <t>PR-03-180</t>
  </si>
  <si>
    <t>{"Company ID":"CMP-9b5b6eb5241","Tier":"EXTENDED","Company":"Frontier Biotechnologies Inc","GD Active Assets":2,"Source Basis":"GlobalData","HIV":1,"HEP":0,"HAI":0,"ABX":0,"EMG":1,"TB":0,"NTD":0,"MUC":1,"ICH":0,"VAC":0,"MAB":0,"CGT":0,"DIA":0,"MIC":0,"SMD":0,"GHC":0}</t>
  </si>
  <si>
    <t>PR-03-181</t>
  </si>
  <si>
    <t>{"Company ID":"CMP-e40d855a05d","Tier":"EXTENDED","Company":"Takeda Pharmaceutical Co Ltd","GD Active Assets":2,"Source Basis":"GlobalData","HIV":0,"HEP":0,"HAI":0,"ABX":0,"EMG":1,"TB":0,"NTD":1,"MUC":0,"ICH":1,"VAC":1,"MAB":0,"CGT":0,"DIA":0,"MIC":0,"SMD":0,"GHC":0}</t>
  </si>
  <si>
    <t>PR-03-182</t>
  </si>
  <si>
    <t>{"Company ID":"CMP-4554fe38f79","Tier":"EXTENDED","Company":"Jiangsu Aidea Pharmaceutical Group Co Ltd","GD Active Assets":7,"Source Basis":"GlobalData","HIV":1,"HEP":0,"HAI":0,"ABX":0,"EMG":0,"TB":0,"NTD":0,"MUC":0,"ICH":0,"VAC":0,"MAB":0,"CGT":0,"DIA":0,"MIC":0,"SMD":0,"GHC":0}</t>
  </si>
  <si>
    <t>PR-03-183</t>
  </si>
  <si>
    <t>{"Company ID":"CMP-a407ca8cf34","Tier":"EXTENDED","Company":"Merck KGaA","GD Active Assets":3,"Source Basis":"GlobalData","HIV":0,"HEP":0,"HAI":0,"ABX":0,"EMG":1,"TB":0,"NTD":1,"MUC":0,"ICH":0,"VAC":0,"MAB":0,"CGT":0,"DIA":0,"MIC":0,"SMD":0,"GHC":0}</t>
  </si>
  <si>
    <t>PR-03-184</t>
  </si>
  <si>
    <t>{"Company ID":"CMP-45b05f5c83e","Tier":"EXTENDED","Company":"Pasteur Institute","GD Active Assets":3,"Source Basis":"GlobalData","HIV":0,"HEP":0,"HAI":0,"ABX":0,"EMG":1,"TB":0,"NTD":1,"MUC":0,"ICH":0,"VAC":0,"MAB":1,"CGT":0,"DIA":0,"MIC":0,"SMD":0,"GHC":0}</t>
  </si>
  <si>
    <t>PR-03-185</t>
  </si>
  <si>
    <t>{"Company ID":"CMP-b226b1ca0a8","Tier":"EXTENDED","Company":"Collaborations Pharmaceuticals Inc","GD Active Assets":4,"Source Basis":"GlobalData","HIV":0,"HEP":0,"HAI":0,"ABX":0,"EMG":1,"TB":0,"NTD":1,"MUC":0,"ICH":1,"VAC":0,"MAB":0,"CGT":0,"DIA":0,"MIC":0,"SMD":0,"GHC":0}</t>
  </si>
  <si>
    <t>PR-03-186</t>
  </si>
  <si>
    <t>{"Company ID":"CMP-c58329fede0","Tier":"EXTENDED","Company":"Helocyte Inc","GD Active Assets":4,"Source Basis":"GlobalData","HIV":1,"HEP":0,"HAI":0,"ABX":0,"EMG":0,"TB":0,"NTD":0,"MUC":0,"ICH":1,"VAC":1,"MAB":0,"CGT":0,"DIA":0,"MIC":0,"SMD":0,"GHC":0}</t>
  </si>
  <si>
    <t>PR-03-187</t>
  </si>
  <si>
    <t>{"Company ID":"CMP-e2fd1a7b36e","Tier":"EXTENDED","Company":"ImmunityBio Inc","GD Active Assets":1,"Source Basis":"GlobalData","HIV":1,"HEP":0,"HAI":1,"ABX":1,"EMG":1,"TB":0,"NTD":0,"MUC":0,"ICH":1,"VAC":0,"MAB":0,"CGT":0,"DIA":0,"MIC":0,"SMD":0,"GHC":0}</t>
  </si>
  <si>
    <t>PR-03-188</t>
  </si>
  <si>
    <t>{"Company ID":"CMP-e6d5184b1a1","Tier":"EXTENDED","Company":"KARE Biosciences Inc","GD Active Assets":1,"Source Basis":"GlobalData","HIV":0,"HEP":0,"HAI":1,"ABX":1,"EMG":1,"TB":0,"NTD":1,"MUC":1,"ICH":1,"VAC":0,"MAB":0,"CGT":0,"DIA":0,"MIC":0,"SMD":0,"GHC":0}</t>
  </si>
  <si>
    <t>PR-03-189</t>
  </si>
  <si>
    <t>{"Company ID":"CMP-af44d9046cb","Tier":"EXTENDED","Company":"Sanaria Inc","GD Active Assets":4,"Source Basis":"GlobalData","HIV":0,"HEP":0,"HAI":0,"ABX":0,"EMG":0,"TB":0,"NTD":1,"MUC":0,"ICH":0,"VAC":1,"MAB":0,"CGT":0,"DIA":0,"MIC":0,"SMD":0,"GHC":0}</t>
  </si>
  <si>
    <t>PR-03-190</t>
  </si>
  <si>
    <t>{"Company ID":"CMP-c650577a6ad","Tier":"EXTENDED","Company":"Arrowsmith Inc","GD Active Assets":2,"Source Basis":"GlobalData","HIV":0,"HEP":0,"HAI":1,"ABX":1,"EMG":0,"TB":1,"NTD":0,"MUC":0,"ICH":1,"VAC":0,"MAB":0,"CGT":0,"DIA":0,"MIC":0,"SMD":0,"GHC":0}</t>
  </si>
  <si>
    <t>PR-03-191</t>
  </si>
  <si>
    <t>{"Company ID":"CMP-13c8a43edd1","Tier":"EXTENDED","Company":"Osel Inc","GD Active Assets":2,"Source Basis":"GlobalData","HIV":1,"HEP":0,"HAI":0,"ABX":1,"EMG":0,"TB":0,"NTD":0,"MUC":1,"ICH":0,"VAC":0,"MAB":0,"CGT":0,"DIA":0,"MIC":0,"SMD":0,"GHC":0}</t>
  </si>
  <si>
    <t>PR-03-192</t>
  </si>
  <si>
    <t>{"Company ID":"CMP-2689ea1fbe9","Tier":"EXTENDED","Company":"Viriom Inc","GD Active Assets":4,"Source Basis":"GlobalData","HIV":1,"HEP":0,"HAI":0,"ABX":0,"EMG":0,"TB":0,"NTD":0,"MUC":0,"ICH":0,"VAC":0,"MAB":0,"CGT":0,"DIA":0,"MIC":0,"SMD":0,"GHC":0}</t>
  </si>
  <si>
    <t>PR-03-193</t>
  </si>
  <si>
    <t>{"Company ID":"CMP-a8e434f18c2","Tier":"EXTENDED","Company":"Imperial College London","GD Active Assets":3,"Source Basis":"GlobalData","HIV":1,"HEP":0,"HAI":0,"ABX":0,"EMG":1,"TB":0,"NTD":0,"MUC":0,"ICH":0,"VAC":1,"MAB":0,"CGT":0,"DIA":0,"MIC":0,"SMD":0,"GHC":0}</t>
  </si>
  <si>
    <t>PR-03-194</t>
  </si>
  <si>
    <t>{"Company ID":"CMP-5ecaf4c905a","Tier":"EXTENDED","Company":"Jecho Biopharmaceuticals Co Ltd","GD Active Assets":3,"Source Basis":"GlobalData","HIV":1,"HEP":0,"HAI":0,"ABX":0,"EMG":1,"TB":0,"NTD":0,"MUC":0,"ICH":0,"VAC":0,"MAB":0,"CGT":0,"DIA":0,"MIC":0,"SMD":0,"GHC":0}</t>
  </si>
  <si>
    <t>PR-03-195</t>
  </si>
  <si>
    <t>{"Company ID":"CMP-c1c503fce47","Tier":"EXTENDED","Company":"Otsuka Pharmaceutical Co Ltd","GD Active Assets":2,"Source Basis":"GlobalData","HIV":0,"HEP":0,"HAI":0,"ABX":1,"EMG":0,"TB":1,"NTD":0,"MUC":0,"ICH":0,"VAC":0,"MAB":0,"CGT":0,"DIA":0,"MIC":0,"SMD":1,"GHC":0}</t>
  </si>
  <si>
    <t>PR-03-196</t>
  </si>
  <si>
    <t>{"Company ID":"CMP-d4177913933","Tier":"EXTENDED","Company":"Yicura Biomed Ltd","GD Active Assets":2,"Source Basis":"GlobalData","HIV":1,"HEP":0,"HAI":0,"ABX":0,"EMG":1,"TB":0,"NTD":0,"MUC":0,"ICH":0,"VAC":1,"MAB":0,"CGT":0,"DIA":0,"MIC":0,"SMD":0,"GHC":0}</t>
  </si>
  <si>
    <t>PR-03-197</t>
  </si>
  <si>
    <t>{"Company ID":"CMP-c148cfc9d75","Tier":"EXTENDED","Company":"Brandenburg Antiinfektiva GmbH","GD Active Assets":1,"Source Basis":"GlobalData","HIV":1,"HEP":1,"HAI":1,"ABX":1,"EMG":0,"TB":0,"NTD":0,"MUC":1,"ICH":1,"VAC":0,"MAB":0,"CGT":0,"DIA":0,"MIC":0,"SMD":0,"GHC":0}</t>
  </si>
  <si>
    <t>PR-03-198</t>
  </si>
  <si>
    <t>{"Company ID":"CMP-c34e195e985","Tier":"EXTENDED","Company":"Beijing Sanroad Biological Products Co Ltd","GD Active Assets":2,"Source Basis":"GlobalData","HIV":0,"HEP":0,"HAI":0,"ABX":1,"EMG":0,"TB":1,"NTD":0,"MUC":1,"ICH":0,"VAC":1,"MAB":0,"CGT":0,"DIA":0,"MIC":0,"SMD":0,"GHC":0}</t>
  </si>
  <si>
    <t>PR-03-199</t>
  </si>
  <si>
    <t>{"Company ID":"CMP-9307e1b3409","Tier":"EXTENDED","Company":"Sysvax (Beijing) Biotechnology Co Ltd","GD Active Assets":2,"Source Basis":"GlobalData","HIV":0,"HEP":0,"HAI":0,"ABX":1,"EMG":1,"TB":1,"NTD":0,"MUC":0,"ICH":0,"VAC":1,"MAB":0,"CGT":0,"DIA":0,"MIC":0,"SMD":0,"GHC":0}</t>
  </si>
  <si>
    <t>PR-03-200</t>
  </si>
  <si>
    <t>{"Company ID":"CMP-895a161abc0","Tier":"EXTENDED","Company":"Chengdu Keen Biotechnology Co Ltd","GD Active Assets":2,"Source Basis":"GlobalData","HIV":0,"HEP":0,"HAI":0,"ABX":1,"EMG":0,"TB":1,"NTD":0,"MUC":0,"ICH":0,"VAC":1,"MAB":0,"CGT":0,"DIA":0,"MIC":0,"SMD":0,"GHC":0}</t>
  </si>
  <si>
    <t>PR-03-201</t>
  </si>
  <si>
    <t>{"Company ID":"CMP-4b7ea901498","Tier":"EXTENDED","Company":"GeneCure Biotechnologies LLC","GD Active Assets":2,"Source Basis":"GlobalData","HIV":1,"HEP":1,"HAI":0,"ABX":0,"EMG":0,"TB":0,"NTD":0,"MUC":0,"ICH":0,"VAC":1,"MAB":0,"CGT":0,"DIA":0,"MIC":0,"SMD":0,"GHC":0}</t>
  </si>
  <si>
    <t>PR-03-202</t>
  </si>
  <si>
    <t>{"Company ID":"CMP-4e04704ecc0","Tier":"EXTENDED","Company":"ReiThera Srl","GD Active Assets":2,"Source Basis":"GlobalData","HIV":1,"HEP":0,"HAI":0,"ABX":0,"EMG":1,"TB":0,"NTD":0,"MUC":0,"ICH":0,"VAC":1,"MAB":0,"CGT":0,"DIA":0,"MIC":0,"SMD":0,"GHC":0}</t>
  </si>
  <si>
    <t>PR-03-203</t>
  </si>
  <si>
    <t>{"Company ID":"CMP-c1748b7ddd0","Tier":"EXTENDED","Company":"Theravectys SA","GD Active Assets":2,"Source Basis":"GlobalData","HIV":1,"HEP":0,"HAI":0,"ABX":0,"EMG":1,"TB":0,"NTD":0,"MUC":0,"ICH":0,"VAC":1,"MAB":0,"CGT":0,"DIA":0,"MIC":0,"SMD":0,"GHC":0}</t>
  </si>
  <si>
    <t>PR-03-204</t>
  </si>
  <si>
    <t>{"Company ID":"CMP-b568334fb83","Tier":"EXTENDED","Company":"United BioPharma Inc","GD Active Assets":2,"Source Basis":"GlobalData","HIV":1,"HEP":0,"HAI":0,"ABX":0,"EMG":0,"TB":0,"NTD":0,"MUC":0,"ICH":1,"VAC":0,"MAB":0,"CGT":0,"DIA":0,"MIC":0,"SMD":0,"GHC":0}</t>
  </si>
  <si>
    <t>PR-03-205</t>
  </si>
  <si>
    <t>{"Company ID":"CMP-6b4f0aaee02","Tier":"EXTENDED","Company":"Austrianni GmbH","GD Active Assets":1,"Source Basis":"GlobalData","HIV":0,"HEP":0,"HAI":1,"ABX":1,"EMG":0,"TB":1,"NTD":0,"MUC":1,"ICH":0,"VAC":0,"MAB":1,"CGT":0,"DIA":0,"MIC":0,"SMD":0,"GHC":0}</t>
  </si>
  <si>
    <t>PR-03-206</t>
  </si>
  <si>
    <t>{"Company ID":"CMP-d0dc37ee4f9","Tier":"EXTENDED","Company":"Yaso Therapeutics Inc","GD Active Assets":1,"Source Basis":"GlobalData","HIV":1,"HEP":0,"HAI":0,"ABX":1,"EMG":1,"TB":0,"NTD":0,"MUC":1,"ICH":0,"VAC":0,"MAB":0,"CGT":0,"DIA":0,"MIC":0,"SMD":0,"GHC":0}</t>
  </si>
  <si>
    <t>PR-03-207</t>
  </si>
  <si>
    <t>{"Company ID":"CMP-90be0717d63","Tier":"EXTENDED","Company":"ILiAD Biotechnologies LLC","GD Active Assets":1,"Source Basis":"GlobalData","HIV":0,"HEP":0,"HAI":0,"ABX":1,"EMG":0,"TB":1,"NTD":0,"MUC":1,"ICH":0,"VAC":1,"MAB":0,"CGT":0,"DIA":0,"MIC":0,"SMD":0,"GHC":0}</t>
  </si>
  <si>
    <t>PR-03-208</t>
  </si>
  <si>
    <t>{"Company ID":"CMP-ee9a972ce12","Tier":"EXTENDED","Company":"Qurient Co Ltd","GD Active Assets":1,"Source Basis":"GlobalData","HIV":0,"HEP":0,"HAI":0,"ABX":1,"EMG":0,"TB":1,"NTD":1,"MUC":0,"ICH":0,"VAC":0,"MAB":0,"CGT":0,"DIA":0,"MIC":0,"SMD":0,"GHC":0}</t>
  </si>
  <si>
    <t>PR-03-209</t>
  </si>
  <si>
    <t>{"Company ID":"CMP-d048b7e58a6","Tier":"EXTENDED","Company":"Autonomous Therapeutics Inc","GD Active Assets":3,"Source Basis":"GlobalData","HIV":1,"HEP":0,"HAI":0,"ABX":0,"EMG":1,"TB":0,"NTD":0,"MUC":0,"ICH":0,"VAC":0,"MAB":0,"CGT":0,"DIA":0,"MIC":0,"SMD":0,"GHC":0}</t>
  </si>
  <si>
    <t>PR-03-210</t>
  </si>
  <si>
    <t>{"Company ID":"CMP-a013038a1b4","Tier":"EXTENDED","Company":"Archivel Farma SL","GD Active Assets":1,"Source Basis":"GlobalData","HIV":0,"HEP":0,"HAI":0,"ABX":1,"EMG":0,"TB":1,"NTD":0,"MUC":0,"ICH":0,"VAC":0,"MAB":0,"CGT":0,"DIA":0,"MIC":0,"SMD":0,"GHC":0}</t>
  </si>
  <si>
    <t>PR-03-211</t>
  </si>
  <si>
    <t>{"Company ID":"CMP-dbe4abdb422","Tier":"EXTENDED","Company":"Changzhou Yinsheng Pharmaceutical Co Ltd","GD Active Assets":1,"Source Basis":"GlobalData","HIV":0,"HEP":0,"HAI":0,"ABX":1,"EMG":0,"TB":1,"NTD":0,"MUC":0,"ICH":0,"VAC":0,"MAB":0,"CGT":0,"DIA":0,"MIC":0,"SMD":0,"GHC":0}</t>
  </si>
  <si>
    <t>PR-03-212</t>
  </si>
  <si>
    <t>{"Company ID":"CMP-15c4ed59a02","Tier":"EXTENDED","Company":"LigaChem Biosciences Inc","GD Active Assets":1,"Source Basis":"GlobalData","HIV":0,"HEP":0,"HAI":0,"ABX":1,"EMG":0,"TB":1,"NTD":0,"MUC":0,"ICH":0,"VAC":0,"MAB":0,"CGT":0,"DIA":0,"MIC":0,"SMD":0,"GHC":0}</t>
  </si>
  <si>
    <t>PR-03-213</t>
  </si>
  <si>
    <t>{"Company ID":"CMP-7f9729c098e","Tier":"EXTENDED","Company":"Medicines Development for Global Health Ltd","GD Active Assets":1,"Source Basis":"GlobalData","HIV":0,"HEP":0,"HAI":0,"ABX":1,"EMG":0,"TB":1,"NTD":0,"MUC":0,"ICH":0,"VAC":0,"MAB":0,"CGT":0,"DIA":0,"MIC":0,"SMD":0,"GHC":0}</t>
  </si>
  <si>
    <t>PR-03-214</t>
  </si>
  <si>
    <t>{"Company ID":"CMP-f08e7bb1c06","Tier":"EXTENDED","Company":"MedinCell SA","GD Active Assets":1,"Source Basis":"GlobalData","HIV":0,"HEP":0,"HAI":0,"ABX":1,"EMG":0,"TB":1,"NTD":0,"MUC":0,"ICH":0,"VAC":0,"MAB":0,"CGT":0,"DIA":0,"MIC":0,"SMD":0,"GHC":0}</t>
  </si>
  <si>
    <t>PR-03-215</t>
  </si>
  <si>
    <t>{"Company ID":"CMP-977c15d94f6","Tier":"EXTENDED","Company":"Shanghai Jiatan Pharmaceutical Technology Co Ltd","GD Active Assets":1,"Source Basis":"GlobalData","HIV":0,"HEP":0,"HAI":0,"ABX":1,"EMG":0,"TB":1,"NTD":0,"MUC":0,"ICH":0,"VAC":0,"MAB":0,"CGT":0,"DIA":0,"MIC":0,"SMD":0,"GHC":0}</t>
  </si>
  <si>
    <t>PR-03-216</t>
  </si>
  <si>
    <t>{"Company ID":"CMP-e82f0c0e061","Tier":"EXTENDED","Company":"Thirty Respiratory Ltd","GD Active Assets":1,"Source Basis":"GlobalData","HIV":0,"HEP":0,"HAI":0,"ABX":1,"EMG":0,"TB":1,"NTD":0,"MUC":0,"ICH":0,"VAC":0,"MAB":0,"CGT":0,"DIA":0,"MIC":0,"SMD":0,"GHC":0}</t>
  </si>
  <si>
    <t>PR-03-217</t>
  </si>
  <si>
    <t>{"Company ID":"CMP-ed793550845","Tier":"EXTENDED","Company":"A&amp;J Science","GD Active Assets":1,"Source Basis":"GlobalData","HIV":0,"HEP":0,"HAI":0,"ABX":1,"EMG":0,"TB":1,"NTD":0,"MUC":0,"ICH":0,"VAC":0,"MAB":0,"CGT":0,"DIA":0,"MIC":0,"SMD":0,"GHC":0}</t>
  </si>
  <si>
    <t>PR-03-218</t>
  </si>
  <si>
    <t>{"Company ID":"CMP-c5c2748c797","Tier":"EXTENDED","Company":"Asia Scientific Global","GD Active Assets":1,"Source Basis":"GlobalData","HIV":0,"HEP":0,"HAI":0,"ABX":1,"EMG":0,"TB":1,"NTD":0,"MUC":0,"ICH":0,"VAC":0,"MAB":0,"CGT":0,"DIA":0,"MIC":0,"SMD":0,"GHC":0}</t>
  </si>
  <si>
    <t>PR-03-219</t>
  </si>
  <si>
    <t>{"Company ID":"CMP-ce1905883b7","Tier":"EXTENDED","Company":"Chengdu Anyong Dingye Biotechnology Co Ltd","GD Active Assets":1,"Source Basis":"GlobalData","HIV":0,"HEP":0,"HAI":0,"ABX":1,"EMG":0,"TB":1,"NTD":0,"MUC":0,"ICH":0,"VAC":0,"MAB":0,"CGT":0,"DIA":0,"MIC":0,"SMD":0,"GHC":0}</t>
  </si>
  <si>
    <t>PR-07-4</t>
  </si>
  <si>
    <t>07_SOURCES</t>
  </si>
  <si>
    <t>GD202607</t>
  </si>
  <si>
    <t>GlobalData Pharma Intelligence</t>
  </si>
  <si>
    <t>{"Source ID":"GD202607","Provider":"GlobalData Pharma Intelligence","Coverage":"Infectious Disease pipeline Drug Search","Source Date":"2026-07-31","Source URL":"http://pharma.globaldata.com/","Source Type":"Proprietary user upload","Validity / Limitation":"Ingested from user file; licensed access needed. No independent current-stage verification."}</t>
  </si>
  <si>
    <t>PR-07-5</t>
  </si>
  <si>
    <t>DZIF_RA</t>
  </si>
  <si>
    <t>{"Source ID":"DZIF_RA","Provider":"DZIF","Coverage":"9 research areas","Source Date":"2026-10-29","Source URL":"https://www.dzif.de/en/research-areas","Source Type":"Official institute","Validity / Limitation":"Confirms names of DZIF research units."}</t>
  </si>
  <si>
    <t>PR-07-6</t>
  </si>
  <si>
    <t>DZIF_BT</t>
  </si>
  <si>
    <t>{"Source ID":"DZIF_BT","Provider":"DZIF","Coverage":"7 bridging topics","Source Date":"2026-10-29","Source URL":"https://www.dzif.de/en/bridging-topics","Source Type":"Official institute","Validity / Limitation":"Confirms transverse themes and their definitions."}</t>
  </si>
  <si>
    <t>PR-07-7</t>
  </si>
  <si>
    <t>BEAM_MEM</t>
  </si>
  <si>
    <t>BEAM Alliance</t>
  </si>
  <si>
    <t>{"Source ID":"BEAM_MEM","Provider":"BEAM Alliance","Coverage":"AMR specialists","Source Date":"2026-10-29","Source URL":"https://beam-alliance.eu/members/","Source Type":"Industry association","Validity / Limitation":"Membership does not confirm current active development status."}</t>
  </si>
  <si>
    <t>PR-07-8</t>
  </si>
  <si>
    <t>BEAM_PIPE</t>
  </si>
  <si>
    <t>{"Source ID":"BEAM_PIPE","Provider":"BEAM Alliance","Coverage":"AMR pipeline and indicative product fields","Source Date":"2026-10-29","Source URL":"https://beam-alliance.eu/pipeline/","Source Type":"Industry association","Validity / Limitation":"BEAM notes that pipeline entries may not match latest company information."}</t>
  </si>
  <si>
    <t>PR-07-9</t>
  </si>
  <si>
    <t>WHO_2025</t>
  </si>
  <si>
    <t>{"Source ID":"WHO_2025","Provider":"WHO","Coverage":"Clinical and preclinical antibacterial pipeline","Source Date":"2025-10-02","Source URL":"https://www.who.int/publications/i/item/9789240113091","Source Type":"Institutional pipeline","Validity / Limitation":"Supplemental AMR list; does not cover vaccines or entire infection therapy landscape."}</t>
  </si>
  <si>
    <t>PR-07-10</t>
  </si>
  <si>
    <t>FERRING</t>
  </si>
  <si>
    <t>Ferring</t>
  </si>
  <si>
    <t>{"Source ID":"FERRING","Provider":"Ferring","Coverage":"Microbiome and C. difficile","Source Date":"2026-10-29","Source URL":"https://www.ferring.com/science-innovation/research-and-development/product-pipeline/","Source Type":"Official company","Validity / Limitation":"Clinically relevant microbiome platform."}</t>
  </si>
  <si>
    <t>PR-07-11</t>
  </si>
  <si>
    <t>MAAT</t>
  </si>
  <si>
    <t>{"Source ID":"MAAT","Provider":"MaaT Pharma","Coverage":"Microbiome/allo-HCT","Source Date":"2026-10-29","Source URL":"https://www.maatpharma.com/pipeline/","Source Type":"Official company","Validity / Limitation":"Relevant to immunocompromised host but often adjacent to direct infection therapy."}</t>
  </si>
  <si>
    <t>PR-07-12</t>
  </si>
  <si>
    <t>SERES</t>
  </si>
  <si>
    <t>{"Source ID":"SERES","Provider":"Seres Therapeutics","Coverage":"Microbiome infection prevention","Source Date":"2026-10-29","Source URL":"https://www.serestherapeutics.com/our-programs/","Source Type":"Official company","Validity / Limitation":"SER-155 and immunocompromised host."}</t>
  </si>
  <si>
    <t>PR-07-13</t>
  </si>
  <si>
    <t>VEDANTA</t>
  </si>
  <si>
    <t>{"Source ID":"VEDANTA","Provider":"Vedanta Biosciences","Coverage":"Microbiome in CDI and Gram-negative AMR","Source Date":"2026-10-29","Source URL":"https://www.vedantabio.com/pipeline-programs/pipeline/","Source Type":"Official company","Validity / Limitation":"VE303 and VE707 discovery seed."}</t>
  </si>
  <si>
    <t>PR-07-14</t>
  </si>
  <si>
    <t>ATARA</t>
  </si>
  <si>
    <t>{"Source ID":"ATARA","Provider":"Atara Biotherapeutics","Coverage":"EBV T-cell therapy","Source Date":"2026-10-29","Source URL":"https://investors.atarabio.com/news-events/press-releases","Source Type":"Official company","Validity / Limitation":"Specific program/partner rights require updated verification."}</t>
  </si>
  <si>
    <t>PR-07-15</t>
  </si>
  <si>
    <t>EXCISION</t>
  </si>
  <si>
    <t>{"Source ID":"EXCISION","Provider":"Excision BioTherapeutics","Coverage":"HIV gene editing","Source Date":"2026-10-29","Source URL":"https://excisionbiotherapeutics.com/pipeline","Source Type":"Official company","Validity / Limitation":"HIV gene editing platform; actual trial status from register."}</t>
  </si>
  <si>
    <t>PR-07-16</t>
  </si>
  <si>
    <t>ROCHE</t>
  </si>
  <si>
    <t>{"Source ID":"ROCHE","Provider":"Roche Diagnostics","Coverage":"Infectious disease diagnostics","Source Date":"2026-10-29","Source URL":"https://diagnostics.roche.com/global/en/products/product-category/health-topic/infectious-diseases.html","Source Type":"Official company","Validity / Limitation":"Drug export cannot measure diagnostics pipelines."}</t>
  </si>
  <si>
    <t>PR-07-17</t>
  </si>
  <si>
    <t>{"Source ID":"QIAGEN","Provider":"QIAGEN","Coverage":"Infectious disease testing","Source Date":"2026-10-29","Source URL":"https://www.qiagen.com/de/products/diagnostics-and-clinical-research/infectious-disease/qiastat-dx-syndromic-testing/qiastat-dx","Source Type":"Official company","Validity / Limitation":"Drug export cannot measure diagnostics pipelines."}</t>
  </si>
  <si>
    <t>PR-07-18</t>
  </si>
  <si>
    <t>BD</t>
  </si>
  <si>
    <t>{"Source ID":"BD","Provider":"Becton, Dickinson and Company","Coverage":"HAI and TB diagnostics","Source Date":"2026-10-29","Source URL":"https://emea.bd.com/advancing-diagnostics/for-clinicians/","Source Type":"Official company","Validity / Limitation":"Drug export cannot measure diagnostics pipelines."}</t>
  </si>
  <si>
    <t>PR-07-19</t>
  </si>
  <si>
    <t>ANTABIO</t>
  </si>
  <si>
    <t>{"Source ID":"ANTABIO","Provider":"Antabio","Coverage":"AMR antibiotic development","Source Date":"2026-10-29","Source URL":"https://antabio.com/pipeline/","Source Type":"Official company","Validity / Limitation":"Clinical stage must be checked against latest company/registry data."}</t>
  </si>
  <si>
    <t>PUBLIC_PRIMARY_RESEARCH_V2</t>
  </si>
  <si>
    <t>TARGETED_PRIMARY_REVIEW</t>
  </si>
  <si>
    <t>Katalogroute, nicht Garantie aktueller Live-Fakten.</t>
  </si>
  <si>
    <t>Gezielte Primarquellen-Ergaenzung; Organisation ist Recherchekandidat.</t>
  </si>
  <si>
    <t>{"source_id": "SRC-V2-GARDP", "reason": "Gezielte Primarquellen-Ergaenzung; Organisation ist Recherchekandidat."}</t>
  </si>
  <si>
    <t>Kuratierter Entwicklungs-/Marktakteur; direkte Konkurrenz erst projektbezogen feststellen.</t>
  </si>
  <si>
    <t>{"source_id": "SRC-V2-GARDP", "reason": "Kuratierter Entwicklungs-/Marktakteur; direkte Konkurrenz erst projektbezogen feststellen."}</t>
  </si>
  <si>
    <t>BD-Suchprofil; Mandat/Interesse im Lauf verifizieren.</t>
  </si>
  <si>
    <t>{"source_id": "SRC-V2-GARDP", "reason": "BD-Suchprofil; Mandat/Interesse im Lauf verifizieren."}</t>
  </si>
  <si>
    <t>{"source_id": "SRC-V2-PDP_ALLIANCE", "reason": "Gezielte Primarquellen-Ergaenzung; Organisation ist Recherchekandidat."}</t>
  </si>
  <si>
    <t>{"source_id": "SRC-V2-PDP_ALLIANCE", "reason": "Kuratierter Entwicklungs-/Marktakteur; direkte Konkurrenz erst projektbezogen feststellen."}</t>
  </si>
  <si>
    <t>{"source_id": "SRC-V2-PDP_ALLIANCE", "reason": "BD-Suchprofil; Mandat/Interesse im Lauf verifizieren."}</t>
  </si>
  <si>
    <t>{"source_id": "SRC-V2-TB_ALLIANCE", "reason": "Gezielte Primarquellen-Ergaenzung; Organisation ist Recherchekandidat."}</t>
  </si>
  <si>
    <t>{"source_id": "SRC-V2-TB_ALLIANCE", "reason": "Kuratierter Entwicklungs-/Marktakteur; direkte Konkurrenz erst projektbezogen feststellen."}</t>
  </si>
  <si>
    <t>{"source_id": "SRC-V2-TB_ALLIANCE", "reason": "BD-Suchprofil; Mandat/Interesse im Lauf verifizieren."}</t>
  </si>
  <si>
    <t>{"source_id": "SRC-V2-FIND", "reason": "Gezielte Primarquellen-Ergaenzung; Organisation ist Recherchekandidat."}</t>
  </si>
  <si>
    <t>{"source_id": "SRC-V2-FIND", "reason": "Kuratierter Entwicklungs-/Marktakteur; direkte Konkurrenz erst projektbezogen feststellen."}</t>
  </si>
  <si>
    <t>{"source_id": "SRC-V2-FIND", "reason": "BD-Suchprofil; Mandat/Interesse im Lauf verifizieren."}</t>
  </si>
  <si>
    <t>{"source_id": "SRC-V2-GATES_MRI", "reason": "Gezielte Primarquellen-Ergaenzung; Organisation ist Recherchekandidat."}</t>
  </si>
  <si>
    <t>{"source_id": "SRC-V2-GATES_MRI", "reason": "Kuratierter Entwicklungs-/Marktakteur; direkte Konkurrenz erst projektbezogen feststellen."}</t>
  </si>
  <si>
    <t>{"source_id": "SRC-V2-GATES_MRI", "reason": "BD-Suchprofil; Mandat/Interesse im Lauf verifizieren."}</t>
  </si>
  <si>
    <t>{"source_id": "SRC-V2-PATH", "reason": "Gezielte Primarquellen-Ergaenzung; Organisation ist Recherchekandidat."}</t>
  </si>
  <si>
    <t>{"source_id": "SRC-V2-PATH", "reason": "Kuratierter Entwicklungs-/Marktakteur; direkte Konkurrenz erst projektbezogen feststellen."}</t>
  </si>
  <si>
    <t>{"source_id": "SRC-V2-PATH", "reason": "BD-Suchprofil; Mandat/Interesse im Lauf verifizieren."}</t>
  </si>
  <si>
    <t>{"source_id": "SRC-V2-IVI", "reason": "Gezielte Primarquellen-Ergaenzung; Organisation ist Recherchekandidat."}</t>
  </si>
  <si>
    <t>{"source_id": "SRC-V2-IVI", "reason": "Kuratierter Entwicklungs-/Marktakteur; direkte Konkurrenz erst projektbezogen feststellen."}</t>
  </si>
  <si>
    <t>{"source_id": "SRC-V2-IVI", "reason": "BD-Suchprofil; Mandat/Interesse im Lauf verifizieren."}</t>
  </si>
  <si>
    <t>PR-V2-CMP-6dcf8867166</t>
  </si>
  <si>
    <t>DNDi</t>
  </si>
  <si>
    <t>{"source_id": "SRC-V2-DNDI", "reason": "Gezielte Primarquellen-Ergaenzung; Organisation ist Recherchekandidat."}</t>
  </si>
  <si>
    <t>{"source_id": "SRC-V2-DNDI", "reason": "BD-Suchprofil; Mandat/Interesse im Lauf verifizieren."}</t>
  </si>
  <si>
    <t>PR-V2-CMP-92fc1bf734e</t>
  </si>
  <si>
    <t>IAVI</t>
  </si>
  <si>
    <t>{"source_id": "SRC-V2-IAVI", "reason": "Gezielte Primarquellen-Ergaenzung; Organisation ist Recherchekandidat."}</t>
  </si>
  <si>
    <t>{"source_id": "SRC-V2-IAVI", "reason": "BD-Suchprofil; Mandat/Interesse im Lauf verifizieren."}</t>
  </si>
  <si>
    <t>{"source_id": "SRC-V2-AICURIS", "reason": "Gezielte Primarquellen-Ergaenzung; Organisation ist Recherchekandidat."}</t>
  </si>
  <si>
    <t>{"source_id": "SRC-V2-AICURIS", "reason": "Kuratierter Entwicklungs-/Marktakteur; direkte Konkurrenz erst projektbezogen feststellen."}</t>
  </si>
  <si>
    <t>{"source_id": "SRC-V2-AICURIS", "reason": "BD-Suchprofil; Mandat/Interesse im Lauf verifizieren."}</t>
  </si>
  <si>
    <t>{"source_id": "SRC-V2-BUGWORKS", "reason": "Gezielte Primarquellen-Ergaenzung; Organisation ist Recherchekandidat."}</t>
  </si>
  <si>
    <t>{"source_id": "SRC-V2-BUGWORKS", "reason": "Kuratierter Entwicklungs-/Marktakteur; direkte Konkurrenz erst projektbezogen feststellen."}</t>
  </si>
  <si>
    <t>{"source_id": "SRC-V2-BUGWORKS", "reason": "BD-Suchprofil; Mandat/Interesse im Lauf verifizieren."}</t>
  </si>
  <si>
    <t>{"source_id": "SRC-V2-ABBOTT", "reason": "Gezielte Primarquellen-Ergaenzung; Organisation ist Recherchekandidat."}</t>
  </si>
  <si>
    <t>{"source_id": "SRC-V2-ABBOTT", "reason": "Kuratierter Entwicklungs-/Marktakteur; direkte Konkurrenz erst projektbezogen feststellen."}</t>
  </si>
  <si>
    <t>{"source_id": "SRC-V2-ABBOTT", "reason": "BD-Suchprofil; Mandat/Interesse im Lauf verifizieren."}</t>
  </si>
  <si>
    <t>{"source_id": "SRC-V2-EBVALLO", "reason": "Gezielte Primarquellen-Ergaenzung; Organisation ist Recherchekandidat."}</t>
  </si>
  <si>
    <t>{"source_id": "SRC-V2-EBVALLO", "reason": "Virusassoziierte EBV+ PTLD: relevant fuer T-Zelltherapie, nicht Beleg einer allgemeinen Infektions-BD-Strategie."}</t>
  </si>
  <si>
    <t>{"source_id": "SRC-V2-GO_BIO_INITIAL", "reason": "Fruehe Verwertungsideen; kein Ersatz fuer GO-Bio next."}</t>
  </si>
  <si>
    <t>{"source_id": "SRC-EU_FT", "reason": "Topic-, Konsortial- und Laenderbedingungen konkret pruefen; Portal mit EU_FT geteilt."}</t>
  </si>
  <si>
    <t>{"source_id": "SRC-V2-EIC_PATHFINDER", "reason": "Open und Challenges haben unterschiedliche Regeln; TRL nicht klinischer Phase gleichsetzen."}</t>
  </si>
  <si>
    <t>{"source_id": "SRC-V2-EIC_TRANSITION", "reason": "Zugelassenes EU-Vorprojektergebnis und Fristfenster zwingend verifizieren."}</t>
  </si>
  <si>
    <t>{"source_id": "SRC-V2-EIC_ACCELERATOR", "reason": "SME-/Startup- bzw. Gruendungskonstellation, TRL und Grant/Investment-Komponente pro Call pruefen."}</t>
  </si>
  <si>
    <t>{"source_id": "SRC-V2-ERC_POC", "reason": "Kein offenes allgemeines Transferprogramm; Foerderfaehigkeit der ERC-PI-Vorfoerderung pruefen."}</t>
  </si>
  <si>
    <t>{"source_id": "SRC-V2-BARDA_BAA", "reason": "US-Bedarfsfit, aktive AOIs, internationale Teilnahme und Vertragsbedingungen pruefen."}</t>
  </si>
  <si>
    <t>{"source_id": "SRC-V2-BARDA_DRIVE", "reason": "Kein Always-open-Grant; EZ-BAA derzeit laut separater offizieller Statusroute geschlossen."}</t>
  </si>
  <si>
    <t>{"source_id": "SRC-V2-FIND", "reason": "Partnerschafts-/Entwicklungsaufruf; Budget und Zuschusscharakter nur bei explizitem Nachweis."}</t>
  </si>
  <si>
    <t>{"source_id": "SRC-V2-HERA", "reason": "Forschungsfoerderung, Beschaffung und Bevorratung sind unterschiedliche Instrumente."}</t>
  </si>
  <si>
    <t>PR-V2-M02-CTG</t>
  </si>
  <si>
    <t>Quellen-Suchprofil, kein einzelner Live-Befund.</t>
  </si>
  <si>
    <t>{"source_id": "SRC-V2-CTG", "reason": "Quellen-Suchprofil, kein einzelner Live-Befund."}</t>
  </si>
  <si>
    <t>PR-V2-M02-CTIS</t>
  </si>
  <si>
    <t>https://www.ema.europa.eu/de/node/70294</t>
  </si>
  <si>
    <t>{"source_id": "SRC-V2-CTIS", "reason": "Quellen-Suchprofil, kein einzelner Live-Befund."}</t>
  </si>
  <si>
    <t>PR-V2-M02-ICTRP</t>
  </si>
  <si>
    <t>https://www.who.int/tools/clinical-trials-registry-platform</t>
  </si>
  <si>
    <t>{"source_id": "SRC-V2-ICTRP", "reason": "Quellen-Suchprofil, kein einzelner Live-Befund."}</t>
  </si>
  <si>
    <t>PR-V2-M03-PUBMED</t>
  </si>
  <si>
    <t>https://www.ncbi.nlm.nih.gov/home/develop/api/</t>
  </si>
  <si>
    <t>{"source_id": "SRC-V2-PUBMED", "reason": "Quellen-Suchprofil, kein einzelner Live-Befund."}</t>
  </si>
  <si>
    <t>PR-V2-M03-EPMC</t>
  </si>
  <si>
    <t>{"source_id": "SRC-V2-EPMC", "reason": "Quellen-Suchprofil, kein einzelner Live-Befund."}</t>
  </si>
  <si>
    <t>PR-V2-M04-EMA_GUIDE</t>
  </si>
  <si>
    <t>{"source_id": "SRC-V2-EMA_GUIDE", "reason": "Quellen-Suchprofil, kein einzelner Live-Befund."}</t>
  </si>
  <si>
    <t>PR-V2-M04-FDA_GUIDE</t>
  </si>
  <si>
    <t>{"source_id": "SRC-V2-FDA_GUIDE", "reason": "Quellen-Suchprofil, kein einzelner Live-Befund."}</t>
  </si>
  <si>
    <t>PR-V2-M04-EMA_MED</t>
  </si>
  <si>
    <t>{"source_id": "SRC-V2-EMA_MED", "reason": "Quellen-Suchprofil, kein einzelner Live-Befund."}</t>
  </si>
  <si>
    <t>PR-V2-M04-EMA_ATMP</t>
  </si>
  <si>
    <t>{"source_id": "SRC-V2-EMA_ATMP", "reason": "Quellen-Suchprofil, kein einzelner Live-Befund."}</t>
  </si>
  <si>
    <t>PR-V2-M04-FDA_CGT</t>
  </si>
  <si>
    <t>{"source_id": "SRC-V2-FDA_CGT", "reason": "Quellen-Suchprofil, kein einzelner Live-Befund."}</t>
  </si>
  <si>
    <t>PR-V2-M04-PEI</t>
  </si>
  <si>
    <t>{"source_id": "SRC-V2-PEI", "reason": "Quellen-Suchprofil, kein einzelner Live-Befund."}</t>
  </si>
  <si>
    <t>PR-V2-M08-ESCMID</t>
  </si>
  <si>
    <t>{"source_id": "SRC-V2-ESCMID", "reason": "Quellen-Suchprofil, kein einzelner Live-Befund."}</t>
  </si>
  <si>
    <t>PR-V2-M08-IDWEEK</t>
  </si>
  <si>
    <t>{"source_id": "SRC-V2-IDWEEK", "reason": "Quellen-Suchprofil, kein einzelner Live-Befund."}</t>
  </si>
  <si>
    <t>PR-V2-M08-BIO</t>
  </si>
  <si>
    <t>{"source_id": "SRC-V2-BIO", "reason": "Quellen-Suchprofil, kein einzelner Live-Befund."}</t>
  </si>
  <si>
    <t>PR-V2-M08-BIOEUROPE</t>
  </si>
  <si>
    <t>{"source_id": "SRC-V2-BIOEUROPE", "reason": "Quellen-Suchprofil, kein einzelner Live-Befund."}</t>
  </si>
  <si>
    <t>PR-V2-M08-ASGCT</t>
  </si>
  <si>
    <t>{"source_id": "SRC-V2-ASGCT", "reason": "Quellen-Suchprofil, kein einzelner Live-Befund."}</t>
  </si>
  <si>
    <t>PR-V2-M08-WVC</t>
  </si>
  <si>
    <t>{"source_id": "SRC-V2-WVC", "reason": "Quellen-Suchprofil, kein einzelner Live-Befund."}</t>
  </si>
  <si>
    <t>PR-V2-M09-IDSA</t>
  </si>
  <si>
    <t>{"source_id": "SRC-V2-IDSA", "reason": "Quellen-Suchprofil, kein einzelner Live-Befund."}</t>
  </si>
  <si>
    <t>PR-V2-M09-WHO_GUIDE</t>
  </si>
  <si>
    <t>{"source_id": "SRC-V2-WHO_GUIDE", "reason": "Quellen-Suchprofil, kein einzelner Live-Befund."}</t>
  </si>
  <si>
    <t>PR-V2-M09-AWMF</t>
  </si>
  <si>
    <t>{"source_id": "SRC-V2-AWMF", "reason": "Quellen-Suchprofil, kein einzelner Live-Befund."}</t>
  </si>
  <si>
    <t>PR-V2-M09-ECDC</t>
  </si>
  <si>
    <t>{"source_id": "SRC-V2-ECDC", "reason": "Quellen-Suchprofil, kein einzelner Live-Befund."}</t>
  </si>
  <si>
    <t>PR-V2-M10-ESPACENET</t>
  </si>
  <si>
    <t>{"source_id": "SRC-V2-ESPACENET", "reason": "Quellen-Suchprofil, kein einzelner Live-Befund."}</t>
  </si>
  <si>
    <t>PR-V2-M10-PATENTSCOPE</t>
  </si>
  <si>
    <t>{"source_id": "SRC-V2-PATENTSCOPE", "reason": "Quellen-Suchprofil, kein einzelner Live-Befund."}</t>
  </si>
  <si>
    <t>PR-V2-M10-DPMA</t>
  </si>
  <si>
    <t>{"source_id": "SRC-V2-DPMA", "reason": "Quellen-Suchprofil, kein einzelner Live-Befund."}</t>
  </si>
  <si>
    <t>PR-V2-M11-EU_GMP</t>
  </si>
  <si>
    <t>{"source_id": "SRC-V2-EU_GMP", "reason": "Quellen-Suchprofil, kein einzelner Live-Befund."}</t>
  </si>
  <si>
    <t>PR-V2-M11-ICH_Q</t>
  </si>
  <si>
    <t>{"source_id": "SRC-V2-ICH_Q", "reason": "Quellen-Suchprofil, kein einzelner Live-Befund."}</t>
  </si>
  <si>
    <t>PR-V2-M11-EMA_GUIDE</t>
  </si>
  <si>
    <t>PR-V2-M11-FDA_CGT</t>
  </si>
  <si>
    <t>PR-V2-M11-EMA_ATMP</t>
  </si>
  <si>
    <t>PR-V2-M12-HERA</t>
  </si>
  <si>
    <t>{"source_id": "SRC-V2-HERA", "reason": "Quellen-Suchprofil, kein einzelner Live-Befund."}</t>
  </si>
  <si>
    <t>PR-V2-M12-GBA</t>
  </si>
  <si>
    <t>{"source_id": "SRC-V2-GBA", "reason": "Quellen-Suchprofil, kein einzelner Live-Befund."}</t>
  </si>
  <si>
    <t>PR-V2-M12-EU_HTA</t>
  </si>
  <si>
    <t>{"source_id": "SRC-V2-EU_HTA", "reason": "Quellen-Suchprofil, kein einzelner Live-Befund."}</t>
  </si>
  <si>
    <t>PR-V2-M12-UNICEF</t>
  </si>
  <si>
    <t>{"source_id": "SRC-V2-UNICEF", "reason": "Quellen-Suchprofil, kein einzelner Live-Befund."}</t>
  </si>
  <si>
    <t>PR-V2-M12-NHS_AMR</t>
  </si>
  <si>
    <t>{"source_id": "SRC-V2-NHS_AMR", "reason": "Quellen-Suchprofil, kein einzelner Live-Befund."}</t>
  </si>
  <si>
    <t>PR-V2-M04-EU_IVDR</t>
  </si>
  <si>
    <t>{"source_id": "SRC-V2-EU_IVDR", "reason": "Quellen-Suchprofil, kein einzelner Live-Befund."}</t>
  </si>
  <si>
    <t>PR-V2-M04-EMA_PHAGE</t>
  </si>
  <si>
    <t>{"source_id": "SRC-V2-EMA_PHAGE", "reason": "Quellen-Suchprofil, kein einzelner Live-Befund."}</t>
  </si>
  <si>
    <t>PR-V2-M04-FDA_LBP</t>
  </si>
  <si>
    <t>{"source_id": "SRC-V2-FDA_LBP", "reason": "Quellen-Suchprofil, kein einzelner Live-Befund."}</t>
  </si>
  <si>
    <t>PR-V2-M11-EMA_PHAGE</t>
  </si>
  <si>
    <t>PR-V2-M11-FDA_LBP</t>
  </si>
  <si>
    <t>PR-V2-M09-PHAGE_MEDICAL</t>
  </si>
  <si>
    <t>{"source_id": "SRC-V2-PHAGE_MEDICAL", "reason": "Quellen-Suchprofil, kein einzelner Live-Befund."}</t>
  </si>
  <si>
    <t>PR-V21-BASE-MODULE_CONFIG-2</t>
  </si>
  <si>
    <t>DZIF_Intelligence_Master_v2_0.xlsx</t>
  </si>
  <si>
    <t>2</t>
  </si>
  <si>
    <t>PRESERVED_PRE_REVISION_ROW</t>
  </si>
  <si>
    <t>Exact v2.0 row retained for audit before targeted corrections.</t>
  </si>
  <si>
    <t>Not current live evidence</t>
  </si>
  <si>
    <t>v2.1 targeted revision; see CHANGELOG.</t>
  </si>
  <si>
    <t>{"module_id": "M01", "module_name": "Competitor &amp; Asset Intelligence", "sheet_name": "M01_COMPETITORS", "module_priority": "SEHR_HOCH", "routine_enabled": "YES", "run_cadence": "MONTHLY", "candidate_cap": 25, "max_live_checks": 12, "discovery_queries": 2, "freshness_days": 30, "catalog_review_months": 12, "selection_basis": "SCOPE_MATCH;PROJECT_MATCH;PRIORITY;STABLE_ID", "output_focus": "Asset / Wettbewerbsentwicklung", "policy_note": "Budget = Planungsannahme. Erst lokal filtern; Quellen nicht vollstaendig in Agentenprompt laden. Unabhaengige Discovery bleibt. Kein Persistenz-/Live-Connector-Test.", "catalog_status": "POPULATED_REFERENCE_INDEX", "integration_status": "LOCAL_SELECTOR_ONLY", "default_query_id": "M01_ENTITY"}</t>
  </si>
  <si>
    <t>PR-V21-BASE-MODULE_CONFIG-7</t>
  </si>
  <si>
    <t>7</t>
  </si>
  <si>
    <t>{"module_id": "M06", "module_name": "BD &amp; Partnering Intelligence", "sheet_name": "M06_BD_PARTNERS", "module_priority": "SEHR_HOCH", "routine_enabled": "YES", "run_cadence": "QUARTERLY", "candidate_cap": 15, "max_live_checks": 8, "discovery_queries": 2, "freshness_days": 45, "catalog_review_months": 12, "selection_basis": "SCOPE_MATCH;PROJECT_MATCH;PRIORITY;STABLE_ID", "output_focus": "Partnerkandidat / Strategisches Signal", "policy_note": "Budget = Planungsannahme. Erst lokal filtern; Quellen nicht vollstaendig in Agentenprompt laden. Unabhaengige Discovery bleibt. Kein Persistenz-/Live-Connector-Test.", "catalog_status": "POPULATED_REFERENCE_INDEX", "integration_status": "LOCAL_SELECTOR_ONLY", "default_query_id": "M06_ENTITY"}</t>
  </si>
  <si>
    <t>PR-V21-BASE-MODULE_CONFIG-8</t>
  </si>
  <si>
    <t>8</t>
  </si>
  <si>
    <t>{"module_id": "M07", "module_name": "Deal &amp; Investment Intelligence", "sheet_name": "M07_DEALS", "module_priority": "HOCH", "routine_enabled": "NO", "run_cadence": "MONTHLY", "candidate_cap": 10, "max_live_checks": 5, "discovery_queries": 2, "freshness_days": 30, "catalog_review_months": 12, "selection_basis": "SCOPE_MATCH;PROJECT_MATCH;PRIORITY;STABLE_ID", "output_focus": "Transaktion / Finanzierung", "policy_note": "Budget = Planungsannahme. Erst lokal filtern; Quellen nicht vollstaendig in Agentenprompt laden. Unabhaengige Discovery bleibt. Kein Persistenz-/Live-Connector-Test.", "catalog_status": "POPULATED_REFERENCE_INDEX", "integration_status": "LOCAL_SELECTOR_ONLY", "default_query_id": "M07_ENTITY"}</t>
  </si>
  <si>
    <t>PR-V21-BASE-M01_COMPETITORS-2</t>
  </si>
  <si>
    <t>{"record_id": "M01-CMP-579c450159e", "entity_id": "CMP-579c450159e", "entity_name": null, "record_type": "COMPANY_WATCH", "topic_tags": "HIV;HEPATITIS;HAI;ANTIBACTERIAL;EMERGING_INFECTIONS;TUBERCULOSIS;NTD;MUCOSAL_INFECTIONS;IMMUNOCOMPROMISED", "pathogen_tags": "UNKNOWN", "indication_tags": "UNKNOWN", "modality_tags": "VACCINE;MAB", "search_terms": "GSK;vaccines;infectious diseases;HIV", "source_id": "SRC-GSK-PIPE", "base_priority": "P1", "status": "ACTIVE", "evidence_scope": "INDEX_PLUS_SOURCE_SCOPE", "provenance_id": "PR-RAD-CMP-579c450159e", "cautions": "Keine konkrete Konkurrenzklassifikation oder aktuelle Phase ableiten; andere Modalitaeten nicht pauschal ausschliessen.", "source_url": null, "watch_policy": "CONDITIONAL"}</t>
  </si>
  <si>
    <t>PR-V21-BASE-M01_COMPETITORS-5</t>
  </si>
  <si>
    <t>{"record_id": "M01-CMP-cc9fc6ac0ff", "entity_id": "CMP-cc9fc6ac0ff", "entity_name": null, "record_type": "COMPANY_WATCH", "topic_tags": "HAI;ANTIBACTERIAL;EMERGING_INFECTIONS;TUBERCULOSIS;MUCOSAL_INFECTIONS;IMMUNOCOMPROMISED", "pathogen_tags": "UNKNOWN", "indication_tags": "UNKNOWN", "modality_tags": "VACCINE", "search_terms": "Chongqing Zhifei Biological Products Co Ltd", "source_id": "SRC-NAME-SEARCH", "base_priority": "P1", "status": "ACTIVE", "evidence_scope": "GD_SNAPSHOT_PROXY", "provenance_id": "PR-RAD-CMP-cc9fc6ac0ff",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</si>
  <si>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PR-V21-BASE-M01_COMPETITORS-9</t>
  </si>
  <si>
    <t>{"record_id": "M01-CMP-85e7acc8115", "entity_id": "CMP-85e7acc8115", "entity_name": null, "record_type": "COMPANY_WATCH", "topic_tags": "HAI;ANTIBACTERIAL;EMERGING_INFECTIONS;TUBERCULOSIS;MUCOSAL_INFECTIONS;IMMUNOCOMPROMISED", "pathogen_tags": "UNKNOWN", "indication_tags": "UNKNOWN", "modality_tags": "VACCINE;MAB", "search_terms": "AstraZeneca;AstraZeneca Plc", "source_id": "SRC-BD-010", "base_priority": "P1", "status": "ACTIVE", "evidence_scope": "GD_SNAPSHOT_PROXY", "provenance_id": "PR-RAD-CMP-85e7acc8115", "cautions": "Themen/Modalitaeten sind Suchhinweise. Aktive Assets, Phase, Indikation und Konkurrenzstatus immer live verifizieren.", "source_url": null, "watch_policy": "CONDITIONAL"}</t>
  </si>
  <si>
    <t>PR-V21-BASE-M01_COMPETITORS-10</t>
  </si>
  <si>
    <t>{"record_id": "M01-CMP-1c8ca8e408e", "entity_id": "CMP-1c8ca8e408e", "entity_name": null, "record_type": "COMPANY_WATCH", "topic_tags": "ANTIBACTERIAL;EMERGING_INFECTIONS;MUCOSAL_INFECTIONS;IMMUNOCOMPROMISED", "pathogen_tags": "UNKNOWN", "indication_tags": "UNKNOWN", "modality_tags": "VACCINE;MAB", "search_terms": "Sinovac Biotech Ltd", "source_id": "SRC-NAME-SEARCH", "base_priority": "P1", "status": "ACTIVE", "evidence_scope": "GD_SNAPSHOT_PROXY", "provenance_id": "PR-RAD-CMP-1c8ca8e408e",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</si>
  <si>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</t>
  </si>
  <si>
    <t>{"record_id": "M01-CMP-add35b11171", "entity_id": "CMP-add35b11171", "entity_name": null, "record_type": "COMPANY_WATCH", "topic_tags": "ANTIBACTERIAL;EMERGING_INFECTIONS;TUBERCULOSIS;MUCOSAL_INFECTIONS;IMMUNOCOMPROMISED", "pathogen_tags": "UNKNOWN", "indication_tags": "UNKNOWN", "modality_tags": "VACCINE", "search_terms": "CanSino Biologics Inc", "source_id": "SRC-NAME-SEARCH", "base_priority": "P1", "status": "ACTIVE", "evidence_scope": "GD_SNAPSHOT_PROXY", "provenance_id": "PR-RAD-CMP-add35b11171",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</si>
  <si>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</t>
  </si>
  <si>
    <t>{"record_id": "M01-CMP-b69f0599844", "entity_id": "CMP-b69f0599844", "entity_name": null, "record_type": "COMPANY_WATCH", "topic_tags": "HAI;ANTIBACTERIAL;EMERGING_INFECTIONS;MUCOSAL_INFECTIONS;IMMUNOCOMPROMISED", "pathogen_tags": "UNKNOWN", "indication_tags": "UNKNOWN", "modality_tags": "VACCINE", "search_terms": "AIM Vaccine Co Ltd", "source_id": "SRC-NAME-SEARCH", "base_priority": "P1", "status": "ACTIVE", "evidence_scope": "GD_SNAPSHOT_PROXY", "provenance_id": "PR-RAD-CMP-b69f0599844",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</si>
  <si>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</t>
  </si>
  <si>
    <t>{"record_id": "M01-CMP-a133809740b", "entity_id": "CMP-a133809740b", "entity_name": null, "record_type": "COMPANY_WATCH", "topic_tags": "HIV;HEPATITIS;HAI;ANTIBACTERIAL;EMERGING_INFECTIONS;TUBERCULOSIS;NTD;MUCOSAL_INFECTIONS", "pathogen_tags": "UNKNOWN", "indication_tags": "UNKNOWN", "modality_tags": "VACCINE;SMALL_MOLECULE", "search_terms": "Johnson &amp; Johnson", "source_id": "SRC-NAME-SEARCH", "base_priority": "P1", "status": "ACTIVE", "evidence_scope": "GD_SNAPSHOT_PROXY", "provenance_id": "PR-RAD-CMP-a133809740b",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</si>
  <si>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</t>
  </si>
  <si>
    <t>{"record_id": "M01-CMP-e1f2b6c9f07", "entity_id": "CMP-e1f2b6c9f07", "entity_name": null, "record_type": "COMPANY_WATCH", "topic_tags": "HEPATITIS;HAI;ANTIBACTERIAL;EMERGING_INFECTIONS;MUCOSAL_INFECTIONS;IMMUNOCOMPROMISED", "pathogen_tags": "UNKNOWN", "indication_tags": "UNKNOWN", "modality_tags": "VACCINE;SMALL_MOLECULE", "search_terms": "Shionogi;Shionogi &amp; Co Ltd", "source_id": "SRC-BD-006", "base_priority": "P1", "status": "ACTIVE", "evidence_scope": "GD_SNAPSHOT_PROXY", "provenance_id": "PR-RAD-CMP-e1f2b6c9f07", "cautions": "Themen/Modalitaeten sind Suchhinweise. Aktive Assets, Phase, Indikation und Konkurrenzstatus immer live verifizieren.", "source_url": null, "watch_policy": "CONDITIONAL"}</t>
  </si>
  <si>
    <t>PR-V21-BASE-M01_COMPETITORS-16</t>
  </si>
  <si>
    <t>{"record_id": "M01-CMP-4e3acc2788c", "entity_id": "CMP-4e3acc2788c", "entity_name": null, "record_type": "COMPANY_WATCH", "topic_tags": "HEPATITIS;ANTIBACTERIAL;EMERGING_INFECTIONS;NTD;MUCOSAL_INFECTIONS", "pathogen_tags": "UNKNOWN", "indication_tags": "UNKNOWN", "modality_tags": "VACCINE", "search_terms": "Biological E Ltd", "source_id": "SRC-NAME-SEARCH", "base_priority": "P1", "status": "ACTIVE", "evidence_scope": "GD_SNAPSHOT_PROXY", "provenance_id": "PR-RAD-CMP-4e3acc2788c",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</si>
  <si>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</t>
  </si>
  <si>
    <t>{"record_id": "M01-CMP-425a0205bf3", "entity_id": "CMP-425a0205bf3", "entity_name": null, "record_type": "COMPANY_WATCH", "topic_tags": "HAI;ANTIBACTERIAL;EMERGING_INFECTIONS;NTD;MUCOSAL_INFECTIONS", "pathogen_tags": "UNKNOWN", "indication_tags": "UNKNOWN", "modality_tags": "VACCINE", "search_terms": "Bharat Biotech Ltd", "source_id": "SRC-NAME-SEARCH", "base_priority": "P1", "status": "ACTIVE", "evidence_scope": "GD_SNAPSHOT_PROXY", "provenance_id": "PR-RAD-CMP-425a0205bf3",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</si>
  <si>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</t>
  </si>
  <si>
    <t>{"record_id": "M01-CMP-fbe85e38ed1", "entity_id": "CMP-fbe85e38ed1", "entity_name": null, "record_type": "COMPANY_WATCH", "topic_tags": "HAI;ANTIBACTERIAL;EMERGING_INFECTIONS;MUCOSAL_INFECTIONS", "pathogen_tags": "UNKNOWN", "indication_tags": "UNKNOWN", "modality_tags": "VACCINE", "search_terms": "Novavax Inc", "source_id": "SRC-NAME-SEARCH", "base_priority": "P1", "status": "ACTIVE", "evidence_scope": "GD_SNAPSHOT_PROXY", "provenance_id": "PR-RAD-CMP-fbe85e38ed1",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</si>
  <si>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</t>
  </si>
  <si>
    <t>{"record_id": "M01-CMP-2ce03c6442a", "entity_id": "CMP-2ce03c6442a", "entity_name": null, "record_type": "COMPANY_WATCH", "topic_tags": "HEPATITIS;ANTIBACTERIAL;EMERGING_INFECTIONS;TUBERCULOSIS;MUCOSAL_INFECTIONS", "pathogen_tags": "UNKNOWN", "indication_tags": "UNKNOWN", "modality_tags": "VACCINE", "search_terms": "Vital Korea", "source_id": "SRC-NAME-SEARCH", "base_priority": "P1", "status": "ACTIVE", "evidence_scope": "GD_SNAPSHOT_PROXY", "provenance_id": "PR-RAD-CMP-2ce03c6442a",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</si>
  <si>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PR-V21-BASE-M01_COMPETITORS-23</t>
  </si>
  <si>
    <t>{"record_id": "M01-CMP-272f19fd220", "entity_id": "CMP-272f19fd220", "entity_name": null, "record_type": "COMPANY_WATCH", "topic_tags": "ANTIBACTERIAL;EMERGING_INFECTIONS;TUBERCULOSIS;NTD", "pathogen_tags": "UNKNOWN", "indication_tags": "UNKNOWN", "modality_tags": "VACCINE;MAB", "search_terms": "Serum Institute of India;Serum Institute of India Pvt Ltd;SII", "source_id": "SRC-BD-018", "base_priority": "P1", "status": "ACTIVE", "evidence_scope": "GD_SNAPSHOT_PROXY", "provenance_id": "PR-RAD-CMP-272f19fd220", "cautions": "Themen/Modalitaeten sind Suchhinweise. Aktive Assets, Phase, Indikation und Konkurrenzstatus immer live verifizieren.", "source_url": null, "watch_policy": "CONDITIONAL"}</t>
  </si>
  <si>
    <t>PR-V21-BASE-M01_COMPETITORS-24</t>
  </si>
  <si>
    <t>{"record_id": "M01-CMP-b372a79ea29", "entity_id": "CMP-b372a79ea29", "entity_name": null, "record_type": "COMPANY_WATCH", "topic_tags": "HIV;HAI;ANTIBACTERIAL;EMERGING_INFECTIONS;MUCOSAL_INFECTIONS;IMMUNOCOMPROMISED", "pathogen_tags": "UNKNOWN", "indication_tags": "UNKNOWN", "modality_tags": "VACCINE", "search_terms": "AbbVie Inc", "source_id": "SRC-NAME-SEARCH", "base_priority": "P1", "status": "ACTIVE", "evidence_scope": "GD_SNAPSHOT_PROXY", "provenance_id": "PR-RAD-CMP-b372a79ea29",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</si>
  <si>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PR-V21-BASE-M01_COMPETITORS-25</t>
  </si>
  <si>
    <t>{"record_id": "M01-CMP-c132e3a36c6", "entity_id": "CMP-c132e3a36c6", "entity_name": null, "record_type": "COMPANY_WATCH", "topic_tags": "HEPATITIS;EMERGING_INFECTIONS;MUCOSAL_INFECTIONS;IMMUNOCOMPROMISED", "pathogen_tags": "UNKNOWN", "indication_tags": "UNKNOWN", "modality_tags": "VACCINE", "search_terms": "CSPC Pharmaceutical Group Ltd", "source_id": "SRC-NAME-SEARCH", "base_priority": "P1", "status": "ACTIVE", "evidence_scope": "GD_SNAPSHOT_PROXY", "provenance_id": "PR-RAD-CMP-c132e3a36c6",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</si>
  <si>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PR-V21-BASE-M01_COMPETITORS-26</t>
  </si>
  <si>
    <t>{"record_id": "M01-CMP-bebf092fda0", "entity_id": "CMP-bebf092fda0", "entity_name": null, "record_type": "COMPANY_WATCH", "topic_tags": "HIV;HEPATITIS;HAI;ANTIBACTERIAL", "pathogen_tags": "UNKNOWN", "indication_tags": "UNKNOWN", "modality_tags": "MAB", "search_terms": "Brii Biosciences Ltd", "source_id": "SRC-NAME-SEARCH", "base_priority": "P1", "status": "ACTIVE", "evidence_scope": "GD_SNAPSHOT_PROXY", "provenance_id": "PR-RAD-CMP-bebf092fda0",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</si>
  <si>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PR-V21-BASE-M01_COMPETITORS-27</t>
  </si>
  <si>
    <t>{"record_id": "M01-CMP-8ee8900c31c", "entity_id": "CMP-8ee8900c31c", "entity_name": null, "record_type": "COMPANY_WATCH", "topic_tags": "HEPATITIS;HAI;ANTIBACTERIAL;EMERGING_INFECTIONS;NTD;IMMUNOCOMPROMISED", "pathogen_tags": "UNKNOWN", "indication_tags": "UNKNOWN", "modality_tags": "VACCINE", "search_terms": "Zydus Lifesciences Ltd", "source_id": "SRC-NAME-SEARCH", "base_priority": "P1", "status": "ACTIVE", "evidence_scope": "GD_SNAPSHOT_PROXY", "provenance_id": "PR-RAD-CMP-8ee8900c31c",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</si>
  <si>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PR-V21-BASE-M01_COMPETITORS-28</t>
  </si>
  <si>
    <t>{"record_id": "M01-CMP-870018ed6f8", "entity_id": "CMP-870018ed6f8", "entity_name": null, "record_type": "COMPANY_WATCH", "topic_tags": "ANTIBACTERIAL;EMERGING_INFECTIONS;TUBERCULOSIS;MUCOSAL_INFECTIONS;IMMUNOCOMPROMISED", "pathogen_tags": "UNKNOWN", "indication_tags": "UNKNOWN", "modality_tags": "VACCINE", "search_terms": "Suzhou Abogen Biosciences Co Ltd", "source_id": "SRC-NAME-SEARCH", "base_priority": "P1", "status": "ACTIVE", "evidence_scope": "GD_SNAPSHOT_PROXY", "provenance_id": "PR-RAD-CMP-870018ed6f8",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</si>
  <si>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PR-V21-BASE-M01_COMPETITORS-29</t>
  </si>
  <si>
    <t>{"record_id": "M01-CMP-58902c4b7fe", "entity_id": "CMP-58902c4b7fe", "entity_name": null, "record_type": "COMPANY_WATCH", "topic_tags": "HIV;HEPATITIS;EMERGING_INFECTIONS;NTD", "pathogen_tags": "UNKNOWN", "indication_tags": "UNKNOWN", "modality_tags": "VACCINE", "search_terms": "Inovio Pharmaceuticals Inc", "source_id": "SRC-NAME-SEARCH", "base_priority": "P1", "status": "ACTIVE", "evidence_scope": "GD_SNAPSHOT_PROXY", "provenance_id": "PR-RAD-CMP-58902c4b7fe",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</si>
  <si>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PR-V21-BASE-M01_COMPETITORS-30</t>
  </si>
  <si>
    <t>{"record_id": "M01-CMP-89418911969", "entity_id": "CMP-89418911969", "entity_name": null, "record_type": "COMPANY_WATCH", "topic_tags": "HEPATITIS;HAI;ANTIBACTERIAL", "pathogen_tags": "UNKNOWN", "indication_tags": "UNKNOWN", "modality_tags": "UNKNOWN", "search_terms": "Chia Tai Tianqing Pharmaceutical Group Co Ltd", "source_id": "SRC-NAME-SEARCH", "base_priority": "P1", "status": "ACTIVE", "evidence_scope": "GD_SNAPSHOT_PROXY", "provenance_id": "PR-RAD-CMP-89418911969",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</si>
  <si>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PR-V21-BASE-M01_COMPETITORS-31</t>
  </si>
  <si>
    <t>{"record_id": "M01-CMP-eac17a0cae7", "entity_id": "CMP-eac17a0cae7", "entity_name": null, "record_type": "COMPANY_WATCH", "topic_tags": "HEPATITIS;EMERGING_INFECTIONS;MUCOSAL_INFECTIONS", "pathogen_tags": "UNKNOWN", "indication_tags": "UNKNOWN", "modality_tags": "VACCINE", "search_terms": "SK Bioscience Ltd", "source_id": "SRC-NAME-SEARCH", "base_priority": "P1", "status": "ACTIVE", "evidence_scope": "GD_SNAPSHOT_PROXY", "provenance_id": "PR-RAD-CMP-eac17a0cae7",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</si>
  <si>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PR-V21-BASE-M01_COMPETITORS-32</t>
  </si>
  <si>
    <t>{"record_id": "M01-CMP-feb7d44c4f0", "entity_id": "CMP-feb7d44c4f0", "entity_name": null, "record_type": "COMPANY_WATCH", "topic_tags": "MUCOSAL_INFECTIONS", "pathogen_tags": "UNKNOWN", "indication_tags": "UNKNOWN", "modality_tags": "VACCINE", "search_terms": "Beijing Minhai Biotechnology Co Ltd", "source_id": "SRC-NAME-SEARCH", "base_priority": "P1", "status": "ACTIVE", "evidence_scope": "GD_SNAPSHOT_PROXY", "provenance_id": "PR-RAD-CMP-feb7d44c4f0",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</si>
  <si>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PR-V21-BASE-M01_COMPETITORS-33</t>
  </si>
  <si>
    <t>{"record_id": "M01-CMP-4146497d3c7", "entity_id": "CMP-4146497d3c7", "entity_name": null, "record_type": "COMPANY_WATCH", "topic_tags": "HEPATITIS;EMERGING_INFECTIONS", "pathogen_tags": "UNKNOWN", "indication_tags": "UNKNOWN", "modality_tags": "SMALL_MOLECULE", "search_terms": "Aligos Therapeutics Inc", "source_id": "SRC-NAME-SEARCH", "base_priority": "P1", "status": "ACTIVE", "evidence_scope": "GD_SNAPSHOT_PROXY", "provenance_id": "PR-RAD-CMP-4146497d3c7",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</si>
  <si>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PR-V21-BASE-M01_COMPETITORS-34</t>
  </si>
  <si>
    <t>{"record_id": "M01-CMP-246ca48d6d7", "entity_id": "CMP-246ca48d6d7", "entity_name": null, "record_type": "COMPANY_WATCH", "topic_tags": "HAI;ANTIBACTERIAL;MUCOSAL_INFECTIONS;IMMUNOCOMPROMISED", "pathogen_tags": "UNKNOWN", "indication_tags": "UNKNOWN", "modality_tags": "VACCINE", "search_terms": "Chengdu Olymvax Biopharmaceuticals Inc", "source_id": "SRC-NAME-SEARCH", "base_priority": "P1", "status": "ACTIVE", "evidence_scope": "GD_SNAPSHOT_PROXY", "provenance_id": "PR-RAD-CMP-246ca48d6d7",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</si>
  <si>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PR-V21-BASE-M01_COMPETITORS-35</t>
  </si>
  <si>
    <t>{"record_id": "M01-CMP-8c64c4d04de", "entity_id": "CMP-8c64c4d04de", "entity_name": null, "record_type": "COMPANY_WATCH", "topic_tags": "HIV;HEPATITIS;ANTIBACTERIAL;MUCOSAL_INFECTIONS;IMMUNOCOMPROMISED", "pathogen_tags": "UNKNOWN", "indication_tags": "UNKNOWN", "modality_tags": "VACCINE;MAB", "search_terms": "Shanxi Kangbao Biological Product Co Ltd", "source_id": "SRC-NAME-SEARCH", "base_priority": "P1", "status": "ACTIVE", "evidence_scope": "GD_SNAPSHOT_PROXY", "provenance_id": "PR-RAD-CMP-8c64c4d04de",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</si>
  <si>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PR-V21-BASE-M01_COMPETITORS-36</t>
  </si>
  <si>
    <t>{"record_id": "M01-CMP-08a8fbeac27", "entity_id": "CMP-08a8fbeac27", "entity_name": null, "record_type": "COMPANY_WATCH", "topic_tags": "HEPATITIS;EMERGING_INFECTIONS;NTD;MUCOSAL_INFECTIONS", "pathogen_tags": "UNKNOWN", "indication_tags": "UNKNOWN", "modality_tags": "UNKNOWN", "search_terms": "KM Biologics Co Ltd", "source_id": "SRC-NAME-SEARCH", "base_priority": "P1", "status": "ACTIVE", "evidence_scope": "GD_SNAPSHOT_PROXY", "provenance_id": "PR-RAD-CMP-08a8fbeac27",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</si>
  <si>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PR-V21-BASE-M01_COMPETITORS-37</t>
  </si>
  <si>
    <t>{"record_id": "M01-CMP-ba04c7a5187", "entity_id": "CMP-ba04c7a5187", "entity_name": null, "record_type": "COMPANY_WATCH", "topic_tags": "HAI;ANTIBACTERIAL;MUCOSAL_INFECTIONS;IMMUNOCOMPROMISED", "pathogen_tags": "UNKNOWN", "indication_tags": "UNKNOWN", "modality_tags": "VACCINE", "search_terms": "Suzhou Juwei Biotech Co Ltd", "source_id": "SRC-NAME-SEARCH", "base_priority": "P1", "status": "ACTIVE", "evidence_scope": "GD_SNAPSHOT_PROXY", "provenance_id": "PR-RAD-CMP-ba04c7a5187",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</si>
  <si>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PR-V21-BASE-M01_COMPETITORS-38</t>
  </si>
  <si>
    <t>{"record_id": "M01-CMP-3a0fa1b3462", "entity_id": "CMP-3a0fa1b3462", "entity_name": null, "record_type": "COMPANY_WATCH", "topic_tags": "HAI;ANTIBACTERIAL;AMR", "pathogen_tags": "P_AERUGINOSA", "indication_tags": "CF;NCFB", "modality_tags": "PHAGE", "search_terms": "Armata;AP-PA02;Pseudomonas", "source_id": "SRC-ARMATA", "base_priority": "P1", "status": "ACTIVE", "evidence_scope": "PRIMARY_SCOPE_CHECKED", "provenance_id": "PR-RAD-CMP-3a0fa1b3462", "cautions": "Keine konkrete Konkurrenzklassifikation oder aktuelle Phase ableiten; andere Modalitaeten nicht pauschal ausschliessen.", "source_url": null, "watch_policy": "CONDITIONAL"}</t>
  </si>
  <si>
    <t>PR-V21-BASE-M01_COMPETITORS-39</t>
  </si>
  <si>
    <t>{"record_id": "M01-CMP-cdc8013144b", "entity_id": "CMP-cdc8013144b", "entity_name": null, "record_type": "COMPANY_WATCH", "topic_tags": "HEPATITIS;EMERGING_INFECTIONS;MUCOSAL_INFECTIONS;IMMUNOCOMPROMISED", "pathogen_tags": "UNKNOWN", "indication_tags": "UNKNOWN", "modality_tags": "VACCINE", "search_terms": "AriBioLab Co Ltd", "source_id": "SRC-NAME-SEARCH", "base_priority": "P1", "status": "ACTIVE", "evidence_scope": "GD_SNAPSHOT_PROXY", "provenance_id": "PR-RAD-CMP-cdc8013144b",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</si>
  <si>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PR-V21-BASE-M01_COMPETITORS-40</t>
  </si>
  <si>
    <t>{"record_id": "M01-CMP-994d1e3fd3b", "entity_id": "CMP-994d1e3fd3b", "entity_name": null, "record_type": "COMPANY_WATCH", "topic_tags": "HEPATITIS;EMERGING_INFECTIONS;NTD;MUCOSAL_INFECTIONS", "pathogen_tags": "UNKNOWN", "indication_tags": "UNKNOWN", "modality_tags": "UNKNOWN", "search_terms": "GeneOne Life Science Inc", "source_id": "SRC-NAME-SEARCH", "base_priority": "P1", "status": "ACTIVE", "evidence_scope": "GD_SNAPSHOT_PROXY", "provenance_id": "PR-RAD-CMP-994d1e3fd3b",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</si>
  <si>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PR-V21-BASE-M01_COMPETITORS-41</t>
  </si>
  <si>
    <t>{"record_id": "M01-CMP-a455fe8ed3b", "entity_id": "CMP-a455fe8ed3b", "entity_name": null, "record_type": "COMPANY_WATCH", "topic_tags": "MUCOSAL_INFECTIONS;IMMUNOCOMPROMISED", "pathogen_tags": "UNKNOWN", "indication_tags": "UNKNOWN", "modality_tags": "VACCINE;MAB", "search_terms": "Changchun Bcht Biotechnology Co Ltd", "source_id": "SRC-NAME-SEARCH", "base_priority": "P1", "status": "ACTIVE", "evidence_scope": "GD_SNAPSHOT_PROXY", "provenance_id": "PR-RAD-CMP-a455fe8ed3b",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</si>
  <si>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PR-V21-BASE-M01_COMPETITORS-43</t>
  </si>
  <si>
    <t>{"record_id": "M01-CMP-455a5cf00a7", "entity_id": "CMP-455a5cf00a7", "entity_name": null, "record_type": "COMPANY_WATCH", "topic_tags": "HEPATITIS;EMERGING_INFECTIONS;NTD;MUCOSAL_INFECTIONS", "pathogen_tags": "UNKNOWN", "indication_tags": "UNKNOWN", "modality_tags": "VACCINE", "search_terms": "Indian Immunologicals Ltd", "source_id": "SRC-NAME-SEARCH", "base_priority": "P1", "status": "ACTIVE", "evidence_scope": "GD_SNAPSHOT_PROXY", "provenance_id": "PR-RAD-CMP-455a5cf00a7",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</si>
  <si>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PR-V21-BASE-M01_COMPETITORS-44</t>
  </si>
  <si>
    <t>{"record_id": "M01-CMP-59cc13297d8", "entity_id": "CMP-59cc13297d8", "entity_name": null, "record_type": "COMPANY_WATCH", "topic_tags": "EMERGING_INFECTIONS;NTD;MUCOSAL_INFECTIONS", "pathogen_tags": "UNKNOWN", "indication_tags": "UNKNOWN", "modality_tags": "VACCINE", "search_terms": "BioNet-Asia Co Ltd", "source_id": "SRC-NAME-SEARCH", "base_priority": "P1", "status": "ACTIVE", "evidence_scope": "GD_SNAPSHOT_PROXY", "provenance_id": "PR-RAD-CMP-59cc13297d8",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</si>
  <si>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PR-V21-BASE-M01_COMPETITORS-45</t>
  </si>
  <si>
    <t>{"record_id": "M01-CMP-d30edde7435", "entity_id": "CMP-d30edde7435", "entity_name": null, "record_type": "COMPANY_WATCH", "topic_tags": "HAI;ANTIBACTERIAL;EMERGING_INFECTIONS;TUBERCULOSIS;MUCOSAL_INFECTIONS", "pathogen_tags": "UNKNOWN", "indication_tags": "UNKNOWN", "modality_tags": "UNKNOWN", "search_terms": "Akagera Medicines Inc", "source_id": "SRC-NAME-SEARCH", "base_priority": "P1", "status": "ACTIVE", "evidence_scope": "GD_SNAPSHOT_PROXY", "provenance_id": "PR-RAD-CMP-d30edde7435",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</si>
  <si>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PR-V21-BASE-M01_COMPETITORS-47</t>
  </si>
  <si>
    <t>{"record_id": "M01-CMP-5ad19a5f747", "entity_id": "CMP-5ad19a5f747", "entity_name": null, "record_type": "COMPANY_WATCH", "topic_tags": "HIV", "pathogen_tags": "HIV", "indication_tags": "HIV", "modality_tags": "MAB;SMALL_MOLECULE", "search_terms": "ViiV;HIV;cabotegravir", "source_id": "SRC-VIIV", "base_priority": "P1", "status": "REVIEW", "evidence_scope": "INDEX_PLUS_SOURCE_SCOPE", "provenance_id": "PR-RAD-CMP-5ad19a5f747", "cautions": "Keine konkrete Konkurrenzklassifikation oder aktuelle Phase ableiten; andere Modalitaeten nicht pauschal ausschliessen.", "source_url": null, "watch_policy": "CONDITIONAL"}</t>
  </si>
  <si>
    <t>PR-V21-BASE-M01_COMPETITORS-48</t>
  </si>
  <si>
    <t>{"record_id": "M01-CMP-fa8243cafa7", "entity_id": "CMP-fa8243cafa7", "entity_name": null, "record_type": "COMPANY_WATCH", "topic_tags": "HAI;ANTIBACTERIAL;AMR;EMERGING_INFECTIONS", "pathogen_tags": "P_AERUGINOSA", "indication_tags": "NCFB", "modality_tags": "MAB;SMALL_MOLECULE", "search_terms": "Infex;RESP-X;INFEX702;COT-143;MET-X", "source_id": "SRC-INFEX-TEXT", "base_priority": "P1", "status": "ACTIVE", "evidence_scope": "PRIMARY_SCOPE_CHECKED", "provenance_id": "PR-RAD-CMP-fa8243cafa7", "cautions": "Keine konkrete Konkurrenzklassifikation oder aktuelle Phase ableiten; andere Modalitaeten nicht pauschal ausschliessen.", "source_url": null, "watch_policy": "CONDITIONAL"}</t>
  </si>
  <si>
    <t>PR-V21-BASE-M01_COMPETITORS-50</t>
  </si>
  <si>
    <t>{"record_id": "M01-CMP-b6c031ebf37", "entity_id": "CMP-b6c031ebf37", "entity_name": null, "record_type": "COMPANY_WATCH", "topic_tags": "EMERGING_INFECTIONS;MUCOSAL_INFECTIONS", "pathogen_tags": "UNKNOWN", "indication_tags": "UNKNOWN", "modality_tags": "VACCINE;MAB", "search_terms": "Lanzhou Institute of Biological Products Co Ltd", "source_id": "SRC-NAME-SEARCH", "base_priority": "P1", "status": "ACTIVE", "evidence_scope": "GD_SNAPSHOT_PROXY", "provenance_id": "PR-RAD-CMP-b6c031ebf37",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</si>
  <si>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PR-V21-BASE-M01_COMPETITORS-51</t>
  </si>
  <si>
    <t>{"record_id": "M01-CMP-413f8fd9f55", "entity_id": "CMP-413f8fd9f55", "entity_name": null, "record_type": "COMPANY_WATCH", "topic_tags": "HAI;ANTIBACTERIAL;EMERGING_INFECTIONS;NTD;IMMUNOCOMPROMISED", "pathogen_tags": "UNKNOWN", "indication_tags": "UNKNOWN", "modality_tags": "UNKNOWN", "search_terms": "Bayer AG", "source_id": "SRC-NAME-SEARCH", "base_priority": "P1", "status": "ACTIVE", "evidence_scope": "GD_SNAPSHOT_PROXY", "provenance_id": "PR-RAD-CMP-413f8fd9f55",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</si>
  <si>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PR-V21-BASE-M01_COMPETITORS-52</t>
  </si>
  <si>
    <t>{"record_id": "M01-CMP-3fd58dd38dd", "entity_id": "CMP-3fd58dd38dd", "entity_name": null, "record_type": "COMPANY_WATCH", "topic_tags": "HAI;ANTIBACTERIAL;EMERGING_INFECTIONS;MUCOSAL_INFECTIONS;IMMUNOCOMPROMISED", "pathogen_tags": "UNKNOWN", "indication_tags": "UNKNOWN", "modality_tags": "MAB", "search_terms": "Aridis Pharmaceuticals Inc", "source_id": "SRC-NAME-SEARCH", "base_priority": "P1", "status": "ACTIVE", "evidence_scope": "GD_SNAPSHOT_PROXY", "provenance_id": "PR-RAD-CMP-3fd58dd38dd",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</si>
  <si>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PR-V21-BASE-M01_COMPETITORS-53</t>
  </si>
  <si>
    <t>{"record_id": "M01-CMP-9c376d2b7ab", "entity_id": "CMP-9c376d2b7ab", "entity_name": null, "record_type": "COMPANY_WATCH", "topic_tags": "HAI;ANTIBACTERIAL;TUBERCULOSIS;MUCOSAL_INFECTIONS;IMMUNOCOMPROMISED", "pathogen_tags": "UNKNOWN", "indication_tags": "UNKNOWN", "modality_tags": "UNKNOWN", "search_terms": "MicuRx Pharmaceuticals Inc", "source_id": "SRC-NAME-SEARCH", "base_priority": "P1", "status": "ACTIVE", "evidence_scope": "GD_SNAPSHOT_PROXY", "provenance_id": "PR-RAD-CMP-9c376d2b7ab",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</si>
  <si>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PR-V21-BASE-M01_COMPETITORS-54</t>
  </si>
  <si>
    <t>{"record_id": "M01-CMP-fcc9f977944", "entity_id": "CMP-fcc9f977944", "entity_name": null, "record_type": "COMPANY_WATCH", "topic_tags": "ANTIBACTERIAL;EMERGING_INFECTIONS;TUBERCULOSIS;MUCOSAL_INFECTIONS", "pathogen_tags": "UNKNOWN", "indication_tags": "UNKNOWN", "modality_tags": "VACCINE", "search_terms": "SPbNIIVS FMBA of Russia", "source_id": "SRC-NAME-SEARCH", "base_priority": "P1", "status": "ACTIVE", "evidence_scope": "GD_SNAPSHOT_PROXY", "provenance_id": "PR-RAD-CMP-fcc9f977944",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</si>
  <si>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PR-V21-BASE-M01_COMPETITORS-55</t>
  </si>
  <si>
    <t>{"record_id": "M01-CMP-0a76928b480", "entity_id": "CMP-0a76928b480", "entity_name": null, "record_type": "COMPANY_WATCH", "topic_tags": "ANTIBACTERIAL;TUBERCULOSIS;MUCOSAL_INFECTIONS;IMMUNOCOMPROMISED", "pathogen_tags": "UNKNOWN", "indication_tags": "UNKNOWN", "modality_tags": "VACCINE", "search_terms": "Shenzhen Rhegen Biotechnology Co Ltd", "source_id": "SRC-NAME-SEARCH", "base_priority": "P1", "status": "ACTIVE", "evidence_scope": "GD_SNAPSHOT_PROXY", "provenance_id": "PR-RAD-CMP-0a76928b480",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</si>
  <si>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PR-V21-BASE-M01_COMPETITORS-56</t>
  </si>
  <si>
    <t>{"record_id": "M01-CMP-601bca434c7", "entity_id": "CMP-601bca434c7", "entity_name": null, "record_type": "COMPANY_WATCH", "topic_tags": "HIV;HEPATITIS;EMERGING_INFECTIONS", "pathogen_tags": "UNKNOWN", "indication_tags": "UNKNOWN", "modality_tags": "MAB", "search_terms": "Vir Biotechnology Inc", "source_id": "SRC-NAME-SEARCH", "base_priority": "P1", "status": "ACTIVE", "evidence_scope": "GD_SNAPSHOT_PROXY", "provenance_id": "PR-RAD-CMP-601bca434c7",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</si>
  <si>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PR-V21-BASE-M01_COMPETITORS-57</t>
  </si>
  <si>
    <t>{"record_id": "M01-CMP-ea5495c6494", "entity_id": "CMP-ea5495c6494", "entity_name": null, "record_type": "COMPANY_WATCH", "topic_tags": "HIV;HAI;ANTIBACTERIAL;EMERGING_INFECTIONS;NTD;IMMUNOCOMPROMISED", "pathogen_tags": "UNKNOWN", "indication_tags": "UNKNOWN", "modality_tags": "UNKNOWN", "search_terms": "Bristol-Myers Squibb Co", "source_id": "SRC-NAME-SEARCH", "base_priority": "P1", "status": "ACTIVE", "evidence_scope": "GD_SNAPSHOT_PROXY", "provenance_id": "PR-RAD-CMP-ea5495c6494",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</si>
  <si>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PR-V21-BASE-M01_COMPETITORS-58</t>
  </si>
  <si>
    <t>{"record_id": "M01-CMP-251613697f2", "entity_id": "CMP-251613697f2", "entity_name": null, "record_type": "COMPANY_WATCH", "topic_tags": "ANTIBACTERIAL;TUBERCULOSIS;NTD", "pathogen_tags": "UNKNOWN", "indication_tags": "UNKNOWN", "modality_tags": "VACCINE", "search_terms": "Quratis Inc", "source_id": "SRC-NAME-SEARCH", "base_priority": "P1", "status": "ACTIVE", "evidence_scope": "GD_SNAPSHOT_PROXY", "provenance_id": "PR-RAD-CMP-251613697f2",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</si>
  <si>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PR-V21-BASE-M01_COMPETITORS-60</t>
  </si>
  <si>
    <t>{"record_id": "M01-CMP-410a276e6c6", "entity_id": "CMP-410a276e6c6", "entity_name": null, "record_type": "COMPANY_WATCH", "topic_tags": "HAI;ANTIBACTERIAL;MUCOSAL_INFECTIONS", "pathogen_tags": "UNKNOWN", "indication_tags": "UNKNOWN", "modality_tags": "MAB", "search_terms": "Clarametyx Biosciences;Clarametyx Biosciences Inc", "source_id": "SRC-RAD-c2abdf37fd", "base_priority": "P1", "status": "ACTIVE", "evidence_scope": "GD_SNAPSHOT_PROXY", "provenance_id": "PR-RAD-CMP-410a276e6c6", "cautions": "Themen/Modalitaeten sind Suchhinweise. Aktive Assets, Phase, Indikation und Konkurrenzstatus immer live verifizieren.", "source_url": null, "watch_policy": "CONDITIONAL"}</t>
  </si>
  <si>
    <t>PR-V21-BASE-M01_COMPETITORS-62</t>
  </si>
  <si>
    <t>{"record_id": "M01-CMP-aedbc6dad69", "entity_id": "CMP-aedbc6dad69", "entity_name": null, "record_type": "COMPANY_WATCH", "topic_tags": "HAI;ANTIBACTERIAL;TUBERCULOSIS;IMMUNOCOMPROMISED", "pathogen_tags": "UNKNOWN", "indication_tags": "UNKNOWN", "modality_tags": "UNKNOWN", "search_terms": "Crestone Inc", "source_id": "SRC-NAME-SEARCH", "base_priority": "P1", "status": "ACTIVE", "evidence_scope": "GD_SNAPSHOT_PROXY", "provenance_id": "PR-RAD-CMP-aedbc6dad69",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</si>
  <si>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PR-V21-BASE-M01_COMPETITORS-64</t>
  </si>
  <si>
    <t>{"record_id": "M01-CMP-3d6b5bd3377", "entity_id": "CMP-3d6b5bd3377", "entity_name": null, "record_type": "COMPANY_WATCH", "topic_tags": "HIV;HEPATITIS;ANTIBACTERIAL;EMERGING_INFECTIONS;TUBERCULOSIS;NTD;MUCOSAL_INFECTIONS;IMMUNOCOMPROMISED", "pathogen_tags": "UNKNOWN", "indication_tags": "UNKNOWN", "modality_tags": "UNKNOWN", "search_terms": "Palisades Therapeutics", "source_id": "SRC-NAME-SEARCH", "base_priority": "P1", "status": "ACTIVE", "evidence_scope": "GD_SNAPSHOT_PROXY", "provenance_id": "PR-RAD-CMP-3d6b5bd3377",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</si>
  <si>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PR-V21-BASE-M01_COMPETITORS-66</t>
  </si>
  <si>
    <t>{"record_id": "M01-CMP-e6d28a1f43f", "entity_id": "CMP-e6d28a1f43f", "entity_name": null, "record_type": "COMPANY_WATCH", "topic_tags": "HIV;EMERGING_INFECTIONS;MUCOSAL_INFECTIONS", "pathogen_tags": "UNKNOWN", "indication_tags": "UNKNOWN", "modality_tags": "UNKNOWN", "search_terms": "Henan Genuine Biotech Co Ltd", "source_id": "SRC-NAME-SEARCH", "base_priority": "P1", "status": "ACTIVE", "evidence_scope": "GD_SNAPSHOT_PROXY", "provenance_id": "PR-RAD-CMP-e6d28a1f43f",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</si>
  <si>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PR-V21-BASE-M01_COMPETITORS-67</t>
  </si>
  <si>
    <t>{"record_id": "M01-CMP-1a25fe5bbff", "entity_id": "CMP-1a25fe5bbff", "entity_name": null, "record_type": "COMPANY_WATCH", "topic_tags": "EMERGING_INFECTIONS;NTD;MUCOSAL_INFECTIONS;IMMUNOCOMPROMISED", "pathogen_tags": "UNKNOWN", "indication_tags": "UNKNOWN", "modality_tags": "SMALL_MOLECULE", "search_terms": "60 Degrees Pharmaceuticals Inc", "source_id": "SRC-NAME-SEARCH", "base_priority": "P1", "status": "ACTIVE", "evidence_scope": "GD_SNAPSHOT_PROXY", "provenance_id": "PR-RAD-CMP-1a25fe5bbff",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</si>
  <si>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PR-V21-BASE-M01_COMPETITORS-69</t>
  </si>
  <si>
    <t>{"record_id": "M01-CMP-b3350328f73", "entity_id": "CMP-b3350328f73", "entity_name": null, "record_type": "COMPANY_WATCH", "topic_tags": "HAI;IMMUNOCOMPROMISED;FUNGAL", "pathogen_tags": "ASPERGILLUS", "indication_tags": "UNKNOWN", "modality_tags": "SMALL_MOLECULE", "search_terms": "F2G;F2G Ltd", "source_id": "SRC-V2-F2G_SHIONOGI", "base_priority": "P1", "status": "ACTIVE", "evidence_scope": "PUBLIC_SCOPE_NOT_LIVE_ASSET", "provenance_id": "PR-RAD-CMP-b3350328f73", "cautions": "Datiertes Primaersignal 21.10.2026; Quelle kein Ersatz fuer gesamte aktuelle F2G-Pipeline.", "source_url": null, "watch_policy": "CONDITIONAL"}</t>
  </si>
  <si>
    <t>PR-V21-BASE-M01_COMPETITORS-70</t>
  </si>
  <si>
    <t>{"record_id": "M01-CMP-b67700d6c62", "entity_id": "CMP-b67700d6c62", "entity_name": null, "record_type": "COMPANY_WATCH", "topic_tags": "HIV;HEPATITIS;HAI;TUBERCULOSIS;MUCOSAL_INFECTIONS", "pathogen_tags": "UNKNOWN", "indication_tags": "UNKNOWN", "modality_tags": "DIAGNOSTIC", "search_terms": "QIAGEN", "source_id": "SRC-RAD-d614ffa198", "base_priority": "P1", "status": "ACTIVE", "evidence_scope": "CURATED_SOURCE_ASSOCIATION", "provenance_id": "PR-RAD-CMP-b67700d6c62", "cautions": "Themen/Modalitaeten sind Suchhinweise. Aktive Assets, Phase, Indikation und Konkurrenzstatus immer live verifizieren. GD-Nullwerte bedeuten fehlende Abdeckung, nicht Nullportfolio.", "source_url": null, "watch_policy": "CONDITIONAL"}</t>
  </si>
  <si>
    <t>PR-V21-BASE-M01_COMPETITORS-73</t>
  </si>
  <si>
    <t>{"record_id": "M01-CMP-c6b22982ad3", "entity_id": "CMP-c6b22982ad3", "entity_name": null, "record_type": "COMPANY_WATCH", "topic_tags": "EMERGING_INFECTIONS", "pathogen_tags": "UNKNOWN", "indication_tags": "UNKNOWN", "modality_tags": "CELL_GENE_THERAPY", "search_terms": "Shenzhen Geno-Immune Medical Institute", "source_id": "SRC-NAME-SEARCH", "base_priority": "P1", "status": "ACTIVE", "evidence_scope": "GD_SNAPSHOT_PROXY", "provenance_id": "PR-RAD-CMP-c6b22982ad3",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</si>
  <si>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PR-V21-BASE-M01_COMPETITORS-76</t>
  </si>
  <si>
    <t>{"record_id": "M01-CMP-4eec897c81d", "entity_id": "CMP-4eec897c81d", "entity_name": null, "record_type": "COMPANY_WATCH", "topic_tags": "HAI;ANTIBACTERIAL;MUCOSAL_INFECTIONS", "pathogen_tags": "UNKNOWN", "indication_tags": "UNKNOWN", "modality_tags": "VACCINE;MAB", "search_terms": "IMMUNETHEP", "source_id": "SRC-RAD-1fb244a155", "base_priority": "P1", "status": "ACTIVE", "evidence_scope": "CURATED_SOURCE_ASSOCIATION", "provenance_id": "PR-RAD-CMP-4eec897c81d", "cautions": "Themen/Modalitaeten sind Suchhinweise. Aktive Assets, Phase, Indikation und Konkurrenzstatus immer live verifizieren. GD-Nullwerte bedeuten fehlende Abdeckung, nicht Nullportfolio.", "source_url": null, "watch_policy": "CONDITIONAL"}</t>
  </si>
  <si>
    <t>PR-V21-BASE-M01_COMPETITORS-84</t>
  </si>
  <si>
    <t>{"record_id": "M01-CMP-1c39dd558a2", "entity_id": "CMP-1c39dd558a2", "entity_name": null, "record_type": "COMPANY_WATCH", "topic_tags": "HAI;IMMUNOCOMPROMISED;MICROBIOME", "pathogen_tags": "UNKNOWN", "indication_tags": "UNKNOWN", "modality_tags": "MICROBIOME", "search_terms": "Ferring;Rebyota;microbiome", "source_id": "SRC-FERRING", "base_priority": "P1", "status": "ACTIVE", "evidence_scope": "PRIMARY_SCOPE_CHECKED", "provenance_id": "PR-RAD-CMP-1c39dd558a2", "cautions": "GD active=0 war fehlende GD-Abdeckung; nicht als leere Pipeline verwenden.", "source_url": null, "watch_policy": "CONDITIONAL"}</t>
  </si>
  <si>
    <t>PR-V21-BASE-M01_COMPETITORS-98</t>
  </si>
  <si>
    <t>{"record_id": "M01-CMP-108641addb6", "entity_id": "CMP-108641addb6", "entity_name": null, "record_type": "COMPANY_WATCH", "topic_tags": "HIV;EMERGING_INFECTIONS", "pathogen_tags": "UNKNOWN", "indication_tags": "UNKNOWN", "modality_tags": "CELL_GENE_THERAPY", "search_terms": "City of Hope", "source_id": "SRC-NAME-SEARCH", "base_priority": "P1", "status": "ACTIVE", "evidence_scope": "GD_SNAPSHOT_PROXY", "provenance_id": "PR-RAD-CMP-108641addb6",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</si>
  <si>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PR-V21-BASE-M01_COMPETITORS-99</t>
  </si>
  <si>
    <t>{"record_id": "M01-CMP-de8e4c7e849", "entity_id": "CMP-de8e4c7e849", "entity_name": null, "record_type": "COMPANY_WATCH", "topic_tags": "EMERGING_INFECTIONS;IMMUNOCOMPROMISED", "pathogen_tags": "UNKNOWN", "indication_tags": "UNKNOWN", "modality_tags": "CELL_GENE_THERAPY", "search_terms": "Suzhou CureMed Biopharma Technology Co Ltd", "source_id": "SRC-NAME-SEARCH", "base_priority": "P1", "status": "ACTIVE", "evidence_scope": "GD_SNAPSHOT_PROXY", "provenance_id": "PR-RAD-CMP-de8e4c7e849",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</si>
  <si>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PR-V21-BASE-M01_COMPETITORS-100</t>
  </si>
  <si>
    <t>{"record_id": "M01-CMP-9f2367b42ec", "entity_id": "CMP-9f2367b42ec", "entity_name": null, "record_type": "COMPANY_WATCH", "topic_tags": "IMMUNOCOMPROMISED", "pathogen_tags": "UNKNOWN", "indication_tags": "UNKNOWN", "modality_tags": "CELL_GENE_THERAPY", "search_terms": "Bristar Immunotech Biotechnology Co Ltd", "source_id": "SRC-NAME-SEARCH", "base_priority": "P1", "status": "ACTIVE", "evidence_scope": "GD_SNAPSHOT_PROXY", "provenance_id": "PR-RAD-CMP-9f2367b42ec",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</si>
  <si>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PR-V21-BASE-M01_COMPETITORS-101</t>
  </si>
  <si>
    <t>{"record_id": "M01-CMP-ff43c4d38a6", "entity_id": "CMP-ff43c4d38a6", "entity_name": null, "record_type": "COMPANY_WATCH", "topic_tags": "HEPATITIS", "pathogen_tags": "UNKNOWN", "indication_tags": "UNKNOWN", "modality_tags": "CELL_GENE_THERAPY", "search_terms": "Lion TCR Pte Ltd", "source_id": "SRC-NAME-SEARCH", "base_priority": "P1", "status": "ACTIVE", "evidence_scope": "GD_SNAPSHOT_PROXY", "provenance_id": "PR-RAD-CMP-ff43c4d38a6",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</si>
  <si>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PR-V21-BASE-M01_COMPETITORS-103</t>
  </si>
  <si>
    <t>{"record_id": "M01-CMP-c2df97c26fd", "entity_id": "CMP-c2df97c26fd", "entity_name": null, "record_type": "COMPANY_WATCH", "topic_tags": "HIV", "pathogen_tags": "UNKNOWN", "indication_tags": "UNKNOWN", "modality_tags": "CELL_GENE_THERAPY", "search_terms": "Excision BioTherapeutics", "source_id": "SRC-RAD-9142305dd4", "base_priority": "P1", "status": "ACTIVE", "evidence_scope": "CURATED_SOURCE_ASSOCIATION", "provenance_id": "PR-RAD-CMP-c2df97c26fd", "cautions": "Themen/Modalitaeten sind Suchhinweise. Aktive Assets, Phase, Indikation und Konkurrenzstatus immer live verifizieren. GD-Nullwerte bedeuten fehlende Abdeckung, nicht Nullportfolio.", "source_url": null, "watch_policy": "CONDITIONAL"}</t>
  </si>
  <si>
    <t>PR-V21-BASE-M01_COMPETITORS-106</t>
  </si>
  <si>
    <t>{"record_id": "M01-CMP-c6bc30af3d8", "entity_id": "CMP-c6bc30af3d8", "entity_name": null, "record_type": "COMPANY_WATCH", "topic_tags": "HIV", "pathogen_tags": "UNKNOWN", "indication_tags": "UNKNOWN", "modality_tags": "CELL_GENE_THERAPY", "search_terms": "Wuhan Bio-Raid Biotechnology Co Ltd", "source_id": "SRC-NAME-SEARCH", "base_priority": "P1", "status": "ACTIVE", "evidence_scope": "GD_SNAPSHOT_PROXY", "provenance_id": "PR-RAD-CMP-c6bc30af3d8",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</si>
  <si>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PR-V21-BASE-M01_COMPETITORS-107</t>
  </si>
  <si>
    <t>{"record_id": "M01-CMP-2100701d612", "entity_id": "CMP-2100701d612", "entity_name": null, "record_type": "COMPANY_WATCH", "topic_tags": "HAI;ANTIBACTERIAL", "pathogen_tags": "UNKNOWN", "indication_tags": "UNKNOWN", "modality_tags": "MICROBIOME", "search_terms": "Rebiotix Inc", "source_id": "SRC-NAME-SEARCH", "base_priority": "P1", "status": "ACTIVE", "evidence_scope": "GD_SNAPSHOT_PROXY", "provenance_id": "PR-RAD-CMP-2100701d612",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</si>
  <si>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PR-V21-BASE-M01_COMPETITORS-109</t>
  </si>
  <si>
    <t>{"record_id": "M01-CMP-3f19c5bc4ac", "entity_id": "CMP-3f19c5bc4ac", "entity_name": null, "record_type": "COMPANY_WATCH", "topic_tags": "ANTIBACTERIAL;EMERGING_INFECTIONS;MUCOSAL_INFECTIONS", "pathogen_tags": "UNKNOWN", "indication_tags": "UNKNOWN", "modality_tags": "VACCINE", "search_terms": "Eubiologics Co Ltd", "source_id": "SRC-NAME-SEARCH", "base_priority": "P2", "status": "ACTIVE", "evidence_scope": "GD_SNAPSHOT_PROXY", "provenance_id": "PR-RAD-CMP-3f19c5bc4ac",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</si>
  <si>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PR-V21-BASE-M01_COMPETITORS-110</t>
  </si>
  <si>
    <t>{"record_id": "M01-CMP-0934bdf51e6", "entity_id": "CMP-0934bdf51e6", "entity_name": null, "record_type": "COMPANY_WATCH", "topic_tags": "EMERGING_INFECTIONS;MUCOSAL_INFECTIONS;IMMUNOCOMPROMISED", "pathogen_tags": "UNKNOWN", "indication_tags": "UNKNOWN", "modality_tags": "VACCINE", "search_terms": "Shanghai Institute of Biological Products Co Ltd", "source_id": "SRC-NAME-SEARCH", "base_priority": "P2", "status": "ACTIVE", "evidence_scope": "GD_SNAPSHOT_PROXY", "provenance_id": "PR-RAD-CMP-0934bdf51e6",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</si>
  <si>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PR-V21-BASE-M01_COMPETITORS-111</t>
  </si>
  <si>
    <t>{"record_id": "M01-CMP-9c1a100dc59", "entity_id": "CMP-9c1a100dc59", "entity_name": null, "record_type": "COMPANY_WATCH", "topic_tags": "EMERGING_INFECTIONS;MUCOSAL_INFECTIONS;IMMUNOCOMPROMISED", "pathogen_tags": "UNKNOWN", "indication_tags": "UNKNOWN", "modality_tags": "VACCINE", "search_terms": "SinoCelltech Group Ltd", "source_id": "SRC-NAME-SEARCH", "base_priority": "P2", "status": "ACTIVE", "evidence_scope": "GD_SNAPSHOT_PROXY", "provenance_id": "PR-RAD-CMP-9c1a100dc59",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</si>
  <si>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PR-V21-BASE-M01_COMPETITORS-112</t>
  </si>
  <si>
    <t>{"record_id": "M01-CMP-9decd84757e", "entity_id": "CMP-9decd84757e", "entity_name": null, "record_type": "COMPANY_WATCH", "topic_tags": "HAI;ANTIBACTERIAL;MUCOSAL_INFECTIONS;IMMUNOCOMPROMISED", "pathogen_tags": "UNKNOWN", "indication_tags": "UNKNOWN", "modality_tags": "UNKNOWN", "search_terms": "Biocidium Biopharmaceuticals Inc", "source_id": "SRC-NAME-SEARCH", "base_priority": "P2", "status": "ACTIVE", "evidence_scope": "GD_SNAPSHOT_PROXY", "provenance_id": "PR-RAD-CMP-9decd84757e",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</si>
  <si>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PR-V21-BASE-M01_COMPETITORS-113</t>
  </si>
  <si>
    <t>{"record_id": "M01-CMP-078b33dd07f", "entity_id": "CMP-078b33dd07f", "entity_name": null, "record_type": "COMPANY_WATCH", "topic_tags": "HEPATITIS;HAI;ANTIBACTERIAL;MUCOSAL_INFECTIONS;IMMUNOCOMPROMISED", "pathogen_tags": "UNKNOWN", "indication_tags": "UNKNOWN", "modality_tags": "UNKNOWN", "search_terms": "Jiangsu Hengrui Pharmaceuticals Co Ltd", "source_id": "SRC-NAME-SEARCH", "base_priority": "P2", "status": "ACTIVE", "evidence_scope": "GD_SNAPSHOT_PROXY", "provenance_id": "PR-RAD-CMP-078b33dd07f",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</si>
  <si>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PR-V21-BASE-M01_COMPETITORS-114</t>
  </si>
  <si>
    <t>{"record_id": "M01-CMP-e06a0a2c903", "entity_id": "CMP-e06a0a2c903", "entity_name": null, "record_type": "COMPANY_WATCH", "topic_tags": "EMERGING_INFECTIONS;MUCOSAL_INFECTIONS;IMMUNOCOMPROMISED", "pathogen_tags": "UNKNOWN", "indication_tags": "UNKNOWN", "modality_tags": "VACCINE", "search_terms": "Walvax Biotechnology Co Ltd", "source_id": "SRC-NAME-SEARCH", "base_priority": "P2", "status": "ACTIVE", "evidence_scope": "GD_SNAPSHOT_PROXY", "provenance_id": "PR-RAD-CMP-e06a0a2c903",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</si>
  <si>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PR-V21-BASE-M01_COMPETITORS-115</t>
  </si>
  <si>
    <t>{"record_id": "M01-CMP-8286c6c630d", "entity_id": "CMP-8286c6c630d", "entity_name": null, "record_type": "COMPANY_WATCH", "topic_tags": "EMERGING_INFECTIONS;MUCOSAL_INFECTIONS", "pathogen_tags": "UNKNOWN", "indication_tags": "UNKNOWN", "modality_tags": "VACCINE", "search_terms": "Vaxart Inc", "source_id": "SRC-NAME-SEARCH", "base_priority": "P2", "status": "ACTIVE", "evidence_scope": "GD_SNAPSHOT_PROXY", "provenance_id": "PR-RAD-CMP-8286c6c630d",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</si>
  <si>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PR-V21-BASE-M01_COMPETITORS-116</t>
  </si>
  <si>
    <t>{"record_id": "M01-CMP-f0ace507d0a", "entity_id": "CMP-f0ace507d0a", "entity_name": null, "record_type": "COMPANY_WATCH", "topic_tags": "HEPATITIS;EMERGING_INFECTIONS;MUCOSAL_INFECTIONS;IMMUNOCOMPROMISED", "pathogen_tags": "UNKNOWN", "indication_tags": "UNKNOWN", "modality_tags": "UNKNOWN", "search_terms": "YouCare Pharmaceutical Group Co Ltd", "source_id": "SRC-NAME-SEARCH", "base_priority": "P2", "status": "ACTIVE", "evidence_scope": "GD_SNAPSHOT_PROXY", "provenance_id": "PR-RAD-CMP-f0ace507d0a",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</si>
  <si>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PR-V21-BASE-M01_COMPETITORS-117</t>
  </si>
  <si>
    <t>{"record_id": "M01-CMP-5756f6656b7", "entity_id": "CMP-5756f6656b7", "entity_name": null, "record_type": "COMPANY_WATCH", "topic_tags": "EMERGING_INFECTIONS;MUCOSAL_INFECTIONS", "pathogen_tags": "UNKNOWN", "indication_tags": "UNKNOWN", "modality_tags": "VACCINE", "search_terms": "GC Biopharma Corp", "source_id": "SRC-NAME-SEARCH", "base_priority": "P2", "status": "ACTIVE", "evidence_scope": "GD_SNAPSHOT_PROXY", "provenance_id": "PR-RAD-CMP-5756f6656b7",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</si>
  <si>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PR-V21-BASE-M01_COMPETITORS-118</t>
  </si>
  <si>
    <t>{"record_id": "M01-CMP-0c333834d33", "entity_id": "CMP-0c333834d33", "entity_name": null, "record_type": "COMPANY_WATCH", "topic_tags": "HAI;ANTIBACTERIAL;EMERGING_INFECTIONS;MUCOSAL_INFECTIONS;IMMUNOCOMPROMISED", "pathogen_tags": "UNKNOWN", "indication_tags": "UNKNOWN", "modality_tags": "UNKNOWN", "search_terms": "Boehringer Ingelheim International GmbH", "source_id": "SRC-NAME-SEARCH", "base_priority": "P2", "status": "ACTIVE", "evidence_scope": "GD_SNAPSHOT_PROXY", "provenance_id": "PR-RAD-CMP-0c333834d33",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</si>
  <si>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PR-V21-BASE-M01_COMPETITORS-119</t>
  </si>
  <si>
    <t>{"record_id": "M01-CMP-bf7e57274f6", "entity_id": "CMP-bf7e57274f6", "entity_name": null, "record_type": "COMPANY_WATCH", "topic_tags": "HEPATITIS;EMERGING_INFECTIONS", "pathogen_tags": "UNKNOWN", "indication_tags": "UNKNOWN", "modality_tags": "UNKNOWN", "search_terms": "Promomed LLC", "source_id": "SRC-NAME-SEARCH", "base_priority": "P2", "status": "ACTIVE", "evidence_scope": "GD_SNAPSHOT_PROXY", "provenance_id": "PR-RAD-CMP-bf7e57274f6",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</si>
  <si>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PR-V21-BASE-M01_COMPETITORS-120</t>
  </si>
  <si>
    <t>{"record_id": "M01-CMP-9d444f16979", "entity_id": "CMP-9d444f16979", "entity_name": null, "record_type": "COMPANY_WATCH", "topic_tags": "HEPATITIS;MUCOSAL_INFECTIONS", "pathogen_tags": "UNKNOWN", "indication_tags": "UNKNOWN", "modality_tags": "VACCINE", "search_terms": "Xiamen Innovax Biotech Co Ltd", "source_id": "SRC-NAME-SEARCH", "base_priority": "P2", "status": "ACTIVE", "evidence_scope": "GD_SNAPSHOT_PROXY", "provenance_id": "PR-RAD-CMP-9d444f16979",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</si>
  <si>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PR-V21-BASE-M01_COMPETITORS-121</t>
  </si>
  <si>
    <t>{"record_id": "M01-CMP-5e8e018b773", "entity_id": "CMP-5e8e018b773", "entity_name": null, "record_type": "COMPANY_WATCH", "topic_tags": "HEPATITIS;HAI;ANTIBACTERIAL;EMERGING_INFECTIONS;MUCOSAL_INFECTIONS", "pathogen_tags": "UNKNOWN", "indication_tags": "UNKNOWN", "modality_tags": "UNKNOWN", "search_terms": "Abion Inc", "source_id": "SRC-NAME-SEARCH", "base_priority": "P2", "status": "ACTIVE", "evidence_scope": "GD_SNAPSHOT_PROXY", "provenance_id": "PR-RAD-CMP-5e8e018b773",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</si>
  <si>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PR-V21-BASE-M01_COMPETITORS-122</t>
  </si>
  <si>
    <t>{"record_id": "M01-CMP-6dcf8867166", "entity_id": "CMP-6dcf8867166", "entity_name": null, "record_type": "COMPANY_WATCH", "topic_tags": "EMERGING_INFECTIONS;NTD;IMMUNOCOMPROMISED;FUNGAL;HEPATITIS;DENGUE", "pathogen_tags": "ANY", "indication_tags": "UNKNOWN", "modality_tags": "SMALL_MOLECULE;ANTIBODY", "search_terms": "Drugs for Neglected Diseases initiative", "source_id": "SRC-V2-DNDI", "base_priority": "P2", "status": "ACTIVE", "evidence_scope": "PUBLIC_SCOPE_NOT_LIVE_ASSET", "provenance_id": "PR-RAD-CMP-6dcf8867166", "cautions": "Quellenroute aktualisiert; historische Phasen nicht bestaetigt.", "source_url": null, "watch_policy": "CONDITIONAL"}</t>
  </si>
  <si>
    <t>PR-V21-BASE-M01_COMPETITORS-123</t>
  </si>
  <si>
    <t>{"record_id": "M01-CMP-972583c6f34", "entity_id": "CMP-972583c6f34", "entity_name": null, "record_type": "COMPANY_WATCH", "topic_tags": "HEPATITIS;EMERGING_INFECTIONS;MUCOSAL_INFECTIONS", "pathogen_tags": "UNKNOWN", "indication_tags": "UNKNOWN", "modality_tags": "VACCINE", "search_terms": "Shenzhen Kangtai Biological Products Co Ltd", "source_id": "SRC-NAME-SEARCH", "base_priority": "P2", "status": "ACTIVE", "evidence_scope": "GD_SNAPSHOT_PROXY", "provenance_id": "PR-RAD-CMP-972583c6f34",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</si>
  <si>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PR-V21-BASE-M01_COMPETITORS-124</t>
  </si>
  <si>
    <t>{"record_id": "M01-CMP-1441b9ac13e", "entity_id": "CMP-1441b9ac13e", "entity_name": null, "record_type": "COMPANY_WATCH", "topic_tags": "HAI;ANTIBACTERIAL;MUCOSAL_INFECTIONS;IMMUNOCOMPROMISED", "pathogen_tags": "UNKNOWN", "indication_tags": "UNKNOWN", "modality_tags": "VACCINE", "search_terms": "Beijing Luzhu Biotechnology Co Ltd", "source_id": "SRC-NAME-SEARCH", "base_priority": "P2", "status": "ACTIVE", "evidence_scope": "GD_SNAPSHOT_PROXY", "provenance_id": "PR-RAD-CMP-1441b9ac13e",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</si>
  <si>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PR-V21-BASE-M01_COMPETITORS-125</t>
  </si>
  <si>
    <t>{"record_id": "M01-CMP-4f8a2958e3d", "entity_id": "CMP-4f8a2958e3d", "entity_name": null, "record_type": "COMPANY_WATCH", "topic_tags": "HAI;ANTIBACTERIAL;EMERGING_INFECTIONS;MUCOSAL_INFECTIONS", "pathogen_tags": "UNKNOWN", "indication_tags": "UNKNOWN", "modality_tags": "UNKNOWN", "search_terms": "Lumen Bioscience Inc", "source_id": "SRC-NAME-SEARCH", "base_priority": "P2", "status": "ACTIVE", "evidence_scope": "GD_SNAPSHOT_PROXY", "provenance_id": "PR-RAD-CMP-4f8a2958e3d",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</si>
  <si>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PR-V21-BASE-M01_COMPETITORS-126</t>
  </si>
  <si>
    <t>{"record_id": "M01-CMP-9d580665cfb", "entity_id": "CMP-9d580665cfb", "entity_name": null, "record_type": "COMPANY_WATCH", "topic_tags": "ANTIBACTERIAL;MUCOSAL_INFECTIONS;IMMUNOCOMPROMISED", "pathogen_tags": "UNKNOWN", "indication_tags": "UNKNOWN", "modality_tags": "UNKNOWN", "search_terms": "Phenobio Biopharmaceutical Technology (Hangzhou) Co Ltd", "source_id": "SRC-NAME-SEARCH", "base_priority": "P2", "status": "ACTIVE", "evidence_scope": "GD_SNAPSHOT_PROXY", "provenance_id": "PR-RAD-CMP-9d580665cfb",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</si>
  <si>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PR-V21-BASE-M01_COMPETITORS-127</t>
  </si>
  <si>
    <t>{"record_id": "M01-CMP-58ed874c974", "entity_id": "CMP-58ed874c974", "entity_name": null, "record_type": "COMPANY_WATCH", "topic_tags": "EMERGING_INFECTIONS;MUCOSAL_INFECTIONS", "pathogen_tags": "UNKNOWN", "indication_tags": "UNKNOWN", "modality_tags": "VACCINE", "search_terms": "Clover Biopharmaceuticals Ltd", "source_id": "SRC-NAME-SEARCH", "base_priority": "P2", "status": "ACTIVE", "evidence_scope": "GD_SNAPSHOT_PROXY", "provenance_id": "PR-RAD-CMP-58ed874c974",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</si>
  <si>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PR-V21-BASE-M01_COMPETITORS-128</t>
  </si>
  <si>
    <t>{"record_id": "M01-CMP-3f15ddb6b50", "entity_id": "CMP-3f15ddb6b50", "entity_name": null, "record_type": "COMPANY_WATCH", "topic_tags": "NTD;IMMUNOCOMPROMISED", "pathogen_tags": "UNKNOWN", "indication_tags": "UNKNOWN", "modality_tags": "VACCINE", "search_terms": "Eisai Co Ltd", "source_id": "SRC-NAME-SEARCH", "base_priority": "P2", "status": "ACTIVE", "evidence_scope": "GD_SNAPSHOT_PROXY", "provenance_id": "PR-RAD-CMP-3f15ddb6b50",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</si>
  <si>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PR-V21-BASE-M01_COMPETITORS-129</t>
  </si>
  <si>
    <t>{"record_id": "M01-CMP-bba1a1ec87d", "entity_id": "CMP-bba1a1ec87d", "entity_name": null, "record_type": "COMPANY_WATCH", "topic_tags": "HAI;ANTIBACTERIAL;EMERGING_INFECTIONS;MUCOSAL_INFECTIONS;IMMUNOCOMPROMISED", "pathogen_tags": "UNKNOWN", "indication_tags": "UNKNOWN", "modality_tags": "UNKNOWN", "search_terms": "Swedish Orphan Biovitrum AB", "source_id": "SRC-NAME-SEARCH", "base_priority": "P2", "status": "ACTIVE", "evidence_scope": "GD_SNAPSHOT_PROXY", "provenance_id": "PR-RAD-CMP-bba1a1ec87d",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</si>
  <si>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PR-V21-BASE-M01_COMPETITORS-130</t>
  </si>
  <si>
    <t>{"record_id": "M01-CMP-cc6f0a4140b", "entity_id": "CMP-cc6f0a4140b", "entity_name": null, "record_type": "COMPANY_WATCH", "topic_tags": "ANTIBACTERIAL;EMERGING_INFECTIONS;MUCOSAL_INFECTIONS", "pathogen_tags": "UNKNOWN", "indication_tags": "UNKNOWN", "modality_tags": "VACCINE", "search_terms": "Intravacc BV", "source_id": "SRC-NAME-SEARCH", "base_priority": "P2", "status": "ACTIVE", "evidence_scope": "GD_SNAPSHOT_PROXY", "provenance_id": "PR-RAD-CMP-cc6f0a4140b",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</si>
  <si>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PR-V21-BASE-M01_COMPETITORS-131</t>
  </si>
  <si>
    <t>{"record_id": "M01-CMP-dda1b1eb60d", "entity_id": "CMP-dda1b1eb60d", "entity_name": null, "record_type": "COMPANY_WATCH", "topic_tags": "HAI;ANTIBACTERIAL;MUCOSAL_INFECTIONS;IMMUNOCOMPROMISED", "pathogen_tags": "UNKNOWN", "indication_tags": "UNKNOWN", "modality_tags": "VACCINE", "search_terms": "Jiangsu Kunli Biopharmaceutical Co Ltd", "source_id": "SRC-NAME-SEARCH", "base_priority": "P2", "status": "ACTIVE", "evidence_scope": "GD_SNAPSHOT_PROXY", "provenance_id": "PR-RAD-CMP-dda1b1eb60d",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</si>
  <si>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PR-V21-BASE-M01_COMPETITORS-132</t>
  </si>
  <si>
    <t>{"record_id": "M01-CMP-e4f41a9d76c", "entity_id": "CMP-e4f41a9d76c", "entity_name": null, "record_type": "COMPANY_WATCH", "topic_tags": "HEPATITIS;MUCOSAL_INFECTIONS;IMMUNOCOMPROMISED", "pathogen_tags": "UNKNOWN", "indication_tags": "UNKNOWN", "modality_tags": "VACCINE", "search_terms": "Grand Theravac Life Sciences (Nanjing) Co Ltd", "source_id": "SRC-NAME-SEARCH", "base_priority": "P2", "status": "ACTIVE", "evidence_scope": "GD_SNAPSHOT_PROXY", "provenance_id": "PR-RAD-CMP-e4f41a9d76c",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</si>
  <si>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PR-V21-BASE-M01_COMPETITORS-133</t>
  </si>
  <si>
    <t>{"record_id": "M01-CMP-0b55c608dd1", "entity_id": "CMP-0b55c608dd1", "entity_name": null, "record_type": "COMPANY_WATCH", "topic_tags": "EMERGING_INFECTIONS;IMMUNOCOMPROMISED", "pathogen_tags": "UNKNOWN", "indication_tags": "UNKNOWN", "modality_tags": "UNKNOWN", "search_terms": "LucasBio Co Ltd", "source_id": "SRC-NAME-SEARCH", "base_priority": "P2", "status": "ACTIVE", "evidence_scope": "GD_SNAPSHOT_PROXY", "provenance_id": "PR-RAD-CMP-0b55c608dd1",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</si>
  <si>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PR-V21-BASE-M01_COMPETITORS-134</t>
  </si>
  <si>
    <t>{"record_id": "M01-CMP-ba0f4be8da0", "entity_id": "CMP-ba0f4be8da0", "entity_name": null, "record_type": "COMPANY_WATCH", "topic_tags": "EMERGING_INFECTIONS;MUCOSAL_INFECTIONS", "pathogen_tags": "UNKNOWN", "indication_tags": "UNKNOWN", "modality_tags": "VACCINE", "search_terms": "Wuhan Institute of Biological Products Co Ltd", "source_id": "SRC-NAME-SEARCH", "base_priority": "P2", "status": "ACTIVE", "evidence_scope": "GD_SNAPSHOT_PROXY", "provenance_id": "PR-RAD-CMP-ba0f4be8da0",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</si>
  <si>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PR-V21-BASE-M01_COMPETITORS-135</t>
  </si>
  <si>
    <t>{"record_id": "M01-CMP-6f9f822213f", "entity_id": "CMP-6f9f822213f", "entity_name": null, "record_type": "COMPANY_WATCH", "topic_tags": "ANTIBACTERIAL;EMERGING_INFECTIONS;MUCOSAL_INFECTIONS;IMMUNOCOMPROMISED", "pathogen_tags": "UNKNOWN", "indication_tags": "UNKNOWN", "modality_tags": "UNKNOWN", "search_terms": "EyeGene Inc", "source_id": "SRC-NAME-SEARCH", "base_priority": "P2", "status": "ACTIVE", "evidence_scope": "GD_SNAPSHOT_PROXY", "provenance_id": "PR-RAD-CMP-6f9f822213f",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</si>
  <si>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PR-V21-BASE-M01_COMPETITORS-136</t>
  </si>
  <si>
    <t>{"record_id": "M01-CMP-2e8e0dfb894", "entity_id": "CMP-2e8e0dfb894", "entity_name": null, "record_type": "COMPANY_WATCH", "topic_tags": "ANTIBACTERIAL;EMERGING_INFECTIONS;NTD;MUCOSAL_INFECTIONS", "pathogen_tags": "UNKNOWN", "indication_tags": "UNKNOWN", "modality_tags": "UNKNOWN", "search_terms": "RedHill Biopharma Ltd", "source_id": "SRC-NAME-SEARCH", "base_priority": "P2", "status": "ACTIVE", "evidence_scope": "GD_SNAPSHOT_PROXY", "provenance_id": "PR-RAD-CMP-2e8e0dfb894",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</si>
  <si>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PR-V21-BASE-M01_COMPETITORS-138</t>
  </si>
  <si>
    <t>{"record_id": "M01-CMP-2297c0d2f25", "entity_id": "CMP-2297c0d2f25", "entity_name": null, "record_type": "COMPANY_WATCH", "topic_tags": "EMERGING_INFECTIONS;MUCOSAL_INFECTIONS;IMMUNOCOMPROMISED", "pathogen_tags": "UNKNOWN", "indication_tags": "UNKNOWN", "modality_tags": "VACCINE", "search_terms": "Dynavax Technologies Corp", "source_id": "SRC-NAME-SEARCH", "base_priority": "P2", "status": "ACTIVE", "evidence_scope": "GD_SNAPSHOT_PROXY", "provenance_id": "PR-RAD-CMP-2297c0d2f25",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</si>
  <si>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PR-V21-BASE-M01_COMPETITORS-139</t>
  </si>
  <si>
    <t>{"record_id": "M01-CMP-78274050aea", "entity_id": "CMP-78274050aea", "entity_name": null, "record_type": "COMPANY_WATCH", "topic_tags": "HEPATITIS;EMERGING_INFECTIONS;MUCOSAL_INFECTIONS", "pathogen_tags": "UNKNOWN", "indication_tags": "UNKNOWN", "modality_tags": "UNKNOWN", "search_terms": "LG Chem Ltd", "source_id": "SRC-NAME-SEARCH", "base_priority": "P2", "status": "ACTIVE", "evidence_scope": "GD_SNAPSHOT_PROXY", "provenance_id": "PR-RAD-CMP-78274050aea",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</si>
  <si>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PR-V21-BASE-M01_COMPETITORS-140</t>
  </si>
  <si>
    <t>{"record_id": "M01-CMP-e0ed1515d16", "entity_id": "CMP-e0ed1515d16", "entity_name": null, "record_type": "COMPANY_WATCH", "topic_tags": "EMERGING_INFECTIONS;MUCOSAL_INFECTIONS", "pathogen_tags": "UNKNOWN", "indication_tags": "UNKNOWN", "modality_tags": "VACCINE", "search_terms": "WestVac Biopharma Co Ltd", "source_id": "SRC-NAME-SEARCH", "base_priority": "P2", "status": "ACTIVE", "evidence_scope": "GD_SNAPSHOT_PROXY", "provenance_id": "PR-RAD-CMP-e0ed1515d16",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</si>
  <si>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PR-V21-BASE-M01_COMPETITORS-141</t>
  </si>
  <si>
    <t>{"record_id": "M01-CMP-156cb401985", "entity_id": "CMP-156cb401985", "entity_name": null, "record_type": "COMPANY_WATCH", "topic_tags": "MUCOSAL_INFECTIONS;IMMUNOCOMPROMISED", "pathogen_tags": "UNKNOWN", "indication_tags": "UNKNOWN", "modality_tags": "VACCINE", "search_terms": "MAXVAX Biotechnology Co Ltd", "source_id": "SRC-NAME-SEARCH", "base_priority": "P2", "status": "ACTIVE", "evidence_scope": "GD_SNAPSHOT_PROXY", "provenance_id": "PR-RAD-CMP-156cb401985",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</si>
  <si>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PR-V21-BASE-M01_COMPETITORS-142</t>
  </si>
  <si>
    <t>{"record_id": "M01-CMP-1230b627b39", "entity_id": "CMP-1230b627b39", "entity_name": null, "record_type": "COMPANY_WATCH", "topic_tags": "HAI;ANTIBACTERIAL;TUBERCULOSIS;MUCOSAL_INFECTIONS", "pathogen_tags": "UNKNOWN", "indication_tags": "UNKNOWN", "modality_tags": "UNKNOWN", "search_terms": "Alopexx Inc", "source_id": "SRC-NAME-SEARCH", "base_priority": "P2", "status": "ACTIVE", "evidence_scope": "GD_SNAPSHOT_PROXY", "provenance_id": "PR-RAD-CMP-1230b627b39",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</si>
  <si>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PR-V21-BASE-M01_COMPETITORS-143</t>
  </si>
  <si>
    <t>{"record_id": "M01-CMP-c227f16eb1c", "entity_id": "CMP-c227f16eb1c", "entity_name": null, "record_type": "COMPANY_WATCH", "topic_tags": "EMERGING_INFECTIONS;MUCOSAL_INFECTIONS", "pathogen_tags": "UNKNOWN", "indication_tags": "UNKNOWN", "modality_tags": "UNKNOWN", "search_terms": "RinuaGene Biotechnology Co Ltd", "source_id": "SRC-NAME-SEARCH", "base_priority": "P2", "status": "ACTIVE", "evidence_scope": "GD_SNAPSHOT_PROXY", "provenance_id": "PR-RAD-CMP-c227f16eb1c",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</si>
  <si>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PR-V21-BASE-M01_COMPETITORS-144</t>
  </si>
  <si>
    <t>{"record_id": "M01-CMP-83aac7ecc69", "entity_id": "CMP-83aac7ecc69", "entity_name": null, "record_type": "COMPANY_WATCH", "topic_tags": "HEPATITIS;ANTIBACTERIAL;EMERGING_INFECTIONS", "pathogen_tags": "UNKNOWN", "indication_tags": "UNKNOWN", "modality_tags": "UNKNOWN", "search_terms": "Grifols SA", "source_id": "SRC-NAME-SEARCH", "base_priority": "P2", "status": "ACTIVE", "evidence_scope": "GD_SNAPSHOT_PROXY", "provenance_id": "PR-RAD-CMP-83aac7ecc69",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</si>
  <si>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PR-V21-BASE-M01_COMPETITORS-145</t>
  </si>
  <si>
    <t>{"record_id": "M01-CMP-fce0f58579d", "entity_id": "CMP-fce0f58579d", "entity_name": null, "record_type": "COMPANY_WATCH", "topic_tags": "EMERGING_INFECTIONS;MUCOSAL_INFECTIONS;IMMUNOCOMPROMISED", "pathogen_tags": "UNKNOWN", "indication_tags": "UNKNOWN", "modality_tags": "UNKNOWN", "search_terms": "Immorna Hangzhou Biotechnology Co Ltd", "source_id": "SRC-NAME-SEARCH", "base_priority": "P2", "status": "ACTIVE", "evidence_scope": "GD_SNAPSHOT_PROXY", "provenance_id": "PR-RAD-CMP-fce0f58579d",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</si>
  <si>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PR-V21-BASE-M01_COMPETITORS-146</t>
  </si>
  <si>
    <t>{"record_id": "M01-CMP-ef19cd41803", "entity_id": "CMP-ef19cd41803", "entity_name": null, "record_type": "COMPANY_WATCH", "topic_tags": "ANTIBACTERIAL;EMERGING_INFECTIONS;MUCOSAL_INFECTIONS", "pathogen_tags": "UNKNOWN", "indication_tags": "UNKNOWN", "modality_tags": "VACCINE", "search_terms": "Livzon Pharmaceutical Group Inc", "source_id": "SRC-NAME-SEARCH", "base_priority": "P2", "status": "ACTIVE", "evidence_scope": "GD_SNAPSHOT_PROXY", "provenance_id": "PR-RAD-CMP-ef19cd41803",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</si>
  <si>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PR-V21-BASE-M01_COMPETITORS-147</t>
  </si>
  <si>
    <t>{"record_id": "M01-CMP-1d21555768c", "entity_id": "CMP-1d21555768c", "entity_name": null, "record_type": "COMPANY_WATCH", "topic_tags": "EMERGING_INFECTIONS;MUCOSAL_INFECTIONS;IMMUNOCOMPROMISED", "pathogen_tags": "UNKNOWN", "indication_tags": "UNKNOWN", "modality_tags": "UNKNOWN", "search_terms": "Luye Life Sciences Group Ltd", "source_id": "SRC-NAME-SEARCH", "base_priority": "P2", "status": "ACTIVE", "evidence_scope": "GD_SNAPSHOT_PROXY", "provenance_id": "PR-RAD-CMP-1d21555768c",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</si>
  <si>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PR-V21-BASE-M01_COMPETITORS-148</t>
  </si>
  <si>
    <t>{"record_id": "M01-CMP-9873271cb64", "entity_id": "CMP-9873271cb64", "entity_name": null, "record_type": "COMPANY_WATCH", "topic_tags": "HEPATITIS;EMERGING_INFECTIONS;MUCOSAL_INFECTIONS", "pathogen_tags": "UNKNOWN", "indication_tags": "UNKNOWN", "modality_tags": "UNKNOWN", "search_terms": "TaiGen Biotechnology Co Ltd", "source_id": "SRC-NAME-SEARCH", "base_priority": "P2", "status": "ACTIVE", "evidence_scope": "GD_SNAPSHOT_PROXY", "provenance_id": "PR-RAD-CMP-9873271cb64",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</si>
  <si>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PR-V21-BASE-M01_COMPETITORS-150</t>
  </si>
  <si>
    <t>{"record_id": "M01-CMP-6a58fd2de4b", "entity_id": "CMP-6a58fd2de4b", "entity_name": null, "record_type": "COMPANY_WATCH", "topic_tags": "HAI;ANTIBACTERIAL;EMERGING_INFECTIONS;NTD;IMMUNOCOMPROMISED", "pathogen_tags": "UNKNOWN", "indication_tags": "UNKNOWN", "modality_tags": "UNKNOWN", "search_terms": "Chugai Pharmaceutical Co Ltd", "source_id": "SRC-NAME-SEARCH", "base_priority": "P2", "status": "ACTIVE", "evidence_scope": "GD_SNAPSHOT_PROXY", "provenance_id": "PR-RAD-CMP-6a58fd2de4b",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</si>
  <si>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PR-V21-BASE-M01_COMPETITORS-151</t>
  </si>
  <si>
    <t>{"record_id": "M01-CMP-b3f407f932b", "entity_id": "CMP-b3f407f932b", "entity_name": null, "record_type": "COMPANY_WATCH", "topic_tags": "ANTIBACTERIAL;MUCOSAL_INFECTIONS;IMMUNOCOMPROMISED", "pathogen_tags": "UNKNOWN", "indication_tags": "UNKNOWN", "modality_tags": "VACCINE", "search_terms": "Beijing Sinovac Biotech Co Ltd", "source_id": "SRC-NAME-SEARCH", "base_priority": "P2", "status": "ACTIVE", "evidence_scope": "GD_SNAPSHOT_PROXY", "provenance_id": "PR-RAD-CMP-b3f407f932b",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</si>
  <si>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PR-V21-BASE-M01_COMPETITORS-152</t>
  </si>
  <si>
    <t>{"record_id": "M01-CMP-561749078f8", "entity_id": "CMP-561749078f8", "entity_name": null, "record_type": "COMPANY_WATCH", "topic_tags": "EMERGING_INFECTIONS;NTD;MUCOSAL_INFECTIONS", "pathogen_tags": "UNKNOWN", "indication_tags": "UNKNOWN", "modality_tags": "VACCINE", "search_terms": "Codagenix Inc", "source_id": "SRC-NAME-SEARCH", "base_priority": "P2", "status": "ACTIVE", "evidence_scope": "GD_SNAPSHOT_PROXY", "provenance_id": "PR-RAD-CMP-561749078f8",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</si>
  <si>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PR-V21-BASE-M01_COMPETITORS-153</t>
  </si>
  <si>
    <t>{"record_id": "M01-CMP-be25b80e3f0", "entity_id": "CMP-be25b80e3f0", "entity_name": null, "record_type": "COMPANY_WATCH", "topic_tags": "EMERGING_INFECTIONS;MUCOSAL_INFECTIONS;IMMUNOCOMPROMISED", "pathogen_tags": "UNKNOWN", "indication_tags": "UNKNOWN", "modality_tags": "UNKNOWN", "search_terms": "Hefei Afana Biotechnology Co Ltd", "source_id": "SRC-NAME-SEARCH", "base_priority": "P2", "status": "ACTIVE", "evidence_scope": "GD_SNAPSHOT_PROXY", "provenance_id": "PR-RAD-CMP-be25b80e3f0",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</si>
  <si>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PR-V21-BASE-M01_COMPETITORS-154</t>
  </si>
  <si>
    <t>{"record_id": "M01-CMP-01bd01edab9", "entity_id": "CMP-01bd01edab9", "entity_name": null, "record_type": "COMPANY_WATCH", "topic_tags": "ANTIBACTERIAL;EMERGING_INFECTIONS;MUCOSAL_INFECTIONS", "pathogen_tags": "UNKNOWN", "indication_tags": "UNKNOWN", "modality_tags": "VACCINE", "search_terms": "Inventprise LLC", "source_id": "SRC-NAME-SEARCH", "base_priority": "P2", "status": "ACTIVE", "evidence_scope": "GD_SNAPSHOT_PROXY", "provenance_id": "PR-RAD-CMP-01bd01edab9",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</si>
  <si>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PR-V21-BASE-M01_COMPETITORS-155</t>
  </si>
  <si>
    <t>{"record_id": "M01-CMP-a3444927172", "entity_id": "CMP-a3444927172", "entity_name": null, "record_type": "COMPANY_WATCH", "topic_tags": "EMERGING_INFECTIONS;MUCOSAL_INFECTIONS", "pathogen_tags": "UNKNOWN", "indication_tags": "UNKNOWN", "modality_tags": "VACCINE", "search_terms": "Adimmune Corp", "source_id": "SRC-NAME-SEARCH", "base_priority": "P2", "status": "ACTIVE", "evidence_scope": "GD_SNAPSHOT_PROXY", "provenance_id": "PR-RAD-CMP-a3444927172",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</si>
  <si>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PR-V21-BASE-M01_COMPETITORS-156</t>
  </si>
  <si>
    <t>{"record_id": "M01-CMP-53fd82f1af9", "entity_id": "CMP-53fd82f1af9", "entity_name": null, "record_type": "COMPANY_WATCH", "topic_tags": "EMERGING_INFECTIONS;MUCOSAL_INFECTIONS", "pathogen_tags": "UNKNOWN", "indication_tags": "UNKNOWN", "modality_tags": "VACCINE", "search_terms": "CSL Ltd", "source_id": "SRC-NAME-SEARCH", "base_priority": "P2", "status": "ACTIVE", "evidence_scope": "GD_SNAPSHOT_PROXY", "provenance_id": "PR-RAD-CMP-53fd82f1af9",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</si>
  <si>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PR-V21-BASE-M01_COMPETITORS-157</t>
  </si>
  <si>
    <t>{"record_id": "M01-CMP-104615421c5", "entity_id": "CMP-104615421c5", "entity_name": null, "record_type": "COMPANY_WATCH", "topic_tags": "HAI;ANTIBACTERIAL;EMERGING_INFECTIONS;IMMUNOCOMPROMISED", "pathogen_tags": "UNKNOWN", "indication_tags": "UNKNOWN", "modality_tags": "UNKNOWN", "search_terms": "Citius Pharmaceuticals Inc", "source_id": "SRC-NAME-SEARCH", "base_priority": "P2", "status": "ACTIVE", "evidence_scope": "GD_SNAPSHOT_PROXY", "provenance_id": "PR-RAD-CMP-104615421c5",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</si>
  <si>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PR-V21-BASE-M01_COMPETITORS-159</t>
  </si>
  <si>
    <t>{"record_id": "M01-CMP-4ce16cef964", "entity_id": "CMP-4ce16cef964", "entity_name": null, "record_type": "COMPANY_WATCH", "topic_tags": "HAI;ANTIBACTERIAL;EMERGING_INFECTIONS;MUCOSAL_INFECTIONS", "pathogen_tags": "UNKNOWN", "indication_tags": "UNKNOWN", "modality_tags": "VACCINE", "search_terms": "Joincare Pharmaceutical Group Industry Co Ltd", "source_id": "SRC-NAME-SEARCH", "base_priority": "P2", "status": "ACTIVE", "evidence_scope": "GD_SNAPSHOT_PROXY", "provenance_id": "PR-RAD-CMP-4ce16cef964",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</si>
  <si>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PR-V21-BASE-M01_COMPETITORS-160</t>
  </si>
  <si>
    <t>{"record_id": "M01-CMP-ce583ab95df", "entity_id": "CMP-ce583ab95df", "entity_name": null, "record_type": "COMPANY_WATCH", "topic_tags": "HEPATITIS;IMMUNOCOMPROMISED", "pathogen_tags": "UNKNOWN", "indication_tags": "UNKNOWN", "modality_tags": "UNKNOWN", "search_terms": "Beijing Kawin Technology Share-Holding Co Ltd", "source_id": "SRC-NAME-SEARCH", "base_priority": "P2", "status": "ACTIVE", "evidence_scope": "GD_SNAPSHOT_PROXY", "provenance_id": "PR-RAD-CMP-ce583ab95df",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</si>
  <si>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PR-V21-BASE-M01_COMPETITORS-161</t>
  </si>
  <si>
    <t>{"record_id": "M01-CMP-4b8976fa781", "entity_id": "CMP-4b8976fa781", "entity_name": null, "record_type": "COMPANY_WATCH", "topic_tags": "HEPATITIS;MUCOSAL_INFECTIONS", "pathogen_tags": "UNKNOWN", "indication_tags": "UNKNOWN", "modality_tags": "UNKNOWN", "search_terms": "Genrix (Shanghai) Biopharmaceutical Co Ltd", "source_id": "SRC-NAME-SEARCH", "base_priority": "P2", "status": "ACTIVE", "evidence_scope": "GD_SNAPSHOT_PROXY", "provenance_id": "PR-RAD-CMP-4b8976fa781",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</si>
  <si>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PR-V21-BASE-M01_COMPETITORS-162</t>
  </si>
  <si>
    <t>{"record_id": "M01-CMP-b42b7fb59f0", "entity_id": "CMP-b42b7fb59f0", "entity_name": null, "record_type": "COMPANY_WATCH", "topic_tags": "EMERGING_INFECTIONS;NTD", "pathogen_tags": "UNKNOWN", "indication_tags": "UNKNOWN", "modality_tags": "VACCINE;MAB", "search_terms": "Panacea Biotec Ltd", "source_id": "SRC-NAME-SEARCH", "base_priority": "P2", "status": "ACTIVE", "evidence_scope": "GD_SNAPSHOT_PROXY", "provenance_id": "PR-RAD-CMP-b42b7fb59f0",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</si>
  <si>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PR-V21-BASE-M01_COMPETITORS-163</t>
  </si>
  <si>
    <t>{"record_id": "M01-CMP-155bfcfe459", "entity_id": "CMP-155bfcfe459", "entity_name": null, "record_type": "COMPANY_WATCH", "topic_tags": "EMERGING_INFECTIONS;MUCOSAL_INFECTIONS", "pathogen_tags": "UNKNOWN", "indication_tags": "UNKNOWN", "modality_tags": "VACCINE", "search_terms": "CSL Seqirus;Seqirus Ltd", "source_id": "SRC-BD-014", "base_priority": "P2", "status": "ACTIVE", "evidence_scope": "GD_SNAPSHOT_PROXY", "provenance_id": "PR-RAD-CMP-155bfcfe459", "cautions": "Themen/Modalitaeten sind Suchhinweise. Aktive Assets, Phase, Indikation und Konkurrenzstatus immer live verifizieren.", "source_url": null, "watch_policy": "CONDITIONAL"}</t>
  </si>
  <si>
    <t>PR-V21-BASE-M01_COMPETITORS-164</t>
  </si>
  <si>
    <t>{"record_id": "M01-CMP-e85454a4b35", "entity_id": "CMP-e85454a4b35", "entity_name": null, "record_type": "COMPANY_WATCH", "topic_tags": "HEPATITIS;EMERGING_INFECTIONS", "pathogen_tags": "UNKNOWN", "indication_tags": "UNKNOWN", "modality_tags": "VACCINE", "search_terms": "Yisheng Biopharma Co Ltd", "source_id": "SRC-NAME-SEARCH", "base_priority": "P2", "status": "ACTIVE", "evidence_scope": "GD_SNAPSHOT_PROXY", "provenance_id": "PR-RAD-CMP-e85454a4b35",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</si>
  <si>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PR-V21-BASE-M01_COMPETITORS-165</t>
  </si>
  <si>
    <t>{"record_id": "M01-CMP-5e80d86ddfe", "entity_id": "CMP-5e80d86ddfe", "entity_name": null, "record_type": "COMPANY_WATCH", "topic_tags": "HAI;ANTIBACTERIAL;EMERGING_INFECTIONS", "pathogen_tags": "UNKNOWN", "indication_tags": "UNKNOWN", "modality_tags": "UNKNOWN", "search_terms": "AbVacc Inc", "source_id": "SRC-NAME-SEARCH", "base_priority": "P2", "status": "ACTIVE", "evidence_scope": "GD_SNAPSHOT_PROXY", "provenance_id": "PR-RAD-CMP-5e80d86ddfe",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</si>
  <si>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PR-V21-BASE-M01_COMPETITORS-166</t>
  </si>
  <si>
    <t>{"record_id": "M01-CMP-0e7071bcdb5", "entity_id": "CMP-0e7071bcdb5", "entity_name": null, "record_type": "COMPANY_WATCH", "topic_tags": "HAI;ANTIBACTERIAL;NTD", "pathogen_tags": "UNKNOWN", "indication_tags": "UNKNOWN", "modality_tags": "UNKNOWN", "search_terms": "Aviex Technologies LLC", "source_id": "SRC-NAME-SEARCH", "base_priority": "P2", "status": "ACTIVE", "evidence_scope": "GD_SNAPSHOT_PROXY", "provenance_id": "PR-RAD-CMP-0e7071bcdb5",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</si>
  <si>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PR-V21-BASE-M01_COMPETITORS-167</t>
  </si>
  <si>
    <t>{"record_id": "M01-CMP-a192e827864", "entity_id": "CMP-a192e827864", "entity_name": null, "record_type": "COMPANY_WATCH", "topic_tags": "EMERGING_INFECTIONS;MUCOSAL_INFECTIONS", "pathogen_tags": "UNKNOWN", "indication_tags": "UNKNOWN", "modality_tags": "UNKNOWN", "search_terms": "Emergent BioSolutions Inc", "source_id": "SRC-NAME-SEARCH", "base_priority": "P2", "status": "ACTIVE", "evidence_scope": "GD_SNAPSHOT_PROXY", "provenance_id": "PR-RAD-CMP-a192e827864",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</si>
  <si>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PR-V21-BASE-M01_COMPETITORS-168</t>
  </si>
  <si>
    <t>{"record_id": "M01-CMP-f2ce30354a7", "entity_id": "CMP-f2ce30354a7", "entity_name": null, "record_type": "COMPANY_WATCH", "topic_tags": "EMERGING_INFECTIONS;MUCOSAL_INFECTIONS", "pathogen_tags": "UNKNOWN", "indication_tags": "UNKNOWN", "modality_tags": "VACCINE", "search_terms": "VaxForm LLC", "source_id": "SRC-NAME-SEARCH", "base_priority": "P2", "status": "ACTIVE", "evidence_scope": "GD_SNAPSHOT_PROXY", "provenance_id": "PR-RAD-CMP-f2ce30354a7",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</si>
  <si>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PR-V21-BASE-M01_COMPETITORS-169</t>
  </si>
  <si>
    <t>{"record_id": "M01-CMP-ca4713a975e", "entity_id": "CMP-ca4713a975e", "entity_name": null, "record_type": "COMPANY_WATCH", "topic_tags": "HEPATITIS;EMERGING_INFECTIONS", "pathogen_tags": "UNKNOWN", "indication_tags": "UNKNOWN", "modality_tags": "UNKNOWN", "search_terms": "Xiamen Amoytop Biotech Co Ltd", "source_id": "SRC-NAME-SEARCH", "base_priority": "P2", "status": "ACTIVE", "evidence_scope": "GD_SNAPSHOT_PROXY", "provenance_id": "PR-RAD-CMP-ca4713a975e",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</si>
  <si>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PR-V21-BASE-M01_COMPETITORS-170</t>
  </si>
  <si>
    <t>{"record_id": "M01-CMP-3f23dcf79de", "entity_id": "CMP-3f23dcf79de", "entity_name": null, "record_type": "COMPANY_WATCH", "topic_tags": "HAI;ANTIBACTERIAL;MUCOSAL_INFECTIONS;IMMUNOCOMPROMISED", "pathogen_tags": "UNKNOWN", "indication_tags": "UNKNOWN", "modality_tags": "UNKNOWN", "search_terms": "AimMax Therapeutics Inc", "source_id": "SRC-NAME-SEARCH", "base_priority": "P2", "status": "ACTIVE", "evidence_scope": "GD_SNAPSHOT_PROXY", "provenance_id": "PR-RAD-CMP-3f23dcf79de",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</si>
  <si>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PR-V21-BASE-M01_COMPETITORS-171</t>
  </si>
  <si>
    <t>{"record_id": "M01-CMP-6d82459e523", "entity_id": "CMP-6d82459e523", "entity_name": null, "record_type": "COMPANY_WATCH", "topic_tags": "HIV;HEPATITIS;ANTIBACTERIAL;IMMUNOCOMPROMISED", "pathogen_tags": "UNKNOWN", "indication_tags": "UNKNOWN", "modality_tags": "UNKNOWN", "search_terms": "Bolder Biotechnology Inc", "source_id": "SRC-NAME-SEARCH", "base_priority": "P2", "status": "ACTIVE", "evidence_scope": "GD_SNAPSHOT_PROXY", "provenance_id": "PR-RAD-CMP-6d82459e523",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</si>
  <si>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PR-V21-BASE-M01_COMPETITORS-172</t>
  </si>
  <si>
    <t>{"record_id": "M01-CMP-a693719a769", "entity_id": "CMP-a693719a769", "entity_name": null, "record_type": "COMPANY_WATCH", "topic_tags": "HAI;ANTIBACTERIAL;MUCOSAL_INFECTIONS;IMMUNOCOMPROMISED", "pathogen_tags": "UNKNOWN", "indication_tags": "UNKNOWN", "modality_tags": "UNKNOWN", "search_terms": "Shanghai Bao Pharmaceuticals Co Ltd", "source_id": "SRC-NAME-SEARCH", "base_priority": "P2", "status": "ACTIVE", "evidence_scope": "GD_SNAPSHOT_PROXY", "provenance_id": "PR-RAD-CMP-a693719a769",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</si>
  <si>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PR-V21-BASE-M01_COMPETITORS-173</t>
  </si>
  <si>
    <t>{"record_id": "M01-CMP-bded2171a7f", "entity_id": "CMP-bded2171a7f", "entity_name": null, "record_type": "COMPANY_WATCH", "topic_tags": "HIV;HEPATITIS;EMERGING_INFECTIONS", "pathogen_tags": "UNKNOWN", "indication_tags": "UNKNOWN", "modality_tags": "UNKNOWN", "search_terms": "Biotron Ltd", "source_id": "SRC-NAME-SEARCH", "base_priority": "P2", "status": "ACTIVE", "evidence_scope": "GD_SNAPSHOT_PROXY", "provenance_id": "PR-RAD-CMP-bded2171a7f",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</si>
  <si>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PR-V21-BASE-M01_COMPETITORS-174</t>
  </si>
  <si>
    <t>{"record_id": "M01-CMP-38726f0edd0", "entity_id": "CMP-38726f0edd0", "entity_name": null, "record_type": "COMPANY_WATCH", "topic_tags": "HIV;EMERGING_INFECTIONS;NTD", "pathogen_tags": "UNKNOWN", "indication_tags": "UNKNOWN", "modality_tags": "VACCINE", "search_terms": "ConserV Bioscience Ltd", "source_id": "SRC-NAME-SEARCH", "base_priority": "P2", "status": "ACTIVE", "evidence_scope": "GD_SNAPSHOT_PROXY", "provenance_id": "PR-RAD-CMP-38726f0edd0",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</si>
  <si>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PR-V21-BASE-M01_COMPETITORS-175</t>
  </si>
  <si>
    <t>{"record_id": "M01-CMP-30076d157c9", "entity_id": "CMP-30076d157c9", "entity_name": null, "record_type": "COMPANY_WATCH", "topic_tags": "HAI;ANTIBACTERIAL;MUCOSAL_INFECTIONS", "pathogen_tags": "UNKNOWN", "indication_tags": "UNKNOWN", "modality_tags": "MAB", "search_terms": "Immuron Ltd", "source_id": "SRC-NAME-SEARCH", "base_priority": "P2", "status": "ACTIVE", "evidence_scope": "GD_SNAPSHOT_PROXY", "provenance_id": "PR-RAD-CMP-30076d157c9",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</si>
  <si>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PR-V21-BASE-M01_COMPETITORS-176</t>
  </si>
  <si>
    <t>{"record_id": "M01-CMP-0f0e212f928", "entity_id": "CMP-0f0e212f928", "entity_name": null, "record_type": "COMPANY_WATCH", "topic_tags": "HEPATITIS;EMERGING_INFECTIONS", "pathogen_tags": "UNKNOWN", "indication_tags": "UNKNOWN", "modality_tags": "UNKNOWN", "search_terms": "Huahui Health Ltd", "source_id": "SRC-NAME-SEARCH", "base_priority": "P2", "status": "ACTIVE", "evidence_scope": "GD_SNAPSHOT_PROXY", "provenance_id": "PR-RAD-CMP-0f0e212f928",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</si>
  <si>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PR-V21-BASE-M01_COMPETITORS-177</t>
  </si>
  <si>
    <t>{"record_id": "M01-CMP-ac2fdd1b3e6", "entity_id": "CMP-ac2fdd1b3e6", "entity_name": null, "record_type": "COMPANY_WATCH", "topic_tags": "EMERGING_INFECTIONS;NTD", "pathogen_tags": "UNKNOWN", "indication_tags": "UNKNOWN", "modality_tags": "UNKNOWN", "search_terms": "VLP Therapeutics LLC", "source_id": "SRC-NAME-SEARCH", "base_priority": "P2", "status": "ACTIVE", "evidence_scope": "GD_SNAPSHOT_PROXY", "provenance_id": "PR-RAD-CMP-ac2fdd1b3e6",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</si>
  <si>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PR-V21-BASE-M01_COMPETITORS-178</t>
  </si>
  <si>
    <t>{"record_id": "M01-CMP-9b5b6eb5241", "entity_id": "CMP-9b5b6eb5241", "entity_name": null, "record_type": "COMPANY_WATCH", "topic_tags": "HIV;EMERGING_INFECTIONS;MUCOSAL_INFECTIONS", "pathogen_tags": "UNKNOWN", "indication_tags": "UNKNOWN", "modality_tags": "UNKNOWN", "search_terms": "Frontier Biotechnologies Inc", "source_id": "SRC-NAME-SEARCH", "base_priority": "P2", "status": "ACTIVE", "evidence_scope": "GD_SNAPSHOT_PROXY", "provenance_id": "PR-RAD-CMP-9b5b6eb5241",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</si>
  <si>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PR-V21-BASE-M01_COMPETITORS-180</t>
  </si>
  <si>
    <t>{"record_id": "M01-CMP-4554fe38f79", "entity_id": "CMP-4554fe38f79", "entity_name": null, "record_type": "COMPANY_WATCH", "topic_tags": "HIV", "pathogen_tags": "UNKNOWN", "indication_tags": "UNKNOWN", "modality_tags": "UNKNOWN", "search_terms": "Jiangsu Aidea Pharmaceutical Group Co Ltd", "source_id": "SRC-NAME-SEARCH", "base_priority": "P2", "status": "ACTIVE", "evidence_scope": "GD_SNAPSHOT_PROXY", "provenance_id": "PR-RAD-CMP-4554fe38f79",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</si>
  <si>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PR-V21-BASE-M01_COMPETITORS-181</t>
  </si>
  <si>
    <t>{"record_id": "M01-CMP-a407ca8cf34", "entity_id": "CMP-a407ca8cf34", "entity_name": null, "record_type": "COMPANY_WATCH", "topic_tags": "EMERGING_INFECTIONS;NTD", "pathogen_tags": "UNKNOWN", "indication_tags": "UNKNOWN", "modality_tags": "UNKNOWN", "search_terms": "Merck KGaA", "source_id": "SRC-NAME-SEARCH", "base_priority": "P2", "status": "ACTIVE", "evidence_scope": "GD_SNAPSHOT_PROXY", "provenance_id": "PR-RAD-CMP-a407ca8cf34",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</si>
  <si>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PR-V21-BASE-M01_COMPETITORS-182</t>
  </si>
  <si>
    <t>{"record_id": "M01-CMP-45b05f5c83e", "entity_id": "CMP-45b05f5c83e", "entity_name": null, "record_type": "COMPANY_WATCH", "topic_tags": "EMERGING_INFECTIONS;NTD", "pathogen_tags": "UNKNOWN", "indication_tags": "UNKNOWN", "modality_tags": "MAB", "search_terms": "Pasteur Institute", "source_id": "SRC-NAME-SEARCH", "base_priority": "P2", "status": "ACTIVE", "evidence_scope": "GD_SNAPSHOT_PROXY", "provenance_id": "PR-RAD-CMP-45b05f5c83e",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</si>
  <si>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PR-V21-BASE-M01_COMPETITORS-183</t>
  </si>
  <si>
    <t>{"record_id": "M01-CMP-b226b1ca0a8", "entity_id": "CMP-b226b1ca0a8", "entity_name": null, "record_type": "COMPANY_WATCH", "topic_tags": "EMERGING_INFECTIONS;NTD;IMMUNOCOMPROMISED", "pathogen_tags": "UNKNOWN", "indication_tags": "UNKNOWN", "modality_tags": "UNKNOWN", "search_terms": "Collaborations Pharmaceuticals Inc", "source_id": "SRC-NAME-SEARCH", "base_priority": "P2", "status": "ACTIVE", "evidence_scope": "GD_SNAPSHOT_PROXY", "provenance_id": "PR-RAD-CMP-b226b1ca0a8",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</si>
  <si>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PR-V21-BASE-M01_COMPETITORS-184</t>
  </si>
  <si>
    <t>{"record_id": "M01-CMP-c58329fede0", "entity_id": "CMP-c58329fede0", "entity_name": null, "record_type": "COMPANY_WATCH", "topic_tags": "HIV;IMMUNOCOMPROMISED", "pathogen_tags": "UNKNOWN", "indication_tags": "UNKNOWN", "modality_tags": "VACCINE", "search_terms": "Helocyte Inc", "source_id": "SRC-NAME-SEARCH", "base_priority": "P2", "status": "ACTIVE", "evidence_scope": "GD_SNAPSHOT_PROXY", "provenance_id": "PR-RAD-CMP-c58329fede0",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</si>
  <si>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PR-V21-BASE-M01_COMPETITORS-185</t>
  </si>
  <si>
    <t>{"record_id": "M01-CMP-e2fd1a7b36e", "entity_id": "CMP-e2fd1a7b36e", "entity_name": null, "record_type": "COMPANY_WATCH", "topic_tags": "HIV;HAI;ANTIBACTERIAL;EMERGING_INFECTIONS;IMMUNOCOMPROMISED", "pathogen_tags": "UNKNOWN", "indication_tags": "UNKNOWN", "modality_tags": "UNKNOWN", "search_terms": "ImmunityBio Inc", "source_id": "SRC-NAME-SEARCH", "base_priority": "P2", "status": "ACTIVE", "evidence_scope": "GD_SNAPSHOT_PROXY", "provenance_id": "PR-RAD-CMP-e2fd1a7b36e",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</si>
  <si>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PR-V21-BASE-M01_COMPETITORS-186</t>
  </si>
  <si>
    <t>{"record_id": "M01-CMP-e6d5184b1a1", "entity_id": "CMP-e6d5184b1a1", "entity_name": null, "record_type": "COMPANY_WATCH", "topic_tags": "HAI;ANTIBACTERIAL;EMERGING_INFECTIONS;NTD;MUCOSAL_INFECTIONS;IMMUNOCOMPROMISED", "pathogen_tags": "UNKNOWN", "indication_tags": "UNKNOWN", "modality_tags": "UNKNOWN", "search_terms": "KARE Biosciences Inc", "source_id": "SRC-NAME-SEARCH", "base_priority": "P2", "status": "ACTIVE", "evidence_scope": "GD_SNAPSHOT_PROXY", "provenance_id": "PR-RAD-CMP-e6d5184b1a1",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</si>
  <si>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PR-V21-BASE-M01_COMPETITORS-187</t>
  </si>
  <si>
    <t>{"record_id": "M01-CMP-af44d9046cb", "entity_id": "CMP-af44d9046cb", "entity_name": null, "record_type": "COMPANY_WATCH", "topic_tags": "NTD", "pathogen_tags": "UNKNOWN", "indication_tags": "UNKNOWN", "modality_tags": "VACCINE", "search_terms": "Sanaria Inc", "source_id": "SRC-NAME-SEARCH", "base_priority": "P2", "status": "ACTIVE", "evidence_scope": "GD_SNAPSHOT_PROXY", "provenance_id": "PR-RAD-CMP-af44d9046cb",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</si>
  <si>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PR-V21-BASE-M01_COMPETITORS-188</t>
  </si>
  <si>
    <t>{"record_id": "M01-CMP-c650577a6ad", "entity_id": "CMP-c650577a6ad", "entity_name": null, "record_type": "COMPANY_WATCH", "topic_tags": "HAI;ANTIBACTERIAL;TUBERCULOSIS;IMMUNOCOMPROMISED", "pathogen_tags": "UNKNOWN", "indication_tags": "UNKNOWN", "modality_tags": "UNKNOWN", "search_terms": "Arrowsmith Inc", "source_id": "SRC-NAME-SEARCH", "base_priority": "P2", "status": "ACTIVE", "evidence_scope": "GD_SNAPSHOT_PROXY", "provenance_id": "PR-RAD-CMP-c650577a6ad",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</si>
  <si>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PR-V21-BASE-M01_COMPETITORS-189</t>
  </si>
  <si>
    <t>{"record_id": "M01-CMP-13c8a43edd1", "entity_id": "CMP-13c8a43edd1", "entity_name": null, "record_type": "COMPANY_WATCH", "topic_tags": "HIV;ANTIBACTERIAL;MUCOSAL_INFECTIONS", "pathogen_tags": "UNKNOWN", "indication_tags": "UNKNOWN", "modality_tags": "UNKNOWN", "search_terms": "Osel Inc", "source_id": "SRC-NAME-SEARCH", "base_priority": "P2", "status": "ACTIVE", "evidence_scope": "GD_SNAPSHOT_PROXY", "provenance_id": "PR-RAD-CMP-13c8a43edd1",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</si>
  <si>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PR-V21-BASE-M01_COMPETITORS-190</t>
  </si>
  <si>
    <t>{"record_id": "M01-CMP-2689ea1fbe9", "entity_id": "CMP-2689ea1fbe9", "entity_name": null, "record_type": "COMPANY_WATCH", "topic_tags": "HIV", "pathogen_tags": "UNKNOWN", "indication_tags": "UNKNOWN", "modality_tags": "UNKNOWN", "search_terms": "Viriom Inc", "source_id": "SRC-NAME-SEARCH", "base_priority": "P2", "status": "ACTIVE", "evidence_scope": "GD_SNAPSHOT_PROXY", "provenance_id": "PR-RAD-CMP-2689ea1fbe9",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</si>
  <si>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PR-V21-BASE-M01_COMPETITORS-191</t>
  </si>
  <si>
    <t>{"record_id": "M01-CMP-a8e434f18c2", "entity_id": "CMP-a8e434f18c2", "entity_name": null, "record_type": "COMPANY_WATCH", "topic_tags": "HIV;EMERGING_INFECTIONS", "pathogen_tags": "UNKNOWN", "indication_tags": "UNKNOWN", "modality_tags": "VACCINE", "search_terms": "Imperial College London", "source_id": "SRC-NAME-SEARCH", "base_priority": "P2", "status": "ACTIVE", "evidence_scope": "GD_SNAPSHOT_PROXY", "provenance_id": "PR-RAD-CMP-a8e434f18c2",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</si>
  <si>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PR-V21-BASE-M01_COMPETITORS-192</t>
  </si>
  <si>
    <t>{"record_id": "M01-CMP-5ecaf4c905a", "entity_id": "CMP-5ecaf4c905a", "entity_name": null, "record_type": "COMPANY_WATCH", "topic_tags": "HIV;EMERGING_INFECTIONS", "pathogen_tags": "UNKNOWN", "indication_tags": "UNKNOWN", "modality_tags": "UNKNOWN", "search_terms": "Jecho Biopharmaceuticals Co Ltd", "source_id": "SRC-NAME-SEARCH", "base_priority": "P2", "status": "ACTIVE", "evidence_scope": "GD_SNAPSHOT_PROXY", "provenance_id": "PR-RAD-CMP-5ecaf4c905a",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</si>
  <si>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PR-V21-BASE-M01_COMPETITORS-193</t>
  </si>
  <si>
    <t>{"record_id": "M01-CMP-c1c503fce47", "entity_id": "CMP-c1c503fce47", "entity_name": null, "record_type": "COMPANY_WATCH", "topic_tags": "ANTIBACTERIAL;TUBERCULOSIS", "pathogen_tags": "UNKNOWN", "indication_tags": "UNKNOWN", "modality_tags": "SMALL_MOLECULE", "search_terms": "Otsuka Pharmaceutical Co Ltd", "source_id": "SRC-NAME-SEARCH", "base_priority": "P2", "status": "ACTIVE", "evidence_scope": "GD_SNAPSHOT_PROXY", "provenance_id": "PR-RAD-CMP-c1c503fce47",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</si>
  <si>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PR-V21-BASE-M01_COMPETITORS-194</t>
  </si>
  <si>
    <t>{"record_id": "M01-CMP-d4177913933", "entity_id": "CMP-d4177913933", "entity_name": null, "record_type": "COMPANY_WATCH", "topic_tags": "HIV;EMERGING_INFECTIONS", "pathogen_tags": "UNKNOWN", "indication_tags": "UNKNOWN", "modality_tags": "VACCINE", "search_terms": "Yicura Biomed Ltd", "source_id": "SRC-NAME-SEARCH", "base_priority": "P2", "status": "ACTIVE", "evidence_scope": "GD_SNAPSHOT_PROXY", "provenance_id": "PR-RAD-CMP-d4177913933",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</si>
  <si>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PR-V21-BASE-M01_COMPETITORS-195</t>
  </si>
  <si>
    <t>{"record_id": "M01-CMP-c148cfc9d75", "entity_id": "CMP-c148cfc9d75", "entity_name": null, "record_type": "COMPANY_WATCH", "topic_tags": "HIV;HEPATITIS;HAI;ANTIBACTERIAL;MUCOSAL_INFECTIONS;IMMUNOCOMPROMISED", "pathogen_tags": "UNKNOWN", "indication_tags": "UNKNOWN", "modality_tags": "UNKNOWN", "search_terms": "Brandenburg Antiinfektiva GmbH", "source_id": "SRC-NAME-SEARCH", "base_priority": "P2", "status": "ACTIVE", "evidence_scope": "GD_SNAPSHOT_PROXY", "provenance_id": "PR-RAD-CMP-c148cfc9d75",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</si>
  <si>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PR-V21-BASE-M01_COMPETITORS-196</t>
  </si>
  <si>
    <t>{"record_id": "M01-CMP-c34e195e985", "entity_id": "CMP-c34e195e985", "entity_name": null, "record_type": "COMPANY_WATCH", "topic_tags": "ANTIBACTERIAL;TUBERCULOSIS;MUCOSAL_INFECTIONS", "pathogen_tags": "UNKNOWN", "indication_tags": "UNKNOWN", "modality_tags": "VACCINE", "search_terms": "Beijing Sanroad Biological Products Co Ltd", "source_id": "SRC-NAME-SEARCH", "base_priority": "P2", "status": "ACTIVE", "evidence_scope": "GD_SNAPSHOT_PROXY", "provenance_id": "PR-RAD-CMP-c34e195e985",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</si>
  <si>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PR-V21-BASE-M01_COMPETITORS-197</t>
  </si>
  <si>
    <t>{"record_id": "M01-CMP-9307e1b3409", "entity_id": "CMP-9307e1b3409", "entity_name": null, "record_type": "COMPANY_WATCH", "topic_tags": "ANTIBACTERIAL;EMERGING_INFECTIONS;TUBERCULOSIS", "pathogen_tags": "UNKNOWN", "indication_tags": "UNKNOWN", "modality_tags": "VACCINE", "search_terms": "Sysvax (Beijing) Biotechnology Co Ltd", "source_id": "SRC-NAME-SEARCH", "base_priority": "P2", "status": "ACTIVE", "evidence_scope": "GD_SNAPSHOT_PROXY", "provenance_id": "PR-RAD-CMP-9307e1b3409",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</si>
  <si>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PR-V21-BASE-M01_COMPETITORS-198</t>
  </si>
  <si>
    <t>{"record_id": "M01-CMP-895a161abc0", "entity_id": "CMP-895a161abc0", "entity_name": null, "record_type": "COMPANY_WATCH", "topic_tags": "ANTIBACTERIAL;TUBERCULOSIS", "pathogen_tags": "UNKNOWN", "indication_tags": "UNKNOWN", "modality_tags": "VACCINE", "search_terms": "Chengdu Keen Biotechnology Co Ltd", "source_id": "SRC-NAME-SEARCH", "base_priority": "P2", "status": "ACTIVE", "evidence_scope": "GD_SNAPSHOT_PROXY", "provenance_id": "PR-RAD-CMP-895a161abc0",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</si>
  <si>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PR-V21-BASE-M01_COMPETITORS-199</t>
  </si>
  <si>
    <t>{"record_id": "M01-CMP-4b7ea901498", "entity_id": "CMP-4b7ea901498", "entity_name": null, "record_type": "COMPANY_WATCH", "topic_tags": "HIV;HEPATITIS", "pathogen_tags": "UNKNOWN", "indication_tags": "UNKNOWN", "modality_tags": "VACCINE", "search_terms": "GeneCure Biotechnologies LLC", "source_id": "SRC-NAME-SEARCH", "base_priority": "P2", "status": "ACTIVE", "evidence_scope": "GD_SNAPSHOT_PROXY", "provenance_id": "PR-RAD-CMP-4b7ea901498",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</si>
  <si>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PR-V21-BASE-M01_COMPETITORS-200</t>
  </si>
  <si>
    <t>{"record_id": "M01-CMP-4e04704ecc0", "entity_id": "CMP-4e04704ecc0", "entity_name": null, "record_type": "COMPANY_WATCH", "topic_tags": "HIV;EMERGING_INFECTIONS", "pathogen_tags": "UNKNOWN", "indication_tags": "UNKNOWN", "modality_tags": "VACCINE", "search_terms": "ReiThera Srl", "source_id": "SRC-NAME-SEARCH", "base_priority": "P2", "status": "ACTIVE", "evidence_scope": "GD_SNAPSHOT_PROXY", "provenance_id": "PR-RAD-CMP-4e04704ecc0",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</si>
  <si>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PR-V21-BASE-M01_COMPETITORS-201</t>
  </si>
  <si>
    <t>{"record_id": "M01-CMP-c1748b7ddd0", "entity_id": "CMP-c1748b7ddd0", "entity_name": null, "record_type": "COMPANY_WATCH", "topic_tags": "HIV;EMERGING_INFECTIONS", "pathogen_tags": "UNKNOWN", "indication_tags": "UNKNOWN", "modality_tags": "VACCINE", "search_terms": "Theravectys SA", "source_id": "SRC-NAME-SEARCH", "base_priority": "P2", "status": "ACTIVE", "evidence_scope": "GD_SNAPSHOT_PROXY", "provenance_id": "PR-RAD-CMP-c1748b7ddd0",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</si>
  <si>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PR-V21-BASE-M01_COMPETITORS-202</t>
  </si>
  <si>
    <t>{"record_id": "M01-CMP-b568334fb83", "entity_id": "CMP-b568334fb83", "entity_name": null, "record_type": "COMPANY_WATCH", "topic_tags": "HIV;IMMUNOCOMPROMISED", "pathogen_tags": "UNKNOWN", "indication_tags": "UNKNOWN", "modality_tags": "UNKNOWN", "search_terms": "United BioPharma Inc", "source_id": "SRC-NAME-SEARCH", "base_priority": "P2", "status": "ACTIVE", "evidence_scope": "GD_SNAPSHOT_PROXY", "provenance_id": "PR-RAD-CMP-b568334fb83",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</si>
  <si>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PR-V21-BASE-M01_COMPETITORS-203</t>
  </si>
  <si>
    <t>{"record_id": "M01-CMP-6b4f0aaee02", "entity_id": "CMP-6b4f0aaee02", "entity_name": null, "record_type": "COMPANY_WATCH", "topic_tags": "HAI;ANTIBACTERIAL;TUBERCULOSIS;MUCOSAL_INFECTIONS", "pathogen_tags": "UNKNOWN", "indication_tags": "UNKNOWN", "modality_tags": "MAB", "search_terms": "Austrianni GmbH", "source_id": "SRC-NAME-SEARCH", "base_priority": "P2", "status": "ACTIVE", "evidence_scope": "GD_SNAPSHOT_PROXY", "provenance_id": "PR-RAD-CMP-6b4f0aaee02",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</si>
  <si>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PR-V21-BASE-M01_COMPETITORS-204</t>
  </si>
  <si>
    <t>{"record_id": "M01-CMP-d0dc37ee4f9", "entity_id": "CMP-d0dc37ee4f9", "entity_name": null, "record_type": "COMPANY_WATCH", "topic_tags": "HIV;ANTIBACTERIAL;EMERGING_INFECTIONS;MUCOSAL_INFECTIONS", "pathogen_tags": "UNKNOWN", "indication_tags": "UNKNOWN", "modality_tags": "UNKNOWN", "search_terms": "Yaso Therapeutics Inc", "source_id": "SRC-NAME-SEARCH", "base_priority": "P2", "status": "ACTIVE", "evidence_scope": "GD_SNAPSHOT_PROXY", "provenance_id": "PR-RAD-CMP-d0dc37ee4f9",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</si>
  <si>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PR-V21-BASE-M01_COMPETITORS-205</t>
  </si>
  <si>
    <t>{"record_id": "M01-CMP-90be0717d63", "entity_id": "CMP-90be0717d63", "entity_name": null, "record_type": "COMPANY_WATCH", "topic_tags": "ANTIBACTERIAL;TUBERCULOSIS;MUCOSAL_INFECTIONS", "pathogen_tags": "UNKNOWN", "indication_tags": "UNKNOWN", "modality_tags": "VACCINE", "search_terms": "ILiAD Biotechnologies LLC", "source_id": "SRC-NAME-SEARCH", "base_priority": "P2", "status": "ACTIVE", "evidence_scope": "GD_SNAPSHOT_PROXY", "provenance_id": "PR-RAD-CMP-90be0717d63",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</si>
  <si>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PR-V21-BASE-M01_COMPETITORS-206</t>
  </si>
  <si>
    <t>{"record_id": "M01-CMP-ee9a972ce12", "entity_id": "CMP-ee9a972ce12", "entity_name": null, "record_type": "COMPANY_WATCH", "topic_tags": "ANTIBACTERIAL;TUBERCULOSIS;NTD", "pathogen_tags": "UNKNOWN", "indication_tags": "UNKNOWN", "modality_tags": "UNKNOWN", "search_terms": "Qurient Co Ltd", "source_id": "SRC-NAME-SEARCH", "base_priority": "P2", "status": "ACTIVE", "evidence_scope": "GD_SNAPSHOT_PROXY", "provenance_id": "PR-RAD-CMP-ee9a972ce12",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</si>
  <si>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PR-V21-BASE-M01_COMPETITORS-207</t>
  </si>
  <si>
    <t>{"record_id": "M01-CMP-d048b7e58a6", "entity_id": "CMP-d048b7e58a6", "entity_name": null, "record_type": "COMPANY_WATCH", "topic_tags": "HIV;EMERGING_INFECTIONS", "pathogen_tags": "UNKNOWN", "indication_tags": "UNKNOWN", "modality_tags": "UNKNOWN", "search_terms": "Autonomous Therapeutics Inc", "source_id": "SRC-NAME-SEARCH", "base_priority": "P2", "status": "ACTIVE", "evidence_scope": "GD_SNAPSHOT_PROXY", "provenance_id": "PR-RAD-CMP-d048b7e58a6",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</si>
  <si>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PR-V21-BASE-M01_COMPETITORS-208</t>
  </si>
  <si>
    <t>{"record_id": "M01-CMP-a013038a1b4", "entity_id": "CMP-a013038a1b4", "entity_name": null, "record_type": "COMPANY_WATCH", "topic_tags": "ANTIBACTERIAL;TUBERCULOSIS", "pathogen_tags": "UNKNOWN", "indication_tags": "UNKNOWN", "modality_tags": "UNKNOWN", "search_terms": "Archivel Farma SL", "source_id": "SRC-NAME-SEARCH", "base_priority": "P2", "status": "ACTIVE", "evidence_scope": "GD_SNAPSHOT_PROXY", "provenance_id": "PR-RAD-CMP-a013038a1b4",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</si>
  <si>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PR-V21-BASE-M01_COMPETITORS-209</t>
  </si>
  <si>
    <t>{"record_id": "M01-CMP-dbe4abdb422", "entity_id": "CMP-dbe4abdb422", "entity_name": null, "record_type": "COMPANY_WATCH", "topic_tags": "ANTIBACTERIAL;TUBERCULOSIS", "pathogen_tags": "UNKNOWN", "indication_tags": "UNKNOWN", "modality_tags": "UNKNOWN", "search_terms": "Changzhou Yinsheng Pharmaceutical Co Ltd", "source_id": "SRC-NAME-SEARCH", "base_priority": "P2", "status": "ACTIVE", "evidence_scope": "GD_SNAPSHOT_PROXY", "provenance_id": "PR-RAD-CMP-dbe4abdb422",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</si>
  <si>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PR-V21-BASE-M01_COMPETITORS-210</t>
  </si>
  <si>
    <t>{"record_id": "M01-CMP-15c4ed59a02", "entity_id": "CMP-15c4ed59a02", "entity_name": null, "record_type": "COMPANY_WATCH", "topic_tags": "ANTIBACTERIAL;TUBERCULOSIS", "pathogen_tags": "UNKNOWN", "indication_tags": "UNKNOWN", "modality_tags": "UNKNOWN", "search_terms": "LigaChem Biosciences Inc", "source_id": "SRC-NAME-SEARCH", "base_priority": "P2", "status": "ACTIVE", "evidence_scope": "GD_SNAPSHOT_PROXY", "provenance_id": "PR-RAD-CMP-15c4ed59a02",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</si>
  <si>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PR-V21-BASE-M01_COMPETITORS-211</t>
  </si>
  <si>
    <t>{"record_id": "M01-CMP-7f9729c098e", "entity_id": "CMP-7f9729c098e", "entity_name": null, "record_type": "COMPANY_WATCH", "topic_tags": "ANTIBACTERIAL;TUBERCULOSIS", "pathogen_tags": "UNKNOWN", "indication_tags": "UNKNOWN", "modality_tags": "UNKNOWN", "search_terms": "Medicines Development for Global Health Ltd", "source_id": "SRC-NAME-SEARCH", "base_priority": "P2", "status": "ACTIVE", "evidence_scope": "GD_SNAPSHOT_PROXY", "provenance_id": "PR-RAD-CMP-7f9729c098e",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</si>
  <si>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PR-V21-BASE-M01_COMPETITORS-212</t>
  </si>
  <si>
    <t>{"record_id": "M01-CMP-f08e7bb1c06", "entity_id": "CMP-f08e7bb1c06", "entity_name": null, "record_type": "COMPANY_WATCH", "topic_tags": "ANTIBACTERIAL;TUBERCULOSIS", "pathogen_tags": "UNKNOWN", "indication_tags": "UNKNOWN", "modality_tags": "UNKNOWN", "search_terms": "MedinCell SA", "source_id": "SRC-NAME-SEARCH", "base_priority": "P2", "status": "ACTIVE", "evidence_scope": "GD_SNAPSHOT_PROXY", "provenance_id": "PR-RAD-CMP-f08e7bb1c06",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</si>
  <si>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PR-V21-BASE-M01_COMPETITORS-213</t>
  </si>
  <si>
    <t>{"record_id": "M01-CMP-977c15d94f6", "entity_id": "CMP-977c15d94f6", "entity_name": null, "record_type": "COMPANY_WATCH", "topic_tags": "ANTIBACTERIAL;TUBERCULOSIS", "pathogen_tags": "UNKNOWN", "indication_tags": "UNKNOWN", "modality_tags": "UNKNOWN", "search_terms": "Shanghai Jiatan Pharmaceutical Technology Co Ltd", "source_id": "SRC-NAME-SEARCH", "base_priority": "P2", "status": "ACTIVE", "evidence_scope": "GD_SNAPSHOT_PROXY", "provenance_id": "PR-RAD-CMP-977c15d94f6",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</si>
  <si>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PR-V21-BASE-M01_COMPETITORS-214</t>
  </si>
  <si>
    <t>{"record_id": "M01-CMP-e82f0c0e061", "entity_id": "CMP-e82f0c0e061", "entity_name": null, "record_type": "COMPANY_WATCH", "topic_tags": "ANTIBACTERIAL;TUBERCULOSIS", "pathogen_tags": "UNKNOWN", "indication_tags": "UNKNOWN", "modality_tags": "UNKNOWN", "search_terms": "Thirty Respiratory Ltd", "source_id": "SRC-NAME-SEARCH", "base_priority": "P2", "status": "ACTIVE", "evidence_scope": "GD_SNAPSHOT_PROXY", "provenance_id": "PR-RAD-CMP-e82f0c0e061",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</si>
  <si>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PR-V21-BASE-M01_COMPETITORS-215</t>
  </si>
  <si>
    <t>{"record_id": "M01-CMP-ed793550845", "entity_id": "CMP-ed793550845", "entity_name": null, "record_type": "COMPANY_WATCH", "topic_tags": "ANTIBACTERIAL;TUBERCULOSIS", "pathogen_tags": "UNKNOWN", "indication_tags": "UNKNOWN", "modality_tags": "UNKNOWN", "search_terms": "A&amp;J Science", "source_id": "SRC-NAME-SEARCH", "base_priority": "P2", "status": "ACTIVE", "evidence_scope": "GD_SNAPSHOT_PROXY", "provenance_id": "PR-RAD-CMP-ed793550845",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</si>
  <si>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PR-V21-BASE-M01_COMPETITORS-216</t>
  </si>
  <si>
    <t>{"record_id": "M01-CMP-c5c2748c797", "entity_id": "CMP-c5c2748c797", "entity_name": null, "record_type": "COMPANY_WATCH", "topic_tags": "ANTIBACTERIAL;TUBERCULOSIS", "pathogen_tags": "UNKNOWN", "indication_tags": "UNKNOWN", "modality_tags": "UNKNOWN", "search_terms": "Asia Scientific Global", "source_id": "SRC-NAME-SEARCH", "base_priority": "P2", "status": "ACTIVE", "evidence_scope": "GD_SNAPSHOT_PROXY", "provenance_id": "PR-RAD-CMP-c5c2748c797",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</si>
  <si>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PR-V21-BASE-M01_COMPETITORS-217</t>
  </si>
  <si>
    <t>{"record_id": "M01-CMP-ce1905883b7", "entity_id": "CMP-ce1905883b7", "entity_name": null, "record_type": "COMPANY_WATCH", "topic_tags": "ANTIBACTERIAL;TUBERCULOSIS", "pathogen_tags": "UNKNOWN", "indication_tags": "UNKNOWN", "modality_tags": "UNKNOWN", "search_terms": "Chengdu Anyong Dingye Biotechnology Co Ltd", "source_id": "SRC-NAME-SEARCH", "base_priority": "P2", "status": "ACTIVE", "evidence_scope": "GD_SNAPSHOT_PROXY", "provenance_id": "PR-RAD-CMP-ce1905883b7", "cautions": "Themen/Modalitaeten sind Suchhinweise. Aktive Assets, Phase, Indikation und Konkurrenzstatus immer live verifizieren. Kein bestaetigter Primaer-URL im Input; Namenssuche vorgesehen.", "source_url": null, "watch_policy": "CONDITIONAL"}</t>
  </si>
  <si>
    <t>PR-V21-BASE-M01_COMPETITORS-224</t>
  </si>
  <si>
    <t>{"record_id": "M01-CMP-37b3da7d795", "entity_id": "CMP-37b3da7d795", "entity_name": null, "record_type": "COMPANY_WATCH", "topic_tags": "VIRAL;HEPATITIS;HSV", "pathogen_tags": "UNKNOWN", "indication_tags": "UNKNOWN", "modality_tags": "SMALL_MOLECULE", "search_terms": "Assembly Biosciences", "source_id": "SRC-BD-034", "base_priority": "P2", "status": "ACTIVE", "evidence_scope": "BD_DERIVED_SEARCH_HINT", "provenance_id": "PR-BD-034", "cautions": "Ergaenzung aus BD-Katalog; kein Nachweis eines aktuellen konkurrierenden Assets. Primaere Pipeline separat pruefen.", "source_url": null, "watch_policy": "CONDITIONAL"}</t>
  </si>
  <si>
    <t>PR-V21-BASE-M01_COMPETITORS-229</t>
  </si>
  <si>
    <t>{"record_id": "M01-ENT-V2-MMV", "entity_id": "ENT-V2-MMV", "entity_name": null, "record_type": "ENTITY_WATCH", "topic_tags": "MALARIA;PARASITIC;NTD", "pathogen_tags": "P_FALCIPARUM", "indication_tags": "ANY", "modality_tags": "SMALL_MOLECULE", "search_terms": "Medicines for Malaria Venture", "source_id": "SRC-V2-PDP_ALLIANCE", "base_priority": "P1", "status": "ACTIVE", "evidence_scope": "PUBLIC_SCOPE_NOT_LIVE_ASSET", "provenance_id": "PR-V2-M01-ENT-V2-MMV", "cautions": "Projektfit pruefen; nicht automatisch direkter Wettbewerber.", "source_url": null, "watch_policy": "CONDITIONAL"}</t>
  </si>
  <si>
    <t>PR-V21-BASE-M01_COMPETITORS-230</t>
  </si>
  <si>
    <t>{"record_id": "M01-ENT-V2-TB_ALLIANCE", "entity_id": "ENT-V2-TB_ALLIANCE", "entity_name": null, "record_type": "ENTITY_WATCH", "topic_tags": "TUBERCULOSIS;ANTIBACTERIAL", "pathogen_tags": "M_TUBERCULOSIS", "indication_tags": "ANY", "modality_tags": "SMALL_MOLECULE", "search_terms": "TB Alliance", "source_id": "SRC-V2-TB_ALLIANCE", "base_priority": "P1", "status": "ACTIVE", "evidence_scope": "PUBLIC_SCOPE_NOT_LIVE_ASSET", "provenance_id": "PR-V2-M01-ENT-V2-TB_ALLIANCE", "cautions": "Projektfit pruefen; nicht automatisch direkter Wettbewerber.", "source_url": null, "watch_policy": "CONDITIONAL"}</t>
  </si>
  <si>
    <t>PR-V21-BASE-M01_COMPETITORS-235</t>
  </si>
  <si>
    <t>{"record_id": "M01-CMP-0c4fb4ab435", "entity_id": "CMP-0c4fb4ab435", "entity_name": null, "record_type": "ENTITY_WATCH", "topic_tags": "VIRAL;HSV;IMMUNOCOMPROMISED", "pathogen_tags": "HSV;BK_POLYOMAVIRUS", "indication_tags": "ANY", "modality_tags": "SMALL_MOLECULE;RNA", "search_terms": "AiCuris Anti-infective Cures AG", "source_id": "SRC-V2-AICURIS", "base_priority": "P1", "status": "ACTIVE", "evidence_scope": "PUBLIC_SCOPE_NOT_LIVE_ASSET", "provenance_id": "PR-V2-M01-CMP-0c4fb4ab435", "cautions": "Projektfit pruefen; nicht automatisch direkter Wettbewerber.", "source_url": null, "watch_policy": "CONDITIONAL"}</t>
  </si>
  <si>
    <t>PR-V21-BASE-M01_COMPETITORS-238</t>
  </si>
  <si>
    <t>{"record_id": "M01-ENT-V2-PIERRE_FABRE", "entity_id": "ENT-V2-PIERRE_FABRE", "entity_name": null, "record_type": "ENTITY_WATCH", "topic_tags": "IMMUNOCOMPROMISED;VIRAL", "pathogen_tags": "EBV", "indication_tags": "ANY", "modality_tags": "CELL_THERAPY", "search_terms": "Pierre Fabre", "source_id": "SRC-V2-EBVALLO", "base_priority": "P1", "status": "ACTIVE", "evidence_scope": "PUBLIC_SCOPE_NOT_LIVE_ASSET", "provenance_id": "PR-V2-M01-ENT-V2-PIERRE_FABRE", "cautions": "Virusassoziierte EBV+ PTLD: relevant fuer T-Zelltherapie, nicht Beleg einer allgemeinen Infektions-BD-Strategie.", "source_url": null, "watch_policy": "CONDITIONAL"}</t>
  </si>
  <si>
    <t>PR-V21-BASE-M06_BD_PARTNERS-21</t>
  </si>
  <si>
    <t>{"record_id": "BD-020", "entity_id": "CMP-155bfcfe459", "entity_name": null, "partner_role": "STRATEGIC_PARTNER", "topic_tags": "VIRAL;INFLUENZA;VACCINE", "modality_tags": "VACCINE;PLATFORM", "development_scope": "PHASE_1;PHASE_2;PHASE_3;APPROVED", "investment_stage": "NOT_APPLICABLE", "applicant_route": "ACADEMIA_OR_COMPANY", "geography_scope": "GLOBAL", "source_id": "SRC-BD-014", "base_priority": "P2", "status": "ACTIVE", "fit_note": "Ausgangsbegruendung (nicht neu live validiert): Influenza-Vakzine und dokumentierte Impfstoff-Vermarktungspartnerschaften.", "constraints": "saRNA-Kollaboration mit Arcturus 2026 beendet; aktuelle Rechte pruefen.", "provenance_id": "PR-BD-020", "source_url": null, "watch_policy": "CONDITIONAL"}</t>
  </si>
  <si>
    <t>PR-V21-BASE-M06_BD_PARTNERS-23</t>
  </si>
  <si>
    <t>{"record_id": "BD-022", "entity_id": "CMP-fa8243cafa7", "entity_name": null, "partner_role": "DEVELOPER_SIGNAL", "topic_tags": "BACTERIAL;AMR;RESPIRATORY", "modality_tags": "MAB;SMALL_MOLECULE", "development_scope": "PRECLINICAL;PHASE_1;PHASE_2", "investment_stage": "NOT_APPLICABLE", "applicant_route": "UNKNOWN", "geography_scope": "UK;GLOBAL", "source_id": "SRC-INFEX-TEXT", "base_priority": "P1", "status": "ACTIVE", "fit_note": "Developer-Signal / moeglicher Wettbewerber, nicht automatisch Lizenznehmer.", "constraints": "Direktes PcrV-Portfolio-Overlap moeglich; keine automatische Lizenznehmerqualifikation.", "provenance_id": "PR-BD-022", "source_url": null, "watch_policy": "CONDITIONAL"}</t>
  </si>
  <si>
    <t>PR-V21-BASE-M06_BD_PARTNERS-60</t>
  </si>
  <si>
    <t>{"record_id": "BD-V2-ENT-V2-MMV", "entity_id": "ENT-V2-MMV", "entity_name": null, "partner_role": "PDP", "topic_tags": "MALARIA;PARASITIC;NTD", "modality_tags": "SMALL_MOLECULE", "development_scope": "ANY", "investment_stage": "NOT_APPLICABLE", "applicant_route": "ANY", "geography_scope": "GLOBAL", "source_id": "SRC-V2-PDP_ALLIANCE", "base_priority": "P1", "status": "ACTIVE", "fit_note": "Thematisch begruendeter Partnerkandidat; keine Zusage.", "constraints": "Projektfit, Mandat, Zugang und regionale Rechte vor Outreach pruefen.", "provenance_id": "PR-V2-BD-V2-ENT-V2-MMV", "source_url": null, "watch_policy": "CONDITIONAL"}</t>
  </si>
  <si>
    <t>PR-V21-BASE-M07_DEALS-21</t>
  </si>
  <si>
    <t>{"record_id": "M07-BD-020", "entity_id": "CMP-155bfcfe459", "entity_name": null, "record_type": "DEAL_WATCH", "topic_tags": "VIRAL;INFLUENZA;VACCINE", "modality_tags": "VACCINE;PLATFORM", "transaction_types": "LICENSING;COLLABORATION;M_AND_A;FINANCING", "source_id": "SRC-BD-014", "base_priority": "P2", "status": "ACTIVE", "provenance_id": "PR-BD-020", "cautions": "Suchprofil aus BD, kein behaupteter Deal. Aktuelle News/Investments suchen; historische Einstiegsseite nicht als laufendes Ereignis behandeln.", "watch_policy": "CONDITIONAL"}</t>
  </si>
  <si>
    <t>PR-V21-BASE-M07_DEALS-23</t>
  </si>
  <si>
    <t>{"record_id": "M07-BD-022", "entity_id": "CMP-fa8243cafa7", "entity_name": null, "record_type": "DEAL_WATCH", "topic_tags": "BACTERIAL;AMR;RESPIRATORY", "modality_tags": "MAB;SMALL_MOLECULE", "transaction_types": "LICENSING;COLLABORATION;M_AND_A;FINANCING", "source_id": "SRC-INFEX-TEXT", "base_priority": "P1", "status": "ACTIVE", "provenance_id": "PR-BD-022", "cautions": "Suchprofil aus BD, kein behaupteter Deal. Aktuelle News/Investments suchen; historische Einstiegsseite nicht als laufendes Ereignis behandeln.", "watch_policy": "CONDITIONAL"}</t>
  </si>
  <si>
    <t>PR-V21-BASE-ENTITY_MASTER-79</t>
  </si>
  <si>
    <t>{"entity_id": "CMP-155bfcfe459", "entity_name": "CSL Seqirus", "entity_type": "PHARMA", "aliases": "Seqirus Ltd", "parent_entity_id": "CMP-53fd82f1af9", "group_note": "Quellfeld Gruppe;keine Aliasverschmelzung: CSL Limited;Seqirus;Separater Katalogeintrag trotz Konzernbezug;Rechte-/Teamzuordnung live pruefen.", "homepage_url": null, "status": "ACTIVE", "provenance_ids": "PR-RAD-CMP-155bfcfe459;PR-BD-020;PR-ALL-CMP-155bfcfe459", "curator_note": "ACTIVE = fuer Katalogauswahl freigegeben, nicht Bestaetigung des aktuellen Unternehmens-/Pipeline-Status."}</t>
  </si>
  <si>
    <t>PR-V21-BASE-ENTITY_MASTER-249</t>
  </si>
  <si>
    <t>{"entity_id": "ENT-V2-MMV", "entity_name": "Medicines for Malaria Venture", "entity_type": "NONPROFIT", "aliases": "MMV", "parent_entity_id": null, "group_note": null, "homepage_url": "https://gardp.org/dndi-gardp-and-mmv-join-forces-to-accelerate-drug-development-for-patients-in-greatest-need/", "status": "ACTIVE", "provenance_ids": "PR-V2-ENT-V2-MMV", "curator_note": "Katalogfreigabe; keine bestaetigte aktuelle Kooperationsbereitschaft."}</t>
  </si>
  <si>
    <t>PR-V21-BASE-SOURCE_REGISTRY-2</t>
  </si>
  <si>
    <t>{"source_id": "SRC-DE_FDB", "source_name": "Förderdatenbank Bund / Länder / EU", "source_type": "OFFICIAL_WEB", "module_ids": "M05", "entry_url": "https://www.foerderdatenbank.de/FDB/DE/Foerderprogramme/foerderprogramme.html", "access_method": "WEB_TEXT", "web_check_status": "CONTENT_READ", "checked_on": "2026-10-29", "langdock_access": "UNTESTED", "use_scope": "FUNDING_ENTRY_ONLY", "rights_scope": "PUBLIC", "access_note": "[Pilotpruefung uebernommen, nicht erneut vollvalidiert] Einstiegsquelle gelesen; keine einzelnen offenen Calls oder verbindliche Foerderfaehigkeit bestaetigt.", "review_batch": "INHERITED_NOT_RECHECKED", "api_endpoint": null, "pagination_rule": null}</t>
  </si>
  <si>
    <t>PR-V21-BASE-SOURCE_REGISTRY-3</t>
  </si>
  <si>
    <t>{"source_id": "SRC-EU_FT", "source_name": "EU Funding &amp; Tenders - Calls for Proposals", "source_type": "OFFICIAL_WEB", "module_ids": "M05", "entry_url": "https://ec.europa.eu/info/funding-tenders/opportunities/portal/screen/opportunities/calls-for-proposals", "access_method": "DYNAMIC_OR_IMAGE_REVIEW", "web_check_status": "PARTIAL", "checked_on": "2026-10-29", "langdock_access": "UNTESTED", "use_scope": "FUNDING_ENTRY_ONLY", "rights_scope": "PUBLIC", "access_note": "[Pilotpruefung uebernommen, nicht erneut vollvalidiert] Textabruf liefert nur Einstieg/Topic-Link, keine vollstaendige Call-Liste. Separater Connector-/Browser-/API-Test erforderlich.", "review_batch": "INHERITED_NOT_RECHECKED", "api_endpoint": null, "pagination_rule": null}</t>
  </si>
  <si>
    <t>PR-V21-BASE-SOURCE_REGISTRY-4</t>
  </si>
  <si>
    <t>{"source_id": "SRC-DE_FORTRA", "source_name": "EKFS / ForTra Translatorik", "source_type": "OFFICIAL_WEB", "module_ids": "M05", "entry_url": "https://ekfs.de/wissenschaftliche-foerderung/Translatorik-ForTra/Foerderverfahren", "access_method": "WEB_TEXT", "web_check_status": "CONTENT_READ", "checked_on": "2026-10-29", "langdock_access": "UNTESTED", "use_scope": "FUNDING_ENTRY_ONLY", "rights_scope": "PUBLIC", "access_note": "[Pilotpruefung uebernommen, nicht erneut vollvalidiert] Programmprofil gelesen; Antragstellereignung und Ausschreibungsbedingungen je Antrag erneut pruefen.", "review_batch": "INHERITED_NOT_RECHECKED", "api_endpoint": null, "pagination_rule": null}</t>
  </si>
  <si>
    <t>PR-V21-BASE-SOURCE_REGISTRY-5</t>
  </si>
  <si>
    <t>{"source_id": "SRC-GL_CARBX", "source_name": "CARB-X", "source_type": "OFFICIAL_WEB", "module_ids": "M05", "entry_url": "https://carb-x.org/apply/funding-themes/", "access_method": "DYNAMIC_OR_IMAGE_REVIEW", "web_check_status": "PARTIAL", "checked_on": "2026-10-29", "langdock_access": "UNTESTED", "use_scope": "FUNDING_ENTRY_ONLY", "rights_scope": "PUBLIC", "access_note": "[Pilotpruefung uebernommen, nicht erneut vollvalidiert] 2026 Funding Themes bestaetigt; Themen teilweise bildbasiert. Keine Call-Eligibility oder Deadlines geprueft.", "review_batch": "INHERITED_NOT_RECHECKED", "api_endpoint": null, "pagination_rule": null}</t>
  </si>
  <si>
    <t>PR-V21-BASE-SOURCE_REGISTRY-6</t>
  </si>
  <si>
    <t>{"source_id": "SRC-GL_CEPI", "source_name": "CEPI Calls for Proposals", "source_type": "OFFICIAL_WEB", "module_ids": "M05", "entry_url": "https://cepi.net/calls-for-proposals", "access_method": "WEB_TEXT", "web_check_status": "CONTENT_READ", "checked_on": "2026-10-29", "langdock_access": "UNTESTED", "use_scope": "FUNDING_ENTRY_ONLY", "rights_scope": "PUBLIC", "access_note": "[Pilotpruefung uebernommen, nicht erneut vollvalidiert] Programmkontext: Impfstoffe und Tools gegen epidemische/pandemische Bedrohungen; keine allgemeine Impfstofffoerderung zusagen.", "review_batch": "INHERITED_NOT_RECHECKED", "api_endpoint": null, "pagination_rule": null}</t>
  </si>
  <si>
    <t>PR-V21-BASE-SOURCE_REGISTRY-7</t>
  </si>
  <si>
    <t>{"source_id": "SRC-REG_NW", "source_name": "Innovationsförderagentur NRW - Maßnahmen", "source_type": "OFFICIAL_WEB", "module_ids": "M05", "entry_url": "https://www.in.nrw/massnahmen", "access_method": "WEB_TEXT", "web_check_status": "CONTENT_READ", "checked_on": "2026-10-29", "langdock_access": "UNTESTED", "use_scope": "FUNDING_ENTRY_ONLY", "rights_scope": "PUBLIC", "access_note": "[Pilotpruefung uebernommen, nicht erneut vollvalidiert] Einstiegsquelle gelesen; keine einzelnen offenen Calls oder verbindliche Foerderfaehigkeit bestaetigt.", "review_batch": "INHERITED_NOT_RECHECKED", "api_endpoint": null, "pagination_rule": null}</t>
  </si>
  <si>
    <t>PR-V21-BASE-SOURCE_REGISTRY-8</t>
  </si>
  <si>
    <t>{"source_id": "SRC-INST_KOELN_FORTUNE", "source_name": "Köln Fortune (Medizinische Fakultät)", "source_type": "OFFICIAL_WEB", "module_ids": "M05", "entry_url": "https://medfak.uni-koeln.de/forschung/service-foerderangebote/fakultaetsfoerderungen/koeln-fortune", "access_method": "WEB_TEXT", "web_check_status": "CONTENT_READ", "checked_on": "2026-10-29", "langdock_access": "UNTESTED", "use_scope": "FUNDING_ENTRY_ONLY", "rights_scope": "PUBLIC", "access_note": "[Pilotpruefung uebernommen, nicht erneut vollvalidiert] Personen-/Karrierefoerderung fuer wissenschaftliche Mitarbeitende der Medizinischen Fakultaet; kein universeller CMC-Finanzierungsweg.", "review_batch": "INHERITED_NOT_RECHECKED", "api_endpoint": null, "pagination_rule": null}</t>
  </si>
  <si>
    <t>PR-V21-BASE-SOURCE_REGISTRY-9</t>
  </si>
  <si>
    <t>{"source_id": "SRC-DE_HELMHOLTZ_ENTERPRISE", "source_name": "Helmholtz Enterprise", "source_type": "OFFICIAL_WEB", "module_ids": "M05", "entry_url": "https://www.helmholtz.de/transfer/innovations-und-foerderprogramme/helmholtz-enterprise/", "access_method": "WEB_TEXT", "web_check_status": "CONTENT_READ", "checked_on": "2026-10-29", "langdock_access": "UNTESTED", "use_scope": "FUNDING_ENTRY_ONLY", "rights_scope": "PUBLIC", "access_note": "[Pilotpruefung uebernommen, nicht erneut vollvalidiert] Institution und Gruendungskontext gemeinsam pruefen; SPINOUT allein reicht nicht.", "review_batch": "INHERITED_NOT_RECHECKED", "api_endpoint": null, "pagination_rule": null}</t>
  </si>
  <si>
    <t>PR-V21-BASE-SOURCE_REGISTRY-10</t>
  </si>
  <si>
    <t>{"source_id": "SRC-GSK-PIPE", "source_name": "GSK Pipeline", "source_type": "OFFICIAL_WEB", "module_ids": "M01", "entry_url": "https://www.gsk.com/en-gb/innovation/pipeline/", "access_method": "WEB_PLUS_DOWNLOAD", "web_check_status": "PARTIAL", "checked_on": "2026-10-29", "langdock_access": "UNTESTED", "use_scope": "COMPANY_SCOPE_ONLY", "rights_scope": "PUBLIC", "access_note": "[Pilotpruefung uebernommen, nicht erneut vollvalidiert] Pipeline-Seite und XLSX-Verweis vorhanden. HTML enthaelt nicht zwingend alle Assetzeilen; keine Asset-Level-Validierung.", "review_batch": "INHERITED_NOT_RECHECKED", "api_endpoint": null, "pagination_rule": null}</t>
  </si>
  <si>
    <t>PR-V21-BASE-SOURCE_REGISTRY-11</t>
  </si>
  <si>
    <t>{"source_id": "SRC-PFIZER-PIPE", "source_name": "Pfizer Pipeline", "source_type": "OFFICIAL_WEB", "module_ids": "M01", "entry_url": "https://www.pfizer.com/science/drug-product-pipeline", "access_method": "WEB_PLUS_DOWNLOAD", "web_check_status": "PARTIAL", "checked_on": "2026-10-29", "langdock_access": "UNTESTED", "use_scope": "COMPANY_SCOPE_ONLY", "rights_scope": "PUBLIC", "access_note": "[Pilotpruefung uebernommen, nicht erneut vollvalidiert] Interaktive Pipeline; keine vollstaendige Extraktion/Phase-Verifikation erfolgt.", "review_batch": "INHERITED_NOT_RECHECKED", "api_endpoint": null, "pagination_rule": null}</t>
  </si>
  <si>
    <t>PR-V21-BASE-SOURCE_REGISTRY-12</t>
  </si>
  <si>
    <t>{"source_id": "SRC-INFEX-TEXT", "source_name": "Infex: Pipeline- und Finanzierungsmitteilung 2026-05-12", "source_type": "OFFICIAL_WEB", "module_ids": "M01;M06;M07", "entry_url": "https://www.infextx.com/infex-therapeutics-secures-4-3-million-funding-to-advance-anti-infective-pipeline-targeting-drug-resistant-infections/", "access_method": "WEB_TEXT", "web_check_status": "CONTENT_READ", "checked_on": "2026-10-29", "langdock_access": "UNTESTED", "use_scope": "COMPANY_AND_PROGRAM_SCOPE", "rights_scope": "PUBLIC", "access_note": "[Pilotpruefung uebernommen, nicht erneut vollvalidiert] Lesbarer Primaertext als Suchstart. M01 und M06 teilen denselben Abruf. Ereignisdatum 2026-05-12, kein Nachweis unveraenderten Status am 2026-10-29.", "review_batch": "INHERITED_NOT_RECHECKED", "api_endpoint": null, "pagination_rule": null}</t>
  </si>
  <si>
    <t>PR-V21-BASE-SOURCE_REGISTRY-13</t>
  </si>
  <si>
    <t>https://viivhealthcare.com/hiv-research-and-development/our-pipeline/</t>
  </si>
  <si>
    <t>{"source_id": "SRC-VIIV", "source_name": "ViiV: Pipeline-Einstieg", "source_type": "OFFICIAL_WEB", "module_ids": "M01", "entry_url": "https://viivhealthcare.com/hiv-research-and-development/our-pipeline/", "access_method": "ACCESS_TEST_REQUIRED", "web_check_status": "FETCH_FAILED", "checked_on": "2026-10-29", "langdock_access": "UNTESTED", "use_scope": "NOT_VALIDATED", "rights_scope": "PUBLIC", "access_note": "[Pilotpruefung uebernommen, nicht erneut vollvalidiert] URL im Webtool nicht abrufbar. Als REVIEW-Quelle behalten; GSK-Seite bestaetigt HIV/JV-Kontext, nicht diesen technischen Zugang.", "review_batch": "INHERITED_NOT_RECHECKED", "api_endpoint": null, "pagination_rule": null}</t>
  </si>
  <si>
    <t>PR-V21-BASE-SOURCE_REGISTRY-14</t>
  </si>
  <si>
    <t>{"source_id": "SRC-FERRING", "source_name": "Ferring Pipeline", "source_type": "OFFICIAL_WEB", "module_ids": "M01", "entry_url": "https://www.ferring.com/science-innovation/research-and-development/product-pipeline/", "access_method": "WEB_TEXT", "web_check_status": "CONTENT_READ", "checked_on": "2026-10-29", "langdock_access": "UNTESTED", "use_scope": "COMPANY_SCOPE_ONLY", "rights_scope": "PUBLIC", "access_note": "[Pilotpruefung uebernommen, nicht erneut vollvalidiert] Seite bestaetigt Gastroenterologie/Mikrobiom-Kontext. GD-Zero im Input ist KEIN Null-Portfolio.", "review_batch": "INHERITED_NOT_RECHECKED", "api_endpoint": null, "pagination_rule": null}</t>
  </si>
  <si>
    <t>PR-V21-BASE-SOURCE_REGISTRY-15</t>
  </si>
  <si>
    <t>{"source_id": "SRC-ARMATA", "source_name": "Armata AP-PA02", "source_type": "OFFICIAL_WEB", "module_ids": "M01", "entry_url": "https://www.armatapharma.com/pipeline/ap-pa02/", "access_method": "WEB_TEXT", "web_check_status": "CONTENT_READ", "checked_on": "2026-10-29", "langdock_access": "UNTESTED", "use_scope": "PATHOGEN_AND_MODALITY_SCOPE", "rights_scope": "PUBLIC", "access_note": "[Pilotpruefung uebernommen, nicht erneut vollvalidiert] P. aeruginosa und Phagentherapie bestaetigt. Keine vollstaendige Pipeline- oder Studienregisterpruefung.", "review_batch": "INHERITED_NOT_RECHECKED", "api_endpoint": null, "pagination_rule": null}</t>
  </si>
  <si>
    <t>PR-V21-BASE-SOURCE_REGISTRY-16</t>
  </si>
  <si>
    <t>{"source_id": "SRC-GSK-BD", "source_name": "GSK Partnering", "source_type": "OFFICIAL_WEB", "module_ids": "M06;M07;M01", "entry_url": "https://www.gsk.com/en-gb/innovation/partnerships/", "access_method": "WEB_TEXT", "web_check_status": "CONTENT_READ", "checked_on": "2026-10-29", "langdock_access": "UNTESTED", "use_scope": "PARTNERING_ENTRY_ONLY", "rights_scope": "PUBLIC", "access_note": "[Pilotpruefung uebernommen, nicht erneut vollvalidiert] Partnering-Seite bestaetigt; Interesse am konkreten DZIF-Asset nicht nachgewiesen.", "review_batch": "INHERITED_NOT_RECHECKED", "api_endpoint": null, "pagination_rule": null}</t>
  </si>
  <si>
    <t>PR-V21-BASE-SOURCE_REGISTRY-17</t>
  </si>
  <si>
    <t>{"source_id": "SRC-PFIZER-BD", "source_name": "Pfizer Partnering", "source_type": "OFFICIAL_WEB", "module_ids": "M06;M01;M07", "entry_url": "https://www.pfizer.com/about/partners/research-and-business-development-partnerships/", "access_method": "WEB_TEXT", "web_check_status": "CONTENT_READ", "checked_on": "2026-10-29", "langdock_access": "UNTESTED", "use_scope": "PARTNERING_ENTRY_ONLY", "rights_scope": "PUBLIC", "access_note": "[Pilotpruefung uebernommen, nicht erneut vollvalidiert] Paginierungsparameter ?page=9 entfernt. Impfstoff- und Projektfit im Live-Lauf validieren.", "review_batch": "INHERITED_NOT_RECHECKED", "api_endpoint": null, "pagination_rule": null}</t>
  </si>
  <si>
    <t>PR-V21-BASE-SOURCE_REGISTRY-18</t>
  </si>
  <si>
    <t>{"source_id": "SRC-AMR-AF", "source_name": "AMR Action Fund: How We Invest", "source_type": "OFFICIAL_WEB", "module_ids": "M06;M07;M01", "entry_url": "https://www.amractionfund.com/investments", "access_method": "WEB_TEXT", "web_check_status": "CONTENT_READ", "checked_on": "2026-10-29", "langdock_access": "UNTESTED", "use_scope": "INVESTMENT_ROUTE_ONLY", "rights_scope": "PUBLIC", "access_note": "[Pilotpruefung uebernommen, nicht erneut vollvalidiert] Equity, kleine/mittlere Biotech-Unternehmen und klinischer Fokus bestaetigt. Fuer rein akademisches Asset nur Future Route.", "review_batch": "INHERITED_NOT_RECHECKED", "api_endpoint": null, "pagination_rule": null}</t>
  </si>
  <si>
    <t>PR-V21-BASE-SOURCE_REGISTRY-19</t>
  </si>
  <si>
    <t>{"source_id": "SRC-BIVF-HISTORY", "source_name": "Evotec: Centauri Series A (2022)", "source_type": "OFFICIAL_WEB", "module_ids": "M06", "entry_url": "https://www.evotec.com/news/evotec-participates-in-centauri-therapeutics-series-a-investment-round", "access_method": "WEB_TEXT", "web_check_status": "CONTENT_READ", "checked_on": "2026-10-29", "langdock_access": "UNTESTED", "use_scope": "HISTORICAL_PORTFOLIO_ONLY", "rights_scope": "PUBLIC", "access_note": "[Pilotpruefung uebernommen, nicht erneut vollvalidiert] Belegt BIVF/Centauri 2022; keine neue 2026-Runde oder aktuelles Mandat. Urspruenglicher TECregen-Link belegt nicht die Centauri-Aussage.", "review_batch": "INHERITED_NOT_RECHECKED", "api_endpoint": null, "pagination_rule": null}</t>
  </si>
  <si>
    <t>PR-V21-BASE-SOURCE_REGISTRY-20</t>
  </si>
  <si>
    <t>{"source_id": "SRC-PFIZER-VC", "source_name": "Pfizer Ventures", "source_type": "OFFICIAL_WEB", "module_ids": "M06;M07", "entry_url": "https://www.pfizer.com/about/partners/venture-investments", "access_method": "WEB_TEXT", "web_check_status": "CONTENT_READ", "checked_on": "2026-10-29", "langdock_access": "UNTESTED", "use_scope": "INVESTMENT_ROUTE_ONLY", "rights_scope": "PUBLIC", "access_note": "[Pilotpruefung uebernommen, nicht erneut vollvalidiert] Eigenstaendige Investor-Rolle innerhalb Pfizer; nicht als Alias des Licensing-Teams zusammenfuehren.", "review_batch": "INHERITED_NOT_RECHECKED", "api_endpoint": null, "pagination_rule": null}</t>
  </si>
  <si>
    <t>PR-V21-BASE-SOURCE_REGISTRY-21</t>
  </si>
  <si>
    <t>{"source_id": "SRC-INFEX-IMAGE", "source_name": "Infex Pipeline (bildbasierte Alternative)", "source_type": "OFFICIAL_WEB", "module_ids": "M01;M06", "entry_url": "https://www.infextx.com/pipeline/", "access_method": "IMAGE_REVIEW_REQUIRED", "web_check_status": "PARTIAL", "checked_on": "2026-10-29", "langdock_access": "UNTESTED", "use_scope": "ENTRY_ONLY", "rights_scope": "PUBLIC", "access_note": "[Pilotpruefung uebernommen, nicht erneut vollvalidiert] Textauszug hat kaum Pipelineinhalt. Nicht als erfolgreicher vollstaendiger Pipeline-Check verbuchen.", "review_batch": "INHERITED_NOT_RECHECKED", "api_endpoint": null, "pagination_rule": null}</t>
  </si>
  <si>
    <t>PR-V21-BASE-SOURCE_REGISTRY-22</t>
  </si>
  <si>
    <t>{"source_id": "SRC-HTGF-TECREGEN", "source_name": "HTGF: TECregen Seed Financing", "source_type": "OFFICIAL_WEB", "module_ids": "M06;M07", "entry_url": "https://www.htgf.de/tecregen-seed-financing/", "access_method": "WEB_TEXT", "web_check_status": "SEARCH_TEXT_READ", "checked_on": "2026-10-29", "langdock_access": "UNTESTED", "use_scope": "SOURCE_MISMATCH_AUDIT", "rights_scope": "PUBLIC", "access_note": "[Pilotpruefung uebernommen, nicht erneut vollvalidiert] Primaermeldung betrifft TECregen/Thymusregeneration, nicht Centauri. Auditquelle, kein aktiver AMR-Rechercheauftrag.", "review_batch": "INHERITED_NOT_RECHECKED", "api_endpoint": null, "pagination_rule": null}</t>
  </si>
  <si>
    <t>PR-V21-BASE-SOURCE_REGISTRY-23</t>
  </si>
  <si>
    <t>{"source_id": "SRC-NAME-SEARCH", "source_name": "Namensbasierte Primaerquellensuche", "source_type": "SEARCH_STRATEGY", "module_ids": "M01;M06;M07", "entry_url": null, "access_method": "WEB_SEARCH", "web_check_status": "NOT_CHECKED", "checked_on": null, "langdock_access": "UNTESTED", "use_scope": "DISCOVER_PRIMARY_SOURCE", "rights_scope": "PUBLIC", "access_note": "Kein URL erfunden. Exakten Organisationsnamen und Kontext verwenden; jede Organisation braucht einen eigenen Suchschluessel. Suchtreffer sind noch kein fachlicher Befund.", "review_batch": "INHERITED_NOT_RECHECKED", "api_endpoint": null, "pagination_rule": null}</t>
  </si>
  <si>
    <t>PR-V21-BASE-SOURCE_REGISTRY-24</t>
  </si>
  <si>
    <t>{"source_id": "SRC-GLOBALDATA-202607", "source_name": "GlobalData / Nutzer-Snapshot 31.07.2026", "source_type": "LICENSED_SNAPSHOT", "module_ids": "M01", "entry_url": "http://pharma.globaldata.com/", "access_method": "LICENSED_DATA", "web_check_status": "NOT_CHECKED", "checked_on": null, "langdock_access": "UNTESTED", "use_scope": "HISTORICAL_AUDIT_ONLY", "rights_scope": "LICENSE_REVIEW_REQUIRED", "access_note": "Herkunft aus gelieferten Radar-Tabellen. Keine automatische Zugriffsberechtigung, keine aktuelle Phase. Nicht als freien Live-Abruf einplanen.", "review_batch": "INHERITED_NOT_RECHECKED", "api_endpoint": null, "pagination_rule": null}</t>
  </si>
  <si>
    <t>PR-V21-BASE-SOURCE_REGISTRY-25</t>
  </si>
  <si>
    <t>{"source_id": "SRC-DE_BMFTR_HEALTH", "source_name": "BMFTR Gesundheitsforschung - Bekanntmachungen", "source_type": "OFFICIAL_WEB", "module_ids": "M05", "entry_url": "https://www.gesundheitsforschung-bmftr.de/de/bekanntmachungen-5786.php",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</si>
  <si>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PR-V21-BASE-SOURCE_REGISTRY-26</t>
  </si>
  <si>
    <t>{"source_id": "SRC-DE_DFG", "source_name": "DFG Förderprogramme", "source_type": "OFFICIAL_WEB", "module_ids": "M05", "entry_url": "https://www.dfg.de/de/foerderung/foerdermoeglichkeiten/programme",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</si>
  <si>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PR-V21-BASE-SOURCE_REGISTRY-27</t>
  </si>
  <si>
    <t>{"source_id": "SRC-DE_DFG_CLINICAL", "source_name": "DFG Klinische Studien", "source_type": "OFFICIAL_WEB", "module_ids": "M05", "entry_url": "https://www.dfg.de/de/foerderung/foerdermoeglichkeiten/programme/einzelfoerderung/klinische-studien",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</si>
  <si>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PR-V21-BASE-SOURCE_REGISTRY-28</t>
  </si>
  <si>
    <t>{"source_id": "SRC-DE_EKFS_CALLS", "source_name": "EKFS Ausschreibungskalender", "source_type": "OFFICIAL_WEB", "module_ids": "M05", "entry_url": "https://ekfs.de/en/current-topics/funding-application-calender",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</si>
  <si>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PR-V21-BASE-SOURCE_REGISTRY-29</t>
  </si>
  <si>
    <t>{"source_id": "SRC-DE_GO_BIO", "source_name": "GO-Bio next", "source_type": "OFFICIAL_WEB", "module_ids": "M05", "entry_url": "https://www.foerderdatenbank.de/FDB/Content/DE/Foerderprogramm/Bund/BMBF/go-bio-next.html",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</si>
  <si>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PR-V21-BASE-SOURCE_REGISTRY-30</t>
  </si>
  <si>
    <t>{"source_id": "SRC-DE_KMU_BIOMED", "source_name": "KMU-innovativ Biomedizin", "source_type": "OFFICIAL_WEB", "module_ids": "M05", "entry_url": "https://www.foerderdatenbank.de/FDB/Content/DE/Foerderprogramm/Bund/BMBF/biomedizin.html",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</si>
  <si>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PR-V21-BASE-SOURCE_REGISTRY-31</t>
  </si>
  <si>
    <t>{"source_id": "SRC-DE_ZIM", "source_name": "ZIM - Zentrales Innovationsprogramm Mittelstand", "source_type": "OFFICIAL_WEB", "module_ids": "M05", "entry_url": "https://www.zim.de/",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</si>
  <si>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PR-V21-BASE-SOURCE_REGISTRY-32</t>
  </si>
  <si>
    <t>{"source_id": "SRC-DE_EXIST", "source_name": "EXIST", "source_type": "OFFICIAL_WEB", "module_ids": "M05", "entry_url": "https://www.exist.de/",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</si>
  <si>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PR-V21-BASE-SOURCE_REGISTRY-33</t>
  </si>
  <si>
    <t>{"source_id": "SRC-DE_VW_STIFTUNG", "source_name": "VolkswagenStiftung - Förderangebote", "source_type": "OFFICIAL_WEB", "module_ids": "M05", "entry_url": "https://www.volkswagenstiftung.de/de/foerderung",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</si>
  <si>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PR-V21-BASE-SOURCE_REGISTRY-34</t>
  </si>
  <si>
    <t>{"source_id": "SRC-DE_DZIF_INTERNAL", "source_name": "DZIF interne Projekt- und Transferförderung", "source_type": "OFFICIAL_WEB", "module_ids": "M05", "entry_url": "https://www.dzif.de/", "access_method": "PUBLIC_PLUS_INTERNAL", "web_check_status": "NOT_CHECKED", "checked_on": null, "langdock_access": "UNTESTED", "use_scope": "FUNDING_ENTRY_ONLY", "rights_scope": "PUBLIC", "access_note": "Oeffentlicher Einstieg reicht fuer interne Ausschreibungen nicht aus; internen Zugriff gesondert bereitstellen.", "review_batch": "INHERITED_NOT_RECHECKED", "api_endpoint": null, "pagination_rule": null}</t>
  </si>
  <si>
    <t>PR-V21-BASE-SOURCE_REGISTRY-35</t>
  </si>
  <si>
    <t>{"source_id": "SRC-DE_HELMHOLTZ_TRANSFER", "source_name": "Helmholtz Innovations- und Transferprogramme", "source_type": "OFFICIAL_WEB", "module_ids": "M05", "entry_url": "https://www.helmholtz.de/transfer/innovations-und-foerderprogramme",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</si>
  <si>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PR-V21-BASE-SOURCE_REGISTRY-36</t>
  </si>
  <si>
    <t>{"source_id": "SRC-EU_IHI", "source_name": "Innovative Health Initiative (IHI)", "source_type": "OFFICIAL_WEB", "module_ids": "M05", "entry_url": "https://www.ihi.europa.eu/apply-funding/call-documents",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</si>
  <si>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PR-V21-BASE-SOURCE_REGISTRY-37</t>
  </si>
  <si>
    <t>{"source_id": "SRC-EU_EIC", "source_name": "European Innovation Council (EIC)", "source_type": "OFFICIAL_WEB", "module_ids": "M05", "entry_url": "https://eic.ec.europa.eu/eic-funding-opportunities_en",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</si>
  <si>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PR-V21-BASE-SOURCE_REGISTRY-38</t>
  </si>
  <si>
    <t>{"source_id": "SRC-EU_OHAMR", "source_name": "European Partnership on One Health AMR", "source_type": "OFFICIAL_WEB", "module_ids": "M05", "entry_url": "https://ohamr.eu/",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</si>
  <si>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PR-V21-BASE-SOURCE_REGISTRY-39</t>
  </si>
  <si>
    <t>{"source_id": "SRC-EU_EUROSTARS", "source_name": "Eureka Eurostars", "source_type": "OFFICIAL_WEB", "module_ids": "M05", "entry_url": "https://www.eurekanetwork.org/programmes-and-calls/eurostars/",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</si>
  <si>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PR-V21-BASE-SOURCE_REGISTRY-40</t>
  </si>
  <si>
    <t>{"source_id": "SRC-EU_EDCTP3", "source_name": "Global Health EDCTP3", "source_type": "OFFICIAL_WEB", "module_ids": "M05", "entry_url": "https://www.global-health-edctp3.europa.eu/",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</si>
  <si>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PR-V21-BASE-SOURCE_REGISTRY-41</t>
  </si>
  <si>
    <t>{"source_id": "SRC-EU_EU4HEALTH", "source_name": "EU4Health (HaDEA)", "source_type": "OFFICIAL_WEB", "module_ids": "M05", "entry_url": "https://hadea.ec.europa.eu/programmes/eu4health_en",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</si>
  <si>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PR-V21-BASE-SOURCE_REGISTRY-42</t>
  </si>
  <si>
    <t>{"source_id": "SRC-EU_EIT_HEALTH", "source_name": "EIT Health - Calls", "source_type": "OFFICIAL_WEB", "module_ids": "M05", "entry_url": "https://eithealth.eu/get-involved/new-call-opportunities/",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</si>
  <si>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PR-V21-BASE-SOURCE_REGISTRY-43</t>
  </si>
  <si>
    <t>{"source_id": "SRC-EU_COST", "source_name": "COST Actions - Networking", "source_type": "OFFICIAL_WEB", "module_ids": "M05", "entry_url": "https://www.cost.eu/funding/",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</si>
  <si>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PR-V21-BASE-SOURCE_REGISTRY-44</t>
  </si>
  <si>
    <t>{"source_id": "SRC-GL_WELLCOME", "source_name": "Wellcome Funding Schemes", "source_type": "OFFICIAL_WEB", "module_ids": "M05", "entry_url": "https://wellcome.org/research-funding/schemes",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</si>
  <si>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PR-V21-BASE-SOURCE_REGISTRY-45</t>
  </si>
  <si>
    <t>{"source_id": "SRC-GL_GHIT", "source_name": "Global Health Innovative Technology Fund (GHIT)", "source_type": "OFFICIAL_WEB", "module_ids": "M05", "entry_url": "https://www.ghitfund.org/applyforfunding/opportunities", "access_method": "WEB_TEXT", "web_check_status": "CONTENT_READ", "checked_on": "2026-10-29", "langdock_access": "UNTESTED", "use_scope": "FUNDING_ENTRY_ONLY", "rights_scope": "PUBLIC", "access_note": "Partnerschaftsanforderung am 29.10.2026 primaer geprueft; kein konkreter Call bewertet.", "review_batch": "INHERITED_NOT_RECHECKED", "api_endpoint": null, "pagination_rule": null}</t>
  </si>
  <si>
    <t>PR-V21-BASE-SOURCE_REGISTRY-46</t>
  </si>
  <si>
    <t>{"source_id": "SRC-GL_GRANDCHALLENGES", "source_name": "Grand Challenges - Funding", "source_type": "OFFICIAL_WEB", "module_ids": "M05", "entry_url": "https://gcgh.grandchallenges.org/",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</si>
  <si>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PR-V21-BASE-SOURCE_REGISTRY-47</t>
  </si>
  <si>
    <t>{"source_id": "SRC-GL_INCATE", "source_name": "INCATE - Early Antibacterial Innovation", "source_type": "OFFICIAL_WEB", "module_ids": "M05", "entry_url": "https://www.incate.net/how-we-help/",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</si>
  <si>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PR-V21-BASE-SOURCE_REGISTRY-48</t>
  </si>
  <si>
    <t>{"source_id": "SRC-GL_NOVO", "source_name": "Novo Nordisk Foundation - Grant Calls", "source_type": "OFFICIAL_WEB", "module_ids": "M05", "entry_url": "https://novonordiskfonden.dk/en/grant/",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</si>
  <si>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PR-V21-BASE-SOURCE_REGISTRY-49</t>
  </si>
  <si>
    <t>{"source_id": "SRC-GL_NIH_FOREIGN", "source_name": "NIH - Foreign Grants / Eligibility", "source_type": "OFFICIAL_WEB", "module_ids": "M05", "entry_url": "https://grants.nih.gov/new-to-nih/information-for/foreign-grants",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</si>
  <si>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PR-V21-BASE-SOURCE_REGISTRY-50</t>
  </si>
  <si>
    <t>{"source_id": "SRC-REG_BW", "source_name": "L-Bank Baden-Württemberg", "source_type": "OFFICIAL_WEB", "module_ids": "M05", "entry_url": "https://www.l-bank.de/",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</si>
  <si>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PR-V21-BASE-SOURCE_REGISTRY-51</t>
  </si>
  <si>
    <t>{"source_id": "SRC-REG_BY", "source_name": "Bayerische Forschungs- und Innovationsagentur", "source_type": "OFFICIAL_WEB", "module_ids": "M05", "entry_url": "https://www.forschung-innovation-bayern.de/service/foerderung-von-forschung-und-innovation/",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</si>
  <si>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PR-V21-BASE-SOURCE_REGISTRY-52</t>
  </si>
  <si>
    <t>{"source_id": "SRC-REG_BE", "source_name": "IBB Berlin - Förderungen", "source_type": "OFFICIAL_WEB", "module_ids": "M05", "entry_url": "https://www.ibb.de/de/foerderungen/foerderungen.html",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</si>
  <si>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PR-V21-BASE-SOURCE_REGISTRY-53</t>
  </si>
  <si>
    <t>{"source_id": "SRC-REG_BB", "source_name": "ILB Brandenburg - Innovation / FuE", "source_type": "OFFICIAL_WEB", "module_ids": "M05", "entry_url": "https://www.ilb.de/de/existenzgruendung/existenzgruendung-foerderangebote-nach-foerderthemen/innovationen-forschung-entwicklung/",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</si>
  <si>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PR-V21-BASE-SOURCE_REGISTRY-54</t>
  </si>
  <si>
    <t>{"source_id": "SRC-REG_HB", "source_name": "Bremer Aufbau-Bank (BAB)", "source_type": "OFFICIAL_WEB", "module_ids": "M05", "entry_url": "https://www.bab-bremen.de/",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</si>
  <si>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PR-V21-BASE-SOURCE_REGISTRY-55</t>
  </si>
  <si>
    <t>{"source_id": "SRC-REG_HH", "source_name": "IFB Hamburg - Förderprogramme", "source_type": "OFFICIAL_WEB", "module_ids": "M05", "entry_url": "https://www.ifbhh.de/",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</si>
  <si>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PR-V21-BASE-SOURCE_REGISTRY-56</t>
  </si>
  <si>
    <t>{"source_id": "SRC-REG_HE", "source_name": "WIBank Hessen - Förderprogramme", "source_type": "OFFICIAL_WEB", "module_ids": "M05", "entry_url": "https://www.wibank.de/wibank/gruender-unternehmen/foerderprogramme",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</si>
  <si>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PR-V21-BASE-SOURCE_REGISTRY-57</t>
  </si>
  <si>
    <t>{"source_id": "SRC-REG_MV", "source_name": "LFI M-V - Förderfinder", "source_type": "OFFICIAL_WEB", "module_ids": "M05", "entry_url": "https://www.lfi-mv.de/foerderfinder",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</si>
  <si>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PR-V21-BASE-SOURCE_REGISTRY-58</t>
  </si>
  <si>
    <t>{"source_id": "SRC-REG_NI", "source_name": "NBank Niedersachsen - Förderübersicht", "source_type": "OFFICIAL_WEB", "module_ids": "M05", "entry_url": "https://www.nbank.de/F%C3%B6rderprogramme/%C3%9Cbersicht/",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</si>
  <si>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PR-V21-BASE-SOURCE_REGISTRY-59</t>
  </si>
  <si>
    <t>{"source_id": "SRC-REG_RP", "source_name": "ISB Rheinland-Pfalz", "source_type": "OFFICIAL_WEB", "module_ids": "M05", "entry_url": "https://isb.rlp.de/",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</si>
  <si>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PR-V21-BASE-SOURCE_REGISTRY-60</t>
  </si>
  <si>
    <t>{"source_id": "SRC-REG_SL", "source_name": "SIKB Saarland", "source_type": "OFFICIAL_WEB", "module_ids": "M05", "entry_url": "https://www.sikb.de/",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</si>
  <si>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PR-V21-BASE-SOURCE_REGISTRY-61</t>
  </si>
  <si>
    <t>{"source_id": "SRC-REG_SN", "source_name": "Sächsische Aufbaubank (SAB)", "source_type": "OFFICIAL_WEB", "module_ids": "M05", "entry_url": "https://www.sab.sachsen.de/start",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</si>
  <si>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PR-V21-BASE-SOURCE_REGISTRY-62</t>
  </si>
  <si>
    <t>{"source_id": "SRC-REG_ST", "source_name": "Investitionsbank Sachsen-Anhalt", "source_type": "OFFICIAL_WEB", "module_ids": "M05", "entry_url": "https://www.ib-sachsen-anhalt.de/",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</si>
  <si>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PR-V21-BASE-SOURCE_REGISTRY-63</t>
  </si>
  <si>
    <t>{"source_id": "SRC-REG_SH", "source_name": "Investitionsbank Schleswig-Holstein (IB.SH)", "source_type": "OFFICIAL_WEB", "module_ids": "M05", "entry_url": "https://www.ib-sh.de/",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</si>
  <si>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PR-V21-BASE-SOURCE_REGISTRY-64</t>
  </si>
  <si>
    <t>{"source_id": "SRC-REG_TH", "source_name": "Thüringer Aufbaubank", "source_type": "OFFICIAL_WEB", "module_ids": "M05", "entry_url": "https://www.aufbaubank.de/",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</si>
  <si>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PR-V21-BASE-SOURCE_REGISTRY-65</t>
  </si>
  <si>
    <t>{"source_id": "SRC-REG_NW_NRW_BANK", "source_name": "NRW.BANK - Förderprodukte", "source_type": "OFFICIAL_WEB", "module_ids": "M05", "entry_url": "https://www.nrwbank.de/de/foerderung/",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</si>
  <si>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PR-V21-BASE-SOURCE_REGISTRY-66</t>
  </si>
  <si>
    <t>{"source_id": "SRC-REG_BY_RESEARCH", "source_name": "Bayerische Forschungsstiftung / Förderung", "source_type": "OFFICIAL_WEB", "module_ids": "M05", "entry_url": "https://www.stmwk.bayern.de/wissenschaftler/forschung/foerderung.html", "access_method": "WEB_TEXT", "web_check_status": "NOT_CHECKED", "checked_on": null, "langdock_access": "UNTESTED", "use_scope": "FUNDING_ENTRY_ONLY",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</si>
  <si>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PR-V21-BASE-SOURCE_REGISTRY-67</t>
  </si>
  <si>
    <t>{"source_id": "SRC-BY-STIFTUNG", "source_name": "Bayerische Transformations- und Forschungsstiftung", "source_type": "OFFICIAL_WEB", "module_ids": "M05", "entry_url": "https://www.forschungsstiftung.de/foerderangebot/", "access_method": "WEB_TEXT", "web_check_status": "CONTENT_READ", "checked_on": "2026-10-29", "langdock_access": "UNTESTED", "use_scope": "FUNDING_ENTRY_ONLY", "rights_scope": "PUBLIC", "access_note": "Name und direkter Foerdereinstieg am 29.10.2026 geprueft; keine Call- oder Budgetvalidierung.", "review_batch": "INHERITED_NOT_RECHECKED", "api_endpoint": null, "pagination_rule": null}</t>
  </si>
  <si>
    <t>PR-V21-BASE-SOURCE_REGISTRY-68</t>
  </si>
  <si>
    <t>{"source_id": "SRC-BD-002", "source_name": "MSD / Merck &amp; Co. / PARTNERING_PAGE", "source_type": "OFFICIAL_WEB", "module_ids": "M06;M07;M01", "entry_url": "https://www.msd.com/research/business-development-and-licensing/collaborate-with-us/",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</si>
  <si>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PR-V21-BASE-SOURCE_REGISTRY-69</t>
  </si>
  <si>
    <t>{"source_id": "SRC-BD-003", "source_name": "Sanofi / PARTNERING_PAGE", "source_type": "OFFICIAL_WEB", "module_ids": "M06;M07;M01", "entry_url": "https://www.sanofi.com/en/partnering/partnering-focus-areas/vaccines",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</si>
  <si>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PR-V21-BASE-SOURCE_REGISTRY-70</t>
  </si>
  <si>
    <t>{"source_id": "SRC-BD-004", "source_name": "Pfizer / PARTNERING_PAGE", "source_type": "OFFICIAL_WEB", "module_ids": "M06;M07", "entry_url": "https://www.pfizer.com/about/partners/research-and-business-development-partnerships/?page=9",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</si>
  <si>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PR-V21-BASE-SOURCE_REGISTRY-71</t>
  </si>
  <si>
    <t>{"source_id": "SRC-BD-005", "source_name": "Roche / Genentech / PARTNERING_PAGE", "source_type": "OFFICIAL_WEB", "module_ids": "M06;M07;M01", "entry_url": "https://www.roche.com/innovation/partnering/areas-of-interest/infectious-diseases",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</si>
  <si>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PR-V21-BASE-SOURCE_REGISTRY-72</t>
  </si>
  <si>
    <t>{"source_id": "SRC-BD-006", "source_name": "Shionogi / PARTNERING_PAGE", "source_type": "OFFICIAL_WEB", "module_ids": "M06;M07;M01", "entry_url": "https://www.shionogi.com/eu/en/innovation/strategic-partnering-in-europe/partnering-licensing-interests.html",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</si>
  <si>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PR-V21-BASE-SOURCE_REGISTRY-73</t>
  </si>
  <si>
    <t>{"source_id": "SRC-BD-007", "source_name": "Basilea Pharmaceutica / OFFICIAL_ACTIVITY", "source_type": "OFFICIAL_ACTIVITY", "module_ids": "M06;M07", "entry_url": "https://www.basilea.com/news/news/basilea-informiert-ueber-stand-seines-portfolios-und-gibt-ausblick-1",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</si>
  <si>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PR-V21-BASE-SOURCE_REGISTRY-74</t>
  </si>
  <si>
    <t>{"source_id": "SRC-BD-008", "source_name": "Eli Lilly / OFFICIAL_ACTIVITY", "source_type": "OFFICIAL_ACTIVITY", "module_ids": "M06;M07;M01", "entry_url": "https://investor.lilly.com/node/54346",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</si>
  <si>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PR-V21-BASE-SOURCE_REGISTRY-75</t>
  </si>
  <si>
    <t>{"source_id": "SRC-BD-009", "source_name": "Asahi Kasei / Veloxis / OFFICIAL_ACTIVITY", "source_type": "OFFICIAL_ACTIVITY", "module_ids": "M06;M07", "entry_url": "https://www.asahi-kasei.com/news/2026/e260420-2",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</si>
  <si>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PR-V21-BASE-SOURCE_REGISTRY-76</t>
  </si>
  <si>
    <t>{"source_id": "SRC-BD-010", "source_name": "AstraZeneca / PIPELINE", "source_type": "OFFICIAL_WEB", "module_ids": "M06;M07;M01", "entry_url": "https://www.astrazeneca.com/our-therapy-areas/pipeline.html",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</si>
  <si>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PR-V21-BASE-SOURCE_REGISTRY-77</t>
  </si>
  <si>
    <t>{"source_id": "SRC-BD-011", "source_name": "BioNTech / FOCUS_PROFILE", "source_type": "OFFICIAL_WEB", "module_ids": "M06;M07;M01", "entry_url": "https://www.biontech.com/us/en/home/research-and-innovation/therapeutic-areas/infectious-diseases.html",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</si>
  <si>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PR-V21-BASE-SOURCE_REGISTRY-78</t>
  </si>
  <si>
    <t>{"source_id": "SRC-BD-012", "source_name": "Moderna / PIPELINE", "source_type": "OFFICIAL_WEB", "module_ids": "M06;M07;M01", "entry_url": "https://www.modernatx.com/research/product-pipeline",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</si>
  <si>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PR-V21-BASE-SOURCE_REGISTRY-79</t>
  </si>
  <si>
    <t>{"source_id": "SRC-BD-013", "source_name": "Bavarian Nordic / OFFICIAL_ACTIVITY", "source_type": "OFFICIAL_ACTIVITY", "module_ids": "M06;M07;M01", "entry_url": "https://www.bavarian-nordic.com/investor/news/news.aspx?news=7444",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</si>
  <si>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PR-V21-BASE-SOURCE_REGISTRY-80</t>
  </si>
  <si>
    <t>{"source_id": "SRC-BD-014", "source_name": "Valneva / FOCUS_PROFILE", "source_type": "OFFICIAL_WEB", "module_ids": "M06;M07;M01", "entry_url": "https://valneva.com/faq/",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</si>
  <si>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PR-V21-BASE-SOURCE_REGISTRY-81</t>
  </si>
  <si>
    <t>{"source_id": "SRC-BD-015", "source_name": "Gilead Sciences / OFFICIAL_ACTIVITY", "source_type": "OFFICIAL_ACTIVITY", "module_ids": "M06;M07;M01", "entry_url": "https://www.gilead.com/news/news-details/2026/gilead-accelerates-global-access-planning-for-investigational-once-yearly-lenacapavir-for-hiv-prevention",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</si>
  <si>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PR-V21-BASE-SOURCE_REGISTRY-82</t>
  </si>
  <si>
    <t>{"source_id": "SRC-BD-016", "source_name": "ViiV Healthcare / FOCUS_PROFILE", "source_type": "OFFICIAL_WEB", "module_ids": "M06;M07;M01", "entry_url": "https://viivhealthcare.com/de-de/hiv-forschung-und-innovation/",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</si>
  <si>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PR-V21-BASE-SOURCE_REGISTRY-83</t>
  </si>
  <si>
    <t>{"source_id": "SRC-BD-017", "source_name": "Regeneron / OFFICIAL_ACTIVITY", "source_type": "OFFICIAL_ACTIVITY", "module_ids": "M06;M07;M01", "entry_url": "https://newsroom.regeneron.com/news-releases/news-release-details/regeneron-extends-agreement-barda-provide-additional-supply",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</si>
  <si>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PR-V21-BASE-SOURCE_REGISTRY-84</t>
  </si>
  <si>
    <t>{"source_id": "SRC-BD-018", "source_name": "Serum Institute of India / OFFICIAL_ACTIVITY", "source_type": "OFFICIAL_ACTIVITY", "module_ids": "M06;M07;M01", "entry_url": "https://www.seruminstitute.com/gates-medical-research-institute-and-the-serum-institute-of-india-reach-agreement.php",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</si>
  <si>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PR-V21-BASE-SOURCE_REGISTRY-85</t>
  </si>
  <si>
    <t>{"source_id": "SRC-BD-019", "source_name": "Novartis / FOCUS_PROFILE", "source_type": "OFFICIAL_WEB", "module_ids": "M06;M07;M01", "entry_url": "https://www.novartis.com/diseases/malaria",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</si>
  <si>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PR-V21-BASE-SOURCE_REGISTRY-86</t>
  </si>
  <si>
    <t>{"source_id": "SRC-BD-021", "source_name": "Takeda / FOCUS_PROFILE", "source_type": "OFFICIAL_WEB", "module_ids": "M06;M07;M01", "entry_url": "https://www.takeda.com/science/research-and-development/partnerships/iir/",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</si>
  <si>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PR-V21-BASE-SOURCE_REGISTRY-87</t>
  </si>
  <si>
    <t>{"source_id": "SRC-BD-023", "source_name": "Clarametyx Biosciences / PIPELINE", "source_type": "OFFICIAL_WEB", "module_ids": "M06;M07", "entry_url": "https://clarametyx.com/pipeline-publications/",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</si>
  <si>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PR-V21-BASE-SOURCE_REGISTRY-88</t>
  </si>
  <si>
    <t>{"source_id": "SRC-BD-024", "source_name": "Trellis Bioscience / INVESTOR_ACTIVITY", "source_type": "OFFICIAL_WEB", "module_ids": "M06;M07;M01", "entry_url": "https://www.newscienceventures.com/trellis-bioscience-raises-9-million-to-advance-clinical-development-of-calpurbatug-trl1068/",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</si>
  <si>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PR-V21-BASE-SOURCE_REGISTRY-89</t>
  </si>
  <si>
    <t>{"source_id": "SRC-BD-026", "source_name": "BioVersys / OFFICIAL_ACTIVITY", "source_type": "OFFICIAL_ACTIVITY", "module_ids": "M06;M07", "entry_url": "https://ir.bioversys.com/news/bioversys-reports-half-year-2026-results-bv100-pivotal-riv-target-trial-actively-recruiting-alpibectir-phase-2bc-underway/b1979958-6896-4f23-aed5-0fb65e3d4b76",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</si>
  <si>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PR-V21-BASE-SOURCE_REGISTRY-90</t>
  </si>
  <si>
    <t>{"source_id": "SRC-BD-027", "source_name": "Antabio / FOCUS_PROFILE", "source_type": "OFFICIAL_WEB", "module_ids": "M06;M07", "entry_url": "https://antabio.com/",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</si>
  <si>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PR-V21-BASE-SOURCE_REGISTRY-91</t>
  </si>
  <si>
    <t>{"source_id": "SRC-BD-028", "source_name": "F2G / INVESTOR_PORTFOLIO", "source_type": "OFFICIAL_WEB", "module_ids": "M06;M07", "entry_url": "https://forbion.com/portfolio/f2g/",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</si>
  <si>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PR-V21-BASE-SOURCE_REGISTRY-92</t>
  </si>
  <si>
    <t>{"source_id": "SRC-BD-029", "source_name": "Telum Therapeutics / OFFICIAL_ACTIVITY", "source_type": "OFFICIAL_ACTIVITY", "module_ids": "M06;M07", "entry_url": "https://telumtherapeutics.com/telum-therapeutics-secures-e18-million-series-a-financing-to-advance-lead-antimicrobial-program-into-clinical-development/",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</si>
  <si>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PR-V21-BASE-SOURCE_REGISTRY-93</t>
  </si>
  <si>
    <t>{"source_id": "SRC-BD-031", "source_name": "Vaxcyte / PIPELINE", "source_type": "OFFICIAL_WEB", "module_ids": "M06;M07;M01", "entry_url": "https://vaxcyte.com/pipeline/",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</si>
  <si>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PR-V21-BASE-SOURCE_REGISTRY-94</t>
  </si>
  <si>
    <t>{"source_id": "SRC-BD-032", "source_name": "MinervaX / PIPELINE", "source_type": "OFFICIAL_WEB", "module_ids": "M06;M07;M01", "entry_url": "https://minervax.com/innovation/clinical-trials/",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</si>
  <si>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PR-V21-BASE-SOURCE_REGISTRY-95</t>
  </si>
  <si>
    <t>{"source_id": "SRC-BD-033", "source_name": "Arcturus Therapeutics / OFFICIAL_ACTIVITY", "source_type": "OFFICIAL_ACTIVITY", "module_ids": "M06;M07;M01", "entry_url": "https://ir.arcturusrx.com/news-releases/news-release-details/arcturus-therapeutics-announces-second-quarter-2026-financial",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</si>
  <si>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PR-V21-BASE-SOURCE_REGISTRY-96</t>
  </si>
  <si>
    <t>{"source_id": "SRC-BD-034", "source_name": "Assembly Biosciences / PIPELINE", "source_type": "OFFICIAL_WEB", "module_ids": "M06;M07;M01", "entry_url": "https://www.assemblybio.com/pipeline/",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</si>
  <si>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PR-V21-BASE-SOURCE_REGISTRY-97</t>
  </si>
  <si>
    <t>{"source_id": "SRC-BD-035", "source_name": "Precision BioSciences / OFFICIAL_ACTIVITY", "source_type": "OFFICIAL_ACTIVITY", "module_ids": "M06;M07;M01", "entry_url": "https://investor.precisionbiosciences.com/news-releases/news-release-details/precision-biosciences-reports-second-quarter-2026-financial",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</si>
  <si>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PR-V21-BASE-SOURCE_REGISTRY-98</t>
  </si>
  <si>
    <t>{"source_id": "SRC-BD-036", "source_name": "Vaxxas / PARTNERING_PAGE", "source_type": "OFFICIAL_WEB", "module_ids": "M06;M07;M01", "entry_url": "https://vaxxas.com/about-vaxxas/",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</si>
  <si>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PR-V21-BASE-SOURCE_REGISTRY-99</t>
  </si>
  <si>
    <t>{"source_id": "SRC-BD-037", "source_name": "Locus Biosciences / PIPELINE", "source_type": "OFFICIAL_WEB", "module_ids": "M06;M07;M01", "entry_url": "https://www.locus-bio.com/pipeline/",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</si>
  <si>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PR-V21-BASE-SOURCE_REGISTRY-100</t>
  </si>
  <si>
    <t>{"source_id": "SRC-BD-038", "source_name": "Atea Pharmaceuticals / OFFICIAL_ACTIVITY", "source_type": "OFFICIAL_ACTIVITY", "module_ids": "M06;M07;M01", "entry_url": "https://ir.ateapharma.com/news-releases/news-release-details/atea-pharmaceuticals-reports-second-quarter-2026-financial",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</si>
  <si>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PR-V21-BASE-SOURCE_REGISTRY-101</t>
  </si>
  <si>
    <t>{"source_id": "SRC-BD-040", "source_name": "Kineticos AMR Accelerator Fund / INVESTMENT_MANDATE", "source_type": "OFFICIAL_WEB", "module_ids": "M06;M07", "entry_url": "https://www.kineticos.com/antimicrobial-resistance-accelerator-fund/",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</si>
  <si>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PR-V21-BASE-SOURCE_REGISTRY-102</t>
  </si>
  <si>
    <t>{"source_id": "SRC-BD-041", "source_name": "Adjuvant Capital / INVESTMENT_MANDATE", "source_type": "OFFICIAL_WEB", "module_ids": "M06;M07", "entry_url": "https://adjuvantcapital.com/",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</si>
  <si>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PR-V21-BASE-SOURCE_REGISTRY-103</t>
  </si>
  <si>
    <t>{"source_id": "SRC-BD-042", "source_name": "Forbion / INVESTMENT_MANDATE", "source_type": "OFFICIAL_WEB", "module_ids": "M06;M07", "entry_url": "https://forbion.com/strategies/",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</si>
  <si>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PR-V21-BASE-SOURCE_REGISTRY-104</t>
  </si>
  <si>
    <t>{"source_id": "SRC-BD-043", "source_name": "Novo Holdings / OFFICIAL_ACTIVITY", "source_type": "OFFICIAL_ACTIVITY", "module_ids": "M06;M07", "entry_url": "https://novoholdings.dk/news/novo-holdings-backs-bactolife-s-euro30-million-series-b-alongside-new-and-existing-investors-",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</si>
  <si>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PR-V21-BASE-SOURCE_REGISTRY-105</t>
  </si>
  <si>
    <t>{"source_id": "SRC-BD-044", "source_name": "Sanofi Ventures / INVESTMENT_MANDATE", "source_type": "OFFICIAL_WEB", "module_ids": "M06;M07", "entry_url": "https://www.sanofiventures.com/approach/",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</si>
  <si>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PR-V21-BASE-SOURCE_REGISTRY-106</t>
  </si>
  <si>
    <t>{"source_id": "SRC-BD-045", "source_name": "High-Tech Gruenderfonds (HTGF) / OFFICIAL_ACTIVITY", "source_type": "OFFICIAL_ACTIVITY", "module_ids": "M06;M07", "entry_url": "https://www.htgf.de/en/revier-therapeutics-seed/", "access_method": "WEB_TEXT", "web_check_status": "NOT_CHECKED", "checked_on": null, "langdock_access": "UNTESTED", "use_scope": "HISTORICAL_SIGNAL_ONLY",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</si>
  <si>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PR-V21-BASE-SOURCE_REGISTRY-107</t>
  </si>
  <si>
    <t>{"source_id": "SRC-BD-046", "source_name": "Sofinnova Partners / INVESTMENT_MANDATE", "source_type": "OFFICIAL_WEB", "module_ids": "M06;M07", "entry_url": "https://sofinnovapartners.com/strategy/capital",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</si>
  <si>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PR-V21-BASE-SOURCE_REGISTRY-108</t>
  </si>
  <si>
    <t>{"source_id": "SRC-BD-051", "source_name": "SR One / INVESTOR_PORTFOLIO", "source_type": "OFFICIAL_WEB", "module_ids": "M06;M07", "entry_url": "https://www.srone.com/portfolio",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</si>
  <si>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PR-V21-BASE-SOURCE_REGISTRY-109</t>
  </si>
  <si>
    <t>{"source_id": "SRC-BD-052", "source_name": "RA Capital Management / INVESTOR_PORTFOLIO", "source_type": "OFFICIAL_WEB", "module_ids": "M06;M07", "entry_url": "https://www.racap.com/portfolio",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</si>
  <si>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PR-V21-BASE-SOURCE_REGISTRY-110</t>
  </si>
  <si>
    <t>{"source_id": "SRC-BD-053", "source_name": "F-Prime Capital / INVESTOR_PORTFOLIO", "source_type": "OFFICIAL_WEB", "module_ids": "M06;M07", "entry_url": "https://www.fprimecapital.com/portfolio/life-sciences/",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</si>
  <si>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PR-V21-BASE-SOURCE_REGISTRY-111</t>
  </si>
  <si>
    <t>{"source_id": "SRC-CENTAURI-2022", "source_name": "Centauri / Series A 2022", "source_type": "OFFICIAL_WEB", "module_ids": "M06;M07", "entry_url": "https://www.centauritherapeutics.com/centauri-therapeutics-closes-24m-series-a-investment-round/", "access_method": "WEB_TEXT", "web_check_status": "CONTENT_READ", "checked_on": "2026-10-29", "langdock_access": "UNTESTED", "use_scope": "HISTORICAL_PORTFOLIO_ONLY", "rights_scope": "PUBLIC", "access_note": "Artikeltext nennt 16.02.2022; Seitenkopf weicht ab. Historischer Beteiligungsnachweis, kein aktuelles Investmentmandat.", "review_batch": "INHERITED_NOT_RECHECKED", "api_endpoint": null, "pagination_rule": null}</t>
  </si>
  <si>
    <t>PR-V21-BASE-SOURCE_REGISTRY-112</t>
  </si>
  <si>
    <t>{"source_id": "SRC-BD-055", "source_name": "EQT Life Sciences / INVESTMENT_MANDATE", "source_type": "OFFICIAL_WEB", "module_ids": "M06;M07", "entry_url": "https://eqtgroup.com/private-capital/eqt-life-sciences",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</si>
  <si>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PR-V21-BASE-SOURCE_REGISTRY-113</t>
  </si>
  <si>
    <t>{"source_id": "SRC-BD-057", "source_name": "KHAN Technology Transfer Fund II / INVESTMENT_MANDATE", "source_type": "OFFICIAL_WEB", "module_ids": "M06;M07", "entry_url": "https://khanu.de/", "access_method": "WEB_TEXT", "web_check_status": "NOT_CHECKED", "checked_on": null, "langdock_access": "UNTESTED", "use_scope": "PARTNERING_OR_INVESTMENT_ENTRY",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</si>
  <si>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PR-V21-BASE-SOURCE_REGISTRY-114</t>
  </si>
  <si>
    <t>Bioversys AG / Referenzquelle</t>
  </si>
  <si>
    <t>{"source_id": "SRC-RAD-1fb244a155", "source_name": "Bioversys AG / Referenzquelle", "source_type": "INDUSTRY_DIRECTORY", "module_ids": "M01", "entry_url": "https://beam-alliance.eu/pipeline/", "access_method": "WEB_TEXT", "web_check_status": "NOT_CHECKED", "checked_on": null, "langdock_access": "UNTESTED", "use_scope": "SECTOR_ASSOCIATION_ONLY",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</si>
  <si>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PR-V21-BASE-SOURCE_REGISTRY-115</t>
  </si>
  <si>
    <t>{"source_id": "SRC-RAD-b7ad624d28", "source_name": "Armata Pharmaceuticals Inc / Referenzquelle", "source_type": "OFFICIAL_WEB", "module_ids": "M01", "entry_url": "https://www.armata.com/",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</si>
  <si>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PR-V21-BASE-SOURCE_REGISTRY-116</t>
  </si>
  <si>
    <t>{"source_id": "SRC-RAD-6f35534e04", "source_name": "Seres Therapeutics Inc / Referenzquelle", "source_type": "OFFICIAL_WEB", "module_ids": "M01", "entry_url": "https://www.serestherapeutics.com/our-programs/",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</si>
  <si>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PR-V21-BASE-SOURCE_REGISTRY-117</t>
  </si>
  <si>
    <t>{"source_id": "SRC-RAD-c2abdf37fd", "source_name": "Clarametyx Biosciences Inc / Referenzquelle", "source_type": "OFFICIAL_WEB", "module_ids": "M01", "entry_url": "https://clarametyx.com/",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</si>
  <si>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PR-V21-BASE-SOURCE_REGISTRY-118</t>
  </si>
  <si>
    <t>{"source_id": "SRC-RAD-d19726318a", "source_name": "Vedanta Biosciences Inc / Referenzquelle", "source_type": "OFFICIAL_WEB", "module_ids": "M01", "entry_url": "https://www.vedantabio.com/pipeline-programs/pipeline/",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</si>
  <si>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PR-V21-BASE-SOURCE_REGISTRY-119</t>
  </si>
  <si>
    <t>{"source_id": "SRC-RAD-d614ffa198", "source_name": "QIAGEN / Referenzquelle", "source_type": "OFFICIAL_WEB", "module_ids": "M01", "entry_url": "https://www.qiagen.com/de/products/diagnostics-and-clinical-research/infectious-disease/qiastat-dx-syndromic-testing/qiastat-dx",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</si>
  <si>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PR-V21-BASE-SOURCE_REGISTRY-120</t>
  </si>
  <si>
    <t>{"source_id": "SRC-RAD-1786dd6b66", "source_name": "Roche Diagnostics / Referenzquelle", "source_type": "OFFICIAL_WEB", "module_ids": "M01", "entry_url": "https://diagnostics.roche.com/global/en/products/product-category/health-topic/infectious-diseases.html",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</si>
  <si>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PR-V21-BASE-SOURCE_REGISTRY-121</t>
  </si>
  <si>
    <t>{"source_id": "SRC-RAD-71fc0abe40", "source_name": "Becton, Dickinson and Company / Referenzquelle", "source_type": "OFFICIAL_WEB", "module_ids": "M01", "entry_url": "https://emea.bd.com/advancing-diagnostics/for-clinicians/",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</si>
  <si>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PR-V21-BASE-SOURCE_REGISTRY-122</t>
  </si>
  <si>
    <t>{"source_id": "SRC-RAD-b6e19f6da9", "source_name": "Cepheid / Referenzquelle", "source_type": "OFFICIAL_WEB", "module_ids": "M01", "entry_url": "https://www.cepheid.com/",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</si>
  <si>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PR-V21-BASE-SOURCE_REGISTRY-123</t>
  </si>
  <si>
    <t>{"source_id": "SRC-RAD-11cd893e09", "source_name": "bioMerieux / Referenzquelle", "source_type": "OFFICIAL_WEB", "module_ids": "M01", "entry_url": "https://www.biomerieux.com/",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</si>
  <si>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PR-V21-BASE-SOURCE_REGISTRY-124</t>
  </si>
  <si>
    <t>{"source_id": "SRC-RAD-99e967cfbf", "source_name": "Atara Biotherapeutics / Referenzquelle", "source_type": "OFFICIAL_WEB", "module_ids": "M01", "entry_url": "https://investors.atarabio.com/news-events/press-releases",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</si>
  <si>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PR-V21-BASE-SOURCE_REGISTRY-125</t>
  </si>
  <si>
    <t>{"source_id": "SRC-CENTAURI", "source_name": "Centauri Therapeutics", "source_type": "OFFICIAL_WEB", "module_ids": "M01;M06;M07", "entry_url": "https://www.centauritherapeutics.com/", "access_method": "WEB_TEXT", "web_check_status": "CONTENT_READ", "checked_on": "2026-10-29", "langdock_access": "UNTESTED", "use_scope": "COMPANY_AND_TECHNOLOGY_SCOPE", "rights_scope": "PUBLIC", "access_note": "Alphamer-Technologie nutzt vorhandene Antikoerper; nicht pauschal als verabreichter mAb klassifizieren. Identitaet Centauri Therapeutics / Limited abgeglichen.", "review_batch": "INHERITED_NOT_RECHECKED", "api_endpoint": null, "pagination_rule": null}</t>
  </si>
  <si>
    <t>PR-V21-BASE-SOURCE_REGISTRY-126</t>
  </si>
  <si>
    <t>{"source_id": "SRC-RAD-b1e50ef2f0", "source_name": "MaaT Pharma / Referenzquelle", "source_type": "OFFICIAL_WEB", "module_ids": "M01", "entry_url": "https://www.maatpharma.com/pipeline/",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</si>
  <si>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PR-V21-BASE-SOURCE_REGISTRY-127</t>
  </si>
  <si>
    <t>{"source_id": "SRC-RAD-9142305dd4", "source_name": "Excision BioTherapeutics / Referenzquelle", "source_type": "OFFICIAL_WEB", "module_ids": "M01", "entry_url": "https://excisionbiotherapeutics.com/pipeline", "access_method": "WEB_TEXT", "web_check_status": "NOT_CHECKED", "checked_on": null, "langdock_access": "UNTESTED", "use_scope": "COMPANY_SCOPE_ONLY",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</si>
  <si>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PR-V21-BASE-SOURCE_REGISTRY-128</t>
  </si>
  <si>
    <t>Profionics / Referenzquelle</t>
  </si>
  <si>
    <t>{"source_id": "SRC-RAD-dd4d6ddb44", "source_name": "Profionics / Referenzquelle", "source_type": "INDUSTRY_DIRECTORY", "module_ids": "M01", "entry_url": "https://beam-alliance.eu/members/", "access_method": "WEB_TEXT", "web_check_status": "NOT_CHECKED", "checked_on": null, "langdock_access": "UNTESTED", "use_scope": "SECTOR_ASSOCIATION_ONLY", "rights_scope": "PUBLIC", "access_note": "Aus Nutzerdatei uebernommen; URL und aktueller Inhalt nicht in diesem Vollimport live verifiziert.", "review_batch": "INHERITED_NOT_RECHECKED", "api_endpoint": null, "pagination_rule": null}</t>
  </si>
  <si>
    <t>PR-V21-BASE-SOURCE_REGISTRY-129</t>
  </si>
  <si>
    <t>{"source_id": "SRC-INPUT-DZIF_RA", "source_name": "DZIF", "source_type": "PUBLIC_REFERENCE", "module_ids": "M01", "entry_url": "https://www.dzif.de/en/research-areas", "access_method": "WEB_TEXT", "web_check_status": "NOT_CHECKED", "checked_on": null, "langdock_access": "UNTESTED", "use_scope": "DISCOVERY_REFERENCE", "rights_scope": "PUBLIC", "access_note": "Confirms names of DZIF research units.", "review_batch": "INHERITED_NOT_RECHECKED", "api_endpoint": null, "pagination_rule": null}</t>
  </si>
  <si>
    <t>PR-V21-BASE-SOURCE_REGISTRY-130</t>
  </si>
  <si>
    <t>{"source_id": "SRC-INPUT-DZIF_BT", "source_name": "DZIF", "source_type": "PUBLIC_REFERENCE", "module_ids": "M01", "entry_url": "https://www.dzif.de/en/bridging-topics", "access_method": "WEB_TEXT", "web_check_status": "NOT_CHECKED", "checked_on": null, "langdock_access": "UNTESTED", "use_scope": "DISCOVERY_REFERENCE", "rights_scope": "PUBLIC", "access_note": "Confirms transverse themes and their definitions.", "review_batch": "INHERITED_NOT_RECHECKED", "api_endpoint": null, "pagination_rule": null}</t>
  </si>
  <si>
    <t>PR-V21-BASE-SOURCE_REGISTRY-131</t>
  </si>
  <si>
    <t>{"source_id": "SRC-INPUT-WHO_2025", "source_name": "WHO", "source_type": "PUBLIC_REFERENCE", "module_ids": "M01", "entry_url": "https://www.who.int/publications/i/item/9789240113091", "access_method": "WEB_TEXT", "web_check_status": "NOT_CHECKED", "checked_on": null, "langdock_access": "UNTESTED", "use_scope": "DISCOVERY_REFERENCE", "rights_scope": "PUBLIC", "access_note": "Supplemental AMR list; does not cover vaccines or entire infection therapy landscape.", "review_batch": "INHERITED_NOT_RECHECKED", "api_endpoint": null, "pagination_rule": null}</t>
  </si>
  <si>
    <t>PR-V21-BASE-SOURCE_REGISTRY-132</t>
  </si>
  <si>
    <t>{"source_id": "SRC-INPUT-ANTABIO", "source_name": "Antabio", "source_type": "PUBLIC_REFERENCE", "module_ids": "M01", "entry_url": "https://antabio.com/pipeline/", "access_method": "WEB_TEXT", "web_check_status": "NOT_CHECKED", "checked_on": null, "langdock_access": "UNTESTED", "use_scope": "DISCOVERY_REFERENCE", "rights_scope": "PUBLIC", "access_note": "Clinical stage must be checked against latest company/registry data.", "review_batch": "INHERITED_NOT_RECHECKED", "api_endpoint": null, "pagination_rule": null}</t>
  </si>
  <si>
    <t>PR-V21-BASE-SOURCE_REGISTRY-133</t>
  </si>
  <si>
    <t>{"source_id": "SRC-V2-GARDP", "source_name": "GARDP portfolio", "source_type": "OFFICIAL_WEB", "module_ids": "M01;M06", "entry_url": "https://gardp.org/gardp-treatments-and-projects/", "access_method": "WEB_TEXT", "web_check_status": "CONTENT_READ", "checked_on": "2026-10-29", "langdock_access": "UNTESTED", "use_scope": "PUBLIC_PORTFOLIO_AND_PARTNER_SCOPE", "rights_scope": "PUBLIC_SOURCE_TERMS_APPLY", "access_note": "Antibiotika-Entwicklung und Access; PDP, nicht pauschaler offener Foerdergeber.", "review_batch": "V2_RESEARCH", "api_endpoint": null, "pagination_rule": null}</t>
  </si>
  <si>
    <t>PR-V21-BASE-SOURCE_REGISTRY-134</t>
  </si>
  <si>
    <t>{"source_id": "SRC-V2-PDP_ALLIANCE", "source_name": "DNDi / GARDP / MMV cooperation", "source_type": "OFFICIAL_WEB", "module_ids": "M01;M06;M07", "entry_url": "https://gardp.org/dndi-gardp-and-mmv-join-forces-to-accelerate-drug-development-for-patients-in-greatest-need/", "access_method": "WEB_TEXT", "web_check_status": "CONTENT_READ", "checked_on": "2026-10-29", "langdock_access": "UNTESTED", "use_scope": "PARTNERSHIP_SCOPE", "rights_scope": "PUBLIC_SOURCE_TERMS_APPLY", "access_note": "Kooperation 08.06.2026; keine Fusion. MMV-Mandat hier primaer belegt; direkte MMV-Seite im Abruf 403.", "review_batch": "V2_RESEARCH", "api_endpoint": null, "pagination_rule": null}</t>
  </si>
  <si>
    <t>PR-V21-BASE-SOURCE_REGISTRY-135</t>
  </si>
  <si>
    <t>{"source_id": "SRC-V2-TB_ALLIANCE", "source_name": "TB Alliance portfolio", "source_type": "OFFICIAL_WEB", "module_ids": "M01;M06", "entry_url": "https://www.tballiance.org/our-pipeline-portfolio/", "access_method": "WEB_TEXT", "web_check_status": "CONTENT_READ", "checked_on": "2026-10-29", "langdock_access": "UNTESTED", "use_scope": "PUBLIC_PORTFOLIO", "rights_scope": "PUBLIC_SOURCE_TERMS_APPLY", "access_note": "Tuberkulose-Medikamentenentwicklung; Phasen im jeweiligen Lauf pruefen.", "review_batch": "V2_RESEARCH", "api_endpoint": null, "pagination_rule": null}</t>
  </si>
  <si>
    <t>PR-V21-BASE-SOURCE_REGISTRY-136</t>
  </si>
  <si>
    <t>{"source_id": "SRC-V2-FIND", "source_name": "FIND calls for partners", "source_type": "OFFICIAL_WEB", "module_ids": "M05;M06", "entry_url": "https://www.finddx.org/about-us/donors-and-partners/calls-for-partners/", "access_method": "WEB_TEXT", "web_check_status": "CONTENT_READ", "checked_on": "2026-10-29", "langdock_access": "UNTESTED", "use_scope": "PARTNER_CALL_ROUTE", "rights_scope": "PUBLIC_SOURCE_TERMS_APPLY", "access_note": "Diagnostikentwicklung; Partnerschaftsaufrufe sind nicht automatisch unbeschraenkte Grants.", "review_batch": "V2_RESEARCH", "api_endpoint": null, "pagination_rule": null}</t>
  </si>
  <si>
    <t>PR-V21-BASE-SOURCE_REGISTRY-137</t>
  </si>
  <si>
    <t>{"source_id": "SRC-V2-GATES_MRI", "source_name": "Gates MRI research priorities", "source_type": "OFFICIAL_WEB", "module_ids": "M01;M06", "entry_url": "https://www.gatesmri.org/research-priorities/", "access_method": "WEB_TEXT", "web_check_status": "OFFICIAL_SEARCH_RESULT", "checked_on": "2026-10-29", "langdock_access": "UNTESTED", "use_scope": "PUBLIC_RESEARCH_SCOPE", "rights_scope": "PUBLIC_SOURCE_TERMS_APPLY", "access_note": "TB und Malaria; Impfstoffe, Arzneimittel und Biologika. Kein pauschaler Grantgeber.", "review_batch": "V2_RESEARCH", "api_endpoint": null, "pagination_rule": null}</t>
  </si>
  <si>
    <t>PR-V21-BASE-SOURCE_REGISTRY-138</t>
  </si>
  <si>
    <t>{"source_id": "SRC-V2-PATH", "source_name": "PATH vaccine innovation and access", "source_type": "OFFICIAL_WEB", "module_ids": "M01;M06", "entry_url": "https://www.path.org/who-we-are/programs/center-for-vaccine-innovation-and-access/", "access_method": "WEB_TEXT", "web_check_status": "OFFICIAL_SEARCH_RESULT", "checked_on": "2026-10-29", "langdock_access": "UNTESTED", "use_scope": "PUBLIC_DEVELOPMENT_SCOPE", "rights_scope": "PUBLIC_SOURCE_TERMS_APPLY", "access_note": "Impfstoffentwicklung und Access, bakterielle/virale/parasitische Erkrankungen.", "review_batch": "V2_RESEARCH", "api_endpoint": null, "pagination_rule": null}</t>
  </si>
  <si>
    <t>PR-V21-BASE-SOURCE_REGISTRY-139</t>
  </si>
  <si>
    <t>{"source_id": "SRC-V2-IVI", "source_name": "International Vaccine Institute", "source_type": "OFFICIAL_WEB", "module_ids": "M01;M06", "entry_url": "https://www.ivi.int/", "access_method": "WEB_TEXT", "web_check_status": "CONTENT_READ", "checked_on": "2026-10-29", "langdock_access": "UNTESTED", "use_scope": "PUBLIC_INSTITUTION_SCOPE", "rights_scope": "PUBLIC_SOURCE_TERMS_APPLY", "access_note": "Internationale Nonprofit-Impfstoffentwicklung. Fehlerhafte COMMERCIAL-Klassifikation aus Reserve nicht uebernehmen.", "review_batch": "V2_RESEARCH", "api_endpoint": null, "pagination_rule": null}</t>
  </si>
  <si>
    <t>PR-V21-BASE-SOURCE_REGISTRY-140</t>
  </si>
  <si>
    <t>{"source_id": "SRC-V2-DNDI", "source_name": "DNDi partnering", "source_type": "OFFICIAL_WEB", "module_ids": "M01;M06", "entry_url": "https://dndi.org/partnerships/partnering-with-us/", "access_method": "WEB_TEXT", "web_check_status": "CONTENT_READ", "checked_on": "2026-10-29", "langdock_access": "UNTESTED", "use_scope": "PUBLIC_PARTNER_SCOPE", "rights_scope": "PUBLIC_SOURCE_TERMS_APPLY", "access_note": "NTD, ausgewaehlte Virus- und Pilzerkrankungen; bereits als Organisation vorhanden.", "review_batch": "V2_RESEARCH", "api_endpoint": null, "pagination_rule": null}</t>
  </si>
  <si>
    <t>PR-V21-BASE-SOURCE_REGISTRY-141</t>
  </si>
  <si>
    <t>{"source_id": "SRC-V2-IAVI", "source_name": "IAVI research and partnerships", "source_type": "OFFICIAL_WEB", "module_ids": "M01;M06", "entry_url": "https://www.iavi.org/", "access_method": "WEB_TEXT", "web_check_status": "CONTENT_READ", "checked_on": "2026-10-29", "langdock_access": "UNTESTED", "use_scope": "PUBLIC_PARTNER_SCOPE", "rights_scope": "PUBLIC_SOURCE_TERMS_APPLY", "access_note": "Impfstoffe und Antikoerper fuer HIV, TB und Emerging Infections.", "review_batch": "V2_RESEARCH", "api_endpoint": null, "pagination_rule": null}</t>
  </si>
  <si>
    <t>PR-V21-BASE-SOURCE_REGISTRY-142</t>
  </si>
  <si>
    <t>{"source_id": "SRC-V2-AICURIS", "source_name": "AiCuris pipeline", "source_type": "OFFICIAL_WEB", "module_ids": "M01;M06", "entry_url": "https://www.aicuris.com/pipeline-products/", "access_method": "WEB_TEXT", "web_check_status": "OFFICIAL_SEARCH_RESULT", "checked_on": "2026-10-29", "langdock_access": "UNTESTED", "use_scope": "PUBLIC_PORTFOLIO", "rights_scope": "PUBLIC_SOURCE_TERMS_APPLY", "access_note": "Antivirale Small Molecules und ASO; keine Phasen aus historischen Erwartungen ableiten.", "review_batch": "V2_RESEARCH", "api_endpoint": null, "pagination_rule": null}</t>
  </si>
  <si>
    <t>PR-V21-BASE-SOURCE_REGISTRY-143</t>
  </si>
  <si>
    <t>{"source_id": "SRC-V2-AICURIS_GROUP", "source_name": "AiCuris corporate update", "source_type": "OFFICIAL_WEB", "module_ids": "M01;M06;M07", "entry_url": "https://www.aicuris.com/", "access_method": "WEB_TEXT", "web_check_status": "OFFICIAL_SEARCH_RESULT", "checked_on": "2026-10-29", "langdock_access": "UNTESTED", "use_scope": "PUBLIC_CORPORATE_SCOPE", "rights_scope": "PUBLIC_SOURCE_TERMS_APPLY", "access_note": "Website nennt Zugehoerigkeit zu Asahi Kasei Therapeutics. Kein juristischer Rechtstraeger aus Markenname abgeleitet.", "review_batch": "V2_RESEARCH", "api_endpoint": null, "pagination_rule": null}</t>
  </si>
  <si>
    <t>PR-V21-BASE-SOURCE_REGISTRY-144</t>
  </si>
  <si>
    <t>{"source_id": "SRC-V2-AKTX", "source_name": "Asahi Kasei Therapeutics partnering", "source_type": "OFFICIAL_WEB", "module_ids": "M06;M07", "entry_url": "https://www.aktx.com/", "access_method": "WEB_TEXT", "web_check_status": "CONTENT_READ", "checked_on": "2026-10-29", "langdock_access": "UNTESTED", "use_scope": "GROUP_PARTNER_ROUTE", "rights_scope": "PUBLIC_SOURCE_TERMS_APPLY", "access_note": "Globaler Geschaefts-/Markeneinstieg; juristische Einheit vor Kontakt verifizieren.", "review_batch": "V2_RESEARCH", "api_endpoint": null, "pagination_rule": null}</t>
  </si>
  <si>
    <t>PR-V21-BASE-SOURCE_REGISTRY-145</t>
  </si>
  <si>
    <t>{"source_id": "SRC-V2-BUGWORKS", "source_name": "Bugworks portfolio", "source_type": "OFFICIAL_WEB", "module_ids": "M01;M06", "entry_url": "https://bugworksresearch.com/", "access_method": "WEB_TEXT", "web_check_status": "CONTENT_READ", "checked_on": "2026-10-29", "langdock_access": "UNTESTED", "use_scope": "PUBLIC_PORTFOLIO", "rights_scope": "PUBLIC_SOURCE_TERMS_APPLY", "access_note": "Antibakterielle Small Molecules gegen AMR; Onkologie nicht in Infektions-Scoring uebernehmen.", "review_batch": "V2_RESEARCH", "api_endpoint": null, "pagination_rule": null}</t>
  </si>
  <si>
    <t>PR-V21-BASE-SOURCE_REGISTRY-146</t>
  </si>
  <si>
    <t>{"source_id": "SRC-V2-ABBOTT", "source_name": "Abbott infectious disease diagnostics", "source_type": "OFFICIAL_WEB", "module_ids": "M01;M06", "entry_url": "https://www.molecular.abbott/us/en/offerings/products/infectious-disease", "access_method": "WEB_TEXT", "web_check_status": "OFFICIAL_SEARCH_RESULT", "checked_on": "2026-10-29", "langdock_access": "UNTESTED", "use_scope": "PUBLIC_DIAGNOSTICS_PORTFOLIO", "rights_scope": "PUBLIC_SOURCE_TERMS_APPLY", "access_note": "Infektionsdiagnostik, u.a. HIV/HBV/HCV/CMV/EBV. Kein Nachweis einer allgemeinen In-Licensing-Zusage.", "review_batch": "V2_RESEARCH", "api_endpoint": null, "pagination_rule": null}</t>
  </si>
  <si>
    <t>PR-V21-BASE-SOURCE_REGISTRY-147</t>
  </si>
  <si>
    <t>{"source_id": "SRC-V2-EBVALLO", "source_name": "EMA Ebvallo EPAR", "source_type": "OFFICIAL_WEB", "module_ids": "M01;M04;M06", "entry_url": "https://www.ema.europa.eu/en/medicines/human/EPAR/ebvallo", "access_method": "WEB_TEXT", "web_check_status": "CONTENT_READ", "checked_on": "2026-10-29", "langdock_access": "UNTESTED", "use_scope": "PUBLIC_PRODUCT_AND_MAH", "rights_scope": "PUBLIC_SOURCE_TERMS_APPLY", "access_note": "Tabelecleucel, EBV-spezifische T-Zelltherapie. EBV+ PTLD ist virusassoziierte Onkologie, nicht allgemeine antiinfektive Indikation.", "review_batch": "V2_RESEARCH", "api_endpoint": null, "pagination_rule": null}</t>
  </si>
  <si>
    <t>PR-V21-BASE-SOURCE_REGISTRY-148</t>
  </si>
  <si>
    <t>{"source_id": "SRC-V2-VENATORX", "source_name": "Venatorx website status", "source_type": "OFFICIAL_WEB", "module_ids": "M01;M06", "entry_url": "https://venatorx.com/", "access_method": "WEB_TEXT", "web_check_status": "MAINTENANCE_PAGE", "checked_on": "2026-10-29", "langdock_access": "UNTESTED", "use_scope": "WEBSITE_AVAILABILITY_ONLY", "rights_scope": "PUBLIC_SOURCE_TERMS_APPLY", "access_note": "Nur Wartungsseite vorgefunden. Aktueller Betriebs-/Assetstatus nicht bestaetigt; Reserve nicht automatisch aktivieren.", "review_batch": "V2_RESEARCH", "api_endpoint": null, "pagination_rule": null}</t>
  </si>
  <si>
    <t>PR-V21-BASE-SOURCE_REGISTRY-149</t>
  </si>
  <si>
    <t>{"source_id": "SRC-V2-GO_BIO_INITIAL", "source_name": "GO-Bio initial", "source_type": "OFFICIAL_WEB", "module_ids": "M05", "entry_url": "https://www.foerderdatenbank.de/FDB/Content/DE/Foerderprogramm/Bund/BMBF/gesundheitsforschung-go-bio-initial2.html", "access_method": "WEB_TEXT", "web_check_status": "OFFICIAL_SEARCH_RESULT", "checked_on": "2026-10-29", "langdock_access": "UNTESTED", "use_scope": "PROGRAM_SCOPE", "rights_scope": "PUBLIC_SOURCE_TERMS_APPLY", "access_note": "Fruehe Verwertungsideen aus Life Sciences; getrennt von GO-Bio next.", "review_batch": "V2_RESEARCH", "api_endpoint": null, "pagination_rule": null}</t>
  </si>
  <si>
    <t>PR-V21-BASE-SOURCE_REGISTRY-150</t>
  </si>
  <si>
    <t>{"source_id": "SRC-V2-EIC_PATHFINDER", "source_name": "EIC Pathfinder", "source_type": "OFFICIAL_WEB", "module_ids": "M05", "entry_url": "https://eic.ec.europa.eu/eic-funding-opportunities/eic-pathfinder_en", "access_method": "WEB_TEXT", "web_check_status": "CONTENT_READ", "checked_on": "2026-10-29", "langdock_access": "UNTESTED", "use_scope": "PROGRAM_SCOPE", "rights_scope": "PUBLIC_SOURCE_TERMS_APPLY", "access_note": "Fruehe Deep-Tech-Forschung; Open-/Challenge-spezifische Konsortialregeln pruefen.", "review_batch": "V2_RESEARCH", "api_endpoint": null, "pagination_rule": null}</t>
  </si>
  <si>
    <t>PR-V21-BASE-SOURCE_REGISTRY-151</t>
  </si>
  <si>
    <t>{"source_id": "SRC-V2-EIC_TRANSITION", "source_name": "EIC Transition", "source_type": "OFFICIAL_WEB", "module_ids": "M05", "entry_url": "https://eic.ec.europa.eu/eic-funding-opportunities/eic-transition_en", "access_method": "WEB_TEXT", "web_check_status": "CONTENT_READ", "checked_on": "2026-10-29", "langdock_access": "UNTESTED", "use_scope": "PROGRAM_SCOPE", "rights_scope": "PUBLIC_SOURCE_TERMS_APPLY", "access_note": "Qualifizierendes Ergebnis eines zugelassenen EU-Vorprojekts erforderlich; konkrete Fristen/TRL live pruefen.", "review_batch": "V2_RESEARCH", "api_endpoint": null, "pagination_rule": null}</t>
  </si>
  <si>
    <t>PR-V21-BASE-SOURCE_REGISTRY-152</t>
  </si>
  <si>
    <t>{"source_id": "SRC-V2-EIC_ACCELERATOR", "source_name": "EIC Accelerator", "source_type": "OFFICIAL_WEB", "module_ids": "M05", "entry_url": "https://eic.ec.europa.eu/eic-funding-opportunities/eic-accelerator_en", "access_method": "WEB_TEXT", "web_check_status": "CONTENT_READ", "checked_on": "2026-10-29", "langdock_access": "UNTESTED", "use_scope": "PROGRAM_SCOPE", "rights_scope": "PUBLIC_SOURCE_TERMS_APPLY", "access_note": "Startup/SME-Route; Reifegrad und Antragskonstellation pro Instrument pruefen, klinische Phase nicht mit TRL gleichsetzen.", "review_batch": "V2_RESEARCH", "api_endpoint": null, "pagination_rule": null}</t>
  </si>
  <si>
    <t>PR-V21-BASE-SOURCE_REGISTRY-153</t>
  </si>
  <si>
    <t>{"source_id": "SRC-V2-ERC_POC", "source_name": "ERC Proof of Concept", "source_type": "OFFICIAL_WEB", "module_ids": "M05", "entry_url": "https://erc.europa.eu/apply-grant/proof-concept", "access_method": "WEB_TEXT", "web_check_status": "CONTENT_READ", "checked_on": "2026-10-29", "langdock_access": "UNTESTED", "use_scope": "PROGRAM_SCOPE", "rights_scope": "PUBLIC_SOURCE_TERMS_APPLY", "access_note": "Foerderfaehige ERC-Vorfoerderung und PI-Konstellation erforderlich.", "review_batch": "V2_RESEARCH", "api_endpoint": null, "pagination_rule": null}</t>
  </si>
  <si>
    <t>PR-V21-BASE-SOURCE_REGISTRY-154</t>
  </si>
  <si>
    <t>{"source_id": "SRC-V2-BARDA_BAA", "source_name": "BARDA Broad Agency Announcement", "source_type": "OFFICIAL_WEB", "module_ids": "M05", "entry_url": "https://www.medicalcountermeasures.gov/barda/barda-baa", "access_method": "WEB_TEXT", "web_check_status": "OFFICIAL_SEARCH_RESULT", "checked_on": "2026-10-29", "langdock_access": "UNTESTED", "use_scope": "SOLICITATION_ROUTE", "rights_scope": "PUBLIC_SOURCE_TERMS_APPLY", "access_note": "Medical Countermeasures fuer US-Mission; meist Vertrags-/Beschaffungslogik, aktive AOI und internationale Teilnahme live pruefen.", "review_batch": "V2_RESEARCH", "api_endpoint": null, "pagination_rule": null}</t>
  </si>
  <si>
    <t>PR-V21-BASE-SOURCE_REGISTRY-155</t>
  </si>
  <si>
    <t>{"source_id": "SRC-V2-BARDA_DRIVE", "source_name": "BARDA DRIVe opportunities", "source_type": "OFFICIAL_WEB", "module_ids": "M05", "entry_url": "https://www.drive.hhs.gov/partner.html", "access_method": "WEB_TEXT", "web_check_status": "OFFICIAL_SEARCH_RESULT", "checked_on": "2026-10-29", "langdock_access": "UNTESTED", "use_scope": "OPPORTUNITIES_ROUTE", "rights_scope": "PUBLIC_SOURCE_TERMS_APPLY", "access_note": "Kein Always-open-Grant. DRIVe und jeweilige Herausforderung/Vertragsroute live pruefen.", "review_batch": "V2_RESEARCH", "api_endpoint": null, "pagination_rule": null}</t>
  </si>
  <si>
    <t>PR-V21-BASE-SOURCE_REGISTRY-156</t>
  </si>
  <si>
    <t>{"source_id": "SRC-V2-BARDA_EZ_STATUS", "source_name": "BARDA EZ-BAA status", "source_type": "OFFICIAL_WEB", "module_ids": "M05", "entry_url": "https://bdr.hhs.gov/", "access_method": "WEB_TEXT", "web_check_status": "OFFICIAL_SEARCH_RESULT", "checked_on": "2026-10-29", "langdock_access": "UNTESTED", "use_scope": "STATUS_CHECK", "rights_scope": "PUBLIC_SOURCE_TERMS_APPLY", "access_note": "Offizielle Seite meldete alle EZ-BAA AOIs geschlossen; keine offene EZ-BAA behaupten.", "review_batch": "V2_RESEARCH", "api_endpoint": null, "pagination_rule": null}</t>
  </si>
  <si>
    <t>PR-V21-BASE-SOURCE_REGISTRY-157</t>
  </si>
  <si>
    <t>{"source_id": "SRC-V2-CTG", "source_name": "ClinicalTrials.gov API", "source_type": "OFFICIAL_API", "module_ids": "M02", "entry_url": "https://clinicaltrials.gov/data-api/api", "access_method": "API_DOCS", "web_check_status": "PARTIAL", "checked_on": "2026-10-29", "langdock_access": "UNTESTED", "use_scope": "REGISTRY_API_DOCS", "rights_scope": "PUBLIC_SOURCE_TERMS_APPLY", "access_note": "Registerroute; API und Pagination im Langdock-Workspace noch nicht getestet.", "review_batch": "V2_RESEARCH", "api_endpoint": "https://clinicaltrials.gov/api/v2/studies", "pagination_rule": "pageToken / nextPageToken; totalCount when requested; stop only at end or log truncation."}</t>
  </si>
  <si>
    <t>PR-V21-BASE-SOURCE_REGISTRY-158</t>
  </si>
  <si>
    <t>{"source_id": "SRC-V2-CTIS", "source_name": "EMA CTIS public information", "source_type": "OFFICIAL_WEB", "module_ids": "M02", "entry_url": "https://www.ema.europa.eu/de/node/70294", "access_method": "DYNAMIC_WEB", "web_check_status": "CONTENT_READ", "checked_on": "2026-10-29", "langdock_access": "UNTESTED", "use_scope": "EU_REGISTRY_ROUTE", "rights_scope": "PUBLIC_SOURCE_TERMS_APPLY", "access_note": "EU/EEA-Studien. Oeffentliches Portal ueber offizielle EMA-Seite aufrufen; keine freie API unterstellen.", "review_batch": "V2_RESEARCH", "api_endpoint": null, "pagination_rule": null}</t>
  </si>
  <si>
    <t>PR-V21-BASE-SOURCE_REGISTRY-159</t>
  </si>
  <si>
    <t>{"source_id": "SRC-V2-ICTRP", "source_name": "WHO ICTRP", "source_type": "OFFICIAL_WEB", "module_ids": "M02", "entry_url": "https://www.who.int/tools/clinical-trials-registry-platform", "access_method": "DYNAMIC_WEB", "web_check_status": "CONTENT_READ", "checked_on": "2026-10-29", "langdock_access": "UNTESTED", "use_scope": "GLOBAL_REGISTRY_AGGREGATOR", "rights_scope": "PUBLIC_SOURCE_TERMS_APPLY", "access_note": "Internationaler Aggregator; Dubletten ueber Register-IDs zusammenfuehren; Zugriffsbedingungen beachten.", "review_batch": "V2_RESEARCH", "api_endpoint": null, "pagination_rule": null}</t>
  </si>
  <si>
    <t>PR-V21-BASE-SOURCE_REGISTRY-160</t>
  </si>
  <si>
    <t>{"source_id": "SRC-V2-PUBMED", "source_name": "NCBI E-utilities", "source_type": "OFFICIAL_API", "module_ids": "M03", "entry_url": "https://www.ncbi.nlm.nih.gov/home/develop/api/", "access_method": "API_DOCS", "web_check_status": "OFFICIAL_SEARCH_RESULT", "checked_on": "2026-10-29", "langdock_access": "UNTESTED", "use_scope": "LITERATURE_API_DOCS", "rights_scope": "PUBLIC_SOURCE_TERMS_APPLY", "access_note": "PubMed und PMC APIs; API-Limits/Batching beachten; keine Volltextlizenz aus Metadatenzugriff ableiten.", "review_batch": "V2_RESEARCH", "api_endpoint": "https://eutils.ncbi.nlm.nih.gov/entrez/eutils/esearch.fcgi", "pagination_rule": "ESearch retstart/retmax, then ESummary/EFetch; API limits and PubMed retrieval limits separately implement."}</t>
  </si>
  <si>
    <t>PR-V21-BASE-SOURCE_REGISTRY-161</t>
  </si>
  <si>
    <t>{"source_id": "SRC-V2-EPMC", "source_name": "Europe PMC REST API", "source_type": "OFFICIAL_API", "module_ids": "M03", "entry_url": "https://europepmc.org/RestfulWebService", "access_method": "API_DOCS", "web_check_status": "PARTIAL", "checked_on": "2026-10-29", "langdock_access": "UNTESTED", "use_scope": "LITERATURE_API_DOCS", "rights_scope": "PUBLIC_SOURCE_TERMS_APPLY", "access_note": "Produktiver REST-Dienst bei ebi.ac.uk dokumentiert; Guide-Abruf hier 403, offizielle Dev-Dokumentation gegengeprueft. Preprints gesondert markieren.", "review_batch": "V2_RESEARCH", "api_endpoint": "https://www.ebi.ac.uk/europepmc/webservices/rest/search", "pagination_rule": "cursorMark / nextCursorMark; DOI/PMID dedup; preprints labelled separately."}</t>
  </si>
  <si>
    <t>PR-V21-BASE-SOURCE_REGISTRY-162</t>
  </si>
  <si>
    <t>{"source_id": "SRC-V2-EMA_GUIDE", "source_name": "EMA scientific guidelines", "source_type": "OFFICIAL_WEB", "module_ids": "M04;M11", "entry_url": "https://www.ema.europa.eu/en/human-regulatory-overview/research-development/scientific-guidelines-human-medicines", "access_method": "WEB_TEXT", "web_check_status": "CONTENT_READ", "checked_on": "2026-10-29", "langdock_access": "UNTESTED", "use_scope": "REGULATORY_GUIDELINE_HUB", "rights_scope": "PUBLIC_SOURCE_TERMS_APPLY", "access_note": "Version, Draft/Final, Gueltigkeitsdatum und Produktklasse live pruefen. Keine vertraulichen Scientific-Advice-Protokolle erwarten.", "review_batch": "V2_RESEARCH", "api_endpoint": null, "pagination_rule": null}</t>
  </si>
  <si>
    <t>PR-V21-BASE-SOURCE_REGISTRY-163</t>
  </si>
  <si>
    <t>{"source_id": "SRC-V2-EMA_ATMP", "source_name": "EMA investigational ATMP guideline", "source_type": "OFFICIAL_WEB", "module_ids": "M04;M11", "entry_url": "https://www.ema.europa.eu/en/scientific-guidelines/guideline-quality-non-clinical-clinical-requirements-investigational-advanced-therapy-medicinal-products-clinical-trials", "access_method": "WEB_TEXT", "web_check_status": "OFFICIAL_SEARCH_RESULT", "checked_on": "2026-10-29", "langdock_access": "UNTESTED", "use_scope": "ATMP_GUIDELINE_ROUTE", "rights_scope": "PUBLIC_SOURCE_TERMS_APPLY", "access_note": "Zell-/Gentherapie; einschlaegige Version und Umsetzungsdatum pruefen.", "review_batch": "V2_RESEARCH", "api_endpoint": null, "pagination_rule": null}</t>
  </si>
  <si>
    <t>PR-V21-BASE-SOURCE_REGISTRY-164</t>
  </si>
  <si>
    <t>{"source_id": "SRC-V2-FDA_GUIDE", "source_name": "FDA guidance documents", "source_type": "OFFICIAL_WEB", "module_ids": "M04", "entry_url": "https://www.fda.gov/regulatory-information/search-fda-guidance-documents", "access_method": "DYNAMIC_WEB", "web_check_status": "CONTENT_READ", "checked_on": "2026-10-29", "langdock_access": "UNTESTED", "use_scope": "FDA_GUIDELINE_HUB", "rights_scope": "PUBLIC_SOURCE_TERMS_APPLY", "access_note": "Filter nach Produkttyp, Ausgabedatum und Draft/Final; Tabelleninhalt dynamisch.", "review_batch": "V2_RESEARCH", "api_endpoint": null, "pagination_rule": null}</t>
  </si>
  <si>
    <t>PR-V21-BASE-SOURCE_REGISTRY-165</t>
  </si>
  <si>
    <t>{"source_id": "SRC-V2-FDA_CGT", "source_name": "FDA cellular and gene therapy guidance", "source_type": "OFFICIAL_WEB", "module_ids": "M04;M11", "entry_url": "https://www.fda.gov/vaccines-blood-biologics/biologics-guidances/cellular-gene-therapy-guidances", "access_method": "WEB_TEXT", "web_check_status": "CONTENT_READ", "checked_on": "2026-10-29", "langdock_access": "UNTESTED", "use_scope": "CGT_GUIDELINE_ROUTE", "rights_scope": "PUBLIC_SOURCE_TERMS_APPLY", "access_note": "CBER-Zell-/Gentherapie; produkt- und risikospezifische Anforderungen.", "review_batch": "V2_RESEARCH", "api_endpoint": null, "pagination_rule": null}</t>
  </si>
  <si>
    <t>PR-V21-BASE-SOURCE_REGISTRY-166</t>
  </si>
  <si>
    <t>{"source_id": "SRC-V2-PEI", "source_name": "PEI regulation", "source_type": "OFFICIAL_WEB", "module_ids": "M04;M11", "entry_url": "https://www.pei.de/EN/regulation/regulation-node.html", "access_method": "WEB_TEXT", "web_check_status": "ACCESS_BLOCKED", "checked_on": "2026-10-29", "langdock_access": "UNTESTED", "use_scope": "GERMAN_BIOLOGICS_REGULATION", "rights_scope": "PUBLIC_SOURCE_TERMS_APPLY", "access_note": "Quelle relevant; Abruf in dieser Umgebung 403. Kein erfolgreicher automatischer Zugriff behauptet.", "review_batch": "V2_RESEARCH", "api_endpoint": null, "pagination_rule": null}</t>
  </si>
  <si>
    <t>PR-V21-BASE-SOURCE_REGISTRY-167</t>
  </si>
  <si>
    <t>{"source_id": "SRC-V2-EMA_MED", "source_name": "EMA medicines", "source_type": "OFFICIAL_WEB", "module_ids": "M04", "entry_url": "https://www.ema.europa.eu/en/medicines", "access_method": "DYNAMIC_WEB", "web_check_status": "CONTENT_READ", "checked_on": "2026-10-29", "langdock_access": "UNTESTED", "use_scope": "AUTHORIZATION_ROUTE", "rights_scope": "PUBLIC_SOURCE_TERMS_APPLY", "access_note": "EPAR, oeffentliche Bewertungen und Zulassungsentscheidungen; nicht vollstaendig fuer nationale Zulassungen.", "review_batch": "V2_RESEARCH", "api_endpoint": null, "pagination_rule": null}</t>
  </si>
  <si>
    <t>PR-V21-BASE-SOURCE_REGISTRY-168</t>
  </si>
  <si>
    <t>{"source_id": "SRC-V2-IDSA", "source_name": "IDSA guidelines", "source_type": "OFFICIAL_WEB", "module_ids": "M09", "entry_url": "https://www.idsociety.org/practice-guideline/practice-guidelines/", "access_method": "WEB_TEXT", "web_check_status": "CONTENT_READ", "checked_on": "2026-10-29", "langdock_access": "UNTESTED", "use_scope": "MEDICAL_GUIDELINE_HUB", "rights_scope": "PUBLIC_SOURCE_TERMS_APPLY", "access_note": "Standard of Care nach Indikation/Population/Jurisdiktion, aktuelle Version verifizieren.", "review_batch": "V2_RESEARCH", "api_endpoint": null, "pagination_rule": null}</t>
  </si>
  <si>
    <t>PR-V21-BASE-SOURCE_REGISTRY-169</t>
  </si>
  <si>
    <t>{"source_id": "SRC-V2-WHO_GUIDE", "source_name": "WHO guidelines", "source_type": "OFFICIAL_WEB", "module_ids": "M09", "entry_url": "https://www.who.int/publications/who-guidelines", "access_method": "WEB_TEXT", "web_check_status": "CONTENT_READ", "checked_on": "2026-10-29", "langdock_access": "UNTESTED", "use_scope": "MEDICAL_PUBLIC_HEALTH_GUIDELINES", "rights_scope": "PUBLIC_SOURCE_TERMS_APPLY", "access_note": "Planung und publizierte Guidelines trennen; erwartetes Datum ist keine bereits veroeffentlichte Empfehlung.", "review_batch": "V2_RESEARCH", "api_endpoint": null, "pagination_rule": null}</t>
  </si>
  <si>
    <t>PR-V21-BASE-SOURCE_REGISTRY-170</t>
  </si>
  <si>
    <t>{"source_id": "SRC-V2-AWMF", "source_name": "AWMF guidelines register", "source_type": "OFFICIAL_WEB", "module_ids": "M09", "entry_url": "https://register.awmf.org/de/leitlinien/aktuelle-leitlinien", "access_method": "DYNAMIC_WEB", "web_check_status": "ACCESS_BLOCKED", "checked_on": "2026-10-29", "langdock_access": "UNTESTED", "use_scope": "GERMAN_GUIDELINE_REGISTER", "rights_scope": "PUBLIC_SOURCE_TERMS_APPLY", "access_note": "Bot-Schutz blockiert Direktabruf. Manuelle/offizielle Suchroute notwendig; keine Umgehung implementiert.", "review_batch": "V2_RESEARCH", "api_endpoint": null, "pagination_rule": null}</t>
  </si>
  <si>
    <t>PR-V21-BASE-SOURCE_REGISTRY-171</t>
  </si>
  <si>
    <t>{"source_id": "SRC-V2-ECDC", "source_name": "ECDC data dashboards", "source_type": "OFFICIAL_WEB", "module_ids": "M09", "entry_url": "https://www.ecdc.europa.eu/en/data-dashboards-and-databases", "access_method": "DYNAMIC_WEB", "web_check_status": "OFFICIAL_SEARCH_RESULT", "checked_on": "2026-10-29", "langdock_access": "UNTESTED", "use_scope": "EU_EPIDEMIOLOGY", "rights_scope": "PUBLIC_SOURCE_TERMS_APPLY", "access_note": "Datenraum, Berichtsjahr, Definitionen und Nenner dokumentieren; keine DACH-Marktgroesse direkt ableiten.", "review_batch": "V2_RESEARCH", "api_endpoint": null, "pagination_rule": null}</t>
  </si>
  <si>
    <t>PR-V21-BASE-SOURCE_REGISTRY-172</t>
  </si>
  <si>
    <t>{"source_id": "SRC-V2-ESPACENET", "source_name": "EPO Espacenet", "source_type": "OFFICIAL_WEB", "module_ids": "M10", "entry_url": "https://www.epo.org/en/searching-for-patents/technical/espacenet", "access_method": "DYNAMIC_WEB", "web_check_status": "CONTENT_READ", "checked_on": "2026-10-29", "langdock_access": "UNTESTED", "use_scope": "PATENT_SEARCH_ROUTE", "rights_scope": "PUBLIC_SOURCE_TERMS_APPLY", "access_note": "Patentanmeldungen, Familien und Prioritaeten; keine Freedom-to-Operate-Freigabe.", "review_batch": "V2_RESEARCH", "api_endpoint": null, "pagination_rule": null}</t>
  </si>
  <si>
    <t>PR-V21-BASE-SOURCE_REGISTRY-173</t>
  </si>
  <si>
    <t>{"source_id": "SRC-V2-PATENTSCOPE", "source_name": "WIPO PATENTSCOPE", "source_type": "OFFICIAL_WEB", "module_ids": "M10", "entry_url": "https://www.wipo.int/en/web/patentscope", "access_method": "DYNAMIC_WEB", "web_check_status": "CONTENT_READ", "checked_on": "2026-10-29", "langdock_access": "UNTESTED", "use_scope": "PATENT_SEARCH_ROUTE", "rights_scope": "PUBLIC_SOURCE_TERMS_APPLY", "access_note": "PCT und teilnehmende Aemter; Familie/Dubletten/Status pruefen; nicht alle nationalen Rechtsstaende.", "review_batch": "V2_RESEARCH", "api_endpoint": null, "pagination_rule": null}</t>
  </si>
  <si>
    <t>PR-V21-BASE-SOURCE_REGISTRY-174</t>
  </si>
  <si>
    <t>{"source_id": "SRC-V2-DPMA", "source_name": "DPMAregister", "source_type": "OFFICIAL_WEB", "module_ids": "M10", "entry_url": "https://www.dpma.de/recherche/dpmaregister/index.html", "access_method": "DYNAMIC_WEB", "web_check_status": "CONTENT_READ", "checked_on": "2026-10-29", "langdock_access": "UNTESTED", "use_scope": "GERMAN_PATENT_STATUS", "rights_scope": "PUBLIC_SOURCE_TERMS_APPLY", "access_note": "Rechts-/Verfahrensstand in Deutschland; rechtliche Bewertung durch Patentexperten.", "review_batch": "V2_RESEARCH", "api_endpoint": null, "pagination_rule": null}</t>
  </si>
  <si>
    <t>PR-V21-BASE-SOURCE_REGISTRY-175</t>
  </si>
  <si>
    <t>{"source_id": "SRC-V2-EU_GMP", "source_name": "EudraLex Volume 4", "source_type": "OFFICIAL_WEB", "module_ids": "M11", "entry_url": "https://health.ec.europa.eu/medicinal-products/eudralex/eudralex-volume-4_en", "access_method": "WEB_TEXT", "web_check_status": "CONTENT_READ", "checked_on": "2026-10-29", "langdock_access": "UNTESTED", "use_scope": "GMP_GUIDANCE", "rights_scope": "PUBLIC_SOURCE_TERMS_APPLY", "access_note": "EU GMP einschliesslich ATMP Teil IV; einschlaegige Anhaenge live pruefen.", "review_batch": "V2_RESEARCH", "api_endpoint": null, "pagination_rule": null}</t>
  </si>
  <si>
    <t>PR-V21-BASE-SOURCE_REGISTRY-176</t>
  </si>
  <si>
    <t>{"source_id": "SRC-V2-ICH_Q", "source_name": "ICH quality guidelines", "source_type": "OFFICIAL_WEB", "module_ids": "M11", "entry_url": "https://www.ich.org/page/quality-guidelines", "access_method": "DYNAMIC_WEB", "web_check_status": "PARTIAL", "checked_on": "2026-10-29", "langdock_access": "UNTESTED", "use_scope": "QUALITY_GUIDELINE_HUB", "rights_scope": "PUBLIC_SOURCE_TERMS_APPLY", "access_note": "Dynamische Seite; ICH-Versionen, regionale Implementierung und Produktklasse beachten.", "review_batch": "V2_RESEARCH", "api_endpoint": null, "pagination_rule": null}</t>
  </si>
  <si>
    <t>PR-V21-BASE-SOURCE_REGISTRY-177</t>
  </si>
  <si>
    <t>{"source_id": "SRC-V2-HERA", "source_name": "HERA opportunities and policy", "source_type": "OFFICIAL_WEB", "module_ids": "M05;M12", "entry_url": "https://health.ec.europa.eu/health-emergency-preparedness-and-response-hera_en", "access_method": "WEB_TEXT", "web_check_status": "CONTENT_READ", "checked_on": "2026-10-29", "langdock_access": "UNTESTED", "use_scope": "PREPAREDNESS_OPPORTUNITIES", "rights_scope": "PUBLIC_SOURCE_TERMS_APPLY", "access_note": "Forschung, Beschaffung und Preparedness trennen; kein einzelner universell offener Call.", "review_batch": "V2_RESEARCH", "api_endpoint": null, "pagination_rule": null}</t>
  </si>
  <si>
    <t>PR-V21-BASE-SOURCE_REGISTRY-178</t>
  </si>
  <si>
    <t>{"source_id": "SRC-V2-GBA", "source_name": "G-BA benefit assessment", "source_type": "OFFICIAL_WEB", "module_ids": "M12", "entry_url": "https://www.g-ba.de/bewertungsverfahren/nutzenbewertung/", "access_method": "WEB_TEXT", "web_check_status": "CONTENT_READ", "checked_on": "2026-10-29", "langdock_access": "UNTESTED", "use_scope": "DE_ACCESS_ASSESSMENT", "rights_scope": "PUBLIC_SOURCE_TERMS_APPLY", "access_note": "Nutzenbewertungsverfahren und Vergleichstherapie; Relevanz fuer Produkt und Land pruefen.", "review_batch": "V2_RESEARCH", "api_endpoint": null, "pagination_rule": null}</t>
  </si>
  <si>
    <t>PR-V21-BASE-SOURCE_REGISTRY-179</t>
  </si>
  <si>
    <t>{"source_id": "SRC-V2-EU_HTA", "source_name": "EU Health Technology Assessment", "source_type": "OFFICIAL_WEB", "module_ids": "M12", "entry_url": "https://health.ec.europa.eu/health-technology-assessment_en", "access_method": "WEB_TEXT", "web_check_status": "CONTENT_READ", "checked_on": "2026-10-29", "langdock_access": "UNTESTED", "use_scope": "EU_HTA_POLICY", "rights_scope": "PUBLIC_SOURCE_TERMS_APPLY", "access_note": "Gemeinsame Bewertungen/Beratungen und Umsetzung; Scope und Anwendungstermine pruefen.", "review_batch": "V2_RESEARCH", "api_endpoint": null, "pagination_rule": null}</t>
  </si>
  <si>
    <t>PR-V21-BASE-SOURCE_REGISTRY-180</t>
  </si>
  <si>
    <t>{"source_id": "SRC-V2-UNICEF", "source_name": "UNICEF immunization market dashboard", "source_type": "OFFICIAL_WEB", "module_ids": "M12", "entry_url": "https://www.unicef.org/supply/immunization-market-dashboard", "access_method": "DYNAMIC_WEB", "web_check_status": "OFFICIAL_SEARCH_RESULT", "checked_on": "2026-10-29", "langdock_access": "UNTESTED", "use_scope": "VACCINE_MARKET_PROCUREMENT", "rights_scope": "PUBLIC_SOURCE_TERMS_APPLY", "access_note": "Beschaffungs- und Marktinformationen; Preis/Volumen nicht in jaehrlichem Master festschreiben.", "review_batch": "V2_RESEARCH", "api_endpoint": null, "pagination_rule": null}</t>
  </si>
  <si>
    <t>PR-V21-BASE-SOURCE_REGISTRY-181</t>
  </si>
  <si>
    <t>{"source_id": "SRC-V2-NHS_AMR", "source_name": "NHS antibiotic subscription model", "source_type": "OFFICIAL_WEB", "module_ids": "M12", "entry_url": "https://www.england.nhs.uk/medicines-2/antimicrobial-products-subscription-model/", "access_method": "DYNAMIC_WEB", "web_check_status": "ACCESS_BLOCKED", "checked_on": "2026-10-29", "langdock_access": "UNTESTED", "use_scope": "UK_AMR_PULL_ROUTE", "rights_scope": "PUBLIC_SOURCE_TERMS_APPLY", "access_note": "Bot-Schutz; Teilnahmebedingungen und aktuelles Verfahren separat pruefen.", "review_batch": "V2_RESEARCH", "api_endpoint": null, "pagination_rule": null}</t>
  </si>
  <si>
    <t>PR-V21-BASE-SOURCE_REGISTRY-182</t>
  </si>
  <si>
    <t>{"source_id": "SRC-V2-ESCMID", "source_name": "ESCMID Global", "source_type": "OFFICIAL_WEB", "module_ids": "M08", "entry_url": "https://www.escmid.org/congress-events/escmid-global/", "access_method": "WEB_TEXT", "web_check_status": "CONTENT_READ", "checked_on": "2026-10-29", "langdock_access": "UNTESTED", "use_scope": "EVENT_SERIES", "rights_scope": "PUBLIC_SOURCE_TERMS_APPLY", "access_note": "Veranstaltungsreihe; Termine und Abstract-/Partneringfristen live ermitteln.", "review_batch": "V2_RESEARCH", "api_endpoint": null, "pagination_rule": null}</t>
  </si>
  <si>
    <t>PR-V21-BASE-SOURCE_REGISTRY-183</t>
  </si>
  <si>
    <t>{"source_id": "SRC-V2-IDWEEK", "source_name": "IDWeek", "source_type": "OFFICIAL_WEB", "module_ids": "M08", "entry_url": "https://www.idweek.org/", "access_method": "WEB_TEXT", "web_check_status": "CONTENT_READ", "checked_on": "2026-10-29", "langdock_access": "UNTESTED", "use_scope": "EVENT_SERIES", "rights_scope": "PUBLIC_SOURCE_TERMS_APPLY", "access_note": "Veranstaltungsreihe; bereits vergangene Ausgabe nicht als kommende Veranstaltung ausgeben.", "review_batch": "V2_RESEARCH", "api_endpoint": null, "pagination_rule": null}</t>
  </si>
  <si>
    <t>PR-V21-BASE-SOURCE_REGISTRY-184</t>
  </si>
  <si>
    <t>{"source_id": "SRC-V2-BIO", "source_name": "BIO International Convention", "source_type": "OFFICIAL_WEB", "module_ids": "M08", "entry_url": "https://convention.bio.org/", "access_method": "WEB_TEXT", "web_check_status": "CONTENT_READ", "checked_on": "2026-10-29", "langdock_access": "UNTESTED", "use_scope": "EVENT_SERIES", "rights_scope": "PUBLIC_SOURCE_TERMS_APPLY", "access_note": "BD-/Partnering-Reihe; konkrete Ausgabe und Fristen live pruefen.", "review_batch": "V2_RESEARCH", "api_endpoint": null, "pagination_rule": null}</t>
  </si>
  <si>
    <t>PR-V21-BASE-SOURCE_REGISTRY-185</t>
  </si>
  <si>
    <t>{"source_id": "SRC-V2-BIOEUROPE", "source_name": "BIO-Europe", "source_type": "OFFICIAL_WEB", "module_ids": "M08", "entry_url": "https://informaconnect.com/bioeurope/", "access_method": "WEB_TEXT", "web_check_status": "CONTENT_READ", "checked_on": "2026-10-29", "langdock_access": "UNTESTED", "use_scope": "EVENT_SERIES", "rights_scope": "PUBLIC_SOURCE_TERMS_APPLY", "access_note": "BD-Partnering; Veranstaltungsreihe, keine dauerhaft gueltigen Jahresdaten.", "review_batch": "V2_RESEARCH", "api_endpoint": null, "pagination_rule": null}</t>
  </si>
  <si>
    <t>PR-V21-BASE-SOURCE_REGISTRY-186</t>
  </si>
  <si>
    <t>{"source_id": "SRC-V2-ASGCT", "source_name": "ASGCT annual meeting", "source_type": "OFFICIAL_WEB", "module_ids": "M08", "entry_url": "https://annualmeeting.asgct.org/", "access_method": "WEB_TEXT", "web_check_status": "CONTENT_READ", "checked_on": "2026-10-29", "langdock_access": "UNTESTED", "use_scope": "EVENT_SERIES", "rights_scope": "PUBLIC_SOURCE_TERMS_APPLY", "access_note": "Zell-/Gentherapieplattformen und Translational Development.", "review_batch": "V2_RESEARCH", "api_endpoint": null, "pagination_rule": null}</t>
  </si>
  <si>
    <t>PR-V21-BASE-SOURCE_REGISTRY-187</t>
  </si>
  <si>
    <t>{"source_id": "SRC-V2-WVC", "source_name": "World Vaccine Congress Europe", "source_type": "OFFICIAL_WEB", "module_ids": "M08", "entry_url": "https://www.terrapinn.com/conference/world-vaccine-congress-europe/", "access_method": "WEB_TEXT", "web_check_status": "CONTENT_READ", "checked_on": "2026-10-29", "langdock_access": "UNTESTED", "use_scope": "EVENT_SERIES", "rights_scope": "PUBLIC_SOURCE_TERMS_APPLY", "access_note": "Impfstoffentwicklung und Partnering; Eventtermine gesondert abrufen.", "review_batch": "V2_RESEARCH", "api_endpoint": null, "pagination_rule": null}</t>
  </si>
  <si>
    <t>PR-V21-BASE-SOURCE_REGISTRY-188</t>
  </si>
  <si>
    <t>{"source_id": "SRC-V2-GITHUB", "source_name": "GitHub contents API", "source_type": "OFFICIAL_API", "module_ids": "TECH", "entry_url": "https://docs.github.com/en/rest/repos/contents", "access_method": "API_DOCS", "web_check_status": "CONTENT_READ", "checked_on": "2026-10-29", "langdock_access": "UNTESTED", "use_scope": "RUNTIME_ACCESS_DOCS", "rights_scope": "PUBLIC_SOURCE_TERMS_APPLY", "access_note": "Contents read, raw media type, commit ref; private repo und Rechtepruefung erforderlich.", "review_batch": "V2_RESEARCH", "api_endpoint": null, "pagination_rule": null}</t>
  </si>
  <si>
    <t>PR-V21-BASE-SOURCE_REGISTRY-189</t>
  </si>
  <si>
    <t>{"source_id": "SRC-V2-LANGDOCK", "source_name": "Langdock product changelog", "source_type": "OFFICIAL_WEB", "module_ids": "TECH", "entry_url": "https://langdock.com/changelog", "access_method": "WEB_TEXT", "web_check_status": "CONTENT_READ", "checked_on": "2026-10-29", "langdock_access": "UNTESTED", "use_scope": "WORKFLOW_FEATURE_DOCS", "rights_scope": "PUBLIC_SOURCE_TERMS_APPLY", "access_note": "Workflows mit Code, Dateiweitergabe und Environment-Variablen dokumentiert. Konkreter Workspace ungetestet.", "review_batch": "V2_RESEARCH", "api_endpoint": null, "pagination_rule": null}</t>
  </si>
  <si>
    <t>PR-V21-BASE-SOURCE_REGISTRY-190</t>
  </si>
  <si>
    <t>{"source_id": "SRC-V2-EU_IVDR", "source_name": "EU MDR / IVDR framework", "source_type": "OFFICIAL_WEB", "module_ids": "M04", "entry_url": "https://health.ec.europa.eu/medical-devices-new-regulations_en", "access_method": "WEB_TEXT", "web_check_status": "CONTENT_READ", "checked_on": "2026-10-29", "langdock_access": "UNTESTED", "use_scope": "IVD_REGULATORY_ROUTE", "rights_scope": "PUBLIC_SOURCE_TERMS_APPLY", "access_note": "MDR und IVDR getrennt von Arzneimittelregulierung; Produktklassifikation und aktuelle Uebergangsregeln pruefen.", "review_batch": "V2_RESEARCH", "api_endpoint": null, "pagination_rule": null}</t>
  </si>
  <si>
    <t>PR-V21-BASE-SOURCE_REGISTRY-191</t>
  </si>
  <si>
    <t>{"source_id": "SRC-V2-EMA_PHAGE", "source_name": "EMA phage quality guideline", "source_type": "OFFICIAL_WEB", "module_ids": "M04;M11", "entry_url": "https://www.ema.europa.eu/en/scientific-guidelines/quality-aspects-phage-therapy-medicinal-products", "access_method": "WEB_TEXT", "web_check_status": "OFFICIAL_SEARCH_RESULT", "checked_on": "2026-10-29", "langdock_access": "UNTESTED", "use_scope": "PHAGE_QUALITY_GUIDELINE", "rights_scope": "PUBLIC_SOURCE_TERMS_APPLY", "access_note": "Offizielle Seite zeigt Draft / consultation closed; nicht als finale verbindliche Leitlinie ausgeben.", "review_batch": "V2_RESEARCH", "api_endpoint": null, "pagination_rule": null}</t>
  </si>
  <si>
    <t>PR-V21-BASE-SOURCE_REGISTRY-192</t>
  </si>
  <si>
    <t>{"source_id": "SRC-V2-PHAGE_MEDICAL", "source_name": "IDSA phage consensus guideline", "source_type": "OFFICIAL_WEB", "module_ids": "M09", "entry_url": "https://www.idsociety.org/practice-guideline/personalized-bacteriophage-therapy/", "access_method": "WEB_TEXT", "web_check_status": "OFFICIAL_SEARCH_RESULT", "checked_on": "2026-10-29", "langdock_access": "UNTESTED", "use_scope": "CLINICAL_CONSENSUS_GUIDELINE", "rights_scope": "PUBLIC_SOURCE_TERMS_APPLY", "access_note": "Consensus Statement vom 21.09.2026; individualisierte klinische Phagentherapie, keine Marktzulassungsentscheidung.", "review_batch": "V2_RESEARCH", "api_endpoint": null, "pagination_rule": null}</t>
  </si>
  <si>
    <t>PR-V21-BASE-SOURCE_REGISTRY-193</t>
  </si>
  <si>
    <t>{"source_id": "SRC-V2-FDA_LBP", "source_name": "FDA live biotherapeutic CMC guidance", "source_type": "OFFICIAL_WEB", "module_ids": "M04;M11", "entry_url": "https://www.fda.gov/regulatory-information/search-fda-guidance-documents/early-clinical-trials-live-biotherapeutic-products-chemistry-manufacturing-and-control-information", "access_method": "WEB_TEXT", "web_check_status": "OFFICIAL_SEARCH_RESULT", "checked_on": "2026-10-29", "langdock_access": "UNTESTED", "use_scope": "LIVE_BIOTHERAPEUTIC_CMC", "rights_scope": "PUBLIC_SOURCE_TERMS_APPLY", "access_note": "FDA-Route fuer Live Biotherapeutic Products. Nicht automatisch auf Gentherapie-Vektoren anwendbar.", "review_batch": "V2_RESEARCH", "api_endpoint": null, "pagination_rule": null}</t>
  </si>
  <si>
    <t>PR-V21-BASE-SOURCE_REGISTRY-194</t>
  </si>
  <si>
    <t>{"source_id": "SRC-V2-F2G_SHIONOGI", "source_name": "Shionogi / F2G olorofim update", "source_type": "OFFICIAL_WEB", "module_ids": "M01;M06;M07", "entry_url": "https://www.shionogi.com/global/en/news/2026/10/e20261021_3.html", "access_method": "WEB_TEXT", "web_check_status": "OFFICIAL_SEARCH_RESULT", "checked_on": "2026-10-29", "langdock_access": "UNTESTED", "use_scope": "DATED_COMPANY_PRIMARY_UPDATE", "rights_scope": "PUBLIC_SOURCE_TERMS_APPLY", "access_note": "Primaermeldung 21.10.2026 belegt laufende Zusammenarbeit und antifungales Programm; kein dauerhaft aktueller Phasenwert im Master.", "review_batch": "V2_RESEARCH", "api_endpoint": null, "pagination_rule": null}</t>
  </si>
  <si>
    <t>PR-V21-BASE-QUERY_TEMPLATES-2</t>
  </si>
  <si>
    <t>{"query_id": "M01_ENTITY", "module_id": "M01", "query_type": "ENTITY", "template": "\"{entity_name}\" ({pathogen_query} OR {indication_query}) (pipeline OR trial OR discontinued OR licensing)", "required_inputs": "entity_name;pathogen_query|indication_query", "source_strategy": "PRIMARY_SOURCE_FIRST", "max_results": 20, "status": "ACTIVE", "adapter_status": "PLANNING_TEMPLATE_NOT_LIVE_TESTED", "quality_rule": "Entwicklerseite zuerst; keine Modalitaets-UND-Schranke bei identischem Pathogen."}</t>
  </si>
  <si>
    <t>PR-V21-BASE-QUERY_TEMPLATES-3</t>
  </si>
  <si>
    <t>3</t>
  </si>
  <si>
    <t>{"query_id": "M01_DISCOVERY", "module_id": "M01", "query_type": "DISCOVERY", "template": "({pathogen_query} OR {indication_query}) (therapeutic OR vaccine OR phage OR antibody OR microbiome) pipeline", "required_inputs": "pathogen_query|indication_query", "source_strategy": "PRIMARY_SOURCE_FIRST", "max_results": 20, "status": "ACTIVE", "adapter_status": "PLANNING_TEMPLATE_NOT_LIVE_TESTED", "quality_rule": "Unabhaengig vom Firmenmaster; neue wichtige Kandidaten als Review-Vorschlag."}</t>
  </si>
  <si>
    <t>PR-V21-BASE-QUERY_TEMPLATES-4</t>
  </si>
  <si>
    <t>4</t>
  </si>
  <si>
    <t>{"query_id": "M02_REGISTRY", "module_id": "M02", "query_type": "REGISTRY", "template": "({pathogen_query} OR {indication_query})", "required_inputs": "pathogen_query|indication_query", "source_strategy": "PRIMARY_SOURCE_FIRST", "max_results": 20, "status": "ACTIVE", "adapter_status": "PLANNING_TEMPLATE_NOT_LIVE_TESTED", "quality_rule": "Erste Suche modalitaetsbreit; zweite Detailabfrage nach Asset/Aliases. Alle Seiten/totalCount pruefen."}</t>
  </si>
  <si>
    <t>PR-V21-BASE-QUERY_TEMPLATES-5</t>
  </si>
  <si>
    <t>5</t>
  </si>
  <si>
    <t>{"query_id": "M02_ASSET", "module_id": "M02", "query_type": "REGISTRY", "template": "\"{asset_name}\"", "required_inputs": "asset_name", "source_strategy": "PRIMARY_SOURCE_FIRST", "max_results": 20, "status": "ACTIVE", "adapter_status": "PLANNING_TEMPLATE_NOT_LIVE_TESTED", "quality_rule": "Bekannte Register-ID direkt nachladen; sonst exakter Assetname plus Aliases."}</t>
  </si>
  <si>
    <t>PR-V21-BASE-QUERY_TEMPLATES-6</t>
  </si>
  <si>
    <t>6</t>
  </si>
  <si>
    <t>{"query_id": "M03_LITERATURE", "module_id": "M03", "query_type": "LITERATURE", "template": "({pathogen_query} OR {indication_query}) AND ({target_query} OR {modality_query})", "required_inputs": "pathogen_query|indication_query;target_query|modality_query", "source_strategy": "PRIMARY_SOURCE_FIRST", "max_results": 20, "status": "ACTIVE", "adapter_status": "PLANNING_TEMPLATE_NOT_LIVE_TESTED", "quality_rule": "Zeitraum separat; PubMed/EuropePMC Syntaxadapter. Fehlende OR-Gruppe nicht als leeren Query senden."}</t>
  </si>
  <si>
    <t>PR-V21-BASE-QUERY_TEMPLATES-7</t>
  </si>
  <si>
    <t>{"query_id": "M03_DISCOVERY", "module_id": "M03", "query_type": "DISCOVERY", "template": "({pathogen_query} OR {indication_query}) (novel target OR mechanism OR preclinical OR platform)", "required_inputs": "pathogen_query|indication_query", "source_strategy": "PRIMARY_SOURCE_FIRST", "max_results": 20, "status": "ACTIVE", "adapter_status": "PLANNING_TEMPLATE_NOT_LIVE_TESTED", "quality_rule": "Discovery unabhaengig vom bekannten Target; Review/Originalarbeit/Preprint trennen."}</t>
  </si>
  <si>
    <t>PR-V21-BASE-QUERY_TEMPLATES-8</t>
  </si>
  <si>
    <t>{"query_id": "M04_GUIDANCE", "module_id": "M04", "query_type": "GUIDANCE", "template": "({modality_query} OR {indication_query}) (guideline OR guidance OR assessment) {jurisdiction_query}", "required_inputs": "modality_query|indication_query", "source_strategy": "PRIMARY_SOURCE_FIRST", "max_results": 20, "status": "ACTIVE", "adapter_status": "PLANNING_TEMPLATE_NOT_LIVE_TESTED", "quality_rule": "Draft/Final, Version, effective date und Arzneimittel/IVD-Klassifikation speichern."}</t>
  </si>
  <si>
    <t>PR-V21-BASE-QUERY_TEMPLATES-9</t>
  </si>
  <si>
    <t>9</t>
  </si>
  <si>
    <t>{"query_id": "M05_SOURCE", "module_id": "M05", "query_type": "FUNDING", "template": "\"{record_name}\" ({pathogen_query} OR {modality_query} OR {topic_query}) call funding", "required_inputs": "record_name;pathogen_query|modality_query|topic_query", "source_strategy": "PRIMARY_SOURCE_FIRST", "max_results": 20, "status": "ACTIVE", "adapter_status": "PLANNING_TEMPLATE_NOT_LIVE_TESTED", "quality_rule": "Programmroute zuerst; offener Call erst nach primaer belegter Frist/Eligibility."}</t>
  </si>
  <si>
    <t>PR-V21-BASE-QUERY_TEMPLATES-10</t>
  </si>
  <si>
    <t>10</t>
  </si>
  <si>
    <t>{"query_id": "M05_DISCOVERY", "module_id": "M05", "query_type": "DISCOVERY", "template": "({pathogen_query} OR {modality_query}) (call for proposals OR funding opportunity) {applicant_query}", "required_inputs": "pathogen_query|modality_query", "source_strategy": "PRIMARY_SOURCE_FIRST", "max_results": 20, "status": "ACTIVE", "adapter_status": "PLANNING_TEMPLATE_NOT_LIVE_TESTED", "quality_rule": "Neue Foerderinstrumente separat suchen; Rechts-/Institutionskontext nicht raten."}</t>
  </si>
  <si>
    <t>PR-V21-BASE-QUERY_TEMPLATES-11</t>
  </si>
  <si>
    <t>11</t>
  </si>
  <si>
    <t>{"query_id": "M06_ENTITY", "module_id": "M06", "query_type": "ENTITY", "template": "\"{entity_name}\" ({pathogen_query} OR {modality_query}) (partnering OR collaboration OR licensing)", "required_inputs": "entity_name;pathogen_query|modality_query", "source_strategy": "PRIMARY_SOURCE_FIRST", "max_results": 20, "status": "ACTIVE", "adapter_status": "PLANNING_TEMPLATE_NOT_LIVE_TESTED", "quality_rule": "Partnerrolle pruefen: Lizenznehmer, PDP, Investor und CDMO nicht gleichsetzen."}</t>
  </si>
  <si>
    <t>PR-V21-BASE-QUERY_TEMPLATES-12</t>
  </si>
  <si>
    <t>12</t>
  </si>
  <si>
    <t>{"query_id": "M06_DISCOVERY", "module_id": "M06", "query_type": "DISCOVERY", "template": "({pathogen_query} OR {modality_query}) (licensing OR development partnership OR diagnostics partner)", "required_inputs": "pathogen_query|modality_query", "source_strategy": "PRIMARY_SOURCE_FIRST", "max_results": 20, "status": "ACTIVE", "adapter_status": "PLANNING_TEMPLATE_NOT_LIVE_TESTED", "quality_rule": "Wichtigste neue Partner; Investoren getrennt von Industriepartnern priorisieren."}</t>
  </si>
  <si>
    <t>PR-V21-BASE-QUERY_TEMPLATES-13</t>
  </si>
  <si>
    <t>13</t>
  </si>
  <si>
    <t>{"query_id": "M07_ENTITY", "module_id": "M07", "query_type": "ENTITY", "template": "\"{entity_name}\" (licensing OR acquisition OR financing OR collaboration) {pathogen_query}", "required_inputs": "entity_name", "source_strategy": "PRIMARY_SOURCE_FIRST", "max_results": 20, "status": "ACTIVE", "adapter_status": "PLANNING_TEMPLATE_NOT_LIVE_TESTED", "quality_rule": "Pressemitteilung beider Parteien abgleichen; upfront/milestones/total deal value strikt trennen."}</t>
  </si>
  <si>
    <t>PR-V21-BASE-QUERY_TEMPLATES-14</t>
  </si>
  <si>
    <t>14</t>
  </si>
  <si>
    <t>{"query_id": "M08_EVENT", "module_id": "M08", "query_type": "EVENT", "template": "\"{record_name}\" (next edition OR abstract deadline OR partnering OR registration)", "required_inputs": "record_name", "source_strategy": "PRIMARY_SOURCE_FIRST", "max_results": 20, "status": "ACTIVE", "adapter_status": "PLANNING_TEMPLATE_NOT_LIVE_TESTED", "quality_rule": "Konkrete Ausgabe, Zeitzone und Fristen live abrufen; veraltete Ausgabe ausschliessen."}</t>
  </si>
  <si>
    <t>PR-V21-BASE-QUERY_TEMPLATES-15</t>
  </si>
  <si>
    <t>15</t>
  </si>
  <si>
    <t>{"query_id": "M09_MEDICAL", "module_id": "M09", "query_type": "MEDICAL", "template": "({pathogen_query} OR {indication_query}) (guideline OR standard of care OR epidemiology)", "required_inputs": "pathogen_query|indication_query", "source_strategy": "PRIMARY_SOURCE_FIRST", "max_results": 20, "status": "ACTIVE", "adapter_status": "PLANNING_TEMPLATE_NOT_LIVE_TESTED", "quality_rule": "Population/Setting und Jurisdiktion; Empfehlungen nicht als regulatorische Anforderungen behandeln."}</t>
  </si>
  <si>
    <t>PR-V21-BASE-QUERY_TEMPLATES-16</t>
  </si>
  <si>
    <t>16</t>
  </si>
  <si>
    <t>{"query_id": "M10_PATENT", "module_id": "M10", "query_type": "PATENT", "template": "({target_query} OR {asset_name} OR {pathogen_query}) ({modality_query})", "required_inputs": "target_query|asset_name|pathogen_query", "source_strategy": "PRIMARY_SOURCE_FIRST", "max_results": 20, "status": "ACTIVE", "adapter_status": "PLANNING_TEMPLATE_NOT_LIVE_TESTED", "quality_rule": "Patentfamilien und Assignees pruefen. Keine FTO-/Rechtsbestaendigkeit aus automatischer Suche ableiten."}</t>
  </si>
  <si>
    <t>PR-V21-BASE-QUERY_TEMPLATES-17</t>
  </si>
  <si>
    <t>17</t>
  </si>
  <si>
    <t>{"query_id": "M11_CMC", "module_id": "M11", "query_type": "CMC", "template": "{modality_query} (manufacturing OR potency OR comparability OR stability OR GMP)", "required_inputs": "modality_query", "source_strategy": "PRIMARY_SOURCE_FIRST", "max_results": 20, "status": "ACTIVE", "adapter_status": "PLANNING_TEMPLATE_NOT_LIVE_TESTED", "quality_rule": "Produktklasse/Herstellungsschritt erforderlich. Unternehmensspezifische Verfahren sind oft nicht oeffentlich."}</t>
  </si>
  <si>
    <t>PR-V21-BASE-QUERY_TEMPLATES-18</t>
  </si>
  <si>
    <t>18</t>
  </si>
  <si>
    <t>{"query_id": "M12_POLICY", "module_id": "M12", "query_type": "POLICY", "template": "({pathogen_query} OR {modality_query} OR {topic_query}) (procurement OR reimbursement OR access OR assessment)", "required_inputs": "pathogen_query|modality_query|topic_query", "source_strategy": "PRIMARY_SOURCE_FIRST", "max_results": 20, "status": "ACTIVE", "adapter_status": "PLANNING_TEMPLATE_NOT_LIVE_TESTED", "quality_rule": "Land, Produktklasse und Entwicklungsphase; Planung nicht mit verabschiedeter Regel gleichsetzen."}</t>
  </si>
  <si>
    <t>PR-V21-BASE-QUERY_TEMPLATES-19</t>
  </si>
  <si>
    <t>19</t>
  </si>
  <si>
    <t>{"query_id": "M02_DISCOVERY", "module_id": "M02", "query_type": "DISCOVERY", "template": "({pathogen_query} OR {modality_query} OR {indication_query}) clinical trial study registry",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</si>
  <si>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PR-V21-BASE-QUERY_TEMPLATES-20</t>
  </si>
  <si>
    <t>20</t>
  </si>
  <si>
    <t>{"query_id": "M04_DISCOVERY", "module_id": "M04", "query_type": "DISCOVERY", "template": "({pathogen_query} OR {modality_query} OR {indication_query}) regulatory guidance draft final",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</si>
  <si>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PR-V21-BASE-QUERY_TEMPLATES-21</t>
  </si>
  <si>
    <t>21</t>
  </si>
  <si>
    <t>{"query_id": "M07_DISCOVERY", "module_id": "M07", "query_type": "DISCOVERY", "template": "({pathogen_query} OR {modality_query} OR {indication_query}) licensing acquisition financing partnership",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</si>
  <si>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PR-V21-BASE-QUERY_TEMPLATES-22</t>
  </si>
  <si>
    <t>22</t>
  </si>
  <si>
    <t>{"query_id": "M08_DISCOVERY", "module_id": "M08", "query_type": "DISCOVERY", "template": "({pathogen_query} OR {modality_query} OR {indication_query}) conference congress partnering event",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</si>
  <si>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PR-V21-BASE-QUERY_TEMPLATES-23</t>
  </si>
  <si>
    <t>23</t>
  </si>
  <si>
    <t>{"query_id": "M09_DISCOVERY", "module_id": "M09", "query_type": "DISCOVERY", "template": "({pathogen_query} OR {modality_query} OR {indication_query}) clinical guideline epidemiology standard of care",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</si>
  <si>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PR-V21-BASE-QUERY_TEMPLATES-24</t>
  </si>
  <si>
    <t>24</t>
  </si>
  <si>
    <t>{"query_id": "M10_DISCOVERY", "module_id": "M10", "query_type": "DISCOVERY", "template": "({pathogen_query} OR {modality_query} OR {indication_query}) patent application assignee",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</si>
  <si>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PR-V21-BASE-QUERY_TEMPLATES-25</t>
  </si>
  <si>
    <t>25</t>
  </si>
  <si>
    <t>{"query_id": "M11_DISCOVERY", "module_id": "M11", "query_type": "DISCOVERY", "template": "({pathogen_query} OR {modality_query} OR {indication_query}) manufacturing potency comparability GMP",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</si>
  <si>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PR-V21-BASE-QUERY_TEMPLATES-26</t>
  </si>
  <si>
    <t>26</t>
  </si>
  <si>
    <t>{"query_id": "M12_DISCOVERY", "module_id": "M12", "query_type": "DISCOVERY", "template": "({pathogen_query} OR {modality_query} OR {indication_query}) policy procurement reimbursement health technology assessment", "required_inputs": "pathogen_query|modality_query|indication_query", "source_strategy": "PRIMARY_SOURCE_DISCOVERY", "max_results": 20, "status": "ACTIVE", "adapter_status": "PLANNING_TEMPLATE_NOT_LIVE_TESTED", "quality_rule": "Nicht auf bekannte Entitaeten begrenzen; neue wichtige Primarquelle als Review-Vorschlag aufnehmen."}</t>
  </si>
  <si>
    <t>PR-V21-BASE-QUERY_TEMPLATES-27</t>
  </si>
  <si>
    <t>27</t>
  </si>
  <si>
    <t>{"query_id": "M01_DISCOVERY_2", "module_id": "M01", "query_type": "DISCOVERY", "template": "({pathogen_query} OR {indication_query}) (first-in-class OR new pipeline OR discontinued) therapeutic", "required_inputs": "pathogen_query|indication_query",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</si>
  <si>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PR-V21-BASE-QUERY_TEMPLATES-28</t>
  </si>
  <si>
    <t>28</t>
  </si>
  <si>
    <t>{"query_id": "M02_DISCOVERY_2", "module_id": "M02", "query_type": "DISCOVERY", "template": "({pathogen_query} OR {indication_query}) (clinical trial OR trial results) ({modality_query})", "required_inputs": "pathogen_query|indication_query;modality_query",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</si>
  <si>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PR-V21-BASE-QUERY_TEMPLATES-29</t>
  </si>
  <si>
    <t>29</t>
  </si>
  <si>
    <t>{"query_id": "M03_DISCOVERY_2", "module_id": "M03", "query_type": "DISCOVERY", "template": "({pathogen_query} OR {indication_query}) (novel target OR mechanism OR preclinical) -review", "required_inputs": "pathogen_query|indication_query",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</si>
  <si>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PR-V21-BASE-QUERY_TEMPLATES-30</t>
  </si>
  <si>
    <t>30</t>
  </si>
  <si>
    <t>{"query_id": "M04_DISCOVERY_2", "module_id": "M04", "query_type": "DISCOVERY", "template": "({modality_query}) (guideline OR guidance OR scientific advice) (EMA OR FDA OR PEI)", "required_inputs": "modality_query",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</si>
  <si>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PR-V21-BASE-QUERY_TEMPLATES-31</t>
  </si>
  <si>
    <t>31</t>
  </si>
  <si>
    <t>{"query_id": "M05_DISCOVERY_2", "module_id": "M05", "query_type": "DISCOVERY", "template": "({pathogen_query} OR {topic_query}) ({modality_query}) (grant OR funding call) ({jurisdiction_query})", "required_inputs": "pathogen_query|topic_query;modality_query",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</si>
  <si>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PR-V21-BASE-QUERY_TEMPLATES-32</t>
  </si>
  <si>
    <t>32</t>
  </si>
  <si>
    <t>{"query_id": "M06_DISCOVERY_2", "module_id": "M06", "query_type": "DISCOVERY", "template": "({pathogen_query} OR {indication_query}) ({modality_query}) (development partnership OR licensing OR nonprofit)", "required_inputs": "pathogen_query|indication_query;modality_query",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</si>
  <si>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PR-V21-BASE-QUERY_TEMPLATES-33</t>
  </si>
  <si>
    <t>33</t>
  </si>
  <si>
    <t>{"query_id": "M07_DISCOVERY_2", "module_id": "M07", "query_type": "DISCOVERY", "template": "({pathogen_query} OR {topic_query}) ({modality_query}) (venture financing OR acquisition OR partnership announcement)", "required_inputs": "pathogen_query|topic_query;modality_query",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</si>
  <si>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PR-V21-BASE-QUERY_TEMPLATES-34</t>
  </si>
  <si>
    <t>34</t>
  </si>
  <si>
    <t>{"query_id": "M08_DISCOVERY_2", "module_id": "M08", "query_type": "DISCOVERY", "template": "({topic_query}) ({modality_query}) (partnering OR conference OR abstract deadline)", "required_inputs": "modality_query",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</si>
  <si>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PR-V21-BASE-QUERY_TEMPLATES-35</t>
  </si>
  <si>
    <t>35</t>
  </si>
  <si>
    <t>{"query_id": "M09_DISCOVERY_2", "module_id": "M09", "query_type": "DISCOVERY", "template": "({pathogen_query} OR {indication_query}) (surveillance OR epidemiology OR unmet need) (WHO OR ECDC)", "required_inputs": "pathogen_query|indication_query",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</si>
  <si>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PR-V21-BASE-QUERY_TEMPLATES-36</t>
  </si>
  <si>
    <t>36</t>
  </si>
  <si>
    <t>{"query_id": "M10_DISCOVERY_2", "module_id": "M10", "query_type": "DISCOVERY", "template": "({target_query} OR {pathogen_query}) ({modality_query}) (patent OR patent family)", "required_inputs": "target_query|pathogen_query;modality_query",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</si>
  <si>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PR-V21-BASE-QUERY_TEMPLATES-37</t>
  </si>
  <si>
    <t>37</t>
  </si>
  <si>
    <t>{"query_id": "M11_DISCOVERY_2", "module_id": "M11", "query_type": "DISCOVERY", "template": "({modality_query}) (manufacturing OR potency assay OR comparability OR GMP) (guideline OR guidance)", "required_inputs": "modality_query",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</si>
  <si>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PR-V21-BASE-QUERY_TEMPLATES-38</t>
  </si>
  <si>
    <t>38</t>
  </si>
  <si>
    <t>{"query_id": "M12_DISCOVERY_2", "module_id": "M12", "query_type": "DISCOVERY", "template": "({topic_query}) ({modality_query}) (reimbursement OR public procurement OR health technology assessment)", "required_inputs": "modality_query", "source_strategy": "PRIMARY_SOURCE_FIRST", "max_results": 20, "status": "ACTIVE", "adapter_status": "PLANNING_TEMPLATE_NOT_LIVE_TESTED", "quality_rule": "Alternative Suchperspektive innerhalb des Modulbudgets; Quellen und Datumsfilter im Live-Adapter pruefen."}</t>
  </si>
  <si>
    <t>PR-V21-BASE-QUERY_TEMPLATES-39</t>
  </si>
  <si>
    <t>39</t>
  </si>
  <si>
    <t>{"query_id": "M03_DISCOVERY_3", "module_id": "M03", "query_type": "DISCOVERY", "template": "({pathogen_query} OR {indication_query}) ({modality_query}) (platform OR translational OR proof of concept)", "required_inputs": "pathogen_query|indication_query;modality_query", "source_strategy": "PRIMARY_SOURCE_FIRST", "max_results": 20, "status": "ACTIVE", "adapter_status": "PLANNING_TEMPLATE_NOT_LIVE_TESTED", "quality_rule": "Technologieperspektive; keine reine Review-Suche."}</t>
  </si>
  <si>
    <t>PR-V21-BASE-TAXONOMY-44</t>
  </si>
  <si>
    <t>44</t>
  </si>
  <si>
    <t>{"taxonomy_group": "MODALITY", "value": "MAB", "display_label": "MAB", "definition": null, "raw_aliases": null, "status": "ACTIVE"}</t>
  </si>
  <si>
    <t>PR-V21-BASE-MASTER_CONFIG-2</t>
  </si>
  <si>
    <t>{"config_key": "catalog_version", "config_value": "2.0.0", "description": "Version dieses kuratierten Referenzkatalogs; Schema 2.0 ist nicht kompatibel mit dem alten Volltabellen-JSON."}</t>
  </si>
  <si>
    <t>PR-V21-BASE-MASTER_CONFIG-8</t>
  </si>
  <si>
    <t>{"config_key": "catalog_review_months", "config_value": 12, "description": "Gesamtkuration; wichtige Quellen und Firmenereignisse zusaetzlich quartals-/ereignisbezogen."}</t>
  </si>
  <si>
    <t>PR-V21-BASE-SELECTION_POLICY-13</t>
  </si>
  <si>
    <t>{"parameter": "asset_seed_cap_per_entity", "value": 3, "meaning": "Maximale historische Assetnamen pro ausgewaehlter Organisation. Keine aktuellen Phasen exportieren."}</t>
  </si>
  <si>
    <t>PR-V21-BASE-ASSET_SEEDS-2</t>
  </si>
  <si>
    <t>{"seed_id": "SEED-091ed106a1", "entity_id": "CMP-579c450159e", "entity_name": null, "asset_name_raw": "Arexvy", "stage_snapshot_raw": "Pre-Registration", "source_as_of": "2026-07-31", "source_id": "SRC-GLOBALDATA-202607", "use_policy": "SEARCH_HINT_ONLY", "provenance_id": "PR-RAD-CMP-579c450159e", "caution": "Beispiel aus GD-Snapshot; keine aktuelle Phase, kein vollstaendiges Portfolio, keine registervalidierte Studie."}</t>
  </si>
  <si>
    <t>PRIMARY_WEB_RESEARCH</t>
  </si>
  <si>
    <t>OFFICIAL_PARTNERING_PAGE</t>
  </si>
  <si>
    <t>QIAGEN QIAcuityDx partnering</t>
  </si>
  <si>
    <t>PRIMARY_SCOPE_REVIEW</t>
  </si>
  <si>
    <t>Official diagnostic assay/platform partnering route, not transaction readiness or project eligibility.</t>
  </si>
  <si>
    <t>Scope only; live availability remains untested</t>
  </si>
  <si>
    <t>New role for existing entity after diagnostic benchmark exposed gap.</t>
  </si>
  <si>
    <t>{"entity_id": "CMP-b67700d6c62", "partner_role": "DIAGNOSTICS_PARTNER", "scope": "company IVD dPCR assays; infectious disease mentioned"}</t>
  </si>
  <si>
    <t>CURATED_WEB_REVIEW_2026-10-29</t>
  </si>
  <si>
    <t>CITED_SOURCE</t>
  </si>
  <si>
    <t>CURATED_SOURCE_SCOPE</t>
  </si>
  <si>
    <t>Search routing only; not current phase/active call/partner readiness validation.</t>
  </si>
  <si>
    <t>Published official source or identified secondary source; preserve source class.</t>
  </si>
  <si>
    <t>PR-V23-001</t>
  </si>
  <si>
    <t>OFFICIAL_WEB_SCOPE_REVIEW</t>
  </si>
  <si>
    <t>Previous full v2.2 workbook and removed sheets preserved in audit archive.</t>
  </si>
  <si>
    <t>{"change_id": "CHG-V23-001", "change_date": "2026-10-29", "sheet_name": "SOURCE_REGISTRY", "record_id": "SRC-V23-OTSUKA", "action": "ADD", "reason": "Official scope anchor for flagship validation; no status/phase copied.", "verified_source_url": "https://www.otsuka.co.jp/en/research-and-development/pipeline/", "editor": "ASSISTANT_SOURCE_BASED_REVIEW"}</t>
  </si>
  <si>
    <t>PR-V23-002</t>
  </si>
  <si>
    <t>{"change_id": "CHG-V23-002", "change_date": "2026-10-29", "sheet_name": "SOURCE_REGISTRY", "record_id": "SRC-V23-HYPHARM", "action": "ADD", "reason": "Official scope anchor for flagship validation; no status/phase copied.", "verified_source_url": "https://hypharm.de/phagenlysin-wirkstoff-hy-133-start-der-klinischen-phase-i-first-in-human-studie-zur-eliminierung-von-staphylococcus-aureus-im-nasenmikrobiom/", "editor": "ASSISTANT_SOURCE_BASED_REVIEW"}</t>
  </si>
  <si>
    <t>PR-V23-003</t>
  </si>
  <si>
    <t>{"change_id": "CHG-V23-003", "change_date": "2026-10-29", "sheet_name": "SOURCE_REGISTRY", "record_id": "SRC-BD-012", "action": "UPDATE", "reason": "Official scope anchor for flagship validation; no status/phase copied.", "verified_source_url": "https://www.modernatx.com/research/product-pipeline", "editor": "ASSISTANT_SOURCE_BASED_REVIEW"}</t>
  </si>
  <si>
    <t>PR-V23-004</t>
  </si>
  <si>
    <t>{"change_id": "CHG-V23-004", "change_date": "2026-10-29", "sheet_name": "SOURCE_REGISTRY", "record_id": "SRC-V23-AR301", "action": "ADD", "reason": "Official scope anchor for flagship validation; no status/phase copied.", "verified_source_url": "https://www.aridispharma.com/ar-301/", "editor": "ASSISTANT_SOURCE_BASED_REVIEW"}</t>
  </si>
  <si>
    <t>PR-V23-005</t>
  </si>
  <si>
    <t>{"change_id": "CHG-V23-005", "change_date": "2026-10-29", "sheet_name": "SOURCE_REGISTRY", "record_id": "SRC-V23-INNOVAX", "action": "ADD", "reason": "Official scope anchor for flagship validation; no status/phase copied.", "verified_source_url": "https://www.xiameninnovax.com/products/", "editor": "ASSISTANT_SOURCE_BASED_REVIEW"}</t>
  </si>
  <si>
    <t>PR-V23-006</t>
  </si>
  <si>
    <t>{"change_id": "CHG-V23-006", "change_date": "2026-10-29", "sheet_name": "SOURCE_REGISTRY", "record_id": "SRC-V23-OXFORD_MERS", "action": "ADD", "reason": "Official scope anchor for flagship validation; no status/phase copied.", "verified_source_url": "https://www.ox.ac.uk/news/2023-09-18-oxford-and-liverpool-scientists-launch-new-vaccine-trial-middle-east-respiratory", "editor": "ASSISTANT_SOURCE_BASED_REVIEW"}</t>
  </si>
  <si>
    <t>PR-V23-007</t>
  </si>
  <si>
    <t>{"change_id": "CHG-V23-007", "change_date": "2026-10-29", "sheet_name": "SOURCE_REGISTRY", "record_id": "SRC-V23-DNDI_FILARIA", "action": "ADD", "reason": "Official scope anchor for flagship validation; no status/phase copied.", "verified_source_url": "https://dndi.org/research-development/portfolio/emodepside/", "editor": "ASSISTANT_SOURCE_BASED_REVIEW"}</t>
  </si>
  <si>
    <t>PR-V23-008</t>
  </si>
  <si>
    <t>{"change_id": "CHG-V23-008", "change_date": "2026-10-29", "sheet_name": "SOURCE_REGISTRY", "record_id": "SRC-V23-SNIPR", "action": "ADD", "reason": "Official scope anchor for flagship validation; no status/phase copied.", "verified_source_url": "https://www.sniprbiome.com/pipeline", "editor": "ASSISTANT_SOURCE_BASED_REVIEW"}</t>
  </si>
  <si>
    <t>PR-V23-009</t>
  </si>
  <si>
    <t>{"change_id": "CHG-V23-009", "change_date": "2026-10-29", "sheet_name": "SOURCE_REGISTRY", "record_id": "SRC-V23-HEPCLUDEX", "action": "ADD", "reason": "Official scope anchor for flagship validation; no status/phase copied.", "verified_source_url": "https://www.ema.europa.eu/en/medicines/human/EPAR/hepcludex", "editor": "ASSISTANT_SOURCE_BASED_REVIEW"}</t>
  </si>
  <si>
    <t>PR-V23-010</t>
  </si>
  <si>
    <t>{"change_id": "CHG-V23-010", "change_date": "2026-10-29", "sheet_name": "SOURCE_REGISTRY", "record_id": "SRC-V23-IBT_LS", "action": "ADD", "reason": "Official scope anchor for flagship validation; no status/phase copied.", "verified_source_url": "https://niedersachsen-next.de/themen/life-science/ibt-lower-saxony/", "editor": "ASSISTANT_SOURCE_BASED_REVIEW"}</t>
  </si>
  <si>
    <t>PR-V23-011</t>
  </si>
  <si>
    <t>{"change_id": "CHG-V23-011", "change_date": "2026-10-29", "sheet_name": "SOURCE_REGISTRY", "record_id": "SRC-V23-BFARM", "action": "ADD", "reason": "Official scope anchor for flagship validation; no status/phase copied.", "verified_source_url": "https://www.bfarm.de/DE/Arzneimittel/Klinische-Pruefung/_node.html", "editor": "ASSISTANT_SOURCE_BASED_REVIEW"}</t>
  </si>
  <si>
    <t>PR-V23-012</t>
  </si>
  <si>
    <t>{"change_id": "CHG-V23-012", "change_date": "2026-10-29", "sheet_name": "SOURCE_REGISTRY", "record_id": "SRC-V23-DZIF_FLAGSHIP", "action": "ADD", "reason": "Official scope anchor for flagship validation; no status/phase copied.", "verified_source_url": "https://www.dzif.de/de/erfolgreiche-translation", "editor": "ASSISTANT_SOURCE_BASED_REVIEW"}</t>
  </si>
  <si>
    <t>PR-V23-013</t>
  </si>
  <si>
    <t>{"change_id": "CHG-V23-013", "change_date": "2026-10-29", "sheet_name": "ENTITY_MASTER", "record_id": "CMP-c1c503fce47", "action": "UPDATE", "reason": "Fill official identity/source and project-relevant scope; preserve original broad catalogue evidence.", "verified_source_url": "https://www.otsuka.co.jp/en/", "editor": "ASSISTANT_SOURCE_BASED_REVIEW"}</t>
  </si>
  <si>
    <t>PR-V23-014</t>
  </si>
  <si>
    <t>{"change_id": "CHG-V23-014", "change_date": "2026-10-29", "sheet_name": "ENTITY_MASTER", "record_id": "CMP-02e13c78d23", "action": "UPDATE", "reason": "Fill official identity/source and project-relevant scope; preserve original broad catalogue evidence.", "verified_source_url": "https://hypharm.de/", "editor": "ASSISTANT_SOURCE_BASED_REVIEW"}</t>
  </si>
  <si>
    <t>PR-V23-015</t>
  </si>
  <si>
    <t>{"change_id": "CHG-V23-015", "change_date": "2026-10-29", "sheet_name": "ENTITY_MASTER", "record_id": "CMP-9d444f16979", "action": "UPDATE", "reason": "Fill official identity/source and project-relevant scope; preserve original broad catalogue evidence.", "verified_source_url": "https://www.xiameninnovax.com/", "editor": "ASSISTANT_SOURCE_BASED_REVIEW"}</t>
  </si>
  <si>
    <t>PR-V23-016</t>
  </si>
  <si>
    <t>{"change_id": "CHG-V23-016", "change_date": "2026-10-29", "sheet_name": "ENTITY_MASTER", "record_id": "CMP-24531a6b01f", "action": "UPDATE", "reason": "Fill official identity/source and project-relevant scope; preserve original broad catalogue evidence.", "verified_source_url": "https://www.modernatx.com/", "editor": "ASSISTANT_SOURCE_BASED_REVIEW"}</t>
  </si>
  <si>
    <t>PR-V23-017</t>
  </si>
  <si>
    <t>{"change_id": "CHG-V23-017", "change_date": "2026-10-29", "sheet_name": "ENTITY_MASTER", "record_id": "CMP-bede831b69b", "action": "UPDATE", "reason": "Fill official identity/source and project-relevant scope; preserve original broad catalogue evidence.", "verified_source_url": "https://www.sniprbiome.com/", "editor": "ASSISTANT_SOURCE_BASED_REVIEW"}</t>
  </si>
  <si>
    <t>PR-V23-018</t>
  </si>
  <si>
    <t>{"change_id": "CHG-V23-018", "change_date": "2026-10-29", "sheet_name": "ENTITY_MASTER", "record_id": "CMP-384891abbee", "action": "UPDATE", "reason": "Fill official identity/source and project-relevant scope; preserve original broad catalogue evidence.", "verified_source_url": "https://www.gilead.com/", "editor": "ASSISTANT_SOURCE_BASED_REVIEW"}</t>
  </si>
  <si>
    <t>PR-V23-019</t>
  </si>
  <si>
    <t>{"change_id": "CHG-V23-019", "change_date": "2026-10-29", "sheet_name": "ENTITY_MASTER", "record_id": "CMP-6dcf8867166", "action": "UPDATE", "reason": "Fill official identity/source and project-relevant scope; preserve original broad catalogue evidence.", "verified_source_url": "https://dndi.org/", "editor": "ASSISTANT_SOURCE_BASED_REVIEW"}</t>
  </si>
  <si>
    <t>PR-V23-020</t>
  </si>
  <si>
    <t>{"change_id": "CHG-V23-020", "change_date": "2026-10-29", "sheet_name": "ENTITY_MASTER", "record_id": "CMP-3fd58dd38dd", "action": "UPDATE", "reason": "Fill official identity/source and project-relevant scope; preserve original broad catalogue evidence.", "verified_source_url": "https://www.aridispharma.com/", "editor": "ASSISTANT_SOURCE_BASED_REVIEW"}</t>
  </si>
  <si>
    <t>PR-V23-021</t>
  </si>
  <si>
    <t>{"change_id": "CHG-V23-021", "change_date": "2026-10-29", "sheet_name": "ENTITY_MASTER", "record_id": "CMP-50fc87fe9bd", "action": "PROMOTE", "reason": "Existing reserve academic programme promoted, not a newly invented ID.", "verified_source_url": "https://www.ox.ac.uk/news/2023-09-18-oxford-and-liverpool-scientists-launch-new-vaccine-trial-middle-east-respiratory", "editor": "ASSISTANT_SOURCE_BASED_REVIEW"}</t>
  </si>
  <si>
    <t>Existing ID promoted or targeted new funding route.</t>
  </si>
  <si>
    <t>V23-PY-001</t>
  </si>
  <si>
    <t>STRUCTURE_EXPORT</t>
  </si>
  <si>
    <t>ENTITY_MASTER original identifiers retained</t>
  </si>
  <si>
    <t>LOCAL_PASS</t>
  </si>
  <si>
    <t>Executed structural assertion</t>
  </si>
  <si>
    <t>No live access or clinical acceptance</t>
  </si>
  <si>
    <t>V23-PY-002</t>
  </si>
  <si>
    <t>ENTITY_MASTER identifiers unique and nonempty</t>
  </si>
  <si>
    <t>V23-PY-003</t>
  </si>
  <si>
    <t>SOURCE_REGISTRY original identifiers retained</t>
  </si>
  <si>
    <t>V23-PY-004</t>
  </si>
  <si>
    <t>SOURCE_REGISTRY identifiers unique and nonempty</t>
  </si>
  <si>
    <t>V23-PY-005</t>
  </si>
  <si>
    <t>MATCH_ANCHORS original identifiers retained</t>
  </si>
  <si>
    <t>V23-PY-006</t>
  </si>
  <si>
    <t>MATCH_ANCHORS identifiers unique and nonempty</t>
  </si>
  <si>
    <t>V23-PY-007</t>
  </si>
  <si>
    <t>M01_COMPETITORS original identifiers retained</t>
  </si>
  <si>
    <t>V23-PY-008</t>
  </si>
  <si>
    <t>M01_COMPETITORS identifiers unique and nonempty</t>
  </si>
  <si>
    <t>V23-PY-009</t>
  </si>
  <si>
    <t>M05_FUNDING original identifiers retained</t>
  </si>
  <si>
    <t>V23-PY-010</t>
  </si>
  <si>
    <t>M05_FUNDING identifiers unique and nonempty</t>
  </si>
  <si>
    <t>V23-PY-011</t>
  </si>
  <si>
    <t>M06_BD_PARTNERS original identifiers retained</t>
  </si>
  <si>
    <t>V23-PY-012</t>
  </si>
  <si>
    <t>M06_BD_PARTNERS identifiers unique and nonempty</t>
  </si>
  <si>
    <t>V23-PY-013</t>
  </si>
  <si>
    <t>M07_DEALS original identifiers retained</t>
  </si>
  <si>
    <t>V23-PY-014</t>
  </si>
  <si>
    <t>M07_DEALS identifiers unique and nonempty</t>
  </si>
  <si>
    <t>V23-PY-015</t>
  </si>
  <si>
    <t>PROVENANCE original identifiers retained</t>
  </si>
  <si>
    <t>V23-PY-016</t>
  </si>
  <si>
    <t>PROVENANCE identifiers unique and nonempty</t>
  </si>
  <si>
    <t>V23-PY-017</t>
  </si>
  <si>
    <t>Exporter validation succeeds</t>
  </si>
  <si>
    <t>V23-PY-018</t>
  </si>
  <si>
    <t>JSON Schema runtime conformance</t>
  </si>
  <si>
    <t>V23-PY-019</t>
  </si>
  <si>
    <t>All M01-M12 retained</t>
  </si>
  <si>
    <t>V23-PY-020</t>
  </si>
  <si>
    <t>Only M01 M05 M06 enabled</t>
  </si>
  <si>
    <t>V23-PY-021</t>
  </si>
  <si>
    <t>No historical asset seeds exported</t>
  </si>
  <si>
    <t>V23-PY-022</t>
  </si>
  <si>
    <t>No discovery pool / raw provenance / benchmarks exported</t>
  </si>
  <si>
    <t>V23-PY-023</t>
  </si>
  <si>
    <t>Unused HQ fields absent from runtime</t>
  </si>
  <si>
    <t>V23-PY-024</t>
  </si>
  <si>
    <t>All 16 German state scopes retained</t>
  </si>
  <si>
    <t>V23-PY-025</t>
  </si>
  <si>
    <t>Funding geography not obtained from entity HQ</t>
  </si>
  <si>
    <t>V23-PY-026</t>
  </si>
  <si>
    <t>M07 remains watches not fabricated events</t>
  </si>
  <si>
    <t>V23-PY-027</t>
  </si>
  <si>
    <t>New own-asset relation output field present</t>
  </si>
  <si>
    <t>V23-PY-028</t>
  </si>
  <si>
    <t>No current phase embedded in match anchors</t>
  </si>
  <si>
    <t>V23-PY-029</t>
  </si>
  <si>
    <t>All clinical-purpose anchor tags present</t>
  </si>
  <si>
    <t>V23-PY-030</t>
  </si>
  <si>
    <t>Only one academic reserve promotion</t>
  </si>
  <si>
    <t>V23-PY-031</t>
  </si>
  <si>
    <t>Oxford retains original reserve ID</t>
  </si>
  <si>
    <t>V23-PY-032</t>
  </si>
  <si>
    <t>Exactly eleven official flagship benchmark profiles</t>
  </si>
  <si>
    <t>V23-PY-033</t>
  </si>
  <si>
    <t>No freshly successful Langdock access claimed</t>
  </si>
  <si>
    <t>V23-PY-034</t>
  </si>
  <si>
    <t>No API endpoint invented for BfArM</t>
  </si>
  <si>
    <t>V23-PY-035</t>
  </si>
  <si>
    <t>Failed BfArM retrieval remains failed</t>
  </si>
  <si>
    <t>V23-PY-036</t>
  </si>
  <si>
    <t>Mandatory entity fields not empty</t>
  </si>
  <si>
    <t>V23-PY-037</t>
  </si>
  <si>
    <t>M01 required routing fields complete</t>
  </si>
  <si>
    <t>V23-PY-038</t>
  </si>
  <si>
    <t>M05 required routing fields complete</t>
  </si>
  <si>
    <t>V23-PY-039</t>
  </si>
  <si>
    <t>M06 required routing fields complete</t>
  </si>
  <si>
    <t>V23-PY-040</t>
  </si>
  <si>
    <t>Runtime byte representation repeatable</t>
  </si>
  <si>
    <t>V23-PY-041</t>
  </si>
  <si>
    <t>Missing company ID rejected</t>
  </si>
  <si>
    <t>V23-PY-042</t>
  </si>
  <si>
    <t>Unknown source rejected</t>
  </si>
  <si>
    <t>V23-PY-043</t>
  </si>
  <si>
    <t>Unknown tag rejected</t>
  </si>
  <si>
    <t>V23-PY-044</t>
  </si>
  <si>
    <t>Duplicate entity rejected</t>
  </si>
  <si>
    <t>V23-PY-045</t>
  </si>
  <si>
    <t>Blank mandatory name rejected</t>
  </si>
  <si>
    <t>V23-PY-046</t>
  </si>
  <si>
    <t>Negative budget rejected</t>
  </si>
  <si>
    <t>V23-PY-047</t>
  </si>
  <si>
    <t>Nonintegral budget rejected</t>
  </si>
  <si>
    <t>V23-PY-048</t>
  </si>
  <si>
    <t>Dangling parent entity rejected</t>
  </si>
  <si>
    <t>V23-PY-049</t>
  </si>
  <si>
    <t>Dangling funding parent rejected</t>
  </si>
  <si>
    <t>V23-PY-050</t>
  </si>
  <si>
    <t>Invalid URL scheme rejected</t>
  </si>
  <si>
    <t>V23-PY-051</t>
  </si>
  <si>
    <t>Missing non-discovery source URL rejected</t>
  </si>
  <si>
    <t>V23-PY-052</t>
  </si>
  <si>
    <t>Unknown anchor entity rejected</t>
  </si>
  <si>
    <t>V23-PY-053</t>
  </si>
  <si>
    <t>Unknown query reference rejected</t>
  </si>
  <si>
    <t>V23-PY-054</t>
  </si>
  <si>
    <t>Duplicate source rejected</t>
  </si>
  <si>
    <t>JS-001</t>
  </si>
  <si>
    <t>SELECTOR_ENGINEERING</t>
  </si>
  <si>
    <t>Only M01 M05 M06 active by default</t>
  </si>
  <si>
    <t>Executable invariant checked; not a clinical or live acceptance test</t>
  </si>
  <si>
    <t>No web search executed</t>
  </si>
  <si>
    <t>JS-002</t>
  </si>
  <si>
    <t>Default tasks contain no historical seeds</t>
  </si>
  <si>
    <t>JS-003</t>
  </si>
  <si>
    <t>Independent academic discovery is in M01 plan</t>
  </si>
  <si>
    <t>JS-004</t>
  </si>
  <si>
    <t>Independent discovery queries not restricted to company list</t>
  </si>
  <si>
    <t>JS-005</t>
  </si>
  <si>
    <t>Per-module candidate and live budgets respected</t>
  </si>
  <si>
    <t>JS-006</t>
  </si>
  <si>
    <t>Source scope anchor tiers precede broad profiles</t>
  </si>
  <si>
    <t>JS-007</t>
  </si>
  <si>
    <t>MAB normalizes to ANTIBODY</t>
  </si>
  <si>
    <t>JS-008</t>
  </si>
  <si>
    <t>BISPECIFIC subtype preserved</t>
  </si>
  <si>
    <t>JS-009</t>
  </si>
  <si>
    <t>Very small budget reports protected scope overflow</t>
  </si>
  <si>
    <t>JS-010</t>
  </si>
  <si>
    <t>Zero budget produces no fetch requests</t>
  </si>
  <si>
    <t>JS-011</t>
  </si>
  <si>
    <t>Row order has no effect on plan</t>
  </si>
  <si>
    <t>JS-012</t>
  </si>
  <si>
    <t>Unknown schema rejected</t>
  </si>
  <si>
    <t>JS-013</t>
  </si>
  <si>
    <t>JS-014</t>
  </si>
  <si>
    <t>Reserved deal module needs explicit event-store validation</t>
  </si>
  <si>
    <t>JS-015</t>
  </si>
  <si>
    <t>Equity investor excluded without strategy in all benchmarks</t>
  </si>
  <si>
    <t>JS-016</t>
  </si>
  <si>
    <t>Confirmed equity strategy permits investors as candidates</t>
  </si>
  <si>
    <t>JS-017</t>
  </si>
  <si>
    <t>Expiry downgrades anchor and requires review</t>
  </si>
  <si>
    <t>JS-018</t>
  </si>
  <si>
    <t>Future cache entries not reused</t>
  </si>
  <si>
    <t>JS-019</t>
  </si>
  <si>
    <t>Successful current cache reusable</t>
  </si>
  <si>
    <t>JS-020</t>
  </si>
  <si>
    <t>Failed current cache never reused</t>
  </si>
  <si>
    <t>JS-021</t>
  </si>
  <si>
    <t>Diagnostic profile ranks IVD developers ahead of treatment programmes</t>
  </si>
  <si>
    <t>JS-022</t>
  </si>
  <si>
    <t>Microbiome treatment ranks relevant microbiome developer above preventive vaccine</t>
  </si>
  <si>
    <t>JS-023</t>
  </si>
  <si>
    <t>Content and live connector verification are distinct</t>
  </si>
  <si>
    <t>JS-024</t>
  </si>
  <si>
    <t>All positive budget/access deferrals have explicit gaps</t>
  </si>
  <si>
    <t>JS-025</t>
  </si>
  <si>
    <t>Unknown input token explicitly flagged</t>
  </si>
  <si>
    <t>JS-026</t>
  </si>
  <si>
    <t>Incomplete institution does not prove ineligibility</t>
  </si>
  <si>
    <t>JS-027</t>
  </si>
  <si>
    <t>HAP/VAP intake alias expands into two canonical indications</t>
  </si>
  <si>
    <t>JS-028</t>
  </si>
  <si>
    <t>Synthetic cross-modality same-context control gets clinical-alternative tier</t>
  </si>
  <si>
    <t>V23-JS-001</t>
  </si>
  <si>
    <t>All eleven official flagship profiles execute</t>
  </si>
  <si>
    <t>Executed deterministic assertion</t>
  </si>
  <si>
    <t>No live source or clinical acceptance</t>
  </si>
  <si>
    <t>V23-JS-002</t>
  </si>
  <si>
    <t>Own HY-133 does not enter competitor tasks</t>
  </si>
  <si>
    <t>V23-JS-003</t>
  </si>
  <si>
    <t>Own bulevirtide does not enter competitor tasks</t>
  </si>
  <si>
    <t>V23-JS-004</t>
  </si>
  <si>
    <t>A company remains eligible for a distinct non-owned relevant asset</t>
  </si>
  <si>
    <t>V23-JS-005</t>
  </si>
  <si>
    <t>Endolysin expands to protein and not to whole phage</t>
  </si>
  <si>
    <t>V23-JS-006</t>
  </si>
  <si>
    <t>Viral-vector vaccine is not automatically human gene therapy</t>
  </si>
  <si>
    <t>V23-JS-007</t>
  </si>
  <si>
    <t>Therapeutic vaccine retains specific subtype</t>
  </si>
  <si>
    <t>V23-JS-008</t>
  </si>
  <si>
    <t>HEV preventive Hecolin is not direct therapeutic-antibody competition</t>
  </si>
  <si>
    <t>V23-JS-009</t>
  </si>
  <si>
    <t>EBV preventive programme outranks therapeutic PTLD cell programme</t>
  </si>
  <si>
    <t>V23-JS-010</t>
  </si>
  <si>
    <t>SNIPR E. coli is labelled different-pathogen context for EVREA</t>
  </si>
  <si>
    <t>V23-JS-011</t>
  </si>
  <si>
    <t>E. faecium input is not broadened to E. coli</t>
  </si>
  <si>
    <t>V23-JS-012</t>
  </si>
  <si>
    <t>CorA worm indication and bacterial symbiont remain distinct</t>
  </si>
  <si>
    <t>V23-JS-013</t>
  </si>
  <si>
    <t>Italy correctly expands to EU</t>
  </si>
  <si>
    <t>V23-JS-014</t>
  </si>
  <si>
    <t>All 27 EU country tokens expand to EU</t>
  </si>
  <si>
    <t>V23-JS-015</t>
  </si>
  <si>
    <t>Swiss and UK location not auto-EU eligibility</t>
  </si>
  <si>
    <t>V23-JS-016</t>
  </si>
  <si>
    <t>NI institutional route not offered based on company HQ</t>
  </si>
  <si>
    <t>V23-JS-017</t>
  </si>
  <si>
    <t>State scope unknown is a review gap, not automatic ineligibility</t>
  </si>
  <si>
    <t>V23-JS-018</t>
  </si>
  <si>
    <t>General portfolio cap respected in all real profiles</t>
  </si>
  <si>
    <t>V23-JS-019</t>
  </si>
  <si>
    <t>Broad-scope budget omissions are explicit coverage gaps</t>
  </si>
  <si>
    <t>V23-JS-020</t>
  </si>
  <si>
    <t>Unknown source or company information is not synthesized as live fact</t>
  </si>
  <si>
    <t>V23-JS-021</t>
  </si>
  <si>
    <t>Independent discovery survives empty competitor expectations</t>
  </si>
  <si>
    <t>V23-JS-022</t>
  </si>
  <si>
    <t>Human pathogen spelling used in queries</t>
  </si>
  <si>
    <t>V23-JS-023</t>
  </si>
  <si>
    <t>Generic hepatitis expansion not repeated in HEV discovery query</t>
  </si>
  <si>
    <t>V23-JS-024</t>
  </si>
  <si>
    <t>Declared search aliases delivered to entity tasks</t>
  </si>
  <si>
    <t>V23-JS-025</t>
  </si>
  <si>
    <t>No real-project expected outcomes encoded in production selector</t>
  </si>
  <si>
    <t>V23-JS-026</t>
  </si>
  <si>
    <t>Optional clinical and scientific modules remain off</t>
  </si>
  <si>
    <t>V23-JS-027</t>
  </si>
  <si>
    <t>Blocked BfArM source remains explicit access gap when requested</t>
  </si>
  <si>
    <t>BENCH-PANTIPA_HAI</t>
  </si>
  <si>
    <t>PANTIPA: anti-PcrV, HAP/VAP, academic preclinical/CMC</t>
  </si>
  <si>
    <t>Infex;AstraZeneca;Armata</t>
  </si>
  <si>
    <t>CSL Seqirus: DOWNRANKED_OR_ABSENT</t>
  </si>
  <si>
    <t>EXPECTED_ROUTING_OBSERVED</t>
  </si>
  <si>
    <t>NOT_EVALUATED</t>
  </si>
  <si>
    <t>NOT_RUN</t>
  </si>
  <si>
    <t>Weighted benchmark coverage is a local routing observation, not measured market recall. 9/9 expected scope-weight considered; 9 planned. Sources 5/5 present in catalog; inactive modules not live executed.</t>
  </si>
  <si>
    <t>BENCH-HIV_TREATMENT</t>
  </si>
  <si>
    <t>HIV antiviral therapeutic</t>
  </si>
  <si>
    <t>ViiV</t>
  </si>
  <si>
    <t>Weighted benchmark coverage is a local routing observation, not measured market recall. 3/3 expected scope-weight considered; 3 planned. Sources 5/5 present in catalog; inactive modules not live executed.</t>
  </si>
  <si>
    <t>BENCH-TB_DRUG</t>
  </si>
  <si>
    <t>Tuberculosis small-molecule</t>
  </si>
  <si>
    <t>BENCH-MALARIA</t>
  </si>
  <si>
    <t>Malaria drug research</t>
  </si>
  <si>
    <t>Medicines for Malaria</t>
  </si>
  <si>
    <t>Medicines for Malaria: ACCESS_REVIEW_REQUIRED</t>
  </si>
  <si>
    <t>ViiV: DOWNRANKED_OR_ABSENT</t>
  </si>
  <si>
    <t>EXPECTED_SCOPE_WITH_DOCUMENTED_GAPS</t>
  </si>
  <si>
    <t>Weighted benchmark coverage is a local routing observation, not measured market recall. 3/3 expected scope-weight considered; 0 planned. Sources 5/5 present in catalog; inactive modules not live executed.</t>
  </si>
  <si>
    <t>BENCH-NTD</t>
  </si>
  <si>
    <t>Visceral leishmaniasis therapy</t>
  </si>
  <si>
    <t>Drugs for Neglected Diseases</t>
  </si>
  <si>
    <t>BENCH-PANDEMIC_VACCINE</t>
  </si>
  <si>
    <t>Pandemic influenza vaccine</t>
  </si>
  <si>
    <t>F2G: DOWNRANKED_OR_ABSENT</t>
  </si>
  <si>
    <t>BENCH-MICROBIOME</t>
  </si>
  <si>
    <t>Recurrent C. difficile microbiome intervention</t>
  </si>
  <si>
    <t>BENCH-AMR_DIAGNOSTIC</t>
  </si>
  <si>
    <t>AMR diagnostic; SME licensing not equity</t>
  </si>
  <si>
    <t>FIND;Qiagen</t>
  </si>
  <si>
    <t>Weighted benchmark coverage is a local routing observation, not measured market recall. 6/6 expected scope-weight considered; 6 planned. Sources 5/5 present in catalog; inactive modules not live executed.</t>
  </si>
  <si>
    <t>BENCH-HSV_IMMUNOCOMPROMISED</t>
  </si>
  <si>
    <t>HSV treatment in immunocompromised host</t>
  </si>
  <si>
    <t>BENCH-FUNGAL_IMMUNOCOMPROMISED</t>
  </si>
  <si>
    <t>Invasive aspergillosis in immunocompromised host</t>
  </si>
  <si>
    <t>F2G;Shionogi</t>
  </si>
  <si>
    <t>BENCH-HIV_GENE_EDITING</t>
  </si>
  <si>
    <t>HIV gene-editing therapy</t>
  </si>
  <si>
    <t>Excision</t>
  </si>
  <si>
    <t>BENCH-EBV_CELL</t>
  </si>
  <si>
    <t>EBV-positive PTLD T-cell therapy</t>
  </si>
  <si>
    <t>BENCH-HDV</t>
  </si>
  <si>
    <t>HDV antiviral therapeutic</t>
  </si>
  <si>
    <t>Vir Biotechnology;Assembly Biosciences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</si>
</sst>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174E8D"/>
      <name val="Aptos"/>
    </font>
    <font>
      <sz val="10"/>
      <color rgb="FF69428A"/>
      <name val="Aptos"/>
    </font>
    <font>
      <sz val="10"/>
      <color rgb="FF1C6B54"/>
      <name val="Aptos"/>
    </font>
    <font>
      <sz val="10"/>
      <color rgb="FF000000"/>
      <name val="Aptos"/>
    </font>
    <font>
      <b/>
      <sz val="23"/>
      <color rgb="FFFFFFFF"/>
      <name val="Aptos Display"/>
    </font>
    <font>
      <sz val="11"/>
      <color rgb="FF657380"/>
      <name val="Aptos"/>
    </font>
    <font>
      <b/>
      <sz val="11"/>
      <color rgb="FF087E8B"/>
      <name val="Aptos"/>
    </font>
    <font>
      <b/>
      <sz val="11"/>
      <color rgb="FF657380"/>
      <name val="Aptos"/>
    </font>
    <font>
      <b/>
      <sz val="26"/>
      <color rgb="FF087E8B"/>
      <name val="Aptos Display"/>
    </font>
    <font>
      <b/>
      <sz val="11"/>
      <color rgb="FF174E8D"/>
      <name val="Aptos"/>
    </font>
    <font>
      <b/>
      <sz val="11"/>
      <color rgb="FFFFFFFF"/>
      <name val="Aptos"/>
    </font>
    <font>
      <sz val="11"/>
      <color rgb="FF174E8D"/>
      <name val="Aptos"/>
    </font>
  </fonts>
  <fills count="6">
    <fill>
      <patternFill patternType="none"/>
    </fill>
    <fill>
      <patternFill patternType="gray125"/>
    </fill>
    <fill>
      <patternFill patternType="solid">
        <fgColor rgb="FF18354A"/>
      </patternFill>
    </fill>
    <fill>
      <patternFill patternType="solid">
        <fgColor rgb="FFFFF0D9"/>
      </patternFill>
    </fill>
    <fill>
      <patternFill patternType="solid">
        <fgColor rgb="FFE9F4F3"/>
      </patternFill>
    </fill>
    <fill>
      <patternFill patternType="solid">
        <fgColor rgb="FFF2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/>
    <xf numFmtId="0" fontId="10" fillId="0" borderId="0" xfId="0" applyFont="1"/>
    <xf numFmtId="0" fontId="12" fillId="2" borderId="0" xfId="0" applyFont="1" applyFill="1"/>
    <xf numFmtId="0" fontId="7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8" fillId="0" borderId="0" xfId="0" applyFont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3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0" xfId="0"/>
    <xf numFmtId="0" fontId="13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6" fillId="2" borderId="0" xfId="0" applyFont="1" applyFill="1" applyAlignment="1">
      <alignment vertical="center"/>
    </xf>
    <xf numFmtId="0" fontId="11" fillId="0" borderId="0" xfId="0" applyFont="1"/>
    <xf numFmtId="0" fontId="12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MODULE_CONFIG" displayName="T_MODULE_CONFIG" ref="A1:Q13">
  <autoFilter ref="A1:Q13" xr:uid="{00000000-0009-0000-0100-000001000000}"/>
  <tableColumns count="17">
    <tableColumn id="1" xr3:uid="{00000000-0010-0000-0000-000001000000}" name="module_id"/>
    <tableColumn id="2" xr3:uid="{00000000-0010-0000-0000-000002000000}" name="module_name"/>
    <tableColumn id="3" xr3:uid="{00000000-0010-0000-0000-000003000000}" name="sheet_name"/>
    <tableColumn id="4" xr3:uid="{00000000-0010-0000-0000-000004000000}" name="module_priority"/>
    <tableColumn id="5" xr3:uid="{00000000-0010-0000-0000-000005000000}" name="routine_enabled"/>
    <tableColumn id="6" xr3:uid="{00000000-0010-0000-0000-000006000000}" name="run_cadence"/>
    <tableColumn id="7" xr3:uid="{00000000-0010-0000-0000-000007000000}" name="candidate_cap"/>
    <tableColumn id="8" xr3:uid="{00000000-0010-0000-0000-000008000000}" name="max_live_checks"/>
    <tableColumn id="9" xr3:uid="{00000000-0010-0000-0000-000009000000}" name="discovery_queries"/>
    <tableColumn id="10" xr3:uid="{00000000-0010-0000-0000-00000A000000}" name="freshness_days"/>
    <tableColumn id="11" xr3:uid="{00000000-0010-0000-0000-00000B000000}" name="catalog_review_months"/>
    <tableColumn id="12" xr3:uid="{00000000-0010-0000-0000-00000C000000}" name="selection_basis"/>
    <tableColumn id="13" xr3:uid="{00000000-0010-0000-0000-00000D000000}" name="output_focus"/>
    <tableColumn id="14" xr3:uid="{00000000-0010-0000-0000-00000E000000}" name="policy_note"/>
    <tableColumn id="15" xr3:uid="{00000000-0010-0000-0000-00000F000000}" name="catalog_status"/>
    <tableColumn id="16" xr3:uid="{00000000-0010-0000-0000-000010000000}" name="integration_status"/>
    <tableColumn id="17" xr3:uid="{00000000-0010-0000-0000-000011000000}" name="default_query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FLAGSHIP_CHECK" displayName="T_FLAGSHIP_CHECK" ref="A1:L12">
  <autoFilter ref="A1:L12" xr:uid="{00000000-0009-0000-0100-000002000000}"/>
  <tableColumns count="12">
    <tableColumn id="1" xr3:uid="{00000000-0010-0000-0100-000001000000}" name="project_id"/>
    <tableColumn id="2" xr3:uid="{00000000-0010-0000-0100-000002000000}" name="project_name"/>
    <tableColumn id="3" xr3:uid="{00000000-0010-0000-0100-000003000000}" name="scope"/>
    <tableColumn id="4" xr3:uid="{00000000-0010-0000-0100-000004000000}" name="change"/>
    <tableColumn id="5" xr3:uid="{00000000-0010-0000-0100-000005000000}" name="official_url"/>
    <tableColumn id="6" xr3:uid="{00000000-0010-0000-0100-000006000000}" name="scenario_assumption"/>
    <tableColumn id="7" xr3:uid="{00000000-0010-0000-0100-000007000000}" name="m01_profiles_before"/>
    <tableColumn id="8" xr3:uid="{00000000-0010-0000-0100-000008000000}" name="m01_profiles_after"/>
    <tableColumn id="9" xr3:uid="{00000000-0010-0000-0100-000009000000}" name="m01_planned_live_requests"/>
    <tableColumn id="10" xr3:uid="{00000000-0010-0000-0100-00000A000000}" name="important_anchors"/>
    <tableColumn id="11" xr3:uid="{00000000-0010-0000-0100-00000B000000}" name="remaining_gap"/>
    <tableColumn id="12" xr3:uid="{00000000-0010-0000-0100-00000C000000}" name="accept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EFFICIENCY_REVIEW" displayName="T_EFFICIENCY_REVIEW" ref="A1:F17">
  <autoFilter ref="A1:F17" xr:uid="{00000000-0009-0000-0100-000003000000}"/>
  <tableColumns count="6">
    <tableColumn id="1" xr3:uid="{00000000-0010-0000-0200-000001000000}" name="review_id"/>
    <tableColumn id="2" xr3:uid="{00000000-0010-0000-0200-000002000000}" name="area"/>
    <tableColumn id="3" xr3:uid="{00000000-0010-0000-0200-000003000000}" name="decision"/>
    <tableColumn id="4" xr3:uid="{00000000-0010-0000-0200-000004000000}" name="action"/>
    <tableColumn id="5" xr3:uid="{00000000-0010-0000-0200-000005000000}" name="remaining_validation"/>
    <tableColumn id="6" xr3:uid="{00000000-0010-0000-0200-000006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M01_COMPETITORS" displayName="T_M01_COMPETITORS" ref="A1:Q245">
  <autoFilter ref="A1:Q245" xr:uid="{00000000-0009-0000-0100-000004000000}"/>
  <tableColumns count="17">
    <tableColumn id="1" xr3:uid="{00000000-0010-0000-0300-000001000000}" name="record_id"/>
    <tableColumn id="2" xr3:uid="{00000000-0010-0000-0300-000002000000}" name="entity_id"/>
    <tableColumn id="3" xr3:uid="{00000000-0010-0000-0300-000003000000}" name="entity_name"/>
    <tableColumn id="4" xr3:uid="{00000000-0010-0000-0300-000004000000}" name="record_type"/>
    <tableColumn id="5" xr3:uid="{00000000-0010-0000-0300-000005000000}" name="topic_tags"/>
    <tableColumn id="6" xr3:uid="{00000000-0010-0000-0300-000006000000}" name="pathogen_tags"/>
    <tableColumn id="7" xr3:uid="{00000000-0010-0000-0300-000007000000}" name="indication_tags"/>
    <tableColumn id="8" xr3:uid="{00000000-0010-0000-0300-000008000000}" name="modality_tags"/>
    <tableColumn id="9" xr3:uid="{00000000-0010-0000-0300-000009000000}" name="search_terms"/>
    <tableColumn id="10" xr3:uid="{00000000-0010-0000-0300-00000A000000}" name="source_id"/>
    <tableColumn id="11" xr3:uid="{00000000-0010-0000-0300-00000B000000}" name="base_priority"/>
    <tableColumn id="12" xr3:uid="{00000000-0010-0000-0300-00000C000000}" name="status"/>
    <tableColumn id="13" xr3:uid="{00000000-0010-0000-0300-00000D000000}" name="evidence_scope"/>
    <tableColumn id="14" xr3:uid="{00000000-0010-0000-0300-00000E000000}" name="provenance_id"/>
    <tableColumn id="15" xr3:uid="{00000000-0010-0000-0300-00000F000000}" name="cautions"/>
    <tableColumn id="16" xr3:uid="{00000000-0010-0000-0300-000010000000}" name="source_url"/>
    <tableColumn id="17" xr3:uid="{00000000-0010-0000-0300-000011000000}" name="watch_poli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M02_CLINICAL" displayName="T_M02_CLINICAL" ref="A1:P6">
  <autoFilter ref="A1:P6" xr:uid="{00000000-0009-0000-0100-000005000000}"/>
  <tableColumns count="16">
    <tableColumn id="1" xr3:uid="{00000000-0010-0000-0400-000001000000}" name="record_id"/>
    <tableColumn id="2" xr3:uid="{00000000-0010-0000-0400-000002000000}" name="record_name"/>
    <tableColumn id="3" xr3:uid="{00000000-0010-0000-0400-000003000000}" name="record_type"/>
    <tableColumn id="4" xr3:uid="{00000000-0010-0000-0400-000004000000}" name="scope_note"/>
    <tableColumn id="5" xr3:uid="{00000000-0010-0000-0400-000005000000}" name="topic_tags"/>
    <tableColumn id="6" xr3:uid="{00000000-0010-0000-0400-000006000000}" name="pathogen_tags"/>
    <tableColumn id="7" xr3:uid="{00000000-0010-0000-0400-000007000000}" name="modality_tags"/>
    <tableColumn id="8" xr3:uid="{00000000-0010-0000-0400-000008000000}" name="jurisdiction_tags"/>
    <tableColumn id="9" xr3:uid="{00000000-0010-0000-0400-000009000000}" name="query_class"/>
    <tableColumn id="10" xr3:uid="{00000000-0010-0000-0400-00000A000000}" name="source_id"/>
    <tableColumn id="11" xr3:uid="{00000000-0010-0000-0400-00000B000000}" name="base_priority"/>
    <tableColumn id="12" xr3:uid="{00000000-0010-0000-0400-00000C000000}" name="watch_policy"/>
    <tableColumn id="13" xr3:uid="{00000000-0010-0000-0400-00000D000000}" name="status"/>
    <tableColumn id="14" xr3:uid="{00000000-0010-0000-0400-00000E000000}" name="catalog_review_on"/>
    <tableColumn id="15" xr3:uid="{00000000-0010-0000-0400-00000F000000}" name="source_url"/>
    <tableColumn id="16" xr3:uid="{00000000-0010-0000-0400-000010000000}" name="cau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M03_SCI_TECH" displayName="T_M03_SCI_TECH" ref="A1:P4">
  <autoFilter ref="A1:P4" xr:uid="{00000000-0009-0000-0100-000006000000}"/>
  <tableColumns count="16">
    <tableColumn id="1" xr3:uid="{00000000-0010-0000-0500-000001000000}" name="record_id"/>
    <tableColumn id="2" xr3:uid="{00000000-0010-0000-0500-000002000000}" name="record_name"/>
    <tableColumn id="3" xr3:uid="{00000000-0010-0000-0500-000003000000}" name="record_type"/>
    <tableColumn id="4" xr3:uid="{00000000-0010-0000-0500-000004000000}" name="scope_note"/>
    <tableColumn id="5" xr3:uid="{00000000-0010-0000-0500-000005000000}" name="topic_tags"/>
    <tableColumn id="6" xr3:uid="{00000000-0010-0000-0500-000006000000}" name="pathogen_tags"/>
    <tableColumn id="7" xr3:uid="{00000000-0010-0000-0500-000007000000}" name="modality_tags"/>
    <tableColumn id="8" xr3:uid="{00000000-0010-0000-0500-000008000000}" name="jurisdiction_tags"/>
    <tableColumn id="9" xr3:uid="{00000000-0010-0000-0500-000009000000}" name="query_class"/>
    <tableColumn id="10" xr3:uid="{00000000-0010-0000-0500-00000A000000}" name="source_id"/>
    <tableColumn id="11" xr3:uid="{00000000-0010-0000-0500-00000B000000}" name="base_priority"/>
    <tableColumn id="12" xr3:uid="{00000000-0010-0000-0500-00000C000000}" name="watch_policy"/>
    <tableColumn id="13" xr3:uid="{00000000-0010-0000-0500-00000D000000}" name="status"/>
    <tableColumn id="14" xr3:uid="{00000000-0010-0000-0500-00000E000000}" name="catalog_review_on"/>
    <tableColumn id="15" xr3:uid="{00000000-0010-0000-0500-00000F000000}" name="source_url"/>
    <tableColumn id="16" xr3:uid="{00000000-0010-0000-0500-000010000000}" name="cau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M04_REGULATORY" displayName="T_M04_REGULATORY" ref="A1:P11">
  <autoFilter ref="A1:P11" xr:uid="{00000000-0009-0000-0100-000007000000}"/>
  <tableColumns count="16">
    <tableColumn id="1" xr3:uid="{00000000-0010-0000-0600-000001000000}" name="record_id"/>
    <tableColumn id="2" xr3:uid="{00000000-0010-0000-0600-000002000000}" name="record_name"/>
    <tableColumn id="3" xr3:uid="{00000000-0010-0000-0600-000003000000}" name="record_type"/>
    <tableColumn id="4" xr3:uid="{00000000-0010-0000-0600-000004000000}" name="scope_note"/>
    <tableColumn id="5" xr3:uid="{00000000-0010-0000-0600-000005000000}" name="topic_tags"/>
    <tableColumn id="6" xr3:uid="{00000000-0010-0000-0600-000006000000}" name="pathogen_tags"/>
    <tableColumn id="7" xr3:uid="{00000000-0010-0000-0600-000007000000}" name="modality_tags"/>
    <tableColumn id="8" xr3:uid="{00000000-0010-0000-0600-000008000000}" name="jurisdiction_tags"/>
    <tableColumn id="9" xr3:uid="{00000000-0010-0000-0600-000009000000}" name="query_class"/>
    <tableColumn id="10" xr3:uid="{00000000-0010-0000-0600-00000A000000}" name="source_id"/>
    <tableColumn id="11" xr3:uid="{00000000-0010-0000-0600-00000B000000}" name="base_priority"/>
    <tableColumn id="12" xr3:uid="{00000000-0010-0000-0600-00000C000000}" name="watch_policy"/>
    <tableColumn id="13" xr3:uid="{00000000-0010-0000-0600-00000D000000}" name="status"/>
    <tableColumn id="14" xr3:uid="{00000000-0010-0000-0600-00000E000000}" name="catalog_review_on"/>
    <tableColumn id="15" xr3:uid="{00000000-0010-0000-0600-00000F000000}" name="source_url"/>
    <tableColumn id="16" xr3:uid="{00000000-0010-0000-0600-000010000000}" name="cautio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M05_FUNDING" displayName="T_M05_FUNDING" ref="A1:T68">
  <autoFilter ref="A1:T68" xr:uid="{00000000-0009-0000-0100-000008000000}"/>
  <tableColumns count="20">
    <tableColumn id="1" xr3:uid="{00000000-0010-0000-0700-000001000000}" name="record_id"/>
    <tableColumn id="2" xr3:uid="{00000000-0010-0000-0700-000002000000}" name="record_name"/>
    <tableColumn id="3" xr3:uid="{00000000-0010-0000-0700-000003000000}" name="record_type"/>
    <tableColumn id="4" xr3:uid="{00000000-0010-0000-0700-000004000000}" name="applicant_types"/>
    <tableColumn id="5" xr3:uid="{00000000-0010-0000-0700-000005000000}" name="region_scope"/>
    <tableColumn id="6" xr3:uid="{00000000-0010-0000-0700-000006000000}" name="institution_scope"/>
    <tableColumn id="7" xr3:uid="{00000000-0010-0000-0700-000007000000}" name="trigger_tags"/>
    <tableColumn id="8" xr3:uid="{00000000-0010-0000-0700-000008000000}" name="required_context_tags"/>
    <tableColumn id="9" xr3:uid="{00000000-0010-0000-0700-000009000000}" name="development_scope"/>
    <tableColumn id="10" xr3:uid="{00000000-0010-0000-0700-00000A000000}" name="activity_tags"/>
    <tableColumn id="11" xr3:uid="{00000000-0010-0000-0700-00000B000000}" name="routing_mode"/>
    <tableColumn id="12" xr3:uid="{00000000-0010-0000-0700-00000C000000}" name="source_id"/>
    <tableColumn id="13" xr3:uid="{00000000-0010-0000-0700-00000D000000}" name="base_priority"/>
    <tableColumn id="14" xr3:uid="{00000000-0010-0000-0700-00000E000000}" name="status"/>
    <tableColumn id="15" xr3:uid="{00000000-0010-0000-0700-00000F000000}" name="eligibility_note"/>
    <tableColumn id="16" xr3:uid="{00000000-0010-0000-0700-000010000000}" name="provenance_id"/>
    <tableColumn id="17" xr3:uid="{00000000-0010-0000-0700-000011000000}" name="source_url"/>
    <tableColumn id="18" xr3:uid="{00000000-0010-0000-0700-000012000000}" name="parent_record_id"/>
    <tableColumn id="19" xr3:uid="{00000000-0010-0000-0700-000013000000}" name="context_match"/>
    <tableColumn id="20" xr3:uid="{00000000-0010-0000-0700-000014000000}" name="watch_poli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M06_BD_PARTNERS" displayName="T_M06_BD_PARTNERS" ref="A1:R79">
  <autoFilter ref="A1:R79" xr:uid="{00000000-0009-0000-0100-000009000000}"/>
  <tableColumns count="18">
    <tableColumn id="1" xr3:uid="{00000000-0010-0000-0800-000001000000}" name="record_id"/>
    <tableColumn id="2" xr3:uid="{00000000-0010-0000-0800-000002000000}" name="entity_id"/>
    <tableColumn id="3" xr3:uid="{00000000-0010-0000-0800-000003000000}" name="entity_name"/>
    <tableColumn id="4" xr3:uid="{00000000-0010-0000-0800-000004000000}" name="partner_role"/>
    <tableColumn id="5" xr3:uid="{00000000-0010-0000-0800-000005000000}" name="topic_tags"/>
    <tableColumn id="6" xr3:uid="{00000000-0010-0000-0800-000006000000}" name="modality_tags"/>
    <tableColumn id="7" xr3:uid="{00000000-0010-0000-0800-000007000000}" name="development_scope"/>
    <tableColumn id="8" xr3:uid="{00000000-0010-0000-0800-000008000000}" name="investment_stage"/>
    <tableColumn id="9" xr3:uid="{00000000-0010-0000-0800-000009000000}" name="applicant_route"/>
    <tableColumn id="10" xr3:uid="{00000000-0010-0000-0800-00000A000000}" name="geography_scope"/>
    <tableColumn id="11" xr3:uid="{00000000-0010-0000-0800-00000B000000}" name="source_id"/>
    <tableColumn id="12" xr3:uid="{00000000-0010-0000-0800-00000C000000}" name="base_priority"/>
    <tableColumn id="13" xr3:uid="{00000000-0010-0000-0800-00000D000000}" name="status"/>
    <tableColumn id="14" xr3:uid="{00000000-0010-0000-0800-00000E000000}" name="fit_note"/>
    <tableColumn id="15" xr3:uid="{00000000-0010-0000-0800-00000F000000}" name="constraints"/>
    <tableColumn id="16" xr3:uid="{00000000-0010-0000-0800-000010000000}" name="provenance_id"/>
    <tableColumn id="17" xr3:uid="{00000000-0010-0000-0800-000011000000}" name="source_url"/>
    <tableColumn id="18" xr3:uid="{00000000-0010-0000-0800-000012000000}" name="watch_polic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M07_DEALS" displayName="T_M07_DEALS" ref="A1:M58">
  <autoFilter ref="A1:M58" xr:uid="{00000000-0009-0000-0100-00000A000000}"/>
  <tableColumns count="13">
    <tableColumn id="1" xr3:uid="{00000000-0010-0000-0900-000001000000}" name="record_id"/>
    <tableColumn id="2" xr3:uid="{00000000-0010-0000-0900-000002000000}" name="entity_id"/>
    <tableColumn id="3" xr3:uid="{00000000-0010-0000-0900-000003000000}" name="entity_name"/>
    <tableColumn id="4" xr3:uid="{00000000-0010-0000-0900-000004000000}" name="record_type"/>
    <tableColumn id="5" xr3:uid="{00000000-0010-0000-0900-000005000000}" name="topic_tags"/>
    <tableColumn id="6" xr3:uid="{00000000-0010-0000-0900-000006000000}" name="modality_tags"/>
    <tableColumn id="7" xr3:uid="{00000000-0010-0000-0900-000007000000}" name="transaction_types"/>
    <tableColumn id="8" xr3:uid="{00000000-0010-0000-0900-000008000000}" name="source_id"/>
    <tableColumn id="9" xr3:uid="{00000000-0010-0000-0900-000009000000}" name="base_priority"/>
    <tableColumn id="10" xr3:uid="{00000000-0010-0000-0900-00000A000000}" name="status"/>
    <tableColumn id="11" xr3:uid="{00000000-0010-0000-0900-00000B000000}" name="provenance_id"/>
    <tableColumn id="12" xr3:uid="{00000000-0010-0000-0900-00000C000000}" name="cautions"/>
    <tableColumn id="13" xr3:uid="{00000000-0010-0000-0900-00000D000000}" name="watch_polic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M08_EVENTS" displayName="T_M08_EVENTS" ref="A1:P8">
  <autoFilter ref="A1:P8" xr:uid="{00000000-0009-0000-0100-00000B000000}"/>
  <tableColumns count="16">
    <tableColumn id="1" xr3:uid="{00000000-0010-0000-0A00-000001000000}" name="record_id"/>
    <tableColumn id="2" xr3:uid="{00000000-0010-0000-0A00-000002000000}" name="record_name"/>
    <tableColumn id="3" xr3:uid="{00000000-0010-0000-0A00-000003000000}" name="record_type"/>
    <tableColumn id="4" xr3:uid="{00000000-0010-0000-0A00-000004000000}" name="scope_note"/>
    <tableColumn id="5" xr3:uid="{00000000-0010-0000-0A00-000005000000}" name="topic_tags"/>
    <tableColumn id="6" xr3:uid="{00000000-0010-0000-0A00-000006000000}" name="pathogen_tags"/>
    <tableColumn id="7" xr3:uid="{00000000-0010-0000-0A00-000007000000}" name="modality_tags"/>
    <tableColumn id="8" xr3:uid="{00000000-0010-0000-0A00-000008000000}" name="jurisdiction_tags"/>
    <tableColumn id="9" xr3:uid="{00000000-0010-0000-0A00-000009000000}" name="query_class"/>
    <tableColumn id="10" xr3:uid="{00000000-0010-0000-0A00-00000A000000}" name="source_id"/>
    <tableColumn id="11" xr3:uid="{00000000-0010-0000-0A00-00000B000000}" name="base_priority"/>
    <tableColumn id="12" xr3:uid="{00000000-0010-0000-0A00-00000C000000}" name="watch_policy"/>
    <tableColumn id="13" xr3:uid="{00000000-0010-0000-0A00-00000D000000}" name="status"/>
    <tableColumn id="14" xr3:uid="{00000000-0010-0000-0A00-00000E000000}" name="catalog_review_on"/>
    <tableColumn id="15" xr3:uid="{00000000-0010-0000-0A00-00000F000000}" name="source_url"/>
    <tableColumn id="16" xr3:uid="{00000000-0010-0000-0A00-000010000000}" name="caution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M09_MEDICAL" displayName="T_M09_MEDICAL" ref="A1:P7">
  <autoFilter ref="A1:P7" xr:uid="{00000000-0009-0000-0100-00000C000000}"/>
  <tableColumns count="16">
    <tableColumn id="1" xr3:uid="{00000000-0010-0000-0B00-000001000000}" name="record_id"/>
    <tableColumn id="2" xr3:uid="{00000000-0010-0000-0B00-000002000000}" name="record_name"/>
    <tableColumn id="3" xr3:uid="{00000000-0010-0000-0B00-000003000000}" name="record_type"/>
    <tableColumn id="4" xr3:uid="{00000000-0010-0000-0B00-000004000000}" name="scope_note"/>
    <tableColumn id="5" xr3:uid="{00000000-0010-0000-0B00-000005000000}" name="topic_tags"/>
    <tableColumn id="6" xr3:uid="{00000000-0010-0000-0B00-000006000000}" name="pathogen_tags"/>
    <tableColumn id="7" xr3:uid="{00000000-0010-0000-0B00-000007000000}" name="modality_tags"/>
    <tableColumn id="8" xr3:uid="{00000000-0010-0000-0B00-000008000000}" name="jurisdiction_tags"/>
    <tableColumn id="9" xr3:uid="{00000000-0010-0000-0B00-000009000000}" name="query_class"/>
    <tableColumn id="10" xr3:uid="{00000000-0010-0000-0B00-00000A000000}" name="source_id"/>
    <tableColumn id="11" xr3:uid="{00000000-0010-0000-0B00-00000B000000}" name="base_priority"/>
    <tableColumn id="12" xr3:uid="{00000000-0010-0000-0B00-00000C000000}" name="watch_policy"/>
    <tableColumn id="13" xr3:uid="{00000000-0010-0000-0B00-00000D000000}" name="status"/>
    <tableColumn id="14" xr3:uid="{00000000-0010-0000-0B00-00000E000000}" name="catalog_review_on"/>
    <tableColumn id="15" xr3:uid="{00000000-0010-0000-0B00-00000F000000}" name="source_url"/>
    <tableColumn id="16" xr3:uid="{00000000-0010-0000-0B00-000010000000}" name="caution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M10_IP_PATENT" displayName="T_M10_IP_PATENT" ref="A1:P4">
  <autoFilter ref="A1:P4" xr:uid="{00000000-0009-0000-0100-00000D000000}"/>
  <tableColumns count="16">
    <tableColumn id="1" xr3:uid="{00000000-0010-0000-0C00-000001000000}" name="record_id"/>
    <tableColumn id="2" xr3:uid="{00000000-0010-0000-0C00-000002000000}" name="record_name"/>
    <tableColumn id="3" xr3:uid="{00000000-0010-0000-0C00-000003000000}" name="record_type"/>
    <tableColumn id="4" xr3:uid="{00000000-0010-0000-0C00-000004000000}" name="scope_note"/>
    <tableColumn id="5" xr3:uid="{00000000-0010-0000-0C00-000005000000}" name="topic_tags"/>
    <tableColumn id="6" xr3:uid="{00000000-0010-0000-0C00-000006000000}" name="pathogen_tags"/>
    <tableColumn id="7" xr3:uid="{00000000-0010-0000-0C00-000007000000}" name="modality_tags"/>
    <tableColumn id="8" xr3:uid="{00000000-0010-0000-0C00-000008000000}" name="jurisdiction_tags"/>
    <tableColumn id="9" xr3:uid="{00000000-0010-0000-0C00-000009000000}" name="query_class"/>
    <tableColumn id="10" xr3:uid="{00000000-0010-0000-0C00-00000A000000}" name="source_id"/>
    <tableColumn id="11" xr3:uid="{00000000-0010-0000-0C00-00000B000000}" name="base_priority"/>
    <tableColumn id="12" xr3:uid="{00000000-0010-0000-0C00-00000C000000}" name="watch_policy"/>
    <tableColumn id="13" xr3:uid="{00000000-0010-0000-0C00-00000D000000}" name="status"/>
    <tableColumn id="14" xr3:uid="{00000000-0010-0000-0C00-00000E000000}" name="catalog_review_on"/>
    <tableColumn id="15" xr3:uid="{00000000-0010-0000-0C00-00000F000000}" name="source_url"/>
    <tableColumn id="16" xr3:uid="{00000000-0010-0000-0C00-000010000000}" name="caution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M11_CMC" displayName="T_M11_CMC" ref="A1:P8">
  <autoFilter ref="A1:P8" xr:uid="{00000000-0009-0000-0100-00000E000000}"/>
  <tableColumns count="16">
    <tableColumn id="1" xr3:uid="{00000000-0010-0000-0D00-000001000000}" name="record_id"/>
    <tableColumn id="2" xr3:uid="{00000000-0010-0000-0D00-000002000000}" name="record_name"/>
    <tableColumn id="3" xr3:uid="{00000000-0010-0000-0D00-000003000000}" name="record_type"/>
    <tableColumn id="4" xr3:uid="{00000000-0010-0000-0D00-000004000000}" name="scope_note"/>
    <tableColumn id="5" xr3:uid="{00000000-0010-0000-0D00-000005000000}" name="topic_tags"/>
    <tableColumn id="6" xr3:uid="{00000000-0010-0000-0D00-000006000000}" name="pathogen_tags"/>
    <tableColumn id="7" xr3:uid="{00000000-0010-0000-0D00-000007000000}" name="modality_tags"/>
    <tableColumn id="8" xr3:uid="{00000000-0010-0000-0D00-000008000000}" name="jurisdiction_tags"/>
    <tableColumn id="9" xr3:uid="{00000000-0010-0000-0D00-000009000000}" name="query_class"/>
    <tableColumn id="10" xr3:uid="{00000000-0010-0000-0D00-00000A000000}" name="source_id"/>
    <tableColumn id="11" xr3:uid="{00000000-0010-0000-0D00-00000B000000}" name="base_priority"/>
    <tableColumn id="12" xr3:uid="{00000000-0010-0000-0D00-00000C000000}" name="watch_policy"/>
    <tableColumn id="13" xr3:uid="{00000000-0010-0000-0D00-00000D000000}" name="status"/>
    <tableColumn id="14" xr3:uid="{00000000-0010-0000-0D00-00000E000000}" name="catalog_review_on"/>
    <tableColumn id="15" xr3:uid="{00000000-0010-0000-0D00-00000F000000}" name="source_url"/>
    <tableColumn id="16" xr3:uid="{00000000-0010-0000-0D00-000010000000}" name="caution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M12_POLICY_ACCESS" displayName="T_M12_POLICY_ACCESS" ref="A1:P8">
  <autoFilter ref="A1:P8" xr:uid="{00000000-0009-0000-0100-00000F000000}"/>
  <tableColumns count="16">
    <tableColumn id="1" xr3:uid="{00000000-0010-0000-0E00-000001000000}" name="record_id"/>
    <tableColumn id="2" xr3:uid="{00000000-0010-0000-0E00-000002000000}" name="record_name"/>
    <tableColumn id="3" xr3:uid="{00000000-0010-0000-0E00-000003000000}" name="record_type"/>
    <tableColumn id="4" xr3:uid="{00000000-0010-0000-0E00-000004000000}" name="scope_note"/>
    <tableColumn id="5" xr3:uid="{00000000-0010-0000-0E00-000005000000}" name="topic_tags"/>
    <tableColumn id="6" xr3:uid="{00000000-0010-0000-0E00-000006000000}" name="pathogen_tags"/>
    <tableColumn id="7" xr3:uid="{00000000-0010-0000-0E00-000007000000}" name="modality_tags"/>
    <tableColumn id="8" xr3:uid="{00000000-0010-0000-0E00-000008000000}" name="jurisdiction_tags"/>
    <tableColumn id="9" xr3:uid="{00000000-0010-0000-0E00-000009000000}" name="query_class"/>
    <tableColumn id="10" xr3:uid="{00000000-0010-0000-0E00-00000A000000}" name="source_id"/>
    <tableColumn id="11" xr3:uid="{00000000-0010-0000-0E00-00000B000000}" name="base_priority"/>
    <tableColumn id="12" xr3:uid="{00000000-0010-0000-0E00-00000C000000}" name="watch_policy"/>
    <tableColumn id="13" xr3:uid="{00000000-0010-0000-0E00-00000D000000}" name="status"/>
    <tableColumn id="14" xr3:uid="{00000000-0010-0000-0E00-00000E000000}" name="catalog_review_on"/>
    <tableColumn id="15" xr3:uid="{00000000-0010-0000-0E00-00000F000000}" name="source_url"/>
    <tableColumn id="16" xr3:uid="{00000000-0010-0000-0E00-000010000000}" name="caution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ENTITY_MASTER" displayName="T_ENTITY_MASTER" ref="A1:J266">
  <autoFilter ref="A1:J266" xr:uid="{00000000-0009-0000-0100-000010000000}"/>
  <tableColumns count="10">
    <tableColumn id="1" xr3:uid="{00000000-0010-0000-0F00-000001000000}" name="entity_id"/>
    <tableColumn id="2" xr3:uid="{00000000-0010-0000-0F00-000002000000}" name="entity_name"/>
    <tableColumn id="3" xr3:uid="{00000000-0010-0000-0F00-000003000000}" name="entity_type"/>
    <tableColumn id="4" xr3:uid="{00000000-0010-0000-0F00-000004000000}" name="aliases"/>
    <tableColumn id="5" xr3:uid="{00000000-0010-0000-0F00-000005000000}" name="parent_entity_id"/>
    <tableColumn id="6" xr3:uid="{00000000-0010-0000-0F00-000006000000}" name="group_note"/>
    <tableColumn id="7" xr3:uid="{00000000-0010-0000-0F00-000007000000}" name="homepage_url"/>
    <tableColumn id="8" xr3:uid="{00000000-0010-0000-0F00-000008000000}" name="status"/>
    <tableColumn id="9" xr3:uid="{00000000-0010-0000-0F00-000009000000}" name="provenance_ids"/>
    <tableColumn id="10" xr3:uid="{00000000-0010-0000-0F00-00000A000000}" name="curator_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SOURCE_REGISTRY" displayName="T_SOURCE_REGISTRY" ref="A1:S246">
  <autoFilter ref="A1:S246" xr:uid="{00000000-0009-0000-0100-000011000000}"/>
  <tableColumns count="19">
    <tableColumn id="1" xr3:uid="{00000000-0010-0000-1000-000001000000}" name="source_id"/>
    <tableColumn id="2" xr3:uid="{00000000-0010-0000-1000-000002000000}" name="source_name"/>
    <tableColumn id="3" xr3:uid="{00000000-0010-0000-1000-000003000000}" name="source_type"/>
    <tableColumn id="4" xr3:uid="{00000000-0010-0000-1000-000004000000}" name="module_ids"/>
    <tableColumn id="5" xr3:uid="{00000000-0010-0000-1000-000005000000}" name="entry_url"/>
    <tableColumn id="6" xr3:uid="{00000000-0010-0000-1000-000006000000}" name="access_method"/>
    <tableColumn id="7" xr3:uid="{00000000-0010-0000-1000-000007000000}" name="web_check_status"/>
    <tableColumn id="8" xr3:uid="{00000000-0010-0000-1000-000008000000}" name="checked_on"/>
    <tableColumn id="9" xr3:uid="{00000000-0010-0000-1000-000009000000}" name="langdock_access"/>
    <tableColumn id="10" xr3:uid="{00000000-0010-0000-1000-00000A000000}" name="use_scope"/>
    <tableColumn id="11" xr3:uid="{00000000-0010-0000-1000-00000B000000}" name="rights_scope"/>
    <tableColumn id="12" xr3:uid="{00000000-0010-0000-1000-00000C000000}" name="access_note"/>
    <tableColumn id="13" xr3:uid="{00000000-0010-0000-1000-00000D000000}" name="review_batch"/>
    <tableColumn id="14" xr3:uid="{00000000-0010-0000-1000-00000E000000}" name="api_endpoint"/>
    <tableColumn id="15" xr3:uid="{00000000-0010-0000-1000-00000F000000}" name="pagination_rule"/>
    <tableColumn id="16" xr3:uid="{00000000-0010-0000-1000-000010000000}" name="source_evidence_type"/>
    <tableColumn id="17" xr3:uid="{00000000-0010-0000-1000-000011000000}" name="content_validation_status"/>
    <tableColumn id="18" xr3:uid="{00000000-0010-0000-1000-000012000000}" name="identity_verification_status"/>
    <tableColumn id="19" xr3:uid="{00000000-0010-0000-1000-000013000000}" name="canonical_source_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MATCH_ANCHORS" displayName="T_MATCH_ANCHORS" ref="A1:Q35">
  <autoFilter ref="A1:Q35" xr:uid="{00000000-0009-0000-0100-000012000000}"/>
  <tableColumns count="17">
    <tableColumn id="1" xr3:uid="{00000000-0010-0000-1100-000001000000}" name="anchor_id"/>
    <tableColumn id="2" xr3:uid="{00000000-0010-0000-1100-000002000000}" name="entity_ids"/>
    <tableColumn id="3" xr3:uid="{00000000-0010-0000-1100-000003000000}" name="asset_id"/>
    <tableColumn id="4" xr3:uid="{00000000-0010-0000-1100-000004000000}" name="asset_name"/>
    <tableColumn id="5" xr3:uid="{00000000-0010-0000-1100-000005000000}" name="anchor_scope"/>
    <tableColumn id="6" xr3:uid="{00000000-0010-0000-1100-000006000000}" name="pathogen_tags"/>
    <tableColumn id="7" xr3:uid="{00000000-0010-0000-1100-000007000000}" name="indication_tags"/>
    <tableColumn id="8" xr3:uid="{00000000-0010-0000-1100-000008000000}" name="modality_tags"/>
    <tableColumn id="9" xr3:uid="{00000000-0010-0000-1100-000009000000}" name="target_tags"/>
    <tableColumn id="10" xr3:uid="{00000000-0010-0000-1100-00000A000000}" name="moa_tags"/>
    <tableColumn id="11" xr3:uid="{00000000-0010-0000-1100-00000B000000}" name="population_tags"/>
    <tableColumn id="12" xr3:uid="{00000000-0010-0000-1100-00000C000000}" name="purpose_tags"/>
    <tableColumn id="13" xr3:uid="{00000000-0010-0000-1100-00000D000000}" name="source_id"/>
    <tableColumn id="14" xr3:uid="{00000000-0010-0000-1100-00000E000000}" name="evidence_url"/>
    <tableColumn id="15" xr3:uid="{00000000-0010-0000-1100-00000F000000}" name="scope_reviewed_on"/>
    <tableColumn id="16" xr3:uid="{00000000-0010-0000-1100-000010000000}" name="verification_status"/>
    <tableColumn id="17" xr3:uid="{00000000-0010-0000-1100-000011000000}" name="cau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QUERY_TEMPLATES" displayName="T_QUERY_TEMPLATES" ref="A1:M39">
  <autoFilter ref="A1:M39" xr:uid="{00000000-0009-0000-0100-000013000000}"/>
  <tableColumns count="13">
    <tableColumn id="1" xr3:uid="{00000000-0010-0000-1200-000001000000}" name="query_id"/>
    <tableColumn id="2" xr3:uid="{00000000-0010-0000-1200-000002000000}" name="module_id"/>
    <tableColumn id="3" xr3:uid="{00000000-0010-0000-1200-000003000000}" name="query_type"/>
    <tableColumn id="4" xr3:uid="{00000000-0010-0000-1200-000004000000}" name="template"/>
    <tableColumn id="5" xr3:uid="{00000000-0010-0000-1200-000005000000}" name="required_inputs"/>
    <tableColumn id="6" xr3:uid="{00000000-0010-0000-1200-000006000000}" name="source_strategy"/>
    <tableColumn id="7" xr3:uid="{00000000-0010-0000-1200-000007000000}" name="max_results"/>
    <tableColumn id="8" xr3:uid="{00000000-0010-0000-1200-000008000000}" name="status"/>
    <tableColumn id="9" xr3:uid="{00000000-0010-0000-1200-000009000000}" name="adapter_status"/>
    <tableColumn id="10" xr3:uid="{00000000-0010-0000-1200-00000A000000}" name="quality_rule"/>
    <tableColumn id="11" xr3:uid="{00000000-0010-0000-1200-00000B000000}" name="source_ids"/>
    <tableColumn id="12" xr3:uid="{00000000-0010-0000-1200-00000C000000}" name="topic_gate"/>
    <tableColumn id="13" xr3:uid="{00000000-0010-0000-1200-00000D000000}" name="purpose_g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DZIF_COVERAGE" displayName="T_DZIF_COVERAGE" ref="A1:K17">
  <autoFilter ref="A1:K17" xr:uid="{00000000-0009-0000-0100-000014000000}"/>
  <tableColumns count="11">
    <tableColumn id="1" xr3:uid="{00000000-0010-0000-1300-000001000000}" name="coverage_id"/>
    <tableColumn id="2" xr3:uid="{00000000-0010-0000-1300-000002000000}" name="coverage_type"/>
    <tableColumn id="3" xr3:uid="{00000000-0010-0000-1300-000003000000}" name="official_name"/>
    <tableColumn id="4" xr3:uid="{00000000-0010-0000-1300-000004000000}" name="routing_tags"/>
    <tableColumn id="5" xr3:uid="{00000000-0010-0000-1300-000005000000}" name="source_ids"/>
    <tableColumn id="6" xr3:uid="{00000000-0010-0000-1300-000006000000}" name="entity_ids"/>
    <tableColumn id="7" xr3:uid="{00000000-0010-0000-1300-000007000000}" name="coverage_assessment"/>
    <tableColumn id="8" xr3:uid="{00000000-0010-0000-1300-000008000000}" name="remaining_gap"/>
    <tableColumn id="9" xr3:uid="{00000000-0010-0000-1300-000009000000}" name="priority"/>
    <tableColumn id="10" xr3:uid="{00000000-0010-0000-1300-00000A000000}" name="official_reference"/>
    <tableColumn id="11" xr3:uid="{00000000-0010-0000-1300-00000B000000}" name="reviewed_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REVIEW_QUEUE" displayName="T_REVIEW_QUEUE" ref="A1:J168">
  <autoFilter ref="A1:J168" xr:uid="{00000000-0009-0000-0100-000015000000}"/>
  <tableColumns count="10">
    <tableColumn id="1" xr3:uid="{00000000-0010-0000-1400-000001000000}" name="issue_id"/>
    <tableColumn id="2" xr3:uid="{00000000-0010-0000-1400-000002000000}" name="category"/>
    <tableColumn id="3" xr3:uid="{00000000-0010-0000-1400-000003000000}" name="record_id"/>
    <tableColumn id="4" xr3:uid="{00000000-0010-0000-1400-000004000000}" name="severity"/>
    <tableColumn id="5" xr3:uid="{00000000-0010-0000-1400-000005000000}" name="description"/>
    <tableColumn id="6" xr3:uid="{00000000-0010-0000-1400-000006000000}" name="required_action"/>
    <tableColumn id="7" xr3:uid="{00000000-0010-0000-1400-000007000000}" name="status"/>
    <tableColumn id="8" xr3:uid="{00000000-0010-0000-1400-000008000000}" name="source_url"/>
    <tableColumn id="9" xr3:uid="{00000000-0010-0000-1400-000009000000}" name="reviewed_on"/>
    <tableColumn id="10" xr3:uid="{00000000-0010-0000-1400-00000A000000}" name="review_batch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CHANGELOG" displayName="T_CHANGELOG" ref="A1:H135">
  <autoFilter ref="A1:H135" xr:uid="{00000000-0009-0000-0100-000016000000}"/>
  <tableColumns count="8">
    <tableColumn id="1" xr3:uid="{00000000-0010-0000-1500-000001000000}" name="change_id"/>
    <tableColumn id="2" xr3:uid="{00000000-0010-0000-1500-000002000000}" name="change_date"/>
    <tableColumn id="3" xr3:uid="{00000000-0010-0000-1500-000003000000}" name="sheet_name"/>
    <tableColumn id="4" xr3:uid="{00000000-0010-0000-1500-000004000000}" name="record_id"/>
    <tableColumn id="5" xr3:uid="{00000000-0010-0000-1500-000005000000}" name="action"/>
    <tableColumn id="6" xr3:uid="{00000000-0010-0000-1500-000006000000}" name="reason"/>
    <tableColumn id="7" xr3:uid="{00000000-0010-0000-1500-000007000000}" name="verified_source_url"/>
    <tableColumn id="8" xr3:uid="{00000000-0010-0000-1500-000008000000}" name="edito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TAXONOMY" displayName="T_TAXONOMY" ref="A1:F349">
  <autoFilter ref="A1:F349" xr:uid="{00000000-0009-0000-0100-000017000000}"/>
  <tableColumns count="6">
    <tableColumn id="1" xr3:uid="{00000000-0010-0000-1600-000001000000}" name="taxonomy_group"/>
    <tableColumn id="2" xr3:uid="{00000000-0010-0000-1600-000002000000}" name="value"/>
    <tableColumn id="3" xr3:uid="{00000000-0010-0000-1600-000003000000}" name="display_label"/>
    <tableColumn id="4" xr3:uid="{00000000-0010-0000-1600-000004000000}" name="definition"/>
    <tableColumn id="5" xr3:uid="{00000000-0010-0000-1600-000005000000}" name="raw_aliases"/>
    <tableColumn id="6" xr3:uid="{00000000-0010-0000-1600-000006000000}" name="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MASTER_CONFIG" displayName="T_MASTER_CONFIG" ref="A1:C12">
  <autoFilter ref="A1:C12" xr:uid="{00000000-0009-0000-0100-000018000000}"/>
  <tableColumns count="3">
    <tableColumn id="1" xr3:uid="{00000000-0010-0000-1700-000001000000}" name="config_key"/>
    <tableColumn id="2" xr3:uid="{00000000-0010-0000-1700-000002000000}" name="config_value"/>
    <tableColumn id="3" xr3:uid="{00000000-0010-0000-1700-000003000000}" name="descripti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SELECTION_POLICY" displayName="T_SELECTION_POLICY" ref="A1:C24">
  <autoFilter ref="A1:C24" xr:uid="{00000000-0009-0000-0100-000019000000}"/>
  <tableColumns count="3">
    <tableColumn id="1" xr3:uid="{00000000-0010-0000-1800-000001000000}" name="parameter"/>
    <tableColumn id="2" xr3:uid="{00000000-0010-0000-1800-000002000000}" name="value"/>
    <tableColumn id="3" xr3:uid="{00000000-0010-0000-1800-000003000000}" name="meaning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MATCH_RULES" displayName="T_MATCH_RULES" ref="A1:D92">
  <autoFilter ref="A1:D92" xr:uid="{00000000-0009-0000-0100-00001A000000}"/>
  <tableColumns count="4">
    <tableColumn id="1" xr3:uid="{00000000-0010-0000-1900-000001000000}" name="group"/>
    <tableColumn id="2" xr3:uid="{00000000-0010-0000-1900-000002000000}" name="token"/>
    <tableColumn id="3" xr3:uid="{00000000-0010-0000-1900-000003000000}" name="expands_to"/>
    <tableColumn id="4" xr3:uid="{00000000-0010-0000-1900-000004000000}" name="not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FIELD_DICTIONARY" displayName="T_FIELD_DICTIONARY" ref="A1:H380">
  <autoFilter ref="A1:H380" xr:uid="{00000000-0009-0000-0100-00001B000000}"/>
  <tableColumns count="8">
    <tableColumn id="1" xr3:uid="{00000000-0010-0000-1A00-000001000000}" name="sheet_name"/>
    <tableColumn id="2" xr3:uid="{00000000-0010-0000-1A00-000002000000}" name="field_name"/>
    <tableColumn id="3" xr3:uid="{00000000-0010-0000-1A00-000003000000}" name="data_type"/>
    <tableColumn id="4" xr3:uid="{00000000-0010-0000-1A00-000004000000}" name="required"/>
    <tableColumn id="5" xr3:uid="{00000000-0010-0000-1A00-000005000000}" name="description_de"/>
    <tableColumn id="6" xr3:uid="{00000000-0010-0000-1A00-000006000000}" name="allowed_values"/>
    <tableColumn id="7" xr3:uid="{00000000-0010-0000-1A00-000007000000}" name="update_policy"/>
    <tableColumn id="8" xr3:uid="{00000000-0010-0000-1A00-000008000000}" name="agent_usag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OUTPUT_SCHEMA" displayName="T_OUTPUT_SCHEMA" ref="A1:G58">
  <autoFilter ref="A1:G58" xr:uid="{00000000-0009-0000-0100-00001C000000}"/>
  <tableColumns count="7">
    <tableColumn id="1" xr3:uid="{00000000-0010-0000-1B00-000001000000}" name="field_name"/>
    <tableColumn id="2" xr3:uid="{00000000-0010-0000-1B00-000002000000}" name="data_type"/>
    <tableColumn id="3" xr3:uid="{00000000-0010-0000-1B00-000003000000}" name="required"/>
    <tableColumn id="4" xr3:uid="{00000000-0010-0000-1B00-000004000000}" name="meaning"/>
    <tableColumn id="5" xr3:uid="{00000000-0010-0000-1B00-000005000000}" name="example"/>
    <tableColumn id="6" xr3:uid="{00000000-0010-0000-1B00-000006000000}" name="belongs_to"/>
    <tableColumn id="7" xr3:uid="{00000000-0010-0000-1B00-000007000000}" name="storag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VENANCE" displayName="T_PROVENANCE" ref="A1:S2905">
  <autoFilter ref="A1:S2905" xr:uid="{00000000-0009-0000-0100-00001D000000}"/>
  <tableColumns count="19">
    <tableColumn id="1" xr3:uid="{00000000-0010-0000-1C00-000001000000}" name="provenance_id"/>
    <tableColumn id="2" xr3:uid="{00000000-0010-0000-1C00-000002000000}" name="source_file"/>
    <tableColumn id="3" xr3:uid="{00000000-0010-0000-1C00-000003000000}" name="source_sheet"/>
    <tableColumn id="4" xr3:uid="{00000000-0010-0000-1C00-000004000000}" name="source_row"/>
    <tableColumn id="5" xr3:uid="{00000000-0010-0000-1C00-000005000000}" name="original_id"/>
    <tableColumn id="6" xr3:uid="{00000000-0010-0000-1C00-000006000000}" name="original_name"/>
    <tableColumn id="7" xr3:uid="{00000000-0010-0000-1C00-000007000000}" name="target_sheet"/>
    <tableColumn id="8" xr3:uid="{00000000-0010-0000-1C00-000008000000}" name="target_id"/>
    <tableColumn id="9" xr3:uid="{00000000-0010-0000-1C00-000009000000}" name="entity_id"/>
    <tableColumn id="10" xr3:uid="{00000000-0010-0000-1C00-00000A000000}" name="source_as_of"/>
    <tableColumn id="11" xr3:uid="{00000000-0010-0000-1C00-00000B000000}" name="upstream_checked_on"/>
    <tableColumn id="12" xr3:uid="{00000000-0010-0000-1C00-00000C000000}" name="imported_on"/>
    <tableColumn id="13" xr3:uid="{00000000-0010-0000-1C00-00000D000000}" name="review_level"/>
    <tableColumn id="14" xr3:uid="{00000000-0010-0000-1C00-00000E000000}" name="primary_reviewed_on"/>
    <tableColumn id="15" xr3:uid="{00000000-0010-0000-1C00-00000F000000}" name="review_scope"/>
    <tableColumn id="16" xr3:uid="{00000000-0010-0000-1C00-000010000000}" name="original_source_url"/>
    <tableColumn id="17" xr3:uid="{00000000-0010-0000-1C00-000011000000}" name="snapshot_note"/>
    <tableColumn id="18" xr3:uid="{00000000-0010-0000-1C00-000012000000}" name="transformation_note"/>
    <tableColumn id="19" xr3:uid="{00000000-0010-0000-1C00-000013000000}" name="raw_record_js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STRUCTURAL_TESTS" displayName="T_STRUCTURAL_TESTS" ref="A1:G110">
  <autoFilter ref="A1:G110" xr:uid="{00000000-0009-0000-0100-00001E000000}"/>
  <tableColumns count="7">
    <tableColumn id="1" xr3:uid="{00000000-0010-0000-1D00-000001000000}" name="test_id"/>
    <tableColumn id="2" xr3:uid="{00000000-0010-0000-1D00-000002000000}" name="test_group"/>
    <tableColumn id="3" xr3:uid="{00000000-0010-0000-1D00-000003000000}" name="test_name"/>
    <tableColumn id="4" xr3:uid="{00000000-0010-0000-1D00-000004000000}" name="status"/>
    <tableColumn id="5" xr3:uid="{00000000-0010-0000-1D00-000005000000}" name="observed"/>
    <tableColumn id="6" xr3:uid="{00000000-0010-0000-1D00-000006000000}" name="limit"/>
    <tableColumn id="7" xr3:uid="{00000000-0010-0000-1D00-000007000000}" name="tested_o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PROJECT_RELEVANCE_TESTS" displayName="T_PROJECT_RELEVANCE_TESTS" ref="A1:K14">
  <autoFilter ref="A1:K14" xr:uid="{00000000-0009-0000-0100-00001F000000}"/>
  <tableColumns count="11">
    <tableColumn id="1" xr3:uid="{00000000-0010-0000-1E00-000001000000}" name="profile_id"/>
    <tableColumn id="2" xr3:uid="{00000000-0010-0000-1E00-000002000000}" name="profile_name"/>
    <tableColumn id="3" xr3:uid="{00000000-0010-0000-1E00-000003000000}" name="expected_entities"/>
    <tableColumn id="4" xr3:uid="{00000000-0010-0000-1E00-000004000000}" name="considered_entities"/>
    <tableColumn id="5" xr3:uid="{00000000-0010-0000-1E00-000005000000}" name="planned_entities"/>
    <tableColumn id="6" xr3:uid="{00000000-0010-0000-1E00-000006000000}" name="budget_gaps"/>
    <tableColumn id="7" xr3:uid="{00000000-0010-0000-1E00-000007000000}" name="negative_controls"/>
    <tableColumn id="8" xr3:uid="{00000000-0010-0000-1E00-000008000000}" name="local_result"/>
    <tableColumn id="9" xr3:uid="{00000000-0010-0000-1E00-000009000000}" name="content_acceptance"/>
    <tableColumn id="10" xr3:uid="{00000000-0010-0000-1E00-00000A000000}" name="langdock_test"/>
    <tableColumn id="11" xr3:uid="{00000000-0010-0000-1E00-00000B000000}" name="scop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54A"/>
    <outlinePr summaryRight="0"/>
    <pageSetUpPr fitToPage="1"/>
  </sheetPr>
  <dimension ref="A1:F47"/>
  <sheetViews>
    <sheetView showGridLines="0" zoomScale="80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5" width="24" customWidth="1"/>
    <col min="6" max="6" width="34" customWidth="1"/>
  </cols>
  <sheetData>
    <row r="1" spans="1:6" ht="30" customHeight="1" x14ac:dyDescent="0.25">
      <c r="A1" s="25" t="s">
        <v>0</v>
      </c>
      <c r="B1" s="19"/>
      <c r="C1" s="19"/>
      <c r="D1" s="19"/>
      <c r="E1" s="19"/>
      <c r="F1" s="19"/>
    </row>
    <row r="2" spans="1:6" ht="20.100000000000001" customHeight="1" x14ac:dyDescent="0.25">
      <c r="A2" s="19"/>
      <c r="B2" s="19"/>
      <c r="C2" s="19"/>
      <c r="D2" s="19"/>
      <c r="E2" s="19"/>
      <c r="F2" s="19"/>
    </row>
    <row r="3" spans="1:6" ht="30.95" customHeight="1" x14ac:dyDescent="0.25">
      <c r="A3" s="22" t="s">
        <v>1</v>
      </c>
      <c r="B3" s="19"/>
      <c r="C3" s="19"/>
      <c r="D3" s="19"/>
      <c r="E3" s="19"/>
      <c r="F3" s="19"/>
    </row>
    <row r="4" spans="1:6" ht="24.95" customHeight="1" x14ac:dyDescent="0.25"/>
    <row r="5" spans="1:6" ht="30.95" customHeight="1" x14ac:dyDescent="0.25">
      <c r="A5" s="24" t="s">
        <v>2</v>
      </c>
      <c r="B5" s="19"/>
      <c r="C5" s="19"/>
      <c r="D5" s="19"/>
      <c r="E5" s="19"/>
      <c r="F5" s="19"/>
    </row>
    <row r="6" spans="1:6" ht="30.95" customHeight="1" x14ac:dyDescent="0.25">
      <c r="A6" s="22" t="s">
        <v>3</v>
      </c>
      <c r="B6" s="19"/>
      <c r="C6" s="19"/>
      <c r="D6" s="19"/>
      <c r="E6" s="19"/>
      <c r="F6" s="19"/>
    </row>
    <row r="7" spans="1:6" ht="30.95" customHeight="1" x14ac:dyDescent="0.25">
      <c r="A7" s="22" t="s">
        <v>4</v>
      </c>
      <c r="B7" s="19"/>
      <c r="C7" s="19"/>
      <c r="D7" s="19"/>
      <c r="E7" s="19"/>
      <c r="F7" s="19"/>
    </row>
    <row r="8" spans="1:6" ht="24.95" customHeight="1" x14ac:dyDescent="0.25"/>
    <row r="9" spans="1:6" ht="24.95" customHeight="1" x14ac:dyDescent="0.25"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</row>
    <row r="10" spans="1:6" ht="44.1" customHeight="1" x14ac:dyDescent="0.55000000000000004">
      <c r="B10" s="2">
        <f>COUNTA(ENTITY_MASTER!A2:A266)</f>
        <v>265</v>
      </c>
      <c r="C10" s="2">
        <f>COUNTA(M01_COMPETITORS!A2:A245)</f>
        <v>244</v>
      </c>
      <c r="D10" s="2">
        <f>COUNTIF(M01_COMPETITORS!Q2:Q245,"CONDITIONAL")+COUNTIF(M01_COMPETITORS!Q2:Q245,"CORE")</f>
        <v>103</v>
      </c>
      <c r="E10" s="2">
        <f>COUNTA(M05_FUNDING!A2:A68)</f>
        <v>67</v>
      </c>
      <c r="F10" s="2">
        <f>COUNTA(SOURCE_REGISTRY!A2:A246)</f>
        <v>245</v>
      </c>
    </row>
    <row r="11" spans="1:6" ht="24.95" customHeight="1" x14ac:dyDescent="0.25"/>
    <row r="12" spans="1:6" ht="30.95" customHeight="1" x14ac:dyDescent="0.25">
      <c r="A12" s="26" t="s">
        <v>10</v>
      </c>
      <c r="B12" s="19"/>
      <c r="C12" s="23" t="s">
        <v>11</v>
      </c>
      <c r="D12" s="19"/>
      <c r="E12" s="19"/>
      <c r="F12" s="19"/>
    </row>
    <row r="13" spans="1:6" ht="30.95" customHeight="1" x14ac:dyDescent="0.25">
      <c r="A13" s="26" t="s">
        <v>12</v>
      </c>
      <c r="B13" s="19"/>
      <c r="C13" s="23" t="s">
        <v>13</v>
      </c>
      <c r="D13" s="19"/>
      <c r="E13" s="19"/>
      <c r="F13" s="19"/>
    </row>
    <row r="14" spans="1:6" ht="30.95" customHeight="1" x14ac:dyDescent="0.25">
      <c r="A14" s="26" t="s">
        <v>14</v>
      </c>
      <c r="B14" s="19"/>
      <c r="C14" s="23" t="s">
        <v>15</v>
      </c>
      <c r="D14" s="19"/>
      <c r="E14" s="19"/>
      <c r="F14" s="19"/>
    </row>
    <row r="15" spans="1:6" ht="24.95" customHeight="1" x14ac:dyDescent="0.25"/>
    <row r="16" spans="1:6" ht="24.95" customHeight="1" x14ac:dyDescent="0.25">
      <c r="A16" s="27" t="s">
        <v>16</v>
      </c>
      <c r="B16" s="19"/>
      <c r="C16" s="19"/>
      <c r="D16" s="3" t="s">
        <v>17</v>
      </c>
      <c r="E16" s="3" t="s">
        <v>18</v>
      </c>
      <c r="F16" s="3" t="s">
        <v>19</v>
      </c>
    </row>
    <row r="17" spans="1:6" ht="30.95" customHeight="1" x14ac:dyDescent="0.25">
      <c r="A17" s="20" t="s">
        <v>20</v>
      </c>
      <c r="B17" s="21"/>
      <c r="C17" s="21"/>
      <c r="D17" s="4">
        <f>COUNTA(M01_COMPETITORS!A2:A245)</f>
        <v>244</v>
      </c>
      <c r="E17" s="4" t="s">
        <v>21</v>
      </c>
      <c r="F17" s="4" t="s">
        <v>22</v>
      </c>
    </row>
    <row r="18" spans="1:6" ht="30.95" customHeight="1" x14ac:dyDescent="0.25">
      <c r="A18" s="16" t="s">
        <v>23</v>
      </c>
      <c r="B18" s="17"/>
      <c r="C18" s="17"/>
      <c r="D18" s="5">
        <f>COUNTA(M02_CLINICAL!A2:A6)</f>
        <v>5</v>
      </c>
      <c r="E18" s="5" t="s">
        <v>24</v>
      </c>
      <c r="F18" s="5" t="s">
        <v>25</v>
      </c>
    </row>
    <row r="19" spans="1:6" ht="30.95" customHeight="1" x14ac:dyDescent="0.25">
      <c r="A19" s="16" t="s">
        <v>26</v>
      </c>
      <c r="B19" s="17"/>
      <c r="C19" s="17"/>
      <c r="D19" s="5">
        <f>COUNTA(M03_SCI_TECH!A2:A4)</f>
        <v>3</v>
      </c>
      <c r="E19" s="5" t="s">
        <v>24</v>
      </c>
      <c r="F19" s="5" t="s">
        <v>25</v>
      </c>
    </row>
    <row r="20" spans="1:6" ht="30.95" customHeight="1" x14ac:dyDescent="0.25">
      <c r="A20" s="16" t="s">
        <v>27</v>
      </c>
      <c r="B20" s="17"/>
      <c r="C20" s="17"/>
      <c r="D20" s="5">
        <f>COUNTA(M04_REGULATORY!A2:A11)</f>
        <v>10</v>
      </c>
      <c r="E20" s="5" t="s">
        <v>24</v>
      </c>
      <c r="F20" s="5" t="s">
        <v>25</v>
      </c>
    </row>
    <row r="21" spans="1:6" ht="30.95" customHeight="1" x14ac:dyDescent="0.25">
      <c r="A21" s="20" t="s">
        <v>28</v>
      </c>
      <c r="B21" s="21"/>
      <c r="C21" s="21"/>
      <c r="D21" s="4">
        <f>COUNTA(M05_FUNDING!A2:A68)</f>
        <v>67</v>
      </c>
      <c r="E21" s="4" t="s">
        <v>21</v>
      </c>
      <c r="F21" s="4" t="s">
        <v>22</v>
      </c>
    </row>
    <row r="22" spans="1:6" ht="30.95" customHeight="1" x14ac:dyDescent="0.25">
      <c r="A22" s="20" t="s">
        <v>29</v>
      </c>
      <c r="B22" s="21"/>
      <c r="C22" s="21"/>
      <c r="D22" s="4">
        <f>COUNTA(M06_BD_PARTNERS!A2:A79)</f>
        <v>78</v>
      </c>
      <c r="E22" s="4" t="s">
        <v>21</v>
      </c>
      <c r="F22" s="4" t="s">
        <v>22</v>
      </c>
    </row>
    <row r="23" spans="1:6" ht="30.95" customHeight="1" x14ac:dyDescent="0.25">
      <c r="A23" s="16" t="s">
        <v>30</v>
      </c>
      <c r="B23" s="17"/>
      <c r="C23" s="17"/>
      <c r="D23" s="5">
        <f>COUNTA(M07_DEALS!A2:A58)</f>
        <v>57</v>
      </c>
      <c r="E23" s="5" t="s">
        <v>24</v>
      </c>
      <c r="F23" s="5" t="s">
        <v>22</v>
      </c>
    </row>
    <row r="24" spans="1:6" ht="30.95" customHeight="1" x14ac:dyDescent="0.25">
      <c r="A24" s="16" t="s">
        <v>31</v>
      </c>
      <c r="B24" s="17"/>
      <c r="C24" s="17"/>
      <c r="D24" s="5">
        <f>COUNTA(M08_EVENTS!A2:A8)</f>
        <v>7</v>
      </c>
      <c r="E24" s="5" t="s">
        <v>24</v>
      </c>
      <c r="F24" s="5" t="s">
        <v>25</v>
      </c>
    </row>
    <row r="25" spans="1:6" ht="30.95" customHeight="1" x14ac:dyDescent="0.25">
      <c r="A25" s="16" t="s">
        <v>32</v>
      </c>
      <c r="B25" s="17"/>
      <c r="C25" s="17"/>
      <c r="D25" s="5">
        <f>COUNTA(M09_MEDICAL!A2:A7)</f>
        <v>6</v>
      </c>
      <c r="E25" s="5" t="s">
        <v>24</v>
      </c>
      <c r="F25" s="5" t="s">
        <v>25</v>
      </c>
    </row>
    <row r="26" spans="1:6" ht="30.95" customHeight="1" x14ac:dyDescent="0.25">
      <c r="A26" s="16" t="s">
        <v>33</v>
      </c>
      <c r="B26" s="17"/>
      <c r="C26" s="17"/>
      <c r="D26" s="5">
        <f>COUNTA(M10_IP_PATENT!A2:A4)</f>
        <v>3</v>
      </c>
      <c r="E26" s="5" t="s">
        <v>24</v>
      </c>
      <c r="F26" s="5" t="s">
        <v>25</v>
      </c>
    </row>
    <row r="27" spans="1:6" ht="30.95" customHeight="1" x14ac:dyDescent="0.25">
      <c r="A27" s="16" t="s">
        <v>34</v>
      </c>
      <c r="B27" s="17"/>
      <c r="C27" s="17"/>
      <c r="D27" s="5">
        <f>COUNTA(M11_CMC!A2:A8)</f>
        <v>7</v>
      </c>
      <c r="E27" s="5" t="s">
        <v>24</v>
      </c>
      <c r="F27" s="5" t="s">
        <v>25</v>
      </c>
    </row>
    <row r="28" spans="1:6" ht="30.95" customHeight="1" x14ac:dyDescent="0.25">
      <c r="A28" s="16" t="s">
        <v>35</v>
      </c>
      <c r="B28" s="17"/>
      <c r="C28" s="17"/>
      <c r="D28" s="5">
        <f>COUNTA(M12_POLICY_ACCESS!A2:A8)</f>
        <v>7</v>
      </c>
      <c r="E28" s="5" t="s">
        <v>24</v>
      </c>
      <c r="F28" s="5" t="s">
        <v>25</v>
      </c>
    </row>
    <row r="29" spans="1:6" ht="24.95" customHeight="1" x14ac:dyDescent="0.25"/>
    <row r="30" spans="1:6" ht="24.95" customHeight="1" x14ac:dyDescent="0.25"/>
    <row r="31" spans="1:6" ht="45" customHeight="1" x14ac:dyDescent="0.25">
      <c r="A31" s="6" t="s">
        <v>36</v>
      </c>
      <c r="B31" s="18" t="s">
        <v>37</v>
      </c>
      <c r="C31" s="19"/>
      <c r="D31" s="19"/>
      <c r="E31" s="19"/>
      <c r="F31" s="19"/>
    </row>
    <row r="32" spans="1:6" ht="45" customHeight="1" x14ac:dyDescent="0.25">
      <c r="A32" s="6" t="s">
        <v>38</v>
      </c>
      <c r="B32" s="18" t="s">
        <v>39</v>
      </c>
      <c r="C32" s="19"/>
      <c r="D32" s="19"/>
      <c r="E32" s="19"/>
      <c r="F32" s="19"/>
    </row>
    <row r="33" spans="1:6" ht="45" customHeight="1" x14ac:dyDescent="0.25">
      <c r="A33" s="6" t="s">
        <v>40</v>
      </c>
      <c r="B33" s="18" t="s">
        <v>41</v>
      </c>
      <c r="C33" s="19"/>
      <c r="D33" s="19"/>
      <c r="E33" s="19"/>
      <c r="F33" s="19"/>
    </row>
    <row r="34" spans="1:6" ht="45" customHeight="1" x14ac:dyDescent="0.25">
      <c r="A34" s="6" t="s">
        <v>42</v>
      </c>
      <c r="B34" s="18" t="s">
        <v>43</v>
      </c>
      <c r="C34" s="19"/>
      <c r="D34" s="19"/>
      <c r="E34" s="19"/>
      <c r="F34" s="19"/>
    </row>
    <row r="35" spans="1:6" ht="45" customHeight="1" x14ac:dyDescent="0.25">
      <c r="A35" s="6" t="s">
        <v>44</v>
      </c>
      <c r="B35" s="18" t="s">
        <v>45</v>
      </c>
      <c r="C35" s="19"/>
      <c r="D35" s="19"/>
      <c r="E35" s="19"/>
      <c r="F35" s="19"/>
    </row>
    <row r="36" spans="1:6" ht="45" customHeight="1" x14ac:dyDescent="0.25">
      <c r="A36" s="6" t="s">
        <v>46</v>
      </c>
      <c r="B36" s="18" t="s">
        <v>47</v>
      </c>
      <c r="C36" s="19"/>
      <c r="D36" s="19"/>
      <c r="E36" s="19"/>
      <c r="F36" s="19"/>
    </row>
    <row r="37" spans="1:6" ht="24.95" customHeight="1" x14ac:dyDescent="0.25"/>
    <row r="38" spans="1:6" ht="24.95" customHeight="1" x14ac:dyDescent="0.25"/>
    <row r="39" spans="1:6" ht="24.95" customHeight="1" x14ac:dyDescent="0.25"/>
    <row r="40" spans="1:6" ht="24.95" customHeight="1" x14ac:dyDescent="0.25"/>
    <row r="41" spans="1:6" ht="24.95" customHeight="1" x14ac:dyDescent="0.25"/>
    <row r="42" spans="1:6" ht="24.95" customHeight="1" x14ac:dyDescent="0.25"/>
    <row r="43" spans="1:6" ht="24.95" customHeight="1" x14ac:dyDescent="0.25"/>
    <row r="44" spans="1:6" ht="24.95" customHeight="1" x14ac:dyDescent="0.25"/>
    <row r="45" spans="1:6" ht="24.95" customHeight="1" x14ac:dyDescent="0.25"/>
    <row r="46" spans="1:6" ht="24.95" customHeight="1" x14ac:dyDescent="0.25"/>
    <row r="47" spans="1:6" ht="24.95" customHeight="1" x14ac:dyDescent="0.25"/>
  </sheetData>
  <mergeCells count="30">
    <mergeCell ref="B36:F36"/>
    <mergeCell ref="B32:F32"/>
    <mergeCell ref="A16:C16"/>
    <mergeCell ref="B35:F35"/>
    <mergeCell ref="B34:F34"/>
    <mergeCell ref="A14:B14"/>
    <mergeCell ref="A24:C24"/>
    <mergeCell ref="B33:F33"/>
    <mergeCell ref="C12:F12"/>
    <mergeCell ref="A13:B13"/>
    <mergeCell ref="A1:F2"/>
    <mergeCell ref="A22:C22"/>
    <mergeCell ref="A17:C17"/>
    <mergeCell ref="A20:C20"/>
    <mergeCell ref="C14:F14"/>
    <mergeCell ref="A12:B12"/>
    <mergeCell ref="A19:C19"/>
    <mergeCell ref="A7:F7"/>
    <mergeCell ref="A6:F6"/>
    <mergeCell ref="A3:F3"/>
    <mergeCell ref="A26:C26"/>
    <mergeCell ref="C13:F13"/>
    <mergeCell ref="A23:C23"/>
    <mergeCell ref="A5:F5"/>
    <mergeCell ref="A25:C25"/>
    <mergeCell ref="A18:C18"/>
    <mergeCell ref="A27:C27"/>
    <mergeCell ref="B31:F31"/>
    <mergeCell ref="A21:C21"/>
    <mergeCell ref="A28:C28"/>
  </mergeCells>
  <hyperlinks>
    <hyperlink ref="A12" location="'FLAGSHIP_CHECK'!A1" display="Flagship-Pruefung" xr:uid="{00000000-0004-0000-0000-000000000000}"/>
    <hyperlink ref="A13" location="'EFFICIENCY_REVIEW'!A1" display="Effizienzentscheidungen" xr:uid="{00000000-0004-0000-0000-000001000000}"/>
    <hyperlink ref="A14" location="'REVIEW_QUEUE'!A1" display="Offene Datenpruefung" xr:uid="{00000000-0004-0000-0000-000002000000}"/>
    <hyperlink ref="A17" location="'M01_COMPETITORS'!A1" display="M01 | Competitor &amp; Asset Intelligence" xr:uid="{00000000-0004-0000-0000-000003000000}"/>
    <hyperlink ref="A18" location="'M02_CLINICAL'!A1" display="M02 | Clinical Trial Intelligence" xr:uid="{00000000-0004-0000-0000-000004000000}"/>
    <hyperlink ref="A19" location="'M03_SCI_TECH'!A1" display="M03 | Scientific &amp; Technology Intelligence" xr:uid="{00000000-0004-0000-0000-000005000000}"/>
    <hyperlink ref="A20" location="'M04_REGULATORY'!A1" display="M04 | Regulatory Intelligence" xr:uid="{00000000-0004-0000-0000-000006000000}"/>
    <hyperlink ref="A21" location="'M05_FUNDING'!A1" display="M05 | Funding Opportunities" xr:uid="{00000000-0004-0000-0000-000007000000}"/>
    <hyperlink ref="A22" location="'M06_BD_PARTNERS'!A1" display="M06 | BD &amp; Partnering Intelligence" xr:uid="{00000000-0004-0000-0000-000008000000}"/>
    <hyperlink ref="A23" location="'M07_DEALS'!A1" display="M07 | Deal &amp; Investment Intelligence" xr:uid="{00000000-0004-0000-0000-000009000000}"/>
    <hyperlink ref="A24" location="'M08_EVENTS'!A1" display="M08 | Conference &amp; Event Intelligence" xr:uid="{00000000-0004-0000-0000-00000A000000}"/>
    <hyperlink ref="A25" location="'M09_MEDICAL'!A1" display="M09 | Clinical &amp; Medical Landscape" xr:uid="{00000000-0004-0000-0000-00000B000000}"/>
    <hyperlink ref="A26" location="'M10_IP_PATENT'!A1" display="M10 | IP &amp; Patent Intelligence" xr:uid="{00000000-0004-0000-0000-00000C000000}"/>
    <hyperlink ref="A27" location="'M11_CMC'!A1" display="M11 | CMC &amp; Manufacturing Intelligence" xr:uid="{00000000-0004-0000-0000-00000D000000}"/>
    <hyperlink ref="A28" location="'M12_POLICY_ACCESS'!A1" display="M12 | Policy, Market &amp; Access Intelligence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E8B"/>
    <outlinePr summaryBelow="0" summaryRight="0"/>
    <pageSetUpPr fitToPage="1"/>
  </sheetPr>
  <dimension ref="A1:Q13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4" width="27" customWidth="1"/>
    <col min="5" max="5" width="20" customWidth="1"/>
    <col min="6" max="13" width="27" customWidth="1"/>
    <col min="14" max="14" width="61" customWidth="1"/>
    <col min="15" max="16" width="27" customWidth="1"/>
    <col min="17" max="17" width="29" customWidth="1"/>
  </cols>
  <sheetData>
    <row r="1" spans="1:17" ht="42.95" customHeight="1" x14ac:dyDescent="0.25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  <c r="G1" s="7" t="s">
        <v>54</v>
      </c>
      <c r="H1" s="7" t="s">
        <v>55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61</v>
      </c>
      <c r="O1" s="7" t="s">
        <v>62</v>
      </c>
      <c r="P1" s="7" t="s">
        <v>63</v>
      </c>
      <c r="Q1" s="7" t="s">
        <v>64</v>
      </c>
    </row>
    <row r="2" spans="1:17" ht="65.099999999999994" customHeight="1" x14ac:dyDescent="0.25">
      <c r="A2" s="8" t="s">
        <v>65</v>
      </c>
      <c r="B2" s="8" t="s">
        <v>66</v>
      </c>
      <c r="C2" s="8" t="s">
        <v>67</v>
      </c>
      <c r="D2" s="8" t="s">
        <v>68</v>
      </c>
      <c r="E2" s="9" t="s">
        <v>69</v>
      </c>
      <c r="F2" s="8" t="s">
        <v>70</v>
      </c>
      <c r="G2" s="10">
        <v>25</v>
      </c>
      <c r="H2" s="10">
        <v>12</v>
      </c>
      <c r="I2" s="10">
        <v>2</v>
      </c>
      <c r="J2" s="10">
        <v>30</v>
      </c>
      <c r="K2" s="10">
        <v>12</v>
      </c>
      <c r="L2" s="8" t="s">
        <v>71</v>
      </c>
      <c r="M2" s="8" t="s">
        <v>72</v>
      </c>
      <c r="N2" s="8" t="s">
        <v>73</v>
      </c>
      <c r="O2" s="8" t="s">
        <v>74</v>
      </c>
      <c r="P2" s="8" t="s">
        <v>75</v>
      </c>
      <c r="Q2" s="8" t="s">
        <v>76</v>
      </c>
    </row>
    <row r="3" spans="1:17" ht="51" customHeight="1" x14ac:dyDescent="0.25">
      <c r="A3" s="8" t="s">
        <v>77</v>
      </c>
      <c r="B3" s="8" t="s">
        <v>78</v>
      </c>
      <c r="C3" s="8" t="s">
        <v>79</v>
      </c>
      <c r="D3" s="8" t="s">
        <v>68</v>
      </c>
      <c r="E3" s="9" t="s">
        <v>80</v>
      </c>
      <c r="F3" s="8" t="s">
        <v>70</v>
      </c>
      <c r="G3" s="10">
        <v>15</v>
      </c>
      <c r="H3" s="10">
        <v>8</v>
      </c>
      <c r="I3" s="10">
        <v>2</v>
      </c>
      <c r="J3" s="10">
        <v>14</v>
      </c>
      <c r="K3" s="10">
        <v>12</v>
      </c>
      <c r="L3" s="8" t="s">
        <v>81</v>
      </c>
      <c r="M3" s="8" t="s">
        <v>82</v>
      </c>
      <c r="N3" s="8" t="s">
        <v>83</v>
      </c>
      <c r="O3" s="8" t="s">
        <v>74</v>
      </c>
      <c r="P3" s="8" t="s">
        <v>75</v>
      </c>
      <c r="Q3" s="8" t="s">
        <v>84</v>
      </c>
    </row>
    <row r="4" spans="1:17" ht="51" customHeight="1" x14ac:dyDescent="0.25">
      <c r="A4" s="8" t="s">
        <v>85</v>
      </c>
      <c r="B4" s="8" t="s">
        <v>86</v>
      </c>
      <c r="C4" s="8" t="s">
        <v>87</v>
      </c>
      <c r="D4" s="8" t="s">
        <v>68</v>
      </c>
      <c r="E4" s="9" t="s">
        <v>80</v>
      </c>
      <c r="F4" s="8" t="s">
        <v>88</v>
      </c>
      <c r="G4" s="10">
        <v>12</v>
      </c>
      <c r="H4" s="10">
        <v>6</v>
      </c>
      <c r="I4" s="10">
        <v>3</v>
      </c>
      <c r="J4" s="10">
        <v>60</v>
      </c>
      <c r="K4" s="10">
        <v>12</v>
      </c>
      <c r="L4" s="8" t="s">
        <v>81</v>
      </c>
      <c r="M4" s="8" t="s">
        <v>89</v>
      </c>
      <c r="N4" s="8" t="s">
        <v>83</v>
      </c>
      <c r="O4" s="8" t="s">
        <v>74</v>
      </c>
      <c r="P4" s="8" t="s">
        <v>75</v>
      </c>
      <c r="Q4" s="8" t="s">
        <v>90</v>
      </c>
    </row>
    <row r="5" spans="1:17" ht="51" customHeight="1" x14ac:dyDescent="0.25">
      <c r="A5" s="8" t="s">
        <v>91</v>
      </c>
      <c r="B5" s="8" t="s">
        <v>92</v>
      </c>
      <c r="C5" s="8" t="s">
        <v>93</v>
      </c>
      <c r="D5" s="8" t="s">
        <v>68</v>
      </c>
      <c r="E5" s="9" t="s">
        <v>80</v>
      </c>
      <c r="F5" s="8" t="s">
        <v>88</v>
      </c>
      <c r="G5" s="10">
        <v>10</v>
      </c>
      <c r="H5" s="10">
        <v>5</v>
      </c>
      <c r="I5" s="10">
        <v>2</v>
      </c>
      <c r="J5" s="10">
        <v>60</v>
      </c>
      <c r="K5" s="10">
        <v>12</v>
      </c>
      <c r="L5" s="8" t="s">
        <v>81</v>
      </c>
      <c r="M5" s="8" t="s">
        <v>94</v>
      </c>
      <c r="N5" s="8" t="s">
        <v>83</v>
      </c>
      <c r="O5" s="8" t="s">
        <v>74</v>
      </c>
      <c r="P5" s="8" t="s">
        <v>75</v>
      </c>
      <c r="Q5" s="8" t="s">
        <v>95</v>
      </c>
    </row>
    <row r="6" spans="1:17" ht="51" customHeight="1" x14ac:dyDescent="0.25">
      <c r="A6" s="8" t="s">
        <v>96</v>
      </c>
      <c r="B6" s="8" t="s">
        <v>97</v>
      </c>
      <c r="C6" s="8" t="s">
        <v>98</v>
      </c>
      <c r="D6" s="8" t="s">
        <v>68</v>
      </c>
      <c r="E6" s="9" t="s">
        <v>69</v>
      </c>
      <c r="F6" s="8" t="s">
        <v>99</v>
      </c>
      <c r="G6" s="10">
        <v>18</v>
      </c>
      <c r="H6" s="10">
        <v>12</v>
      </c>
      <c r="I6" s="10">
        <v>2</v>
      </c>
      <c r="J6" s="10">
        <v>7</v>
      </c>
      <c r="K6" s="10">
        <v>12</v>
      </c>
      <c r="L6" s="8" t="s">
        <v>81</v>
      </c>
      <c r="M6" s="8" t="s">
        <v>100</v>
      </c>
      <c r="N6" s="8" t="s">
        <v>83</v>
      </c>
      <c r="O6" s="8" t="s">
        <v>74</v>
      </c>
      <c r="P6" s="8" t="s">
        <v>75</v>
      </c>
      <c r="Q6" s="8" t="s">
        <v>101</v>
      </c>
    </row>
    <row r="7" spans="1:17" ht="36.950000000000003" customHeight="1" x14ac:dyDescent="0.25">
      <c r="A7" s="8" t="s">
        <v>102</v>
      </c>
      <c r="B7" s="8" t="s">
        <v>103</v>
      </c>
      <c r="C7" s="8" t="s">
        <v>104</v>
      </c>
      <c r="D7" s="8" t="s">
        <v>68</v>
      </c>
      <c r="E7" s="9" t="s">
        <v>69</v>
      </c>
      <c r="F7" s="8" t="s">
        <v>88</v>
      </c>
      <c r="G7" s="10">
        <v>15</v>
      </c>
      <c r="H7" s="10">
        <v>8</v>
      </c>
      <c r="I7" s="10">
        <v>2</v>
      </c>
      <c r="J7" s="10">
        <v>45</v>
      </c>
      <c r="K7" s="10">
        <v>12</v>
      </c>
      <c r="L7" s="8" t="s">
        <v>81</v>
      </c>
      <c r="M7" s="8" t="s">
        <v>105</v>
      </c>
      <c r="N7" s="8" t="s">
        <v>106</v>
      </c>
      <c r="O7" s="8" t="s">
        <v>74</v>
      </c>
      <c r="P7" s="8" t="s">
        <v>75</v>
      </c>
      <c r="Q7" s="8" t="s">
        <v>107</v>
      </c>
    </row>
    <row r="8" spans="1:17" ht="51" customHeight="1" x14ac:dyDescent="0.25">
      <c r="A8" s="8" t="s">
        <v>108</v>
      </c>
      <c r="B8" s="8" t="s">
        <v>109</v>
      </c>
      <c r="C8" s="8" t="s">
        <v>110</v>
      </c>
      <c r="D8" s="8" t="s">
        <v>111</v>
      </c>
      <c r="E8" s="9" t="s">
        <v>80</v>
      </c>
      <c r="F8" s="8" t="s">
        <v>70</v>
      </c>
      <c r="G8" s="10">
        <v>10</v>
      </c>
      <c r="H8" s="10">
        <v>5</v>
      </c>
      <c r="I8" s="10">
        <v>2</v>
      </c>
      <c r="J8" s="10">
        <v>30</v>
      </c>
      <c r="K8" s="10">
        <v>12</v>
      </c>
      <c r="L8" s="8" t="s">
        <v>81</v>
      </c>
      <c r="M8" s="8" t="s">
        <v>112</v>
      </c>
      <c r="N8" s="8" t="s">
        <v>113</v>
      </c>
      <c r="O8" s="8" t="s">
        <v>74</v>
      </c>
      <c r="P8" s="8" t="s">
        <v>114</v>
      </c>
      <c r="Q8" s="8" t="s">
        <v>115</v>
      </c>
    </row>
    <row r="9" spans="1:17" ht="51" customHeight="1" x14ac:dyDescent="0.25">
      <c r="A9" s="8" t="s">
        <v>116</v>
      </c>
      <c r="B9" s="8" t="s">
        <v>117</v>
      </c>
      <c r="C9" s="8" t="s">
        <v>118</v>
      </c>
      <c r="D9" s="8" t="s">
        <v>111</v>
      </c>
      <c r="E9" s="9" t="s">
        <v>80</v>
      </c>
      <c r="F9" s="8" t="s">
        <v>70</v>
      </c>
      <c r="G9" s="10">
        <v>10</v>
      </c>
      <c r="H9" s="10">
        <v>5</v>
      </c>
      <c r="I9" s="10">
        <v>2</v>
      </c>
      <c r="J9" s="10">
        <v>30</v>
      </c>
      <c r="K9" s="10">
        <v>12</v>
      </c>
      <c r="L9" s="8" t="s">
        <v>81</v>
      </c>
      <c r="M9" s="8" t="s">
        <v>119</v>
      </c>
      <c r="N9" s="8" t="s">
        <v>83</v>
      </c>
      <c r="O9" s="8" t="s">
        <v>74</v>
      </c>
      <c r="P9" s="8" t="s">
        <v>75</v>
      </c>
      <c r="Q9" s="8" t="s">
        <v>120</v>
      </c>
    </row>
    <row r="10" spans="1:17" ht="51" customHeight="1" x14ac:dyDescent="0.25">
      <c r="A10" s="8" t="s">
        <v>121</v>
      </c>
      <c r="B10" s="8" t="s">
        <v>122</v>
      </c>
      <c r="C10" s="8" t="s">
        <v>123</v>
      </c>
      <c r="D10" s="8" t="s">
        <v>111</v>
      </c>
      <c r="E10" s="9" t="s">
        <v>80</v>
      </c>
      <c r="F10" s="8" t="s">
        <v>88</v>
      </c>
      <c r="G10" s="10">
        <v>10</v>
      </c>
      <c r="H10" s="10">
        <v>5</v>
      </c>
      <c r="I10" s="10">
        <v>2</v>
      </c>
      <c r="J10" s="10">
        <v>90</v>
      </c>
      <c r="K10" s="10">
        <v>12</v>
      </c>
      <c r="L10" s="8" t="s">
        <v>81</v>
      </c>
      <c r="M10" s="8" t="s">
        <v>124</v>
      </c>
      <c r="N10" s="8" t="s">
        <v>83</v>
      </c>
      <c r="O10" s="8" t="s">
        <v>74</v>
      </c>
      <c r="P10" s="8" t="s">
        <v>75</v>
      </c>
      <c r="Q10" s="8" t="s">
        <v>123</v>
      </c>
    </row>
    <row r="11" spans="1:17" ht="51" customHeight="1" x14ac:dyDescent="0.25">
      <c r="A11" s="8" t="s">
        <v>125</v>
      </c>
      <c r="B11" s="8" t="s">
        <v>126</v>
      </c>
      <c r="C11" s="8" t="s">
        <v>127</v>
      </c>
      <c r="D11" s="8" t="s">
        <v>128</v>
      </c>
      <c r="E11" s="9" t="s">
        <v>80</v>
      </c>
      <c r="F11" s="8" t="s">
        <v>88</v>
      </c>
      <c r="G11" s="10">
        <v>10</v>
      </c>
      <c r="H11" s="10">
        <v>4</v>
      </c>
      <c r="I11" s="10">
        <v>2</v>
      </c>
      <c r="J11" s="10">
        <v>90</v>
      </c>
      <c r="K11" s="10">
        <v>12</v>
      </c>
      <c r="L11" s="8" t="s">
        <v>81</v>
      </c>
      <c r="M11" s="8" t="s">
        <v>129</v>
      </c>
      <c r="N11" s="8" t="s">
        <v>83</v>
      </c>
      <c r="O11" s="8" t="s">
        <v>74</v>
      </c>
      <c r="P11" s="8" t="s">
        <v>75</v>
      </c>
      <c r="Q11" s="8" t="s">
        <v>130</v>
      </c>
    </row>
    <row r="12" spans="1:17" ht="51" customHeight="1" x14ac:dyDescent="0.25">
      <c r="A12" s="8" t="s">
        <v>131</v>
      </c>
      <c r="B12" s="8" t="s">
        <v>132</v>
      </c>
      <c r="C12" s="8" t="s">
        <v>133</v>
      </c>
      <c r="D12" s="8" t="s">
        <v>134</v>
      </c>
      <c r="E12" s="9" t="s">
        <v>80</v>
      </c>
      <c r="F12" s="8" t="s">
        <v>88</v>
      </c>
      <c r="G12" s="10">
        <v>10</v>
      </c>
      <c r="H12" s="10">
        <v>4</v>
      </c>
      <c r="I12" s="10">
        <v>2</v>
      </c>
      <c r="J12" s="10">
        <v>120</v>
      </c>
      <c r="K12" s="10">
        <v>12</v>
      </c>
      <c r="L12" s="8" t="s">
        <v>81</v>
      </c>
      <c r="M12" s="8" t="s">
        <v>135</v>
      </c>
      <c r="N12" s="8" t="s">
        <v>83</v>
      </c>
      <c r="O12" s="8" t="s">
        <v>74</v>
      </c>
      <c r="P12" s="8" t="s">
        <v>75</v>
      </c>
      <c r="Q12" s="8" t="s">
        <v>133</v>
      </c>
    </row>
    <row r="13" spans="1:17" ht="51" customHeight="1" x14ac:dyDescent="0.25">
      <c r="A13" s="8" t="s">
        <v>136</v>
      </c>
      <c r="B13" s="8" t="s">
        <v>137</v>
      </c>
      <c r="C13" s="8" t="s">
        <v>138</v>
      </c>
      <c r="D13" s="8" t="s">
        <v>134</v>
      </c>
      <c r="E13" s="9" t="s">
        <v>80</v>
      </c>
      <c r="F13" s="8" t="s">
        <v>88</v>
      </c>
      <c r="G13" s="10">
        <v>10</v>
      </c>
      <c r="H13" s="10">
        <v>4</v>
      </c>
      <c r="I13" s="10">
        <v>2</v>
      </c>
      <c r="J13" s="10">
        <v>90</v>
      </c>
      <c r="K13" s="10">
        <v>12</v>
      </c>
      <c r="L13" s="8" t="s">
        <v>81</v>
      </c>
      <c r="M13" s="8" t="s">
        <v>139</v>
      </c>
      <c r="N13" s="8" t="s">
        <v>83</v>
      </c>
      <c r="O13" s="8" t="s">
        <v>74</v>
      </c>
      <c r="P13" s="8" t="s">
        <v>75</v>
      </c>
      <c r="Q13" s="8" t="s">
        <v>140</v>
      </c>
    </row>
  </sheetData>
  <dataValidations count="1">
    <dataValidation type="list" showErrorMessage="1" errorTitle="Controlled value required" error="Select a defined value; do not invent a tag." sqref="E2:E500" xr:uid="{00000000-0002-0000-0100-000000000000}">
      <formula1>"YES,NO"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354A"/>
    <outlinePr summaryBelow="0" summaryRight="0"/>
    <pageSetUpPr fitToPage="1"/>
  </sheetPr>
  <dimension ref="A1:L12"/>
  <sheetViews>
    <sheetView showGridLines="0" tabSelected="1" zoomScale="80" workbookViewId="0">
      <pane xSplit="1" ySplit="1" topLeftCell="K2" activePane="bottomRight" state="frozen"/>
      <selection pane="topRight"/>
      <selection pane="bottomLeft"/>
      <selection pane="bottomRight" activeCell="I4" sqref="I4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4" width="61" customWidth="1"/>
    <col min="5" max="5" width="52" customWidth="1"/>
    <col min="6" max="6" width="61" customWidth="1"/>
    <col min="7" max="9" width="27" customWidth="1"/>
    <col min="10" max="10" width="38" customWidth="1"/>
    <col min="11" max="11" width="61" customWidth="1"/>
    <col min="12" max="12" width="27" customWidth="1"/>
  </cols>
  <sheetData>
    <row r="1" spans="1:12" ht="42.95" customHeight="1" x14ac:dyDescent="0.25">
      <c r="A1" s="7" t="s">
        <v>141</v>
      </c>
      <c r="B1" s="7" t="s">
        <v>142</v>
      </c>
      <c r="C1" s="7" t="s">
        <v>143</v>
      </c>
      <c r="D1" s="7" t="s">
        <v>144</v>
      </c>
      <c r="E1" s="7" t="s">
        <v>145</v>
      </c>
      <c r="F1" s="7" t="s">
        <v>146</v>
      </c>
      <c r="G1" s="7" t="s">
        <v>147</v>
      </c>
      <c r="H1" s="7" t="s">
        <v>148</v>
      </c>
      <c r="I1" s="7" t="s">
        <v>149</v>
      </c>
      <c r="J1" s="7" t="s">
        <v>150</v>
      </c>
      <c r="K1" s="7" t="s">
        <v>151</v>
      </c>
      <c r="L1" s="7" t="s">
        <v>152</v>
      </c>
    </row>
    <row r="2" spans="1:12" ht="51" customHeight="1" x14ac:dyDescent="0.25">
      <c r="A2" s="8" t="s">
        <v>153</v>
      </c>
      <c r="B2" s="8" t="s">
        <v>154</v>
      </c>
      <c r="C2" s="8" t="s">
        <v>155</v>
      </c>
      <c r="D2" s="8" t="s">
        <v>156</v>
      </c>
      <c r="E2" s="11" t="s">
        <v>157</v>
      </c>
      <c r="F2" s="8" t="s">
        <v>158</v>
      </c>
      <c r="G2" s="10">
        <v>10</v>
      </c>
      <c r="H2" s="10">
        <v>5</v>
      </c>
      <c r="I2" s="10">
        <v>7</v>
      </c>
      <c r="J2" s="8" t="s">
        <v>159</v>
      </c>
      <c r="K2" s="8" t="s">
        <v>160</v>
      </c>
      <c r="L2" s="8" t="s">
        <v>161</v>
      </c>
    </row>
    <row r="3" spans="1:12" ht="51" customHeight="1" x14ac:dyDescent="0.25">
      <c r="A3" s="8" t="s">
        <v>162</v>
      </c>
      <c r="B3" s="8" t="s">
        <v>163</v>
      </c>
      <c r="C3" s="8" t="s">
        <v>164</v>
      </c>
      <c r="D3" s="8" t="s">
        <v>165</v>
      </c>
      <c r="E3" s="11" t="s">
        <v>166</v>
      </c>
      <c r="F3" s="8" t="s">
        <v>158</v>
      </c>
      <c r="G3" s="10">
        <v>0</v>
      </c>
      <c r="H3" s="10">
        <v>6</v>
      </c>
      <c r="I3" s="10">
        <v>8</v>
      </c>
      <c r="J3" s="8" t="s">
        <v>167</v>
      </c>
      <c r="K3" s="8" t="s">
        <v>168</v>
      </c>
      <c r="L3" s="8" t="s">
        <v>161</v>
      </c>
    </row>
    <row r="4" spans="1:12" ht="51" customHeight="1" x14ac:dyDescent="0.25">
      <c r="A4" s="8" t="s">
        <v>169</v>
      </c>
      <c r="B4" s="8" t="s">
        <v>170</v>
      </c>
      <c r="C4" s="8" t="s">
        <v>171</v>
      </c>
      <c r="D4" s="8" t="s">
        <v>172</v>
      </c>
      <c r="E4" s="11" t="s">
        <v>173</v>
      </c>
      <c r="F4" s="8" t="s">
        <v>174</v>
      </c>
      <c r="G4" s="10">
        <v>25</v>
      </c>
      <c r="H4" s="10">
        <v>9</v>
      </c>
      <c r="I4" s="10">
        <v>11</v>
      </c>
      <c r="J4" s="8" t="s">
        <v>175</v>
      </c>
      <c r="K4" s="8" t="s">
        <v>176</v>
      </c>
      <c r="L4" s="8" t="s">
        <v>161</v>
      </c>
    </row>
    <row r="5" spans="1:12" ht="51" customHeight="1" x14ac:dyDescent="0.25">
      <c r="A5" s="8" t="s">
        <v>177</v>
      </c>
      <c r="B5" s="8" t="s">
        <v>178</v>
      </c>
      <c r="C5" s="8" t="s">
        <v>179</v>
      </c>
      <c r="D5" s="8" t="s">
        <v>180</v>
      </c>
      <c r="E5" s="11" t="s">
        <v>181</v>
      </c>
      <c r="F5" s="8" t="s">
        <v>158</v>
      </c>
      <c r="G5" s="10">
        <v>25</v>
      </c>
      <c r="H5" s="10">
        <v>6</v>
      </c>
      <c r="I5" s="10">
        <v>5</v>
      </c>
      <c r="J5" s="8" t="s">
        <v>182</v>
      </c>
      <c r="K5" s="8" t="s">
        <v>183</v>
      </c>
      <c r="L5" s="8" t="s">
        <v>161</v>
      </c>
    </row>
    <row r="6" spans="1:12" ht="51" customHeight="1" x14ac:dyDescent="0.25">
      <c r="A6" s="8" t="s">
        <v>184</v>
      </c>
      <c r="B6" s="8" t="s">
        <v>185</v>
      </c>
      <c r="C6" s="8" t="s">
        <v>186</v>
      </c>
      <c r="D6" s="8" t="s">
        <v>187</v>
      </c>
      <c r="E6" s="11" t="s">
        <v>188</v>
      </c>
      <c r="F6" s="8" t="s">
        <v>158</v>
      </c>
      <c r="G6" s="10">
        <v>20</v>
      </c>
      <c r="H6" s="10">
        <v>7</v>
      </c>
      <c r="I6" s="10">
        <v>9</v>
      </c>
      <c r="J6" s="8" t="s">
        <v>189</v>
      </c>
      <c r="K6" s="8" t="s">
        <v>190</v>
      </c>
      <c r="L6" s="8" t="s">
        <v>161</v>
      </c>
    </row>
    <row r="7" spans="1:12" ht="51" customHeight="1" x14ac:dyDescent="0.25">
      <c r="A7" s="8" t="s">
        <v>191</v>
      </c>
      <c r="B7" s="8" t="s">
        <v>192</v>
      </c>
      <c r="C7" s="8" t="s">
        <v>193</v>
      </c>
      <c r="D7" s="8" t="s">
        <v>194</v>
      </c>
      <c r="E7" s="11" t="s">
        <v>195</v>
      </c>
      <c r="F7" s="8" t="s">
        <v>158</v>
      </c>
      <c r="G7" s="10">
        <v>25</v>
      </c>
      <c r="H7" s="10">
        <v>5</v>
      </c>
      <c r="I7" s="10">
        <v>5</v>
      </c>
      <c r="J7" s="8" t="s">
        <v>159</v>
      </c>
      <c r="K7" s="8" t="s">
        <v>196</v>
      </c>
      <c r="L7" s="8" t="s">
        <v>161</v>
      </c>
    </row>
    <row r="8" spans="1:12" ht="51" customHeight="1" x14ac:dyDescent="0.25">
      <c r="A8" s="8" t="s">
        <v>197</v>
      </c>
      <c r="B8" s="8" t="s">
        <v>198</v>
      </c>
      <c r="C8" s="8" t="s">
        <v>199</v>
      </c>
      <c r="D8" s="8" t="s">
        <v>200</v>
      </c>
      <c r="E8" s="11" t="s">
        <v>201</v>
      </c>
      <c r="F8" s="8" t="s">
        <v>158</v>
      </c>
      <c r="G8" s="10">
        <v>0</v>
      </c>
      <c r="H8" s="10">
        <v>6</v>
      </c>
      <c r="I8" s="10">
        <v>5</v>
      </c>
      <c r="J8" s="8" t="s">
        <v>202</v>
      </c>
      <c r="K8" s="8" t="s">
        <v>203</v>
      </c>
      <c r="L8" s="8" t="s">
        <v>161</v>
      </c>
    </row>
    <row r="9" spans="1:12" ht="51" customHeight="1" x14ac:dyDescent="0.25">
      <c r="A9" s="8" t="s">
        <v>204</v>
      </c>
      <c r="B9" s="8" t="s">
        <v>205</v>
      </c>
      <c r="C9" s="8" t="s">
        <v>206</v>
      </c>
      <c r="D9" s="8" t="s">
        <v>207</v>
      </c>
      <c r="E9" s="11" t="s">
        <v>208</v>
      </c>
      <c r="F9" s="8" t="s">
        <v>158</v>
      </c>
      <c r="G9" s="10">
        <v>10</v>
      </c>
      <c r="H9" s="10">
        <v>6</v>
      </c>
      <c r="I9" s="10">
        <v>8</v>
      </c>
      <c r="J9" s="8" t="s">
        <v>209</v>
      </c>
      <c r="K9" s="8" t="s">
        <v>210</v>
      </c>
      <c r="L9" s="8" t="s">
        <v>161</v>
      </c>
    </row>
    <row r="10" spans="1:12" ht="51" customHeight="1" x14ac:dyDescent="0.25">
      <c r="A10" s="8" t="s">
        <v>211</v>
      </c>
      <c r="B10" s="8" t="s">
        <v>212</v>
      </c>
      <c r="C10" s="8" t="s">
        <v>213</v>
      </c>
      <c r="D10" s="8" t="s">
        <v>214</v>
      </c>
      <c r="E10" s="11" t="s">
        <v>215</v>
      </c>
      <c r="F10" s="8" t="s">
        <v>158</v>
      </c>
      <c r="G10" s="10">
        <v>11</v>
      </c>
      <c r="H10" s="10">
        <v>6</v>
      </c>
      <c r="I10" s="10">
        <v>8</v>
      </c>
      <c r="J10" s="8" t="s">
        <v>216</v>
      </c>
      <c r="K10" s="8" t="s">
        <v>217</v>
      </c>
      <c r="L10" s="8" t="s">
        <v>161</v>
      </c>
    </row>
    <row r="11" spans="1:12" ht="51" customHeight="1" x14ac:dyDescent="0.25">
      <c r="A11" s="8" t="s">
        <v>218</v>
      </c>
      <c r="B11" s="8" t="s">
        <v>219</v>
      </c>
      <c r="C11" s="8" t="s">
        <v>220</v>
      </c>
      <c r="D11" s="8" t="s">
        <v>221</v>
      </c>
      <c r="E11" s="11" t="s">
        <v>222</v>
      </c>
      <c r="F11" s="8" t="s">
        <v>158</v>
      </c>
      <c r="G11" s="10">
        <v>10</v>
      </c>
      <c r="H11" s="10">
        <v>8</v>
      </c>
      <c r="I11" s="10">
        <v>10</v>
      </c>
      <c r="J11" s="8" t="s">
        <v>223</v>
      </c>
      <c r="K11" s="8" t="s">
        <v>224</v>
      </c>
      <c r="L11" s="8" t="s">
        <v>161</v>
      </c>
    </row>
    <row r="12" spans="1:12" ht="51" customHeight="1" x14ac:dyDescent="0.25">
      <c r="A12" s="8" t="s">
        <v>225</v>
      </c>
      <c r="B12" s="8" t="s">
        <v>226</v>
      </c>
      <c r="C12" s="8" t="s">
        <v>227</v>
      </c>
      <c r="D12" s="8" t="s">
        <v>228</v>
      </c>
      <c r="E12" s="11" t="s">
        <v>229</v>
      </c>
      <c r="F12" s="8" t="s">
        <v>230</v>
      </c>
      <c r="G12" s="10">
        <v>10</v>
      </c>
      <c r="H12" s="10">
        <v>7</v>
      </c>
      <c r="I12" s="10">
        <v>9</v>
      </c>
      <c r="J12" s="8" t="s">
        <v>231</v>
      </c>
      <c r="K12" s="8" t="s">
        <v>232</v>
      </c>
      <c r="L12" s="8" t="s">
        <v>161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354A"/>
    <outlinePr summaryBelow="0" summaryRight="0"/>
    <pageSetUpPr fitToPage="1"/>
  </sheetPr>
  <dimension ref="A1:F17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3" width="27" customWidth="1"/>
    <col min="4" max="5" width="61" customWidth="1"/>
    <col min="6" max="6" width="20" customWidth="1"/>
  </cols>
  <sheetData>
    <row r="1" spans="1:6" ht="42.95" customHeight="1" x14ac:dyDescent="0.2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</row>
    <row r="2" spans="1:6" ht="36.950000000000003" customHeight="1" x14ac:dyDescent="0.25">
      <c r="A2" s="8" t="s">
        <v>239</v>
      </c>
      <c r="B2" s="8" t="s">
        <v>240</v>
      </c>
      <c r="C2" s="8" t="s">
        <v>241</v>
      </c>
      <c r="D2" s="8" t="s">
        <v>242</v>
      </c>
      <c r="E2" s="8" t="s">
        <v>243</v>
      </c>
      <c r="F2" s="9" t="s">
        <v>244</v>
      </c>
    </row>
    <row r="3" spans="1:6" ht="36.950000000000003" customHeight="1" x14ac:dyDescent="0.25">
      <c r="A3" s="8" t="s">
        <v>245</v>
      </c>
      <c r="B3" s="8" t="s">
        <v>246</v>
      </c>
      <c r="C3" s="8" t="s">
        <v>247</v>
      </c>
      <c r="D3" s="8" t="s">
        <v>248</v>
      </c>
      <c r="E3" s="8" t="s">
        <v>249</v>
      </c>
      <c r="F3" s="9" t="s">
        <v>244</v>
      </c>
    </row>
    <row r="4" spans="1:6" ht="36.950000000000003" customHeight="1" x14ac:dyDescent="0.25">
      <c r="A4" s="8" t="s">
        <v>250</v>
      </c>
      <c r="B4" s="8" t="s">
        <v>251</v>
      </c>
      <c r="C4" s="8" t="s">
        <v>252</v>
      </c>
      <c r="D4" s="8" t="s">
        <v>253</v>
      </c>
      <c r="E4" s="8" t="s">
        <v>254</v>
      </c>
      <c r="F4" s="9" t="s">
        <v>244</v>
      </c>
    </row>
    <row r="5" spans="1:6" ht="36.950000000000003" customHeight="1" x14ac:dyDescent="0.25">
      <c r="A5" s="8" t="s">
        <v>255</v>
      </c>
      <c r="B5" s="8" t="s">
        <v>256</v>
      </c>
      <c r="C5" s="8" t="s">
        <v>257</v>
      </c>
      <c r="D5" s="8" t="s">
        <v>258</v>
      </c>
      <c r="E5" s="8" t="s">
        <v>259</v>
      </c>
      <c r="F5" s="9" t="s">
        <v>244</v>
      </c>
    </row>
    <row r="6" spans="1:6" ht="36.950000000000003" customHeight="1" x14ac:dyDescent="0.25">
      <c r="A6" s="8" t="s">
        <v>260</v>
      </c>
      <c r="B6" s="8" t="s">
        <v>261</v>
      </c>
      <c r="C6" s="8" t="s">
        <v>262</v>
      </c>
      <c r="D6" s="8" t="s">
        <v>263</v>
      </c>
      <c r="E6" s="8" t="s">
        <v>264</v>
      </c>
      <c r="F6" s="9" t="s">
        <v>244</v>
      </c>
    </row>
    <row r="7" spans="1:6" ht="51" customHeight="1" x14ac:dyDescent="0.25">
      <c r="A7" s="8" t="s">
        <v>265</v>
      </c>
      <c r="B7" s="8" t="s">
        <v>266</v>
      </c>
      <c r="C7" s="8" t="s">
        <v>267</v>
      </c>
      <c r="D7" s="8" t="s">
        <v>268</v>
      </c>
      <c r="E7" s="8" t="s">
        <v>269</v>
      </c>
      <c r="F7" s="9" t="s">
        <v>270</v>
      </c>
    </row>
    <row r="8" spans="1:6" ht="36.950000000000003" customHeight="1" x14ac:dyDescent="0.25">
      <c r="A8" s="8" t="s">
        <v>271</v>
      </c>
      <c r="B8" s="8" t="s">
        <v>272</v>
      </c>
      <c r="C8" s="8" t="s">
        <v>273</v>
      </c>
      <c r="D8" s="8" t="s">
        <v>274</v>
      </c>
      <c r="E8" s="8" t="s">
        <v>275</v>
      </c>
      <c r="F8" s="9" t="s">
        <v>276</v>
      </c>
    </row>
    <row r="9" spans="1:6" ht="36.950000000000003" customHeight="1" x14ac:dyDescent="0.25">
      <c r="A9" s="8" t="s">
        <v>277</v>
      </c>
      <c r="B9" s="8" t="s">
        <v>278</v>
      </c>
      <c r="C9" s="8" t="s">
        <v>279</v>
      </c>
      <c r="D9" s="8" t="s">
        <v>280</v>
      </c>
      <c r="E9" s="8" t="s">
        <v>281</v>
      </c>
      <c r="F9" s="9" t="s">
        <v>282</v>
      </c>
    </row>
    <row r="10" spans="1:6" ht="36.950000000000003" customHeight="1" x14ac:dyDescent="0.25">
      <c r="A10" s="8" t="s">
        <v>283</v>
      </c>
      <c r="B10" s="8" t="s">
        <v>284</v>
      </c>
      <c r="C10" s="8" t="s">
        <v>285</v>
      </c>
      <c r="D10" s="8" t="s">
        <v>286</v>
      </c>
      <c r="E10" s="8" t="s">
        <v>287</v>
      </c>
      <c r="F10" s="9" t="s">
        <v>276</v>
      </c>
    </row>
    <row r="11" spans="1:6" ht="36.950000000000003" customHeight="1" x14ac:dyDescent="0.25">
      <c r="A11" s="8" t="s">
        <v>288</v>
      </c>
      <c r="B11" s="8" t="s">
        <v>289</v>
      </c>
      <c r="C11" s="8" t="s">
        <v>285</v>
      </c>
      <c r="D11" s="8" t="s">
        <v>290</v>
      </c>
      <c r="E11" s="8" t="s">
        <v>291</v>
      </c>
      <c r="F11" s="9" t="s">
        <v>276</v>
      </c>
    </row>
    <row r="12" spans="1:6" ht="36.950000000000003" customHeight="1" x14ac:dyDescent="0.25">
      <c r="A12" s="8" t="s">
        <v>292</v>
      </c>
      <c r="B12" s="8" t="s">
        <v>293</v>
      </c>
      <c r="C12" s="8" t="s">
        <v>294</v>
      </c>
      <c r="D12" s="8" t="s">
        <v>295</v>
      </c>
      <c r="E12" s="8" t="s">
        <v>296</v>
      </c>
      <c r="F12" s="9" t="s">
        <v>297</v>
      </c>
    </row>
    <row r="13" spans="1:6" ht="36.950000000000003" customHeight="1" x14ac:dyDescent="0.25">
      <c r="A13" s="8" t="s">
        <v>298</v>
      </c>
      <c r="B13" s="8" t="s">
        <v>299</v>
      </c>
      <c r="C13" s="8" t="s">
        <v>300</v>
      </c>
      <c r="D13" s="8" t="s">
        <v>301</v>
      </c>
      <c r="E13" s="8" t="s">
        <v>302</v>
      </c>
      <c r="F13" s="9" t="s">
        <v>270</v>
      </c>
    </row>
    <row r="14" spans="1:6" ht="36.950000000000003" customHeight="1" x14ac:dyDescent="0.25">
      <c r="A14" s="8" t="s">
        <v>303</v>
      </c>
      <c r="B14" s="8" t="s">
        <v>304</v>
      </c>
      <c r="C14" s="8" t="s">
        <v>305</v>
      </c>
      <c r="D14" s="8" t="s">
        <v>306</v>
      </c>
      <c r="E14" s="8" t="s">
        <v>307</v>
      </c>
      <c r="F14" s="9" t="s">
        <v>282</v>
      </c>
    </row>
    <row r="15" spans="1:6" ht="36.950000000000003" customHeight="1" x14ac:dyDescent="0.25">
      <c r="A15" s="8" t="s">
        <v>308</v>
      </c>
      <c r="B15" s="8" t="s">
        <v>309</v>
      </c>
      <c r="C15" s="8" t="s">
        <v>310</v>
      </c>
      <c r="D15" s="8" t="s">
        <v>311</v>
      </c>
      <c r="E15" s="8" t="s">
        <v>312</v>
      </c>
      <c r="F15" s="9" t="s">
        <v>313</v>
      </c>
    </row>
    <row r="16" spans="1:6" ht="36.950000000000003" customHeight="1" x14ac:dyDescent="0.25">
      <c r="A16" s="8" t="s">
        <v>314</v>
      </c>
      <c r="B16" s="8" t="s">
        <v>315</v>
      </c>
      <c r="C16" s="8" t="s">
        <v>316</v>
      </c>
      <c r="D16" s="8" t="s">
        <v>317</v>
      </c>
      <c r="E16" s="8" t="s">
        <v>318</v>
      </c>
      <c r="F16" s="9" t="s">
        <v>319</v>
      </c>
    </row>
    <row r="17" spans="1:6" ht="36.950000000000003" customHeight="1" x14ac:dyDescent="0.25">
      <c r="A17" s="8" t="s">
        <v>320</v>
      </c>
      <c r="B17" s="8" t="s">
        <v>321</v>
      </c>
      <c r="C17" s="8" t="s">
        <v>322</v>
      </c>
      <c r="D17" s="8" t="s">
        <v>323</v>
      </c>
      <c r="E17" s="8" t="s">
        <v>324</v>
      </c>
      <c r="F17" s="9" t="s">
        <v>325</v>
      </c>
    </row>
  </sheetData>
  <dataValidations count="1">
    <dataValidation type="list" showErrorMessage="1" errorTitle="Controlled value required" error="Select a defined value; do not invent a tag." sqref="F2:F500" xr:uid="{00000000-0002-0000-0300-000000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E8B"/>
    <outlinePr summaryBelow="0" summaryRight="0"/>
    <pageSetUpPr fitToPage="1"/>
  </sheetPr>
  <dimension ref="A1:Q245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Row="1" x14ac:dyDescent="0.25"/>
  <cols>
    <col min="1" max="2" width="29" customWidth="1"/>
    <col min="3" max="3" width="38" customWidth="1"/>
    <col min="4" max="4" width="27" customWidth="1"/>
    <col min="5" max="9" width="32" customWidth="1"/>
    <col min="10" max="10" width="29" customWidth="1"/>
    <col min="11" max="12" width="20" customWidth="1"/>
    <col min="13" max="13" width="27" customWidth="1"/>
    <col min="14" max="14" width="29" customWidth="1"/>
    <col min="15" max="15" width="61" customWidth="1"/>
    <col min="16" max="16" width="52" customWidth="1"/>
    <col min="17" max="17" width="20" customWidth="1"/>
  </cols>
  <sheetData>
    <row r="1" spans="1:17" ht="42.95" customHeight="1" x14ac:dyDescent="0.25">
      <c r="A1" s="7" t="s">
        <v>326</v>
      </c>
      <c r="B1" s="7" t="s">
        <v>327</v>
      </c>
      <c r="C1" s="7" t="s">
        <v>328</v>
      </c>
      <c r="D1" s="7" t="s">
        <v>329</v>
      </c>
      <c r="E1" s="7" t="s">
        <v>330</v>
      </c>
      <c r="F1" s="7" t="s">
        <v>331</v>
      </c>
      <c r="G1" s="7" t="s">
        <v>332</v>
      </c>
      <c r="H1" s="7" t="s">
        <v>333</v>
      </c>
      <c r="I1" s="7" t="s">
        <v>334</v>
      </c>
      <c r="J1" s="7" t="s">
        <v>335</v>
      </c>
      <c r="K1" s="7" t="s">
        <v>336</v>
      </c>
      <c r="L1" s="7" t="s">
        <v>238</v>
      </c>
      <c r="M1" s="7" t="s">
        <v>337</v>
      </c>
      <c r="N1" s="7" t="s">
        <v>338</v>
      </c>
      <c r="O1" s="7" t="s">
        <v>339</v>
      </c>
      <c r="P1" s="7" t="s">
        <v>340</v>
      </c>
      <c r="Q1" s="7" t="s">
        <v>341</v>
      </c>
    </row>
    <row r="2" spans="1:17" ht="51" customHeight="1" x14ac:dyDescent="0.25">
      <c r="A2" s="8" t="s">
        <v>342</v>
      </c>
      <c r="B2" s="8" t="s">
        <v>343</v>
      </c>
      <c r="C2" s="12" t="str">
        <f>IFERROR(VLOOKUP(B2,ENTITY_MASTER!$A$2:$B$266,2,FALSE),"")</f>
        <v>Hypharm</v>
      </c>
      <c r="D2" s="8" t="s">
        <v>344</v>
      </c>
      <c r="E2" s="8" t="s">
        <v>345</v>
      </c>
      <c r="F2" s="8" t="s">
        <v>346</v>
      </c>
      <c r="G2" s="8" t="s">
        <v>347</v>
      </c>
      <c r="H2" s="8" t="s">
        <v>348</v>
      </c>
      <c r="I2" s="8" t="s">
        <v>349</v>
      </c>
      <c r="J2" s="8" t="s">
        <v>350</v>
      </c>
      <c r="K2" s="9" t="s">
        <v>351</v>
      </c>
      <c r="L2" s="9" t="s">
        <v>352</v>
      </c>
      <c r="M2" s="8" t="s">
        <v>353</v>
      </c>
      <c r="N2" s="8" t="s">
        <v>354</v>
      </c>
      <c r="O2" s="8" t="s">
        <v>355</v>
      </c>
      <c r="P2" s="12" t="str">
        <f>IFERROR(IF(VLOOKUP(J2,SOURCE_REGISTRY!$A$2:$E$246,5,FALSE)="","",VLOOKUP(J2,SOURCE_REGISTRY!$A$2:$E$246,5,FALSE)),"")</f>
        <v>https://hypharm.de/phagenlysin-wirkstoff-hy-133-start-der-klinischen-phase-i-first-in-human-studie-zur-eliminierung-von-staphylococcus-aureus-im-nasenmikrobiom/</v>
      </c>
      <c r="Q2" s="9" t="s">
        <v>356</v>
      </c>
    </row>
    <row r="3" spans="1:17" ht="36.950000000000003" customHeight="1" x14ac:dyDescent="0.25">
      <c r="A3" s="8" t="s">
        <v>357</v>
      </c>
      <c r="B3" s="8" t="s">
        <v>358</v>
      </c>
      <c r="C3" s="12" t="str">
        <f>IFERROR(VLOOKUP(B3,ENTITY_MASTER!$A$2:$B$266,2,FALSE),"")</f>
        <v>AiCuris Anti-infective Cures AG</v>
      </c>
      <c r="D3" s="8" t="s">
        <v>359</v>
      </c>
      <c r="E3" s="8" t="s">
        <v>360</v>
      </c>
      <c r="F3" s="8" t="s">
        <v>361</v>
      </c>
      <c r="G3" s="8" t="s">
        <v>362</v>
      </c>
      <c r="H3" s="8" t="s">
        <v>363</v>
      </c>
      <c r="I3" s="8" t="s">
        <v>364</v>
      </c>
      <c r="J3" s="8" t="s">
        <v>365</v>
      </c>
      <c r="K3" s="9" t="s">
        <v>351</v>
      </c>
      <c r="L3" s="9" t="s">
        <v>352</v>
      </c>
      <c r="M3" s="8" t="s">
        <v>366</v>
      </c>
      <c r="N3" s="8" t="s">
        <v>367</v>
      </c>
      <c r="O3" s="8" t="s">
        <v>368</v>
      </c>
      <c r="P3" s="12" t="str">
        <f>IFERROR(IF(VLOOKUP(J3,SOURCE_REGISTRY!$A$2:$E$246,5,FALSE)="","",VLOOKUP(J3,SOURCE_REGISTRY!$A$2:$E$246,5,FALSE)),"")</f>
        <v>https://www.aicuris.com/pipeline-products/</v>
      </c>
      <c r="Q3" s="9" t="s">
        <v>356</v>
      </c>
    </row>
    <row r="4" spans="1:17" ht="36.950000000000003" customHeight="1" x14ac:dyDescent="0.25">
      <c r="A4" s="8" t="s">
        <v>369</v>
      </c>
      <c r="B4" s="8" t="s">
        <v>370</v>
      </c>
      <c r="C4" s="12" t="str">
        <f>IFERROR(VLOOKUP(B4,ENTITY_MASTER!$A$2:$B$266,2,FALSE),"")</f>
        <v>Seres Therapeutics Inc</v>
      </c>
      <c r="D4" s="8" t="s">
        <v>344</v>
      </c>
      <c r="E4" s="8" t="s">
        <v>371</v>
      </c>
      <c r="F4" s="13" t="s">
        <v>372</v>
      </c>
      <c r="G4" s="13" t="s">
        <v>372</v>
      </c>
      <c r="H4" s="8" t="s">
        <v>373</v>
      </c>
      <c r="I4" s="8" t="s">
        <v>374</v>
      </c>
      <c r="J4" s="8" t="s">
        <v>375</v>
      </c>
      <c r="K4" s="9" t="s">
        <v>351</v>
      </c>
      <c r="L4" s="9" t="s">
        <v>352</v>
      </c>
      <c r="M4" s="8" t="s">
        <v>376</v>
      </c>
      <c r="N4" s="8" t="s">
        <v>377</v>
      </c>
      <c r="O4" s="8" t="s">
        <v>378</v>
      </c>
      <c r="P4" s="12" t="str">
        <f>IFERROR(IF(VLOOKUP(J4,SOURCE_REGISTRY!$A$2:$E$246,5,FALSE)="","",VLOOKUP(J4,SOURCE_REGISTRY!$A$2:$E$246,5,FALSE)),"")</f>
        <v>https://www.serestherapeutics.com/our-programs/</v>
      </c>
      <c r="Q4" s="9" t="s">
        <v>356</v>
      </c>
    </row>
    <row r="5" spans="1:17" ht="51" customHeight="1" x14ac:dyDescent="0.25">
      <c r="A5" s="8" t="s">
        <v>379</v>
      </c>
      <c r="B5" s="8" t="s">
        <v>380</v>
      </c>
      <c r="C5" s="12" t="str">
        <f>IFERROR(VLOOKUP(B5,ENTITY_MASTER!$A$2:$B$266,2,FALSE),"")</f>
        <v>Profionics</v>
      </c>
      <c r="D5" s="8" t="s">
        <v>344</v>
      </c>
      <c r="E5" s="8" t="s">
        <v>381</v>
      </c>
      <c r="F5" s="13" t="s">
        <v>372</v>
      </c>
      <c r="G5" s="13" t="s">
        <v>372</v>
      </c>
      <c r="H5" s="8" t="s">
        <v>382</v>
      </c>
      <c r="I5" s="8" t="s">
        <v>383</v>
      </c>
      <c r="J5" s="8" t="s">
        <v>384</v>
      </c>
      <c r="K5" s="9" t="s">
        <v>351</v>
      </c>
      <c r="L5" s="9" t="s">
        <v>352</v>
      </c>
      <c r="M5" s="8" t="s">
        <v>385</v>
      </c>
      <c r="N5" s="8" t="s">
        <v>386</v>
      </c>
      <c r="O5" s="8" t="s">
        <v>387</v>
      </c>
      <c r="P5" s="12" t="str">
        <f>IFERROR(IF(VLOOKUP(J5,SOURCE_REGISTRY!$A$2:$E$246,5,FALSE)="","",VLOOKUP(J5,SOURCE_REGISTRY!$A$2:$E$246,5,FALSE)),"")</f>
        <v>https://beam-alliance.eu/members/</v>
      </c>
      <c r="Q5" s="9" t="s">
        <v>356</v>
      </c>
    </row>
    <row r="6" spans="1:17" ht="51" customHeight="1" x14ac:dyDescent="0.25">
      <c r="A6" s="8" t="s">
        <v>388</v>
      </c>
      <c r="B6" s="8" t="s">
        <v>389</v>
      </c>
      <c r="C6" s="12" t="str">
        <f>IFERROR(VLOOKUP(B6,ENTITY_MASTER!$A$2:$B$266,2,FALSE),"")</f>
        <v>Arcturus Therapeutics</v>
      </c>
      <c r="D6" s="8" t="s">
        <v>344</v>
      </c>
      <c r="E6" s="8" t="s">
        <v>390</v>
      </c>
      <c r="F6" s="13" t="s">
        <v>372</v>
      </c>
      <c r="G6" s="13" t="s">
        <v>372</v>
      </c>
      <c r="H6" s="8" t="s">
        <v>391</v>
      </c>
      <c r="I6" s="8" t="s">
        <v>392</v>
      </c>
      <c r="J6" s="8" t="s">
        <v>393</v>
      </c>
      <c r="K6" s="9" t="s">
        <v>351</v>
      </c>
      <c r="L6" s="9" t="s">
        <v>352</v>
      </c>
      <c r="M6" s="8" t="s">
        <v>394</v>
      </c>
      <c r="N6" s="8" t="s">
        <v>395</v>
      </c>
      <c r="O6" s="8" t="s">
        <v>396</v>
      </c>
      <c r="P6" s="12" t="str">
        <f>IFERROR(IF(VLOOKUP(J6,SOURCE_REGISTRY!$A$2:$E$246,5,FALSE)="","",VLOOKUP(J6,SOURCE_REGISTRY!$A$2:$E$246,5,FALSE)),"")</f>
        <v>https://ir.arcturusrx.com/news-releases/news-release-details/arcturus-therapeutics-announces-second-quarter-2026-financial</v>
      </c>
      <c r="Q6" s="9" t="s">
        <v>356</v>
      </c>
    </row>
    <row r="7" spans="1:17" ht="36.950000000000003" customHeight="1" x14ac:dyDescent="0.25">
      <c r="A7" s="8" t="s">
        <v>397</v>
      </c>
      <c r="B7" s="8" t="s">
        <v>398</v>
      </c>
      <c r="C7" s="12" t="str">
        <f>IFERROR(VLOOKUP(B7,ENTITY_MASTER!$A$2:$B$266,2,FALSE),"")</f>
        <v>Ferring Pharmaceuticals</v>
      </c>
      <c r="D7" s="8" t="s">
        <v>344</v>
      </c>
      <c r="E7" s="8" t="s">
        <v>399</v>
      </c>
      <c r="F7" s="8" t="s">
        <v>400</v>
      </c>
      <c r="G7" s="8" t="s">
        <v>401</v>
      </c>
      <c r="H7" s="8" t="s">
        <v>373</v>
      </c>
      <c r="I7" s="8" t="s">
        <v>402</v>
      </c>
      <c r="J7" s="8" t="s">
        <v>403</v>
      </c>
      <c r="K7" s="9" t="s">
        <v>351</v>
      </c>
      <c r="L7" s="9" t="s">
        <v>352</v>
      </c>
      <c r="M7" s="8" t="s">
        <v>366</v>
      </c>
      <c r="N7" s="8" t="s">
        <v>404</v>
      </c>
      <c r="O7" s="8" t="s">
        <v>405</v>
      </c>
      <c r="P7" s="12" t="str">
        <f>IFERROR(IF(VLOOKUP(J7,SOURCE_REGISTRY!$A$2:$E$246,5,FALSE)="","",VLOOKUP(J7,SOURCE_REGISTRY!$A$2:$E$246,5,FALSE)),"")</f>
        <v>https://www.ferring.com/science-innovation/research-and-development/product-pipeline/</v>
      </c>
      <c r="Q7" s="9" t="s">
        <v>356</v>
      </c>
    </row>
    <row r="8" spans="1:17" ht="51" customHeight="1" x14ac:dyDescent="0.25">
      <c r="A8" s="8" t="s">
        <v>406</v>
      </c>
      <c r="B8" s="8" t="s">
        <v>407</v>
      </c>
      <c r="C8" s="12" t="str">
        <f>IFERROR(VLOOKUP(B8,ENTITY_MASTER!$A$2:$B$266,2,FALSE),"")</f>
        <v>BioNTech</v>
      </c>
      <c r="D8" s="8" t="s">
        <v>344</v>
      </c>
      <c r="E8" s="8" t="s">
        <v>408</v>
      </c>
      <c r="F8" s="13" t="s">
        <v>372</v>
      </c>
      <c r="G8" s="13" t="s">
        <v>372</v>
      </c>
      <c r="H8" s="8" t="s">
        <v>409</v>
      </c>
      <c r="I8" s="8" t="s">
        <v>410</v>
      </c>
      <c r="J8" s="8" t="s">
        <v>411</v>
      </c>
      <c r="K8" s="9" t="s">
        <v>351</v>
      </c>
      <c r="L8" s="9" t="s">
        <v>352</v>
      </c>
      <c r="M8" s="8" t="s">
        <v>376</v>
      </c>
      <c r="N8" s="8" t="s">
        <v>412</v>
      </c>
      <c r="O8" s="8" t="s">
        <v>378</v>
      </c>
      <c r="P8" s="12" t="str">
        <f>IFERROR(IF(VLOOKUP(J8,SOURCE_REGISTRY!$A$2:$E$246,5,FALSE)="","",VLOOKUP(J8,SOURCE_REGISTRY!$A$2:$E$246,5,FALSE)),"")</f>
        <v>https://www.biontech.com/us/en/home/research-and-innovation/therapeutic-areas/infectious-diseases.html</v>
      </c>
      <c r="Q8" s="9" t="s">
        <v>356</v>
      </c>
    </row>
    <row r="9" spans="1:17" ht="51" customHeight="1" x14ac:dyDescent="0.25">
      <c r="A9" s="8" t="s">
        <v>413</v>
      </c>
      <c r="B9" s="8" t="s">
        <v>414</v>
      </c>
      <c r="C9" s="12" t="str">
        <f>IFERROR(VLOOKUP(B9,ENTITY_MASTER!$A$2:$B$266,2,FALSE),"")</f>
        <v>Moderna</v>
      </c>
      <c r="D9" s="8" t="s">
        <v>344</v>
      </c>
      <c r="E9" s="8" t="s">
        <v>415</v>
      </c>
      <c r="F9" s="8" t="s">
        <v>416</v>
      </c>
      <c r="G9" s="8" t="s">
        <v>417</v>
      </c>
      <c r="H9" s="8" t="s">
        <v>418</v>
      </c>
      <c r="I9" s="8" t="s">
        <v>419</v>
      </c>
      <c r="J9" s="8" t="s">
        <v>420</v>
      </c>
      <c r="K9" s="9" t="s">
        <v>351</v>
      </c>
      <c r="L9" s="9" t="s">
        <v>352</v>
      </c>
      <c r="M9" s="8" t="s">
        <v>353</v>
      </c>
      <c r="N9" s="8" t="s">
        <v>421</v>
      </c>
      <c r="O9" s="8" t="s">
        <v>355</v>
      </c>
      <c r="P9" s="12" t="str">
        <f>IFERROR(IF(VLOOKUP(J9,SOURCE_REGISTRY!$A$2:$E$246,5,FALSE)="","",VLOOKUP(J9,SOURCE_REGISTRY!$A$2:$E$246,5,FALSE)),"")</f>
        <v>https://www.modernatx.com/research/product-pipeline</v>
      </c>
      <c r="Q9" s="9" t="s">
        <v>356</v>
      </c>
    </row>
    <row r="10" spans="1:17" ht="51" customHeight="1" x14ac:dyDescent="0.25">
      <c r="A10" s="8" t="s">
        <v>422</v>
      </c>
      <c r="B10" s="8" t="s">
        <v>423</v>
      </c>
      <c r="C10" s="12" t="str">
        <f>IFERROR(VLOOKUP(B10,ENTITY_MASTER!$A$2:$B$266,2,FALSE),"")</f>
        <v>Serum Institute of India</v>
      </c>
      <c r="D10" s="8" t="s">
        <v>344</v>
      </c>
      <c r="E10" s="8" t="s">
        <v>424</v>
      </c>
      <c r="F10" s="13" t="s">
        <v>372</v>
      </c>
      <c r="G10" s="13" t="s">
        <v>372</v>
      </c>
      <c r="H10" s="8" t="s">
        <v>425</v>
      </c>
      <c r="I10" s="8" t="s">
        <v>426</v>
      </c>
      <c r="J10" s="8" t="s">
        <v>427</v>
      </c>
      <c r="K10" s="9" t="s">
        <v>351</v>
      </c>
      <c r="L10" s="9" t="s">
        <v>352</v>
      </c>
      <c r="M10" s="8" t="s">
        <v>376</v>
      </c>
      <c r="N10" s="8" t="s">
        <v>428</v>
      </c>
      <c r="O10" s="8" t="s">
        <v>378</v>
      </c>
      <c r="P10" s="12" t="str">
        <f>IFERROR(IF(VLOOKUP(J10,SOURCE_REGISTRY!$A$2:$E$246,5,FALSE)="","",VLOOKUP(J10,SOURCE_REGISTRY!$A$2:$E$246,5,FALSE)),"")</f>
        <v>https://www.seruminstitute.com/gates-medical-research-institute-and-the-serum-institute-of-india-reach-agreement.php</v>
      </c>
      <c r="Q10" s="9" t="s">
        <v>356</v>
      </c>
    </row>
    <row r="11" spans="1:17" ht="36.950000000000003" customHeight="1" x14ac:dyDescent="0.25">
      <c r="A11" s="8" t="s">
        <v>429</v>
      </c>
      <c r="B11" s="8" t="s">
        <v>430</v>
      </c>
      <c r="C11" s="12" t="str">
        <f>IFERROR(VLOOKUP(B11,ENTITY_MASTER!$A$2:$B$266,2,FALSE),"")</f>
        <v>Vedanta Biosciences Inc</v>
      </c>
      <c r="D11" s="8" t="s">
        <v>344</v>
      </c>
      <c r="E11" s="8" t="s">
        <v>431</v>
      </c>
      <c r="F11" s="13" t="s">
        <v>372</v>
      </c>
      <c r="G11" s="13" t="s">
        <v>372</v>
      </c>
      <c r="H11" s="8" t="s">
        <v>373</v>
      </c>
      <c r="I11" s="8" t="s">
        <v>432</v>
      </c>
      <c r="J11" s="8" t="s">
        <v>433</v>
      </c>
      <c r="K11" s="9" t="s">
        <v>351</v>
      </c>
      <c r="L11" s="9" t="s">
        <v>352</v>
      </c>
      <c r="M11" s="8" t="s">
        <v>376</v>
      </c>
      <c r="N11" s="8" t="s">
        <v>434</v>
      </c>
      <c r="O11" s="8" t="s">
        <v>378</v>
      </c>
      <c r="P11" s="12" t="str">
        <f>IFERROR(IF(VLOOKUP(J11,SOURCE_REGISTRY!$A$2:$E$246,5,FALSE)="","",VLOOKUP(J11,SOURCE_REGISTRY!$A$2:$E$246,5,FALSE)),"")</f>
        <v>https://www.vedantabio.com/pipeline-programs/pipeline/</v>
      </c>
      <c r="Q11" s="9" t="s">
        <v>356</v>
      </c>
    </row>
    <row r="12" spans="1:17" ht="36.950000000000003" customHeight="1" x14ac:dyDescent="0.25">
      <c r="A12" s="8" t="s">
        <v>435</v>
      </c>
      <c r="B12" s="8" t="s">
        <v>436</v>
      </c>
      <c r="C12" s="12" t="str">
        <f>IFERROR(VLOOKUP(B12,ENTITY_MASTER!$A$2:$B$266,2,FALSE),"")</f>
        <v>PATH</v>
      </c>
      <c r="D12" s="8" t="s">
        <v>359</v>
      </c>
      <c r="E12" s="8" t="s">
        <v>437</v>
      </c>
      <c r="F12" s="8" t="s">
        <v>438</v>
      </c>
      <c r="G12" s="8" t="s">
        <v>438</v>
      </c>
      <c r="H12" s="8" t="s">
        <v>439</v>
      </c>
      <c r="I12" s="8" t="s">
        <v>440</v>
      </c>
      <c r="J12" s="8" t="s">
        <v>441</v>
      </c>
      <c r="K12" s="9" t="s">
        <v>351</v>
      </c>
      <c r="L12" s="9" t="s">
        <v>352</v>
      </c>
      <c r="M12" s="8" t="s">
        <v>442</v>
      </c>
      <c r="N12" s="8" t="s">
        <v>443</v>
      </c>
      <c r="O12" s="8" t="s">
        <v>368</v>
      </c>
      <c r="P12" s="12" t="str">
        <f>IFERROR(IF(VLOOKUP(J12,SOURCE_REGISTRY!$A$2:$E$246,5,FALSE)="","",VLOOKUP(J12,SOURCE_REGISTRY!$A$2:$E$246,5,FALSE)),"")</f>
        <v>https://www.path.org/who-we-are/programs/center-for-vaccine-innovation-and-access/</v>
      </c>
      <c r="Q12" s="9" t="s">
        <v>356</v>
      </c>
    </row>
    <row r="13" spans="1:17" ht="36.950000000000003" customHeight="1" x14ac:dyDescent="0.25">
      <c r="A13" s="8" t="s">
        <v>444</v>
      </c>
      <c r="B13" s="8" t="s">
        <v>445</v>
      </c>
      <c r="C13" s="12" t="str">
        <f>IFERROR(VLOOKUP(B13,ENTITY_MASTER!$A$2:$B$266,2,FALSE),"")</f>
        <v>Pfizer</v>
      </c>
      <c r="D13" s="8" t="s">
        <v>344</v>
      </c>
      <c r="E13" s="8" t="s">
        <v>446</v>
      </c>
      <c r="F13" s="13" t="s">
        <v>372</v>
      </c>
      <c r="G13" s="13" t="s">
        <v>372</v>
      </c>
      <c r="H13" s="8" t="s">
        <v>409</v>
      </c>
      <c r="I13" s="8" t="s">
        <v>447</v>
      </c>
      <c r="J13" s="8" t="s">
        <v>448</v>
      </c>
      <c r="K13" s="9" t="s">
        <v>351</v>
      </c>
      <c r="L13" s="9" t="s">
        <v>352</v>
      </c>
      <c r="M13" s="8" t="s">
        <v>353</v>
      </c>
      <c r="N13" s="8" t="s">
        <v>449</v>
      </c>
      <c r="O13" s="8" t="s">
        <v>450</v>
      </c>
      <c r="P13" s="12" t="str">
        <f>IFERROR(IF(VLOOKUP(J13,SOURCE_REGISTRY!$A$2:$E$246,5,FALSE)="","",VLOOKUP(J13,SOURCE_REGISTRY!$A$2:$E$246,5,FALSE)),"")</f>
        <v>https://www.pfizer.com/science/drug-product-pipeline</v>
      </c>
      <c r="Q13" s="9" t="s">
        <v>356</v>
      </c>
    </row>
    <row r="14" spans="1:17" ht="51" customHeight="1" x14ac:dyDescent="0.25">
      <c r="A14" s="8" t="s">
        <v>451</v>
      </c>
      <c r="B14" s="8" t="s">
        <v>452</v>
      </c>
      <c r="C14" s="12" t="str">
        <f>IFERROR(VLOOKUP(B14,ENTITY_MASTER!$A$2:$B$266,2,FALSE),"")</f>
        <v>Centauri Therapeutics</v>
      </c>
      <c r="D14" s="8" t="s">
        <v>344</v>
      </c>
      <c r="E14" s="8" t="s">
        <v>345</v>
      </c>
      <c r="F14" s="13" t="s">
        <v>372</v>
      </c>
      <c r="G14" s="13" t="s">
        <v>372</v>
      </c>
      <c r="H14" s="8" t="s">
        <v>453</v>
      </c>
      <c r="I14" s="8" t="s">
        <v>454</v>
      </c>
      <c r="J14" s="8" t="s">
        <v>455</v>
      </c>
      <c r="K14" s="9" t="s">
        <v>351</v>
      </c>
      <c r="L14" s="9" t="s">
        <v>352</v>
      </c>
      <c r="M14" s="8" t="s">
        <v>456</v>
      </c>
      <c r="N14" s="8" t="s">
        <v>457</v>
      </c>
      <c r="O14" s="8" t="s">
        <v>458</v>
      </c>
      <c r="P14" s="12" t="str">
        <f>IFERROR(IF(VLOOKUP(J14,SOURCE_REGISTRY!$A$2:$E$246,5,FALSE)="","",VLOOKUP(J14,SOURCE_REGISTRY!$A$2:$E$246,5,FALSE)),"")</f>
        <v>https://www.centauritherapeutics.com/</v>
      </c>
      <c r="Q14" s="9" t="s">
        <v>356</v>
      </c>
    </row>
    <row r="15" spans="1:17" ht="51" customHeight="1" x14ac:dyDescent="0.25">
      <c r="A15" s="8" t="s">
        <v>459</v>
      </c>
      <c r="B15" s="8" t="s">
        <v>460</v>
      </c>
      <c r="C15" s="12" t="str">
        <f>IFERROR(VLOOKUP(B15,ENTITY_MASTER!$A$2:$B$266,2,FALSE),"")</f>
        <v>Cepheid</v>
      </c>
      <c r="D15" s="8" t="s">
        <v>344</v>
      </c>
      <c r="E15" s="8" t="s">
        <v>461</v>
      </c>
      <c r="F15" s="13" t="s">
        <v>372</v>
      </c>
      <c r="G15" s="13" t="s">
        <v>372</v>
      </c>
      <c r="H15" s="8" t="s">
        <v>382</v>
      </c>
      <c r="I15" s="8" t="s">
        <v>462</v>
      </c>
      <c r="J15" s="8" t="s">
        <v>463</v>
      </c>
      <c r="K15" s="9" t="s">
        <v>351</v>
      </c>
      <c r="L15" s="9" t="s">
        <v>352</v>
      </c>
      <c r="M15" s="8" t="s">
        <v>385</v>
      </c>
      <c r="N15" s="8" t="s">
        <v>464</v>
      </c>
      <c r="O15" s="8" t="s">
        <v>387</v>
      </c>
      <c r="P15" s="12" t="str">
        <f>IFERROR(IF(VLOOKUP(J15,SOURCE_REGISTRY!$A$2:$E$246,5,FALSE)="","",VLOOKUP(J15,SOURCE_REGISTRY!$A$2:$E$246,5,FALSE)),"")</f>
        <v>https://www.cepheid.com/</v>
      </c>
      <c r="Q15" s="9" t="s">
        <v>356</v>
      </c>
    </row>
    <row r="16" spans="1:17" ht="51" customHeight="1" x14ac:dyDescent="0.25">
      <c r="A16" s="8" t="s">
        <v>465</v>
      </c>
      <c r="B16" s="8" t="s">
        <v>466</v>
      </c>
      <c r="C16" s="12" t="str">
        <f>IFERROR(VLOOKUP(B16,ENTITY_MASTER!$A$2:$B$266,2,FALSE),"")</f>
        <v>Gilead Sciences</v>
      </c>
      <c r="D16" s="8" t="s">
        <v>344</v>
      </c>
      <c r="E16" s="8" t="s">
        <v>467</v>
      </c>
      <c r="F16" s="8" t="s">
        <v>468</v>
      </c>
      <c r="G16" s="8" t="s">
        <v>469</v>
      </c>
      <c r="H16" s="8" t="s">
        <v>470</v>
      </c>
      <c r="I16" s="8" t="s">
        <v>471</v>
      </c>
      <c r="J16" s="8" t="s">
        <v>472</v>
      </c>
      <c r="K16" s="9" t="s">
        <v>351</v>
      </c>
      <c r="L16" s="9" t="s">
        <v>352</v>
      </c>
      <c r="M16" s="8" t="s">
        <v>353</v>
      </c>
      <c r="N16" s="8" t="s">
        <v>473</v>
      </c>
      <c r="O16" s="8" t="s">
        <v>355</v>
      </c>
      <c r="P16" s="12" t="str">
        <f>IFERROR(IF(VLOOKUP(J16,SOURCE_REGISTRY!$A$2:$E$246,5,FALSE)="","",VLOOKUP(J16,SOURCE_REGISTRY!$A$2:$E$246,5,FALSE)),"")</f>
        <v>https://www.gilead.com/news/news-details/2026/gilead-accelerates-global-access-planning-for-investigational-once-yearly-lenacapavir-for-hiv-prevention</v>
      </c>
      <c r="Q16" s="9" t="s">
        <v>356</v>
      </c>
    </row>
    <row r="17" spans="1:17" ht="36.950000000000003" customHeight="1" x14ac:dyDescent="0.25">
      <c r="A17" s="8" t="s">
        <v>474</v>
      </c>
      <c r="B17" s="8" t="s">
        <v>475</v>
      </c>
      <c r="C17" s="12" t="str">
        <f>IFERROR(VLOOKUP(B17,ENTITY_MASTER!$A$2:$B$266,2,FALSE),"")</f>
        <v>Armata Pharmaceuticals</v>
      </c>
      <c r="D17" s="8" t="s">
        <v>344</v>
      </c>
      <c r="E17" s="8" t="s">
        <v>345</v>
      </c>
      <c r="F17" s="8" t="s">
        <v>476</v>
      </c>
      <c r="G17" s="8" t="s">
        <v>477</v>
      </c>
      <c r="H17" s="8" t="s">
        <v>478</v>
      </c>
      <c r="I17" s="8" t="s">
        <v>479</v>
      </c>
      <c r="J17" s="8" t="s">
        <v>480</v>
      </c>
      <c r="K17" s="9" t="s">
        <v>351</v>
      </c>
      <c r="L17" s="9" t="s">
        <v>352</v>
      </c>
      <c r="M17" s="8" t="s">
        <v>366</v>
      </c>
      <c r="N17" s="8" t="s">
        <v>481</v>
      </c>
      <c r="O17" s="8" t="s">
        <v>450</v>
      </c>
      <c r="P17" s="12" t="str">
        <f>IFERROR(IF(VLOOKUP(J17,SOURCE_REGISTRY!$A$2:$E$246,5,FALSE)="","",VLOOKUP(J17,SOURCE_REGISTRY!$A$2:$E$246,5,FALSE)),"")</f>
        <v>https://www.armatapharma.com/pipeline/ap-pa02/</v>
      </c>
      <c r="Q17" s="9" t="s">
        <v>356</v>
      </c>
    </row>
    <row r="18" spans="1:17" ht="36.950000000000003" customHeight="1" x14ac:dyDescent="0.25">
      <c r="A18" s="8" t="s">
        <v>482</v>
      </c>
      <c r="B18" s="8" t="s">
        <v>483</v>
      </c>
      <c r="C18" s="12" t="str">
        <f>IFERROR(VLOOKUP(B18,ENTITY_MASTER!$A$2:$B$266,2,FALSE),"")</f>
        <v>Eli Lilly</v>
      </c>
      <c r="D18" s="8" t="s">
        <v>344</v>
      </c>
      <c r="E18" s="8" t="s">
        <v>484</v>
      </c>
      <c r="F18" s="13" t="s">
        <v>372</v>
      </c>
      <c r="G18" s="13" t="s">
        <v>372</v>
      </c>
      <c r="H18" s="8" t="s">
        <v>485</v>
      </c>
      <c r="I18" s="8" t="s">
        <v>486</v>
      </c>
      <c r="J18" s="8" t="s">
        <v>487</v>
      </c>
      <c r="K18" s="9" t="s">
        <v>351</v>
      </c>
      <c r="L18" s="9" t="s">
        <v>352</v>
      </c>
      <c r="M18" s="8" t="s">
        <v>394</v>
      </c>
      <c r="N18" s="8" t="s">
        <v>488</v>
      </c>
      <c r="O18" s="8" t="s">
        <v>396</v>
      </c>
      <c r="P18" s="12" t="str">
        <f>IFERROR(IF(VLOOKUP(J18,SOURCE_REGISTRY!$A$2:$E$246,5,FALSE)="","",VLOOKUP(J18,SOURCE_REGISTRY!$A$2:$E$246,5,FALSE)),"")</f>
        <v>https://investor.lilly.com/node/54346</v>
      </c>
      <c r="Q18" s="9" t="s">
        <v>356</v>
      </c>
    </row>
    <row r="19" spans="1:17" ht="51" customHeight="1" x14ac:dyDescent="0.25">
      <c r="A19" s="8" t="s">
        <v>489</v>
      </c>
      <c r="B19" s="8" t="s">
        <v>490</v>
      </c>
      <c r="C19" s="12" t="str">
        <f>IFERROR(VLOOKUP(B19,ENTITY_MASTER!$A$2:$B$266,2,FALSE),"")</f>
        <v>MSD / Merck &amp; Co.</v>
      </c>
      <c r="D19" s="8" t="s">
        <v>344</v>
      </c>
      <c r="E19" s="8" t="s">
        <v>491</v>
      </c>
      <c r="F19" s="13" t="s">
        <v>372</v>
      </c>
      <c r="G19" s="13" t="s">
        <v>372</v>
      </c>
      <c r="H19" s="8" t="s">
        <v>409</v>
      </c>
      <c r="I19" s="8" t="s">
        <v>492</v>
      </c>
      <c r="J19" s="8" t="s">
        <v>493</v>
      </c>
      <c r="K19" s="9" t="s">
        <v>351</v>
      </c>
      <c r="L19" s="9" t="s">
        <v>352</v>
      </c>
      <c r="M19" s="8" t="s">
        <v>376</v>
      </c>
      <c r="N19" s="8" t="s">
        <v>494</v>
      </c>
      <c r="O19" s="8" t="s">
        <v>378</v>
      </c>
      <c r="P19" s="12" t="str">
        <f>IFERROR(IF(VLOOKUP(J19,SOURCE_REGISTRY!$A$2:$E$246,5,FALSE)="","",VLOOKUP(J19,SOURCE_REGISTRY!$A$2:$E$246,5,FALSE)),"")</f>
        <v>https://www.msd.com/research/business-development-and-licensing/collaborate-with-us/</v>
      </c>
      <c r="Q19" s="9" t="s">
        <v>356</v>
      </c>
    </row>
    <row r="20" spans="1:17" ht="51" customHeight="1" x14ac:dyDescent="0.25">
      <c r="A20" s="8" t="s">
        <v>495</v>
      </c>
      <c r="B20" s="8" t="s">
        <v>496</v>
      </c>
      <c r="C20" s="12" t="str">
        <f>IFERROR(VLOOKUP(B20,ENTITY_MASTER!$A$2:$B$266,2,FALSE),"")</f>
        <v>bioMerieux</v>
      </c>
      <c r="D20" s="8" t="s">
        <v>344</v>
      </c>
      <c r="E20" s="8" t="s">
        <v>497</v>
      </c>
      <c r="F20" s="13" t="s">
        <v>372</v>
      </c>
      <c r="G20" s="13" t="s">
        <v>372</v>
      </c>
      <c r="H20" s="8" t="s">
        <v>382</v>
      </c>
      <c r="I20" s="8" t="s">
        <v>498</v>
      </c>
      <c r="J20" s="8" t="s">
        <v>499</v>
      </c>
      <c r="K20" s="9" t="s">
        <v>351</v>
      </c>
      <c r="L20" s="9" t="s">
        <v>352</v>
      </c>
      <c r="M20" s="8" t="s">
        <v>385</v>
      </c>
      <c r="N20" s="8" t="s">
        <v>500</v>
      </c>
      <c r="O20" s="8" t="s">
        <v>387</v>
      </c>
      <c r="P20" s="12" t="str">
        <f>IFERROR(IF(VLOOKUP(J20,SOURCE_REGISTRY!$A$2:$E$246,5,FALSE)="","",VLOOKUP(J20,SOURCE_REGISTRY!$A$2:$E$246,5,FALSE)),"")</f>
        <v>https://www.biomerieux.com/</v>
      </c>
      <c r="Q20" s="9" t="s">
        <v>356</v>
      </c>
    </row>
    <row r="21" spans="1:17" ht="51" customHeight="1" x14ac:dyDescent="0.25">
      <c r="A21" s="8" t="s">
        <v>501</v>
      </c>
      <c r="B21" s="8" t="s">
        <v>502</v>
      </c>
      <c r="C21" s="12" t="str">
        <f>IFERROR(VLOOKUP(B21,ENTITY_MASTER!$A$2:$B$266,2,FALSE),"")</f>
        <v>Aridis Pharmaceuticals Inc</v>
      </c>
      <c r="D21" s="8" t="s">
        <v>344</v>
      </c>
      <c r="E21" s="8" t="s">
        <v>503</v>
      </c>
      <c r="F21" s="8" t="s">
        <v>504</v>
      </c>
      <c r="G21" s="8" t="s">
        <v>505</v>
      </c>
      <c r="H21" s="8" t="s">
        <v>506</v>
      </c>
      <c r="I21" s="8" t="s">
        <v>507</v>
      </c>
      <c r="J21" s="8" t="s">
        <v>508</v>
      </c>
      <c r="K21" s="9" t="s">
        <v>351</v>
      </c>
      <c r="L21" s="9" t="s">
        <v>352</v>
      </c>
      <c r="M21" s="8" t="s">
        <v>353</v>
      </c>
      <c r="N21" s="8" t="s">
        <v>509</v>
      </c>
      <c r="O21" s="8" t="s">
        <v>355</v>
      </c>
      <c r="P21" s="12" t="str">
        <f>IFERROR(IF(VLOOKUP(J21,SOURCE_REGISTRY!$A$2:$E$246,5,FALSE)="","",VLOOKUP(J21,SOURCE_REGISTRY!$A$2:$E$246,5,FALSE)),"")</f>
        <v>https://www.aridispharma.com/product-overview-2/</v>
      </c>
      <c r="Q21" s="9" t="s">
        <v>356</v>
      </c>
    </row>
    <row r="22" spans="1:17" ht="36.950000000000003" customHeight="1" x14ac:dyDescent="0.25">
      <c r="A22" s="8" t="s">
        <v>510</v>
      </c>
      <c r="B22" s="8" t="s">
        <v>511</v>
      </c>
      <c r="C22" s="12" t="str">
        <f>IFERROR(VLOOKUP(B22,ENTITY_MASTER!$A$2:$B$266,2,FALSE),"")</f>
        <v>Clarametyx Biosciences</v>
      </c>
      <c r="D22" s="8" t="s">
        <v>344</v>
      </c>
      <c r="E22" s="8" t="s">
        <v>512</v>
      </c>
      <c r="F22" s="13" t="s">
        <v>372</v>
      </c>
      <c r="G22" s="13" t="s">
        <v>372</v>
      </c>
      <c r="H22" s="8" t="s">
        <v>513</v>
      </c>
      <c r="I22" s="8" t="s">
        <v>514</v>
      </c>
      <c r="J22" s="8" t="s">
        <v>515</v>
      </c>
      <c r="K22" s="9" t="s">
        <v>351</v>
      </c>
      <c r="L22" s="9" t="s">
        <v>352</v>
      </c>
      <c r="M22" s="8" t="s">
        <v>376</v>
      </c>
      <c r="N22" s="8" t="s">
        <v>516</v>
      </c>
      <c r="O22" s="8" t="s">
        <v>378</v>
      </c>
      <c r="P22" s="12" t="str">
        <f>IFERROR(IF(VLOOKUP(J22,SOURCE_REGISTRY!$A$2:$E$246,5,FALSE)="","",VLOOKUP(J22,SOURCE_REGISTRY!$A$2:$E$246,5,FALSE)),"")</f>
        <v>https://clarametyx.com/</v>
      </c>
      <c r="Q22" s="9" t="s">
        <v>356</v>
      </c>
    </row>
    <row r="23" spans="1:17" ht="36.950000000000003" customHeight="1" x14ac:dyDescent="0.25">
      <c r="A23" s="8" t="s">
        <v>517</v>
      </c>
      <c r="B23" s="8" t="s">
        <v>518</v>
      </c>
      <c r="C23" s="12" t="str">
        <f>IFERROR(VLOOKUP(B23,ENTITY_MASTER!$A$2:$B$266,2,FALSE),"")</f>
        <v>Aligos Therapeutics Inc</v>
      </c>
      <c r="D23" s="8" t="s">
        <v>344</v>
      </c>
      <c r="E23" s="8" t="s">
        <v>519</v>
      </c>
      <c r="F23" s="8" t="s">
        <v>520</v>
      </c>
      <c r="G23" s="8" t="s">
        <v>521</v>
      </c>
      <c r="H23" s="8" t="s">
        <v>363</v>
      </c>
      <c r="I23" s="8" t="s">
        <v>522</v>
      </c>
      <c r="J23" s="8" t="s">
        <v>523</v>
      </c>
      <c r="K23" s="9" t="s">
        <v>351</v>
      </c>
      <c r="L23" s="9" t="s">
        <v>352</v>
      </c>
      <c r="M23" s="8" t="s">
        <v>524</v>
      </c>
      <c r="N23" s="8" t="s">
        <v>525</v>
      </c>
      <c r="O23" s="8" t="s">
        <v>526</v>
      </c>
      <c r="P23" s="12" t="str">
        <f>IFERROR(IF(VLOOKUP(J23,SOURCE_REGISTRY!$A$2:$E$246,5,FALSE)="","",VLOOKUP(J23,SOURCE_REGISTRY!$A$2:$E$246,5,FALSE)),"")</f>
        <v>https://aligos.com/science/scientific-overview/</v>
      </c>
      <c r="Q23" s="9" t="s">
        <v>356</v>
      </c>
    </row>
    <row r="24" spans="1:17" ht="51" customHeight="1" x14ac:dyDescent="0.25">
      <c r="A24" s="8" t="s">
        <v>527</v>
      </c>
      <c r="B24" s="8" t="s">
        <v>528</v>
      </c>
      <c r="C24" s="12" t="str">
        <f>IFERROR(VLOOKUP(B24,ENTITY_MASTER!$A$2:$B$266,2,FALSE),"")</f>
        <v>Phagos</v>
      </c>
      <c r="D24" s="8" t="s">
        <v>344</v>
      </c>
      <c r="E24" s="8" t="s">
        <v>529</v>
      </c>
      <c r="F24" s="13" t="s">
        <v>372</v>
      </c>
      <c r="G24" s="13" t="s">
        <v>372</v>
      </c>
      <c r="H24" s="13" t="s">
        <v>372</v>
      </c>
      <c r="I24" s="8" t="s">
        <v>530</v>
      </c>
      <c r="J24" s="8" t="s">
        <v>531</v>
      </c>
      <c r="K24" s="9" t="s">
        <v>351</v>
      </c>
      <c r="L24" s="9" t="s">
        <v>352</v>
      </c>
      <c r="M24" s="8" t="s">
        <v>385</v>
      </c>
      <c r="N24" s="8" t="s">
        <v>532</v>
      </c>
      <c r="O24" s="8" t="s">
        <v>387</v>
      </c>
      <c r="P24" s="12" t="str">
        <f>IFERROR(IF(VLOOKUP(J24,SOURCE_REGISTRY!$A$2:$E$246,5,FALSE)="","",VLOOKUP(J24,SOURCE_REGISTRY!$A$2:$E$246,5,FALSE)),"")</f>
        <v>https://beam-alliance.eu/pipeline/</v>
      </c>
      <c r="Q24" s="9" t="s">
        <v>356</v>
      </c>
    </row>
    <row r="25" spans="1:17" ht="36.950000000000003" customHeight="1" x14ac:dyDescent="0.25">
      <c r="A25" s="8" t="s">
        <v>533</v>
      </c>
      <c r="B25" s="8" t="s">
        <v>534</v>
      </c>
      <c r="C25" s="12" t="str">
        <f>IFERROR(VLOOKUP(B25,ENTITY_MASTER!$A$2:$B$266,2,FALSE),"")</f>
        <v>Bharat Biotech Ltd</v>
      </c>
      <c r="D25" s="8" t="s">
        <v>344</v>
      </c>
      <c r="E25" s="8" t="s">
        <v>535</v>
      </c>
      <c r="F25" s="13" t="s">
        <v>372</v>
      </c>
      <c r="G25" s="8" t="s">
        <v>536</v>
      </c>
      <c r="H25" s="8" t="s">
        <v>409</v>
      </c>
      <c r="I25" s="8" t="s">
        <v>537</v>
      </c>
      <c r="J25" s="8" t="s">
        <v>538</v>
      </c>
      <c r="K25" s="9" t="s">
        <v>351</v>
      </c>
      <c r="L25" s="9" t="s">
        <v>352</v>
      </c>
      <c r="M25" s="8" t="s">
        <v>524</v>
      </c>
      <c r="N25" s="8" t="s">
        <v>539</v>
      </c>
      <c r="O25" s="8" t="s">
        <v>540</v>
      </c>
      <c r="P25" s="12" t="str">
        <f>IFERROR(IF(VLOOKUP(J25,SOURCE_REGISTRY!$A$2:$E$246,5,FALSE)="","",VLOOKUP(J25,SOURCE_REGISTRY!$A$2:$E$246,5,FALSE)),"")</f>
        <v>https://www.bharatbiotech.com/product_overview.html</v>
      </c>
      <c r="Q25" s="9" t="s">
        <v>356</v>
      </c>
    </row>
    <row r="26" spans="1:17" ht="36.950000000000003" customHeight="1" x14ac:dyDescent="0.25">
      <c r="A26" s="8" t="s">
        <v>541</v>
      </c>
      <c r="B26" s="8" t="s">
        <v>542</v>
      </c>
      <c r="C26" s="12" t="str">
        <f>IFERROR(VLOOKUP(B26,ENTITY_MASTER!$A$2:$B$266,2,FALSE),"")</f>
        <v>Antabio</v>
      </c>
      <c r="D26" s="8" t="s">
        <v>344</v>
      </c>
      <c r="E26" s="8" t="s">
        <v>529</v>
      </c>
      <c r="F26" s="13" t="s">
        <v>372</v>
      </c>
      <c r="G26" s="13" t="s">
        <v>372</v>
      </c>
      <c r="H26" s="8" t="s">
        <v>543</v>
      </c>
      <c r="I26" s="8" t="s">
        <v>544</v>
      </c>
      <c r="J26" s="8" t="s">
        <v>531</v>
      </c>
      <c r="K26" s="9" t="s">
        <v>351</v>
      </c>
      <c r="L26" s="9" t="s">
        <v>352</v>
      </c>
      <c r="M26" s="8" t="s">
        <v>376</v>
      </c>
      <c r="N26" s="8" t="s">
        <v>545</v>
      </c>
      <c r="O26" s="8" t="s">
        <v>378</v>
      </c>
      <c r="P26" s="12" t="str">
        <f>IFERROR(IF(VLOOKUP(J26,SOURCE_REGISTRY!$A$2:$E$246,5,FALSE)="","",VLOOKUP(J26,SOURCE_REGISTRY!$A$2:$E$246,5,FALSE)),"")</f>
        <v>https://beam-alliance.eu/pipeline/</v>
      </c>
      <c r="Q26" s="9" t="s">
        <v>356</v>
      </c>
    </row>
    <row r="27" spans="1:17" ht="51" customHeight="1" x14ac:dyDescent="0.25">
      <c r="A27" s="8" t="s">
        <v>546</v>
      </c>
      <c r="B27" s="8" t="s">
        <v>547</v>
      </c>
      <c r="C27" s="12" t="str">
        <f>IFERROR(VLOOKUP(B27,ENTITY_MASTER!$A$2:$B$266,2,FALSE),"")</f>
        <v>Disperazol Pharma</v>
      </c>
      <c r="D27" s="8" t="s">
        <v>344</v>
      </c>
      <c r="E27" s="8" t="s">
        <v>529</v>
      </c>
      <c r="F27" s="13" t="s">
        <v>372</v>
      </c>
      <c r="G27" s="13" t="s">
        <v>372</v>
      </c>
      <c r="H27" s="8" t="s">
        <v>543</v>
      </c>
      <c r="I27" s="8" t="s">
        <v>548</v>
      </c>
      <c r="J27" s="8" t="s">
        <v>531</v>
      </c>
      <c r="K27" s="9" t="s">
        <v>351</v>
      </c>
      <c r="L27" s="9" t="s">
        <v>352</v>
      </c>
      <c r="M27" s="8" t="s">
        <v>385</v>
      </c>
      <c r="N27" s="8" t="s">
        <v>549</v>
      </c>
      <c r="O27" s="8" t="s">
        <v>387</v>
      </c>
      <c r="P27" s="12" t="str">
        <f>IFERROR(IF(VLOOKUP(J27,SOURCE_REGISTRY!$A$2:$E$246,5,FALSE)="","",VLOOKUP(J27,SOURCE_REGISTRY!$A$2:$E$246,5,FALSE)),"")</f>
        <v>https://beam-alliance.eu/pipeline/</v>
      </c>
      <c r="Q27" s="9" t="s">
        <v>356</v>
      </c>
    </row>
    <row r="28" spans="1:17" ht="51" customHeight="1" x14ac:dyDescent="0.25">
      <c r="A28" s="8" t="s">
        <v>550</v>
      </c>
      <c r="B28" s="8" t="s">
        <v>551</v>
      </c>
      <c r="C28" s="12" t="str">
        <f>IFERROR(VLOOKUP(B28,ENTITY_MASTER!$A$2:$B$266,2,FALSE),"")</f>
        <v>IMMUNETHEP</v>
      </c>
      <c r="D28" s="8" t="s">
        <v>344</v>
      </c>
      <c r="E28" s="8" t="s">
        <v>512</v>
      </c>
      <c r="F28" s="13" t="s">
        <v>372</v>
      </c>
      <c r="G28" s="13" t="s">
        <v>372</v>
      </c>
      <c r="H28" s="8" t="s">
        <v>425</v>
      </c>
      <c r="I28" s="8" t="s">
        <v>552</v>
      </c>
      <c r="J28" s="8" t="s">
        <v>531</v>
      </c>
      <c r="K28" s="9" t="s">
        <v>351</v>
      </c>
      <c r="L28" s="9" t="s">
        <v>352</v>
      </c>
      <c r="M28" s="8" t="s">
        <v>385</v>
      </c>
      <c r="N28" s="8" t="s">
        <v>553</v>
      </c>
      <c r="O28" s="8" t="s">
        <v>387</v>
      </c>
      <c r="P28" s="12" t="str">
        <f>IFERROR(IF(VLOOKUP(J28,SOURCE_REGISTRY!$A$2:$E$246,5,FALSE)="","",VLOOKUP(J28,SOURCE_REGISTRY!$A$2:$E$246,5,FALSE)),"")</f>
        <v>https://beam-alliance.eu/pipeline/</v>
      </c>
      <c r="Q28" s="9" t="s">
        <v>356</v>
      </c>
    </row>
    <row r="29" spans="1:17" ht="51" customHeight="1" x14ac:dyDescent="0.25">
      <c r="A29" s="8" t="s">
        <v>554</v>
      </c>
      <c r="B29" s="8" t="s">
        <v>555</v>
      </c>
      <c r="C29" s="12" t="str">
        <f>IFERROR(VLOOKUP(B29,ENTITY_MASTER!$A$2:$B$266,2,FALSE),"")</f>
        <v>University of Oxford</v>
      </c>
      <c r="D29" s="8" t="s">
        <v>556</v>
      </c>
      <c r="E29" s="8" t="s">
        <v>557</v>
      </c>
      <c r="F29" s="8" t="s">
        <v>558</v>
      </c>
      <c r="G29" s="8" t="s">
        <v>559</v>
      </c>
      <c r="H29" s="8" t="s">
        <v>560</v>
      </c>
      <c r="I29" s="8" t="s">
        <v>561</v>
      </c>
      <c r="J29" s="8" t="s">
        <v>562</v>
      </c>
      <c r="K29" s="9" t="s">
        <v>351</v>
      </c>
      <c r="L29" s="9" t="s">
        <v>352</v>
      </c>
      <c r="M29" s="8" t="s">
        <v>353</v>
      </c>
      <c r="N29" s="8" t="s">
        <v>563</v>
      </c>
      <c r="O29" s="8" t="s">
        <v>564</v>
      </c>
      <c r="P29" s="12" t="str">
        <f>IFERROR(IF(VLOOKUP(J29,SOURCE_REGISTRY!$A$2:$E$246,5,FALSE)="","",VLOOKUP(J29,SOURCE_REGISTRY!$A$2:$E$246,5,FALSE)),"")</f>
        <v>https://www.ox.ac.uk/news/2023-09-18-oxford-and-liverpool-scientists-launch-new-vaccine-trial-middle-east-respiratory</v>
      </c>
      <c r="Q29" s="9" t="s">
        <v>356</v>
      </c>
    </row>
    <row r="30" spans="1:17" ht="65.099999999999994" customHeight="1" x14ac:dyDescent="0.25">
      <c r="A30" s="8" t="s">
        <v>565</v>
      </c>
      <c r="B30" s="8" t="s">
        <v>566</v>
      </c>
      <c r="C30" s="12" t="str">
        <f>IFERROR(VLOOKUP(B30,ENTITY_MASTER!$A$2:$B$266,2,FALSE),"")</f>
        <v>GSK</v>
      </c>
      <c r="D30" s="8" t="s">
        <v>344</v>
      </c>
      <c r="E30" s="8" t="s">
        <v>567</v>
      </c>
      <c r="F30" s="13" t="s">
        <v>372</v>
      </c>
      <c r="G30" s="13" t="s">
        <v>372</v>
      </c>
      <c r="H30" s="8" t="s">
        <v>425</v>
      </c>
      <c r="I30" s="8" t="s">
        <v>568</v>
      </c>
      <c r="J30" s="8" t="s">
        <v>569</v>
      </c>
      <c r="K30" s="9" t="s">
        <v>351</v>
      </c>
      <c r="L30" s="9" t="s">
        <v>352</v>
      </c>
      <c r="M30" s="8" t="s">
        <v>353</v>
      </c>
      <c r="N30" s="8" t="s">
        <v>570</v>
      </c>
      <c r="O30" s="8" t="s">
        <v>450</v>
      </c>
      <c r="P30" s="12" t="str">
        <f>IFERROR(IF(VLOOKUP(J30,SOURCE_REGISTRY!$A$2:$E$246,5,FALSE)="","",VLOOKUP(J30,SOURCE_REGISTRY!$A$2:$E$246,5,FALSE)),"")</f>
        <v>https://www.gsk.com/en-gb/innovation/pipeline/</v>
      </c>
      <c r="Q30" s="9" t="s">
        <v>356</v>
      </c>
    </row>
    <row r="31" spans="1:17" ht="36.950000000000003" customHeight="1" x14ac:dyDescent="0.25">
      <c r="A31" s="8" t="s">
        <v>571</v>
      </c>
      <c r="B31" s="8" t="s">
        <v>572</v>
      </c>
      <c r="C31" s="12" t="str">
        <f>IFERROR(VLOOKUP(B31,ENTITY_MASTER!$A$2:$B$266,2,FALSE),"")</f>
        <v>Inovio Pharmaceuticals Inc</v>
      </c>
      <c r="D31" s="8" t="s">
        <v>344</v>
      </c>
      <c r="E31" s="8" t="s">
        <v>573</v>
      </c>
      <c r="F31" s="8" t="s">
        <v>574</v>
      </c>
      <c r="G31" s="13" t="s">
        <v>372</v>
      </c>
      <c r="H31" s="8" t="s">
        <v>575</v>
      </c>
      <c r="I31" s="8" t="s">
        <v>576</v>
      </c>
      <c r="J31" s="8" t="s">
        <v>577</v>
      </c>
      <c r="K31" s="9" t="s">
        <v>351</v>
      </c>
      <c r="L31" s="9" t="s">
        <v>352</v>
      </c>
      <c r="M31" s="8" t="s">
        <v>524</v>
      </c>
      <c r="N31" s="8" t="s">
        <v>578</v>
      </c>
      <c r="O31" s="8" t="s">
        <v>579</v>
      </c>
      <c r="P31" s="12" t="str">
        <f>IFERROR(IF(VLOOKUP(J31,SOURCE_REGISTRY!$A$2:$E$246,5,FALSE)="","",VLOOKUP(J31,SOURCE_REGISTRY!$A$2:$E$246,5,FALSE)),"")</f>
        <v>https://prod-main.inovio.com/pipeline/current-pipeline/</v>
      </c>
      <c r="Q31" s="9" t="s">
        <v>356</v>
      </c>
    </row>
    <row r="32" spans="1:17" ht="51" customHeight="1" x14ac:dyDescent="0.25">
      <c r="A32" s="8" t="s">
        <v>580</v>
      </c>
      <c r="B32" s="8" t="s">
        <v>581</v>
      </c>
      <c r="C32" s="12" t="str">
        <f>IFERROR(VLOOKUP(B32,ENTITY_MASTER!$A$2:$B$266,2,FALSE),"")</f>
        <v>Trellis Bioscience</v>
      </c>
      <c r="D32" s="8" t="s">
        <v>344</v>
      </c>
      <c r="E32" s="8" t="s">
        <v>582</v>
      </c>
      <c r="F32" s="13" t="s">
        <v>372</v>
      </c>
      <c r="G32" s="13" t="s">
        <v>372</v>
      </c>
      <c r="H32" s="8" t="s">
        <v>513</v>
      </c>
      <c r="I32" s="8" t="s">
        <v>583</v>
      </c>
      <c r="J32" s="8" t="s">
        <v>584</v>
      </c>
      <c r="K32" s="9" t="s">
        <v>351</v>
      </c>
      <c r="L32" s="9" t="s">
        <v>352</v>
      </c>
      <c r="M32" s="8" t="s">
        <v>394</v>
      </c>
      <c r="N32" s="8" t="s">
        <v>585</v>
      </c>
      <c r="O32" s="8" t="s">
        <v>396</v>
      </c>
      <c r="P32" s="12" t="str">
        <f>IFERROR(IF(VLOOKUP(J32,SOURCE_REGISTRY!$A$2:$E$246,5,FALSE)="","",VLOOKUP(J32,SOURCE_REGISTRY!$A$2:$E$246,5,FALSE)),"")</f>
        <v>https://www.newscienceventures.com/trellis-bioscience-raises-9-million-to-advance-clinical-development-of-calpurbatug-trl1068/</v>
      </c>
      <c r="Q32" s="9" t="s">
        <v>356</v>
      </c>
    </row>
    <row r="33" spans="1:17" ht="51" customHeight="1" x14ac:dyDescent="0.25">
      <c r="A33" s="8" t="s">
        <v>586</v>
      </c>
      <c r="B33" s="8" t="s">
        <v>587</v>
      </c>
      <c r="C33" s="12" t="str">
        <f>IFERROR(VLOOKUP(B33,ENTITY_MASTER!$A$2:$B$266,2,FALSE),"")</f>
        <v>ViiV Healthcare</v>
      </c>
      <c r="D33" s="8" t="s">
        <v>344</v>
      </c>
      <c r="E33" s="8" t="s">
        <v>588</v>
      </c>
      <c r="F33" s="8" t="s">
        <v>588</v>
      </c>
      <c r="G33" s="8" t="s">
        <v>589</v>
      </c>
      <c r="H33" s="8" t="s">
        <v>506</v>
      </c>
      <c r="I33" s="8" t="s">
        <v>590</v>
      </c>
      <c r="J33" s="8" t="s">
        <v>591</v>
      </c>
      <c r="K33" s="9" t="s">
        <v>351</v>
      </c>
      <c r="L33" s="9" t="s">
        <v>352</v>
      </c>
      <c r="M33" s="8" t="s">
        <v>366</v>
      </c>
      <c r="N33" s="8" t="s">
        <v>592</v>
      </c>
      <c r="O33" s="8" t="s">
        <v>593</v>
      </c>
      <c r="P33" s="12" t="str">
        <f>IFERROR(IF(VLOOKUP(J33,SOURCE_REGISTRY!$A$2:$E$246,5,FALSE)="","",VLOOKUP(J33,SOURCE_REGISTRY!$A$2:$E$246,5,FALSE)),"")</f>
        <v>https://viivhcmedinfo.com/our-pipeline/</v>
      </c>
      <c r="Q33" s="9" t="s">
        <v>356</v>
      </c>
    </row>
    <row r="34" spans="1:17" ht="51" customHeight="1" x14ac:dyDescent="0.25">
      <c r="A34" s="8" t="s">
        <v>594</v>
      </c>
      <c r="B34" s="8" t="s">
        <v>595</v>
      </c>
      <c r="C34" s="12" t="str">
        <f>IFERROR(VLOOKUP(B34,ENTITY_MASTER!$A$2:$B$266,2,FALSE),"")</f>
        <v>Syntinel Biologics</v>
      </c>
      <c r="D34" s="8" t="s">
        <v>344</v>
      </c>
      <c r="E34" s="8" t="s">
        <v>529</v>
      </c>
      <c r="F34" s="13" t="s">
        <v>372</v>
      </c>
      <c r="G34" s="13" t="s">
        <v>372</v>
      </c>
      <c r="H34" s="8" t="s">
        <v>409</v>
      </c>
      <c r="I34" s="8" t="s">
        <v>596</v>
      </c>
      <c r="J34" s="8" t="s">
        <v>531</v>
      </c>
      <c r="K34" s="9" t="s">
        <v>351</v>
      </c>
      <c r="L34" s="9" t="s">
        <v>352</v>
      </c>
      <c r="M34" s="8" t="s">
        <v>385</v>
      </c>
      <c r="N34" s="8" t="s">
        <v>597</v>
      </c>
      <c r="O34" s="8" t="s">
        <v>387</v>
      </c>
      <c r="P34" s="12" t="str">
        <f>IFERROR(IF(VLOOKUP(J34,SOURCE_REGISTRY!$A$2:$E$246,5,FALSE)="","",VLOOKUP(J34,SOURCE_REGISTRY!$A$2:$E$246,5,FALSE)),"")</f>
        <v>https://beam-alliance.eu/pipeline/</v>
      </c>
      <c r="Q34" s="9" t="s">
        <v>356</v>
      </c>
    </row>
    <row r="35" spans="1:17" ht="51" customHeight="1" x14ac:dyDescent="0.25">
      <c r="A35" s="8" t="s">
        <v>598</v>
      </c>
      <c r="B35" s="8" t="s">
        <v>599</v>
      </c>
      <c r="C35" s="12" t="str">
        <f>IFERROR(VLOOKUP(B35,ENTITY_MASTER!$A$2:$B$266,2,FALSE),"")</f>
        <v>Vir Biotechnology Inc</v>
      </c>
      <c r="D35" s="8" t="s">
        <v>344</v>
      </c>
      <c r="E35" s="8" t="s">
        <v>600</v>
      </c>
      <c r="F35" s="8" t="s">
        <v>601</v>
      </c>
      <c r="G35" s="8" t="s">
        <v>602</v>
      </c>
      <c r="H35" s="8" t="s">
        <v>603</v>
      </c>
      <c r="I35" s="8" t="s">
        <v>604</v>
      </c>
      <c r="J35" s="8" t="s">
        <v>605</v>
      </c>
      <c r="K35" s="9" t="s">
        <v>351</v>
      </c>
      <c r="L35" s="9" t="s">
        <v>352</v>
      </c>
      <c r="M35" s="8" t="s">
        <v>366</v>
      </c>
      <c r="N35" s="8" t="s">
        <v>606</v>
      </c>
      <c r="O35" s="8" t="s">
        <v>607</v>
      </c>
      <c r="P35" s="12" t="str">
        <f>IFERROR(IF(VLOOKUP(J35,SOURCE_REGISTRY!$A$2:$E$246,5,FALSE)="","",VLOOKUP(J35,SOURCE_REGISTRY!$A$2:$E$246,5,FALSE)),"")</f>
        <v>https://www.vir.bio/pipeline/</v>
      </c>
      <c r="Q35" s="9" t="s">
        <v>356</v>
      </c>
    </row>
    <row r="36" spans="1:17" ht="51" customHeight="1" x14ac:dyDescent="0.25">
      <c r="A36" s="8" t="s">
        <v>608</v>
      </c>
      <c r="B36" s="8" t="s">
        <v>609</v>
      </c>
      <c r="C36" s="12" t="str">
        <f>IFERROR(VLOOKUP(B36,ENTITY_MASTER!$A$2:$B$266,2,FALSE),"")</f>
        <v>Bactobio</v>
      </c>
      <c r="D36" s="8" t="s">
        <v>344</v>
      </c>
      <c r="E36" s="8" t="s">
        <v>529</v>
      </c>
      <c r="F36" s="13" t="s">
        <v>372</v>
      </c>
      <c r="G36" s="13" t="s">
        <v>372</v>
      </c>
      <c r="H36" s="8" t="s">
        <v>543</v>
      </c>
      <c r="I36" s="8" t="s">
        <v>610</v>
      </c>
      <c r="J36" s="8" t="s">
        <v>531</v>
      </c>
      <c r="K36" s="9" t="s">
        <v>351</v>
      </c>
      <c r="L36" s="9" t="s">
        <v>352</v>
      </c>
      <c r="M36" s="8" t="s">
        <v>385</v>
      </c>
      <c r="N36" s="8" t="s">
        <v>611</v>
      </c>
      <c r="O36" s="8" t="s">
        <v>387</v>
      </c>
      <c r="P36" s="12" t="str">
        <f>IFERROR(IF(VLOOKUP(J36,SOURCE_REGISTRY!$A$2:$E$246,5,FALSE)="","",VLOOKUP(J36,SOURCE_REGISTRY!$A$2:$E$246,5,FALSE)),"")</f>
        <v>https://beam-alliance.eu/pipeline/</v>
      </c>
      <c r="Q36" s="9" t="s">
        <v>356</v>
      </c>
    </row>
    <row r="37" spans="1:17" ht="51" customHeight="1" x14ac:dyDescent="0.25">
      <c r="A37" s="8" t="s">
        <v>612</v>
      </c>
      <c r="B37" s="8" t="s">
        <v>613</v>
      </c>
      <c r="C37" s="12" t="str">
        <f>IFERROR(VLOOKUP(B37,ENTITY_MASTER!$A$2:$B$266,2,FALSE),"")</f>
        <v>Atea Pharmaceuticals</v>
      </c>
      <c r="D37" s="8" t="s">
        <v>344</v>
      </c>
      <c r="E37" s="8" t="s">
        <v>614</v>
      </c>
      <c r="F37" s="13" t="s">
        <v>372</v>
      </c>
      <c r="G37" s="13" t="s">
        <v>372</v>
      </c>
      <c r="H37" s="8" t="s">
        <v>543</v>
      </c>
      <c r="I37" s="8" t="s">
        <v>615</v>
      </c>
      <c r="J37" s="8" t="s">
        <v>616</v>
      </c>
      <c r="K37" s="9" t="s">
        <v>351</v>
      </c>
      <c r="L37" s="9" t="s">
        <v>352</v>
      </c>
      <c r="M37" s="8" t="s">
        <v>376</v>
      </c>
      <c r="N37" s="8" t="s">
        <v>617</v>
      </c>
      <c r="O37" s="8" t="s">
        <v>378</v>
      </c>
      <c r="P37" s="12" t="str">
        <f>IFERROR(IF(VLOOKUP(J37,SOURCE_REGISTRY!$A$2:$E$246,5,FALSE)="","",VLOOKUP(J37,SOURCE_REGISTRY!$A$2:$E$246,5,FALSE)),"")</f>
        <v>https://ir.ateapharma.com/news-releases/news-release-details/atea-pharmaceuticals-reports-second-quarter-2026-financial</v>
      </c>
      <c r="Q37" s="9" t="s">
        <v>356</v>
      </c>
    </row>
    <row r="38" spans="1:17" ht="51" customHeight="1" x14ac:dyDescent="0.25">
      <c r="A38" s="8" t="s">
        <v>618</v>
      </c>
      <c r="B38" s="8" t="s">
        <v>619</v>
      </c>
      <c r="C38" s="12" t="str">
        <f>IFERROR(VLOOKUP(B38,ENTITY_MASTER!$A$2:$B$266,2,FALSE),"")</f>
        <v>Telum Therapeutics</v>
      </c>
      <c r="D38" s="8" t="s">
        <v>344</v>
      </c>
      <c r="E38" s="8" t="s">
        <v>529</v>
      </c>
      <c r="F38" s="13" t="s">
        <v>372</v>
      </c>
      <c r="G38" s="13" t="s">
        <v>372</v>
      </c>
      <c r="H38" s="13" t="s">
        <v>372</v>
      </c>
      <c r="I38" s="8" t="s">
        <v>620</v>
      </c>
      <c r="J38" s="8" t="s">
        <v>531</v>
      </c>
      <c r="K38" s="9" t="s">
        <v>351</v>
      </c>
      <c r="L38" s="9" t="s">
        <v>352</v>
      </c>
      <c r="M38" s="8" t="s">
        <v>385</v>
      </c>
      <c r="N38" s="8" t="s">
        <v>621</v>
      </c>
      <c r="O38" s="8" t="s">
        <v>387</v>
      </c>
      <c r="P38" s="12" t="str">
        <f>IFERROR(IF(VLOOKUP(J38,SOURCE_REGISTRY!$A$2:$E$246,5,FALSE)="","",VLOOKUP(J38,SOURCE_REGISTRY!$A$2:$E$246,5,FALSE)),"")</f>
        <v>https://beam-alliance.eu/pipeline/</v>
      </c>
      <c r="Q38" s="9" t="s">
        <v>356</v>
      </c>
    </row>
    <row r="39" spans="1:17" ht="51" customHeight="1" x14ac:dyDescent="0.25">
      <c r="A39" s="8" t="s">
        <v>622</v>
      </c>
      <c r="B39" s="8" t="s">
        <v>623</v>
      </c>
      <c r="C39" s="12" t="str">
        <f>IFERROR(VLOOKUP(B39,ENTITY_MASTER!$A$2:$B$266,2,FALSE),"")</f>
        <v>Roche Diagnostics</v>
      </c>
      <c r="D39" s="8" t="s">
        <v>344</v>
      </c>
      <c r="E39" s="8" t="s">
        <v>624</v>
      </c>
      <c r="F39" s="13" t="s">
        <v>372</v>
      </c>
      <c r="G39" s="13" t="s">
        <v>372</v>
      </c>
      <c r="H39" s="8" t="s">
        <v>382</v>
      </c>
      <c r="I39" s="8" t="s">
        <v>625</v>
      </c>
      <c r="J39" s="8" t="s">
        <v>626</v>
      </c>
      <c r="K39" s="9" t="s">
        <v>351</v>
      </c>
      <c r="L39" s="9" t="s">
        <v>352</v>
      </c>
      <c r="M39" s="8" t="s">
        <v>385</v>
      </c>
      <c r="N39" s="8" t="s">
        <v>627</v>
      </c>
      <c r="O39" s="8" t="s">
        <v>387</v>
      </c>
      <c r="P39" s="12" t="str">
        <f>IFERROR(IF(VLOOKUP(J39,SOURCE_REGISTRY!$A$2:$E$246,5,FALSE)="","",VLOOKUP(J39,SOURCE_REGISTRY!$A$2:$E$246,5,FALSE)),"")</f>
        <v>https://diagnostics.roche.com/global/en/products/product-category/health-topic/infectious-diseases.html</v>
      </c>
      <c r="Q39" s="9" t="s">
        <v>356</v>
      </c>
    </row>
    <row r="40" spans="1:17" ht="51" customHeight="1" x14ac:dyDescent="0.25">
      <c r="A40" s="8" t="s">
        <v>628</v>
      </c>
      <c r="B40" s="8" t="s">
        <v>629</v>
      </c>
      <c r="C40" s="12" t="str">
        <f>IFERROR(VLOOKUP(B40,ENTITY_MASTER!$A$2:$B$266,2,FALSE),"")</f>
        <v>OM Pharma</v>
      </c>
      <c r="D40" s="8" t="s">
        <v>344</v>
      </c>
      <c r="E40" s="8" t="s">
        <v>630</v>
      </c>
      <c r="F40" s="13" t="s">
        <v>372</v>
      </c>
      <c r="G40" s="13" t="s">
        <v>372</v>
      </c>
      <c r="H40" s="8" t="s">
        <v>409</v>
      </c>
      <c r="I40" s="8" t="s">
        <v>631</v>
      </c>
      <c r="J40" s="8" t="s">
        <v>531</v>
      </c>
      <c r="K40" s="9" t="s">
        <v>351</v>
      </c>
      <c r="L40" s="9" t="s">
        <v>352</v>
      </c>
      <c r="M40" s="8" t="s">
        <v>385</v>
      </c>
      <c r="N40" s="8" t="s">
        <v>632</v>
      </c>
      <c r="O40" s="8" t="s">
        <v>387</v>
      </c>
      <c r="P40" s="12" t="str">
        <f>IFERROR(IF(VLOOKUP(J40,SOURCE_REGISTRY!$A$2:$E$246,5,FALSE)="","",VLOOKUP(J40,SOURCE_REGISTRY!$A$2:$E$246,5,FALSE)),"")</f>
        <v>https://beam-alliance.eu/pipeline/</v>
      </c>
      <c r="Q40" s="9" t="s">
        <v>356</v>
      </c>
    </row>
    <row r="41" spans="1:17" ht="51" customHeight="1" x14ac:dyDescent="0.25">
      <c r="A41" s="8" t="s">
        <v>633</v>
      </c>
      <c r="B41" s="8" t="s">
        <v>634</v>
      </c>
      <c r="C41" s="12" t="str">
        <f>IFERROR(VLOOKUP(B41,ENTITY_MASTER!$A$2:$B$266,2,FALSE),"")</f>
        <v>VAXDYN</v>
      </c>
      <c r="D41" s="8" t="s">
        <v>344</v>
      </c>
      <c r="E41" s="8" t="s">
        <v>529</v>
      </c>
      <c r="F41" s="13" t="s">
        <v>372</v>
      </c>
      <c r="G41" s="13" t="s">
        <v>372</v>
      </c>
      <c r="H41" s="8" t="s">
        <v>409</v>
      </c>
      <c r="I41" s="8" t="s">
        <v>635</v>
      </c>
      <c r="J41" s="8" t="s">
        <v>531</v>
      </c>
      <c r="K41" s="9" t="s">
        <v>351</v>
      </c>
      <c r="L41" s="9" t="s">
        <v>352</v>
      </c>
      <c r="M41" s="8" t="s">
        <v>385</v>
      </c>
      <c r="N41" s="8" t="s">
        <v>636</v>
      </c>
      <c r="O41" s="8" t="s">
        <v>387</v>
      </c>
      <c r="P41" s="12" t="str">
        <f>IFERROR(IF(VLOOKUP(J41,SOURCE_REGISTRY!$A$2:$E$246,5,FALSE)="","",VLOOKUP(J41,SOURCE_REGISTRY!$A$2:$E$246,5,FALSE)),"")</f>
        <v>https://beam-alliance.eu/pipeline/</v>
      </c>
      <c r="Q41" s="9" t="s">
        <v>356</v>
      </c>
    </row>
    <row r="42" spans="1:17" ht="51" customHeight="1" x14ac:dyDescent="0.25">
      <c r="A42" s="8" t="s">
        <v>637</v>
      </c>
      <c r="B42" s="8" t="s">
        <v>638</v>
      </c>
      <c r="C42" s="12" t="str">
        <f>IFERROR(VLOOKUP(B42,ENTITY_MASTER!$A$2:$B$266,2,FALSE),"")</f>
        <v>Nostics</v>
      </c>
      <c r="D42" s="8" t="s">
        <v>344</v>
      </c>
      <c r="E42" s="8" t="s">
        <v>381</v>
      </c>
      <c r="F42" s="13" t="s">
        <v>372</v>
      </c>
      <c r="G42" s="13" t="s">
        <v>372</v>
      </c>
      <c r="H42" s="8" t="s">
        <v>382</v>
      </c>
      <c r="I42" s="8" t="s">
        <v>639</v>
      </c>
      <c r="J42" s="8" t="s">
        <v>531</v>
      </c>
      <c r="K42" s="9" t="s">
        <v>351</v>
      </c>
      <c r="L42" s="9" t="s">
        <v>352</v>
      </c>
      <c r="M42" s="8" t="s">
        <v>385</v>
      </c>
      <c r="N42" s="8" t="s">
        <v>640</v>
      </c>
      <c r="O42" s="8" t="s">
        <v>387</v>
      </c>
      <c r="P42" s="12" t="str">
        <f>IFERROR(IF(VLOOKUP(J42,SOURCE_REGISTRY!$A$2:$E$246,5,FALSE)="","",VLOOKUP(J42,SOURCE_REGISTRY!$A$2:$E$246,5,FALSE)),"")</f>
        <v>https://beam-alliance.eu/pipeline/</v>
      </c>
      <c r="Q42" s="9" t="s">
        <v>356</v>
      </c>
    </row>
    <row r="43" spans="1:17" ht="51" customHeight="1" x14ac:dyDescent="0.25">
      <c r="A43" s="8" t="s">
        <v>641</v>
      </c>
      <c r="B43" s="8" t="s">
        <v>642</v>
      </c>
      <c r="C43" s="12" t="str">
        <f>IFERROR(VLOOKUP(B43,ENTITY_MASTER!$A$2:$B$266,2,FALSE),"")</f>
        <v>AstraZeneca</v>
      </c>
      <c r="D43" s="8" t="s">
        <v>344</v>
      </c>
      <c r="E43" s="8" t="s">
        <v>643</v>
      </c>
      <c r="F43" s="8" t="s">
        <v>476</v>
      </c>
      <c r="G43" s="8" t="s">
        <v>644</v>
      </c>
      <c r="H43" s="8" t="s">
        <v>645</v>
      </c>
      <c r="I43" s="8" t="s">
        <v>646</v>
      </c>
      <c r="J43" s="8" t="s">
        <v>647</v>
      </c>
      <c r="K43" s="9" t="s">
        <v>351</v>
      </c>
      <c r="L43" s="9" t="s">
        <v>352</v>
      </c>
      <c r="M43" s="8" t="s">
        <v>366</v>
      </c>
      <c r="N43" s="8" t="s">
        <v>648</v>
      </c>
      <c r="O43" s="8" t="s">
        <v>378</v>
      </c>
      <c r="P43" s="12" t="str">
        <f>IFERROR(IF(VLOOKUP(J43,SOURCE_REGISTRY!$A$2:$E$246,5,FALSE)="","",VLOOKUP(J43,SOURCE_REGISTRY!$A$2:$E$246,5,FALSE)),"")</f>
        <v>https://www.astrazeneca.com/our-therapy-areas/pipeline.html</v>
      </c>
      <c r="Q43" s="9" t="s">
        <v>356</v>
      </c>
    </row>
    <row r="44" spans="1:17" ht="33.950000000000003" customHeight="1" x14ac:dyDescent="0.25">
      <c r="A44" s="8" t="s">
        <v>649</v>
      </c>
      <c r="B44" s="8" t="s">
        <v>650</v>
      </c>
      <c r="C44" s="12" t="str">
        <f>IFERROR(VLOOKUP(B44,ENTITY_MASTER!$A$2:$B$266,2,FALSE),"")</f>
        <v>Bugworks Research Inc</v>
      </c>
      <c r="D44" s="8" t="s">
        <v>359</v>
      </c>
      <c r="E44" s="8" t="s">
        <v>651</v>
      </c>
      <c r="F44" s="8" t="s">
        <v>438</v>
      </c>
      <c r="G44" s="8" t="s">
        <v>438</v>
      </c>
      <c r="H44" s="8" t="s">
        <v>543</v>
      </c>
      <c r="I44" s="8" t="s">
        <v>652</v>
      </c>
      <c r="J44" s="8" t="s">
        <v>653</v>
      </c>
      <c r="K44" s="9" t="s">
        <v>351</v>
      </c>
      <c r="L44" s="9" t="s">
        <v>352</v>
      </c>
      <c r="M44" s="8" t="s">
        <v>442</v>
      </c>
      <c r="N44" s="8" t="s">
        <v>654</v>
      </c>
      <c r="O44" s="8" t="s">
        <v>368</v>
      </c>
      <c r="P44" s="12" t="str">
        <f>IFERROR(IF(VLOOKUP(J44,SOURCE_REGISTRY!$A$2:$E$246,5,FALSE)="","",VLOOKUP(J44,SOURCE_REGISTRY!$A$2:$E$246,5,FALSE)),"")</f>
        <v>https://bugworksresearch.com/</v>
      </c>
      <c r="Q44" s="9" t="s">
        <v>356</v>
      </c>
    </row>
    <row r="45" spans="1:17" ht="36.950000000000003" customHeight="1" x14ac:dyDescent="0.25">
      <c r="A45" s="8" t="s">
        <v>655</v>
      </c>
      <c r="B45" s="8" t="s">
        <v>656</v>
      </c>
      <c r="C45" s="12" t="str">
        <f>IFERROR(VLOOKUP(B45,ENTITY_MASTER!$A$2:$B$266,2,FALSE),"")</f>
        <v>International AIDS Vaccine Initiative Inc</v>
      </c>
      <c r="D45" s="8" t="s">
        <v>344</v>
      </c>
      <c r="E45" s="8" t="s">
        <v>657</v>
      </c>
      <c r="F45" s="8" t="s">
        <v>658</v>
      </c>
      <c r="G45" s="13" t="s">
        <v>372</v>
      </c>
      <c r="H45" s="8" t="s">
        <v>425</v>
      </c>
      <c r="I45" s="8" t="s">
        <v>659</v>
      </c>
      <c r="J45" s="8" t="s">
        <v>660</v>
      </c>
      <c r="K45" s="9" t="s">
        <v>351</v>
      </c>
      <c r="L45" s="9" t="s">
        <v>352</v>
      </c>
      <c r="M45" s="8" t="s">
        <v>442</v>
      </c>
      <c r="N45" s="8" t="s">
        <v>661</v>
      </c>
      <c r="O45" s="8" t="s">
        <v>662</v>
      </c>
      <c r="P45" s="12" t="str">
        <f>IFERROR(IF(VLOOKUP(J45,SOURCE_REGISTRY!$A$2:$E$246,5,FALSE)="","",VLOOKUP(J45,SOURCE_REGISTRY!$A$2:$E$246,5,FALSE)),"")</f>
        <v>https://www.iavi.org/</v>
      </c>
      <c r="Q45" s="9" t="s">
        <v>356</v>
      </c>
    </row>
    <row r="46" spans="1:17" ht="36.950000000000003" customHeight="1" x14ac:dyDescent="0.25">
      <c r="A46" s="8" t="s">
        <v>663</v>
      </c>
      <c r="B46" s="8" t="s">
        <v>664</v>
      </c>
      <c r="C46" s="12" t="str">
        <f>IFERROR(VLOOKUP(B46,ENTITY_MASTER!$A$2:$B$266,2,FALSE),"")</f>
        <v>Basilea Pharmaceutica</v>
      </c>
      <c r="D46" s="8" t="s">
        <v>344</v>
      </c>
      <c r="E46" s="8" t="s">
        <v>371</v>
      </c>
      <c r="F46" s="13" t="s">
        <v>372</v>
      </c>
      <c r="G46" s="13" t="s">
        <v>372</v>
      </c>
      <c r="H46" s="8" t="s">
        <v>543</v>
      </c>
      <c r="I46" s="8" t="s">
        <v>665</v>
      </c>
      <c r="J46" s="8" t="s">
        <v>531</v>
      </c>
      <c r="K46" s="9" t="s">
        <v>351</v>
      </c>
      <c r="L46" s="9" t="s">
        <v>352</v>
      </c>
      <c r="M46" s="8" t="s">
        <v>376</v>
      </c>
      <c r="N46" s="8" t="s">
        <v>666</v>
      </c>
      <c r="O46" s="8" t="s">
        <v>378</v>
      </c>
      <c r="P46" s="12" t="str">
        <f>IFERROR(IF(VLOOKUP(J46,SOURCE_REGISTRY!$A$2:$E$246,5,FALSE)="","",VLOOKUP(J46,SOURCE_REGISTRY!$A$2:$E$246,5,FALSE)),"")</f>
        <v>https://beam-alliance.eu/pipeline/</v>
      </c>
      <c r="Q46" s="9" t="s">
        <v>356</v>
      </c>
    </row>
    <row r="47" spans="1:17" ht="51" customHeight="1" x14ac:dyDescent="0.25">
      <c r="A47" s="8" t="s">
        <v>667</v>
      </c>
      <c r="B47" s="8" t="s">
        <v>668</v>
      </c>
      <c r="C47" s="12" t="str">
        <f>IFERROR(VLOOKUP(B47,ENTITY_MASTER!$A$2:$B$266,2,FALSE),"")</f>
        <v>BugSee</v>
      </c>
      <c r="D47" s="8" t="s">
        <v>344</v>
      </c>
      <c r="E47" s="8" t="s">
        <v>381</v>
      </c>
      <c r="F47" s="13" t="s">
        <v>372</v>
      </c>
      <c r="G47" s="13" t="s">
        <v>372</v>
      </c>
      <c r="H47" s="8" t="s">
        <v>382</v>
      </c>
      <c r="I47" s="8" t="s">
        <v>669</v>
      </c>
      <c r="J47" s="8" t="s">
        <v>531</v>
      </c>
      <c r="K47" s="9" t="s">
        <v>351</v>
      </c>
      <c r="L47" s="9" t="s">
        <v>352</v>
      </c>
      <c r="M47" s="8" t="s">
        <v>385</v>
      </c>
      <c r="N47" s="8" t="s">
        <v>670</v>
      </c>
      <c r="O47" s="8" t="s">
        <v>387</v>
      </c>
      <c r="P47" s="12" t="str">
        <f>IFERROR(IF(VLOOKUP(J47,SOURCE_REGISTRY!$A$2:$E$246,5,FALSE)="","",VLOOKUP(J47,SOURCE_REGISTRY!$A$2:$E$246,5,FALSE)),"")</f>
        <v>https://beam-alliance.eu/pipeline/</v>
      </c>
      <c r="Q47" s="9" t="s">
        <v>356</v>
      </c>
    </row>
    <row r="48" spans="1:17" ht="36.950000000000003" customHeight="1" x14ac:dyDescent="0.25">
      <c r="A48" s="8" t="s">
        <v>671</v>
      </c>
      <c r="B48" s="8" t="s">
        <v>672</v>
      </c>
      <c r="C48" s="12" t="str">
        <f>IFERROR(VLOOKUP(B48,ENTITY_MASTER!$A$2:$B$266,2,FALSE),"")</f>
        <v>Aurobac Therapeutics SAS</v>
      </c>
      <c r="D48" s="8" t="s">
        <v>344</v>
      </c>
      <c r="E48" s="8" t="s">
        <v>512</v>
      </c>
      <c r="F48" s="13" t="s">
        <v>372</v>
      </c>
      <c r="G48" s="13" t="s">
        <v>372</v>
      </c>
      <c r="H48" s="8" t="s">
        <v>543</v>
      </c>
      <c r="I48" s="8" t="s">
        <v>673</v>
      </c>
      <c r="J48" s="8" t="s">
        <v>531</v>
      </c>
      <c r="K48" s="9" t="s">
        <v>351</v>
      </c>
      <c r="L48" s="9" t="s">
        <v>352</v>
      </c>
      <c r="M48" s="8" t="s">
        <v>376</v>
      </c>
      <c r="N48" s="8" t="s">
        <v>674</v>
      </c>
      <c r="O48" s="8" t="s">
        <v>378</v>
      </c>
      <c r="P48" s="12" t="str">
        <f>IFERROR(IF(VLOOKUP(J48,SOURCE_REGISTRY!$A$2:$E$246,5,FALSE)="","",VLOOKUP(J48,SOURCE_REGISTRY!$A$2:$E$246,5,FALSE)),"")</f>
        <v>https://beam-alliance.eu/pipeline/</v>
      </c>
      <c r="Q48" s="9" t="s">
        <v>356</v>
      </c>
    </row>
    <row r="49" spans="1:17" ht="51" customHeight="1" x14ac:dyDescent="0.25">
      <c r="A49" s="8" t="s">
        <v>675</v>
      </c>
      <c r="B49" s="8" t="s">
        <v>676</v>
      </c>
      <c r="C49" s="12" t="str">
        <f>IFERROR(VLOOKUP(B49,ENTITY_MASTER!$A$2:$B$266,2,FALSE),"")</f>
        <v>ArrePath</v>
      </c>
      <c r="D49" s="8" t="s">
        <v>344</v>
      </c>
      <c r="E49" s="8" t="s">
        <v>529</v>
      </c>
      <c r="F49" s="13" t="s">
        <v>372</v>
      </c>
      <c r="G49" s="13" t="s">
        <v>372</v>
      </c>
      <c r="H49" s="8" t="s">
        <v>543</v>
      </c>
      <c r="I49" s="8" t="s">
        <v>677</v>
      </c>
      <c r="J49" s="8" t="s">
        <v>531</v>
      </c>
      <c r="K49" s="9" t="s">
        <v>351</v>
      </c>
      <c r="L49" s="9" t="s">
        <v>352</v>
      </c>
      <c r="M49" s="8" t="s">
        <v>385</v>
      </c>
      <c r="N49" s="8" t="s">
        <v>678</v>
      </c>
      <c r="O49" s="8" t="s">
        <v>387</v>
      </c>
      <c r="P49" s="12" t="str">
        <f>IFERROR(IF(VLOOKUP(J49,SOURCE_REGISTRY!$A$2:$E$246,5,FALSE)="","",VLOOKUP(J49,SOURCE_REGISTRY!$A$2:$E$246,5,FALSE)),"")</f>
        <v>https://beam-alliance.eu/pipeline/</v>
      </c>
      <c r="Q49" s="9" t="s">
        <v>356</v>
      </c>
    </row>
    <row r="50" spans="1:17" ht="36.950000000000003" customHeight="1" x14ac:dyDescent="0.25">
      <c r="A50" s="8" t="s">
        <v>679</v>
      </c>
      <c r="B50" s="8" t="s">
        <v>680</v>
      </c>
      <c r="C50" s="12" t="str">
        <f>IFERROR(VLOOKUP(B50,ENTITY_MASTER!$A$2:$B$266,2,FALSE),"")</f>
        <v>Gates Medical Research Institute</v>
      </c>
      <c r="D50" s="8" t="s">
        <v>359</v>
      </c>
      <c r="E50" s="8" t="s">
        <v>681</v>
      </c>
      <c r="F50" s="8" t="s">
        <v>682</v>
      </c>
      <c r="G50" s="8" t="s">
        <v>438</v>
      </c>
      <c r="H50" s="8" t="s">
        <v>683</v>
      </c>
      <c r="I50" s="8" t="s">
        <v>684</v>
      </c>
      <c r="J50" s="8" t="s">
        <v>685</v>
      </c>
      <c r="K50" s="9" t="s">
        <v>351</v>
      </c>
      <c r="L50" s="9" t="s">
        <v>352</v>
      </c>
      <c r="M50" s="8" t="s">
        <v>442</v>
      </c>
      <c r="N50" s="8" t="s">
        <v>686</v>
      </c>
      <c r="O50" s="8" t="s">
        <v>368</v>
      </c>
      <c r="P50" s="12" t="str">
        <f>IFERROR(IF(VLOOKUP(J50,SOURCE_REGISTRY!$A$2:$E$246,5,FALSE)="","",VLOOKUP(J50,SOURCE_REGISTRY!$A$2:$E$246,5,FALSE)),"")</f>
        <v>https://www.gatesmri.org/research-priorities/</v>
      </c>
      <c r="Q50" s="9" t="s">
        <v>356</v>
      </c>
    </row>
    <row r="51" spans="1:17" ht="51" customHeight="1" x14ac:dyDescent="0.25">
      <c r="A51" s="8" t="s">
        <v>687</v>
      </c>
      <c r="B51" s="8" t="s">
        <v>688</v>
      </c>
      <c r="C51" s="12" t="str">
        <f>IFERROR(VLOOKUP(B51,ENTITY_MASTER!$A$2:$B$266,2,FALSE),"")</f>
        <v>smartbax</v>
      </c>
      <c r="D51" s="8" t="s">
        <v>344</v>
      </c>
      <c r="E51" s="8" t="s">
        <v>529</v>
      </c>
      <c r="F51" s="13" t="s">
        <v>372</v>
      </c>
      <c r="G51" s="13" t="s">
        <v>372</v>
      </c>
      <c r="H51" s="8" t="s">
        <v>543</v>
      </c>
      <c r="I51" s="8" t="s">
        <v>689</v>
      </c>
      <c r="J51" s="8" t="s">
        <v>531</v>
      </c>
      <c r="K51" s="9" t="s">
        <v>351</v>
      </c>
      <c r="L51" s="9" t="s">
        <v>352</v>
      </c>
      <c r="M51" s="8" t="s">
        <v>385</v>
      </c>
      <c r="N51" s="8" t="s">
        <v>690</v>
      </c>
      <c r="O51" s="8" t="s">
        <v>387</v>
      </c>
      <c r="P51" s="12" t="str">
        <f>IFERROR(IF(VLOOKUP(J51,SOURCE_REGISTRY!$A$2:$E$246,5,FALSE)="","",VLOOKUP(J51,SOURCE_REGISTRY!$A$2:$E$246,5,FALSE)),"")</f>
        <v>https://beam-alliance.eu/pipeline/</v>
      </c>
      <c r="Q51" s="9" t="s">
        <v>356</v>
      </c>
    </row>
    <row r="52" spans="1:17" ht="36.950000000000003" customHeight="1" x14ac:dyDescent="0.25">
      <c r="A52" s="8" t="s">
        <v>691</v>
      </c>
      <c r="B52" s="8" t="s">
        <v>692</v>
      </c>
      <c r="C52" s="12" t="str">
        <f>IFERROR(VLOOKUP(B52,ENTITY_MASTER!$A$2:$B$266,2,FALSE),"")</f>
        <v>CanSino Biologics Inc</v>
      </c>
      <c r="D52" s="8" t="s">
        <v>344</v>
      </c>
      <c r="E52" s="8" t="s">
        <v>693</v>
      </c>
      <c r="F52" s="8" t="s">
        <v>694</v>
      </c>
      <c r="G52" s="8" t="s">
        <v>695</v>
      </c>
      <c r="H52" s="8" t="s">
        <v>409</v>
      </c>
      <c r="I52" s="8" t="s">
        <v>696</v>
      </c>
      <c r="J52" s="8" t="s">
        <v>697</v>
      </c>
      <c r="K52" s="9" t="s">
        <v>351</v>
      </c>
      <c r="L52" s="9" t="s">
        <v>352</v>
      </c>
      <c r="M52" s="8" t="s">
        <v>524</v>
      </c>
      <c r="N52" s="8" t="s">
        <v>698</v>
      </c>
      <c r="O52" s="8" t="s">
        <v>699</v>
      </c>
      <c r="P52" s="12" t="str">
        <f>IFERROR(IF(VLOOKUP(J52,SOURCE_REGISTRY!$A$2:$E$246,5,FALSE)="","",VLOOKUP(J52,SOURCE_REGISTRY!$A$2:$E$246,5,FALSE)),"")</f>
        <v>https://www.cansinotech.com/PipelineAndStrategy</v>
      </c>
      <c r="Q52" s="9" t="s">
        <v>356</v>
      </c>
    </row>
    <row r="53" spans="1:17" ht="36.950000000000003" customHeight="1" x14ac:dyDescent="0.25">
      <c r="A53" s="8" t="s">
        <v>700</v>
      </c>
      <c r="B53" s="8" t="s">
        <v>701</v>
      </c>
      <c r="C53" s="12" t="str">
        <f>IFERROR(VLOOKUP(B53,ENTITY_MASTER!$A$2:$B$266,2,FALSE),"")</f>
        <v>Valneva</v>
      </c>
      <c r="D53" s="8" t="s">
        <v>344</v>
      </c>
      <c r="E53" s="8" t="s">
        <v>702</v>
      </c>
      <c r="F53" s="13" t="s">
        <v>372</v>
      </c>
      <c r="G53" s="13" t="s">
        <v>372</v>
      </c>
      <c r="H53" s="8" t="s">
        <v>409</v>
      </c>
      <c r="I53" s="8" t="s">
        <v>703</v>
      </c>
      <c r="J53" s="8" t="s">
        <v>704</v>
      </c>
      <c r="K53" s="9" t="s">
        <v>351</v>
      </c>
      <c r="L53" s="9" t="s">
        <v>352</v>
      </c>
      <c r="M53" s="8" t="s">
        <v>376</v>
      </c>
      <c r="N53" s="8" t="s">
        <v>705</v>
      </c>
      <c r="O53" s="8" t="s">
        <v>378</v>
      </c>
      <c r="P53" s="12" t="str">
        <f>IFERROR(IF(VLOOKUP(J53,SOURCE_REGISTRY!$A$2:$E$246,5,FALSE)="","",VLOOKUP(J53,SOURCE_REGISTRY!$A$2:$E$246,5,FALSE)),"")</f>
        <v>https://valneva.com/faq/</v>
      </c>
      <c r="Q53" s="9" t="s">
        <v>356</v>
      </c>
    </row>
    <row r="54" spans="1:17" ht="36.950000000000003" customHeight="1" x14ac:dyDescent="0.25">
      <c r="A54" s="8" t="s">
        <v>706</v>
      </c>
      <c r="B54" s="8" t="s">
        <v>707</v>
      </c>
      <c r="C54" s="12" t="str">
        <f>IFERROR(VLOOKUP(B54,ENTITY_MASTER!$A$2:$B$266,2,FALSE),"")</f>
        <v>F2G</v>
      </c>
      <c r="D54" s="8" t="s">
        <v>344</v>
      </c>
      <c r="E54" s="8" t="s">
        <v>708</v>
      </c>
      <c r="F54" s="8" t="s">
        <v>709</v>
      </c>
      <c r="G54" s="8" t="s">
        <v>710</v>
      </c>
      <c r="H54" s="8" t="s">
        <v>543</v>
      </c>
      <c r="I54" s="8" t="s">
        <v>711</v>
      </c>
      <c r="J54" s="8" t="s">
        <v>712</v>
      </c>
      <c r="K54" s="9" t="s">
        <v>351</v>
      </c>
      <c r="L54" s="9" t="s">
        <v>352</v>
      </c>
      <c r="M54" s="8" t="s">
        <v>366</v>
      </c>
      <c r="N54" s="8" t="s">
        <v>713</v>
      </c>
      <c r="O54" s="8" t="s">
        <v>714</v>
      </c>
      <c r="P54" s="12" t="str">
        <f>IFERROR(IF(VLOOKUP(J54,SOURCE_REGISTRY!$A$2:$E$246,5,FALSE)="","",VLOOKUP(J54,SOURCE_REGISTRY!$A$2:$E$246,5,FALSE)),"")</f>
        <v>https://www.shionogi.com/global/en/news/2026/10/e20261021_3.html</v>
      </c>
      <c r="Q54" s="9" t="s">
        <v>356</v>
      </c>
    </row>
    <row r="55" spans="1:17" ht="51" customHeight="1" x14ac:dyDescent="0.25">
      <c r="A55" s="8" t="s">
        <v>715</v>
      </c>
      <c r="B55" s="8" t="s">
        <v>716</v>
      </c>
      <c r="C55" s="12" t="str">
        <f>IFERROR(VLOOKUP(B55,ENTITY_MASTER!$A$2:$B$266,2,FALSE),"")</f>
        <v>Nexbiome Therapeutics</v>
      </c>
      <c r="D55" s="8" t="s">
        <v>344</v>
      </c>
      <c r="E55" s="8" t="s">
        <v>529</v>
      </c>
      <c r="F55" s="13" t="s">
        <v>372</v>
      </c>
      <c r="G55" s="13" t="s">
        <v>372</v>
      </c>
      <c r="H55" s="8" t="s">
        <v>373</v>
      </c>
      <c r="I55" s="8" t="s">
        <v>717</v>
      </c>
      <c r="J55" s="8" t="s">
        <v>531</v>
      </c>
      <c r="K55" s="9" t="s">
        <v>351</v>
      </c>
      <c r="L55" s="9" t="s">
        <v>352</v>
      </c>
      <c r="M55" s="8" t="s">
        <v>385</v>
      </c>
      <c r="N55" s="8" t="s">
        <v>718</v>
      </c>
      <c r="O55" s="8" t="s">
        <v>387</v>
      </c>
      <c r="P55" s="12" t="str">
        <f>IFERROR(IF(VLOOKUP(J55,SOURCE_REGISTRY!$A$2:$E$246,5,FALSE)="","",VLOOKUP(J55,SOURCE_REGISTRY!$A$2:$E$246,5,FALSE)),"")</f>
        <v>https://beam-alliance.eu/pipeline/</v>
      </c>
      <c r="Q55" s="9" t="s">
        <v>356</v>
      </c>
    </row>
    <row r="56" spans="1:17" ht="36.950000000000003" customHeight="1" x14ac:dyDescent="0.25">
      <c r="A56" s="8" t="s">
        <v>719</v>
      </c>
      <c r="B56" s="8" t="s">
        <v>720</v>
      </c>
      <c r="C56" s="12" t="str">
        <f>IFERROR(VLOOKUP(B56,ENTITY_MASTER!$A$2:$B$266,2,FALSE),"")</f>
        <v>QIAGEN</v>
      </c>
      <c r="D56" s="8" t="s">
        <v>344</v>
      </c>
      <c r="E56" s="8" t="s">
        <v>721</v>
      </c>
      <c r="F56" s="8" t="s">
        <v>722</v>
      </c>
      <c r="G56" s="8" t="s">
        <v>723</v>
      </c>
      <c r="H56" s="8" t="s">
        <v>382</v>
      </c>
      <c r="I56" s="8" t="s">
        <v>724</v>
      </c>
      <c r="J56" s="8" t="s">
        <v>725</v>
      </c>
      <c r="K56" s="9" t="s">
        <v>351</v>
      </c>
      <c r="L56" s="9" t="s">
        <v>352</v>
      </c>
      <c r="M56" s="8" t="s">
        <v>524</v>
      </c>
      <c r="N56" s="8" t="s">
        <v>726</v>
      </c>
      <c r="O56" s="8" t="s">
        <v>727</v>
      </c>
      <c r="P56" s="12" t="str">
        <f>IFERROR(IF(VLOOKUP(J56,SOURCE_REGISTRY!$A$2:$E$246,5,FALSE)="","",VLOOKUP(J56,SOURCE_REGISTRY!$A$2:$E$246,5,FALSE)),"")</f>
        <v>https://www.qiagen.com/de/product-categories/diagnostics-and-clinical-research/infectious-disease</v>
      </c>
      <c r="Q56" s="9" t="s">
        <v>356</v>
      </c>
    </row>
    <row r="57" spans="1:17" ht="36.950000000000003" customHeight="1" x14ac:dyDescent="0.25">
      <c r="A57" s="8" t="s">
        <v>728</v>
      </c>
      <c r="B57" s="8" t="s">
        <v>729</v>
      </c>
      <c r="C57" s="12" t="str">
        <f>IFERROR(VLOOKUP(B57,ENTITY_MASTER!$A$2:$B$266,2,FALSE),"")</f>
        <v>Qpex Biopharma Inc</v>
      </c>
      <c r="D57" s="8" t="s">
        <v>344</v>
      </c>
      <c r="E57" s="8" t="s">
        <v>529</v>
      </c>
      <c r="F57" s="13" t="s">
        <v>372</v>
      </c>
      <c r="G57" s="13" t="s">
        <v>372</v>
      </c>
      <c r="H57" s="8" t="s">
        <v>543</v>
      </c>
      <c r="I57" s="8" t="s">
        <v>730</v>
      </c>
      <c r="J57" s="8" t="s">
        <v>531</v>
      </c>
      <c r="K57" s="9" t="s">
        <v>351</v>
      </c>
      <c r="L57" s="9" t="s">
        <v>352</v>
      </c>
      <c r="M57" s="8" t="s">
        <v>376</v>
      </c>
      <c r="N57" s="8" t="s">
        <v>731</v>
      </c>
      <c r="O57" s="8" t="s">
        <v>378</v>
      </c>
      <c r="P57" s="12" t="str">
        <f>IFERROR(IF(VLOOKUP(J57,SOURCE_REGISTRY!$A$2:$E$246,5,FALSE)="","",VLOOKUP(J57,SOURCE_REGISTRY!$A$2:$E$246,5,FALSE)),"")</f>
        <v>https://beam-alliance.eu/pipeline/</v>
      </c>
      <c r="Q57" s="9" t="s">
        <v>356</v>
      </c>
    </row>
    <row r="58" spans="1:17" ht="36.950000000000003" customHeight="1" x14ac:dyDescent="0.25">
      <c r="A58" s="8" t="s">
        <v>732</v>
      </c>
      <c r="B58" s="8" t="s">
        <v>733</v>
      </c>
      <c r="C58" s="12" t="str">
        <f>IFERROR(VLOOKUP(B58,ENTITY_MASTER!$A$2:$B$266,2,FALSE),"")</f>
        <v>BioVersys</v>
      </c>
      <c r="D58" s="8" t="s">
        <v>344</v>
      </c>
      <c r="E58" s="8" t="s">
        <v>734</v>
      </c>
      <c r="F58" s="13" t="s">
        <v>372</v>
      </c>
      <c r="G58" s="13" t="s">
        <v>372</v>
      </c>
      <c r="H58" s="8" t="s">
        <v>543</v>
      </c>
      <c r="I58" s="8" t="s">
        <v>735</v>
      </c>
      <c r="J58" s="8" t="s">
        <v>531</v>
      </c>
      <c r="K58" s="9" t="s">
        <v>351</v>
      </c>
      <c r="L58" s="9" t="s">
        <v>352</v>
      </c>
      <c r="M58" s="8" t="s">
        <v>376</v>
      </c>
      <c r="N58" s="8" t="s">
        <v>736</v>
      </c>
      <c r="O58" s="8" t="s">
        <v>378</v>
      </c>
      <c r="P58" s="12" t="str">
        <f>IFERROR(IF(VLOOKUP(J58,SOURCE_REGISTRY!$A$2:$E$246,5,FALSE)="","",VLOOKUP(J58,SOURCE_REGISTRY!$A$2:$E$246,5,FALSE)),"")</f>
        <v>https://beam-alliance.eu/pipeline/</v>
      </c>
      <c r="Q58" s="9" t="s">
        <v>356</v>
      </c>
    </row>
    <row r="59" spans="1:17" ht="51" customHeight="1" x14ac:dyDescent="0.25">
      <c r="A59" s="8" t="s">
        <v>737</v>
      </c>
      <c r="B59" s="8" t="s">
        <v>738</v>
      </c>
      <c r="C59" s="12" t="str">
        <f>IFERROR(VLOOKUP(B59,ENTITY_MASTER!$A$2:$B$266,2,FALSE),"")</f>
        <v>Becton, Dickinson and Company</v>
      </c>
      <c r="D59" s="8" t="s">
        <v>344</v>
      </c>
      <c r="E59" s="8" t="s">
        <v>739</v>
      </c>
      <c r="F59" s="13" t="s">
        <v>372</v>
      </c>
      <c r="G59" s="13" t="s">
        <v>372</v>
      </c>
      <c r="H59" s="8" t="s">
        <v>382</v>
      </c>
      <c r="I59" s="8" t="s">
        <v>740</v>
      </c>
      <c r="J59" s="8" t="s">
        <v>741</v>
      </c>
      <c r="K59" s="9" t="s">
        <v>351</v>
      </c>
      <c r="L59" s="9" t="s">
        <v>352</v>
      </c>
      <c r="M59" s="8" t="s">
        <v>385</v>
      </c>
      <c r="N59" s="8" t="s">
        <v>742</v>
      </c>
      <c r="O59" s="8" t="s">
        <v>387</v>
      </c>
      <c r="P59" s="12" t="str">
        <f>IFERROR(IF(VLOOKUP(J59,SOURCE_REGISTRY!$A$2:$E$246,5,FALSE)="","",VLOOKUP(J59,SOURCE_REGISTRY!$A$2:$E$246,5,FALSE)),"")</f>
        <v>https://emea.bd.com/advancing-diagnostics/for-clinicians/</v>
      </c>
      <c r="Q59" s="9" t="s">
        <v>356</v>
      </c>
    </row>
    <row r="60" spans="1:17" ht="36.950000000000003" customHeight="1" x14ac:dyDescent="0.25">
      <c r="A60" s="8" t="s">
        <v>743</v>
      </c>
      <c r="B60" s="8" t="s">
        <v>744</v>
      </c>
      <c r="C60" s="12" t="str">
        <f>IFERROR(VLOOKUP(B60,ENTITY_MASTER!$A$2:$B$266,2,FALSE),"")</f>
        <v>Brii Biosciences Ltd</v>
      </c>
      <c r="D60" s="8" t="s">
        <v>344</v>
      </c>
      <c r="E60" s="8" t="s">
        <v>519</v>
      </c>
      <c r="F60" s="8" t="s">
        <v>745</v>
      </c>
      <c r="G60" s="8" t="s">
        <v>746</v>
      </c>
      <c r="H60" s="8" t="s">
        <v>747</v>
      </c>
      <c r="I60" s="8" t="s">
        <v>748</v>
      </c>
      <c r="J60" s="8" t="s">
        <v>749</v>
      </c>
      <c r="K60" s="9" t="s">
        <v>351</v>
      </c>
      <c r="L60" s="9" t="s">
        <v>352</v>
      </c>
      <c r="M60" s="8" t="s">
        <v>524</v>
      </c>
      <c r="N60" s="8" t="s">
        <v>750</v>
      </c>
      <c r="O60" s="8" t="s">
        <v>751</v>
      </c>
      <c r="P60" s="12" t="str">
        <f>IFERROR(IF(VLOOKUP(J60,SOURCE_REGISTRY!$A$2:$E$246,5,FALSE)="","",VLOOKUP(J60,SOURCE_REGISTRY!$A$2:$E$246,5,FALSE)),"")</f>
        <v>https://briibio.com/en/media/press-release/20261029/</v>
      </c>
      <c r="Q60" s="9" t="s">
        <v>356</v>
      </c>
    </row>
    <row r="61" spans="1:17" ht="51" customHeight="1" x14ac:dyDescent="0.25">
      <c r="A61" s="8" t="s">
        <v>752</v>
      </c>
      <c r="B61" s="8" t="s">
        <v>753</v>
      </c>
      <c r="C61" s="12" t="str">
        <f>IFERROR(VLOOKUP(B61,ENTITY_MASTER!$A$2:$B$266,2,FALSE),"")</f>
        <v>SNIPR Biome ApS</v>
      </c>
      <c r="D61" s="8" t="s">
        <v>344</v>
      </c>
      <c r="E61" s="8" t="s">
        <v>754</v>
      </c>
      <c r="F61" s="8" t="s">
        <v>755</v>
      </c>
      <c r="G61" s="8" t="s">
        <v>756</v>
      </c>
      <c r="H61" s="8" t="s">
        <v>757</v>
      </c>
      <c r="I61" s="8" t="s">
        <v>758</v>
      </c>
      <c r="J61" s="8" t="s">
        <v>759</v>
      </c>
      <c r="K61" s="9" t="s">
        <v>351</v>
      </c>
      <c r="L61" s="9" t="s">
        <v>352</v>
      </c>
      <c r="M61" s="8" t="s">
        <v>353</v>
      </c>
      <c r="N61" s="8" t="s">
        <v>760</v>
      </c>
      <c r="O61" s="8" t="s">
        <v>355</v>
      </c>
      <c r="P61" s="12" t="str">
        <f>IFERROR(IF(VLOOKUP(J61,SOURCE_REGISTRY!$A$2:$E$246,5,FALSE)="","",VLOOKUP(J61,SOURCE_REGISTRY!$A$2:$E$246,5,FALSE)),"")</f>
        <v>https://www.sniprbiome.com/pipeline</v>
      </c>
      <c r="Q61" s="9" t="s">
        <v>356</v>
      </c>
    </row>
    <row r="62" spans="1:17" ht="36.950000000000003" customHeight="1" x14ac:dyDescent="0.25">
      <c r="A62" s="8" t="s">
        <v>761</v>
      </c>
      <c r="B62" s="8" t="s">
        <v>762</v>
      </c>
      <c r="C62" s="12" t="str">
        <f>IFERROR(VLOOKUP(B62,ENTITY_MASTER!$A$2:$B$266,2,FALSE),"")</f>
        <v>Novartis</v>
      </c>
      <c r="D62" s="8" t="s">
        <v>344</v>
      </c>
      <c r="E62" s="8" t="s">
        <v>763</v>
      </c>
      <c r="F62" s="13" t="s">
        <v>372</v>
      </c>
      <c r="G62" s="13" t="s">
        <v>372</v>
      </c>
      <c r="H62" s="8" t="s">
        <v>543</v>
      </c>
      <c r="I62" s="8" t="s">
        <v>764</v>
      </c>
      <c r="J62" s="8" t="s">
        <v>765</v>
      </c>
      <c r="K62" s="9" t="s">
        <v>351</v>
      </c>
      <c r="L62" s="9" t="s">
        <v>352</v>
      </c>
      <c r="M62" s="8" t="s">
        <v>376</v>
      </c>
      <c r="N62" s="8" t="s">
        <v>766</v>
      </c>
      <c r="O62" s="8" t="s">
        <v>378</v>
      </c>
      <c r="P62" s="12" t="str">
        <f>IFERROR(IF(VLOOKUP(J62,SOURCE_REGISTRY!$A$2:$E$246,5,FALSE)="","",VLOOKUP(J62,SOURCE_REGISTRY!$A$2:$E$246,5,FALSE)),"")</f>
        <v>https://www.novartis.com/diseases/malaria</v>
      </c>
      <c r="Q62" s="9" t="s">
        <v>356</v>
      </c>
    </row>
    <row r="63" spans="1:17" ht="51" customHeight="1" x14ac:dyDescent="0.25">
      <c r="A63" s="8" t="s">
        <v>767</v>
      </c>
      <c r="B63" s="8" t="s">
        <v>768</v>
      </c>
      <c r="C63" s="12" t="str">
        <f>IFERROR(VLOOKUP(B63,ENTITY_MASTER!$A$2:$B$266,2,FALSE),"")</f>
        <v>MaaT Pharma</v>
      </c>
      <c r="D63" s="8" t="s">
        <v>344</v>
      </c>
      <c r="E63" s="8" t="s">
        <v>769</v>
      </c>
      <c r="F63" s="13" t="s">
        <v>372</v>
      </c>
      <c r="G63" s="13" t="s">
        <v>372</v>
      </c>
      <c r="H63" s="8" t="s">
        <v>373</v>
      </c>
      <c r="I63" s="8" t="s">
        <v>770</v>
      </c>
      <c r="J63" s="8" t="s">
        <v>771</v>
      </c>
      <c r="K63" s="9" t="s">
        <v>351</v>
      </c>
      <c r="L63" s="9" t="s">
        <v>352</v>
      </c>
      <c r="M63" s="8" t="s">
        <v>385</v>
      </c>
      <c r="N63" s="8" t="s">
        <v>772</v>
      </c>
      <c r="O63" s="8" t="s">
        <v>387</v>
      </c>
      <c r="P63" s="12" t="str">
        <f>IFERROR(IF(VLOOKUP(J63,SOURCE_REGISTRY!$A$2:$E$246,5,FALSE)="","",VLOOKUP(J63,SOURCE_REGISTRY!$A$2:$E$246,5,FALSE)),"")</f>
        <v>https://www.maatpharma.com/pipeline/</v>
      </c>
      <c r="Q63" s="9" t="s">
        <v>356</v>
      </c>
    </row>
    <row r="64" spans="1:17" ht="51" customHeight="1" x14ac:dyDescent="0.25">
      <c r="A64" s="8" t="s">
        <v>773</v>
      </c>
      <c r="B64" s="8" t="s">
        <v>774</v>
      </c>
      <c r="C64" s="12" t="str">
        <f>IFERROR(VLOOKUP(B64,ENTITY_MASTER!$A$2:$B$266,2,FALSE),"")</f>
        <v>Obulytix</v>
      </c>
      <c r="D64" s="8" t="s">
        <v>344</v>
      </c>
      <c r="E64" s="8" t="s">
        <v>529</v>
      </c>
      <c r="F64" s="13" t="s">
        <v>372</v>
      </c>
      <c r="G64" s="13" t="s">
        <v>372</v>
      </c>
      <c r="H64" s="13" t="s">
        <v>372</v>
      </c>
      <c r="I64" s="8" t="s">
        <v>775</v>
      </c>
      <c r="J64" s="8" t="s">
        <v>531</v>
      </c>
      <c r="K64" s="9" t="s">
        <v>351</v>
      </c>
      <c r="L64" s="9" t="s">
        <v>352</v>
      </c>
      <c r="M64" s="8" t="s">
        <v>385</v>
      </c>
      <c r="N64" s="8" t="s">
        <v>776</v>
      </c>
      <c r="O64" s="8" t="s">
        <v>387</v>
      </c>
      <c r="P64" s="12" t="str">
        <f>IFERROR(IF(VLOOKUP(J64,SOURCE_REGISTRY!$A$2:$E$246,5,FALSE)="","",VLOOKUP(J64,SOURCE_REGISTRY!$A$2:$E$246,5,FALSE)),"")</f>
        <v>https://beam-alliance.eu/pipeline/</v>
      </c>
      <c r="Q64" s="9" t="s">
        <v>356</v>
      </c>
    </row>
    <row r="65" spans="1:17" ht="51" customHeight="1" x14ac:dyDescent="0.25">
      <c r="A65" s="8" t="s">
        <v>777</v>
      </c>
      <c r="B65" s="8" t="s">
        <v>778</v>
      </c>
      <c r="C65" s="12" t="str">
        <f>IFERROR(VLOOKUP(B65,ENTITY_MASTER!$A$2:$B$266,2,FALSE),"")</f>
        <v>Excision BioTherapeutics</v>
      </c>
      <c r="D65" s="8" t="s">
        <v>344</v>
      </c>
      <c r="E65" s="8" t="s">
        <v>588</v>
      </c>
      <c r="F65" s="8" t="s">
        <v>588</v>
      </c>
      <c r="G65" s="8" t="s">
        <v>779</v>
      </c>
      <c r="H65" s="8" t="s">
        <v>780</v>
      </c>
      <c r="I65" s="8" t="s">
        <v>781</v>
      </c>
      <c r="J65" s="8" t="s">
        <v>782</v>
      </c>
      <c r="K65" s="9" t="s">
        <v>351</v>
      </c>
      <c r="L65" s="9" t="s">
        <v>352</v>
      </c>
      <c r="M65" s="8" t="s">
        <v>366</v>
      </c>
      <c r="N65" s="8" t="s">
        <v>783</v>
      </c>
      <c r="O65" s="8" t="s">
        <v>387</v>
      </c>
      <c r="P65" s="12" t="str">
        <f>IFERROR(IF(VLOOKUP(J65,SOURCE_REGISTRY!$A$2:$E$246,5,FALSE)="","",VLOOKUP(J65,SOURCE_REGISTRY!$A$2:$E$246,5,FALSE)),"")</f>
        <v>https://excisionbiotherapeutics.com/pipeline</v>
      </c>
      <c r="Q65" s="9" t="s">
        <v>356</v>
      </c>
    </row>
    <row r="66" spans="1:17" ht="36.950000000000003" customHeight="1" x14ac:dyDescent="0.25">
      <c r="A66" s="8" t="s">
        <v>784</v>
      </c>
      <c r="B66" s="8" t="s">
        <v>785</v>
      </c>
      <c r="C66" s="12" t="str">
        <f>IFERROR(VLOOKUP(B66,ENTITY_MASTER!$A$2:$B$266,2,FALSE),"")</f>
        <v>International Vaccine Institute</v>
      </c>
      <c r="D66" s="8" t="s">
        <v>359</v>
      </c>
      <c r="E66" s="8" t="s">
        <v>786</v>
      </c>
      <c r="F66" s="8" t="s">
        <v>438</v>
      </c>
      <c r="G66" s="8" t="s">
        <v>438</v>
      </c>
      <c r="H66" s="8" t="s">
        <v>409</v>
      </c>
      <c r="I66" s="8" t="s">
        <v>787</v>
      </c>
      <c r="J66" s="8" t="s">
        <v>788</v>
      </c>
      <c r="K66" s="9" t="s">
        <v>351</v>
      </c>
      <c r="L66" s="9" t="s">
        <v>352</v>
      </c>
      <c r="M66" s="8" t="s">
        <v>442</v>
      </c>
      <c r="N66" s="8" t="s">
        <v>789</v>
      </c>
      <c r="O66" s="8" t="s">
        <v>368</v>
      </c>
      <c r="P66" s="12" t="str">
        <f>IFERROR(IF(VLOOKUP(J66,SOURCE_REGISTRY!$A$2:$E$246,5,FALSE)="","",VLOOKUP(J66,SOURCE_REGISTRY!$A$2:$E$246,5,FALSE)),"")</f>
        <v>https://www.ivi.int/</v>
      </c>
      <c r="Q66" s="9" t="s">
        <v>356</v>
      </c>
    </row>
    <row r="67" spans="1:17" ht="51" customHeight="1" x14ac:dyDescent="0.25">
      <c r="A67" s="8" t="s">
        <v>790</v>
      </c>
      <c r="B67" s="8" t="s">
        <v>791</v>
      </c>
      <c r="C67" s="12" t="str">
        <f>IFERROR(VLOOKUP(B67,ENTITY_MASTER!$A$2:$B$266,2,FALSE),"")</f>
        <v>Omnix Medical</v>
      </c>
      <c r="D67" s="8" t="s">
        <v>344</v>
      </c>
      <c r="E67" s="8" t="s">
        <v>529</v>
      </c>
      <c r="F67" s="13" t="s">
        <v>372</v>
      </c>
      <c r="G67" s="13" t="s">
        <v>372</v>
      </c>
      <c r="H67" s="13" t="s">
        <v>372</v>
      </c>
      <c r="I67" s="8" t="s">
        <v>792</v>
      </c>
      <c r="J67" s="8" t="s">
        <v>531</v>
      </c>
      <c r="K67" s="9" t="s">
        <v>351</v>
      </c>
      <c r="L67" s="9" t="s">
        <v>352</v>
      </c>
      <c r="M67" s="8" t="s">
        <v>385</v>
      </c>
      <c r="N67" s="8" t="s">
        <v>793</v>
      </c>
      <c r="O67" s="8" t="s">
        <v>387</v>
      </c>
      <c r="P67" s="12" t="str">
        <f>IFERROR(IF(VLOOKUP(J67,SOURCE_REGISTRY!$A$2:$E$246,5,FALSE)="","",VLOOKUP(J67,SOURCE_REGISTRY!$A$2:$E$246,5,FALSE)),"")</f>
        <v>https://beam-alliance.eu/pipeline/</v>
      </c>
      <c r="Q67" s="9" t="s">
        <v>356</v>
      </c>
    </row>
    <row r="68" spans="1:17" ht="51" customHeight="1" x14ac:dyDescent="0.25">
      <c r="A68" s="8" t="s">
        <v>794</v>
      </c>
      <c r="B68" s="8" t="s">
        <v>795</v>
      </c>
      <c r="C68" s="12" t="str">
        <f>IFERROR(VLOOKUP(B68,ENTITY_MASTER!$A$2:$B$266,2,FALSE),"")</f>
        <v>Microbira</v>
      </c>
      <c r="D68" s="8" t="s">
        <v>344</v>
      </c>
      <c r="E68" s="8" t="s">
        <v>381</v>
      </c>
      <c r="F68" s="13" t="s">
        <v>372</v>
      </c>
      <c r="G68" s="13" t="s">
        <v>372</v>
      </c>
      <c r="H68" s="8" t="s">
        <v>382</v>
      </c>
      <c r="I68" s="8" t="s">
        <v>796</v>
      </c>
      <c r="J68" s="8" t="s">
        <v>531</v>
      </c>
      <c r="K68" s="9" t="s">
        <v>351</v>
      </c>
      <c r="L68" s="9" t="s">
        <v>352</v>
      </c>
      <c r="M68" s="8" t="s">
        <v>385</v>
      </c>
      <c r="N68" s="8" t="s">
        <v>797</v>
      </c>
      <c r="O68" s="8" t="s">
        <v>387</v>
      </c>
      <c r="P68" s="12" t="str">
        <f>IFERROR(IF(VLOOKUP(J68,SOURCE_REGISTRY!$A$2:$E$246,5,FALSE)="","",VLOOKUP(J68,SOURCE_REGISTRY!$A$2:$E$246,5,FALSE)),"")</f>
        <v>https://beam-alliance.eu/pipeline/</v>
      </c>
      <c r="Q68" s="9" t="s">
        <v>356</v>
      </c>
    </row>
    <row r="69" spans="1:17" ht="51" customHeight="1" x14ac:dyDescent="0.25">
      <c r="A69" s="8" t="s">
        <v>798</v>
      </c>
      <c r="B69" s="8" t="s">
        <v>799</v>
      </c>
      <c r="C69" s="12" t="str">
        <f>IFERROR(VLOOKUP(B69,ENTITY_MASTER!$A$2:$B$266,2,FALSE),"")</f>
        <v>Atara Biotherapeutics</v>
      </c>
      <c r="D69" s="8" t="s">
        <v>344</v>
      </c>
      <c r="E69" s="8" t="s">
        <v>800</v>
      </c>
      <c r="F69" s="13" t="s">
        <v>372</v>
      </c>
      <c r="G69" s="13" t="s">
        <v>372</v>
      </c>
      <c r="H69" s="8" t="s">
        <v>801</v>
      </c>
      <c r="I69" s="8" t="s">
        <v>802</v>
      </c>
      <c r="J69" s="8" t="s">
        <v>803</v>
      </c>
      <c r="K69" s="9" t="s">
        <v>351</v>
      </c>
      <c r="L69" s="9" t="s">
        <v>352</v>
      </c>
      <c r="M69" s="8" t="s">
        <v>385</v>
      </c>
      <c r="N69" s="8" t="s">
        <v>804</v>
      </c>
      <c r="O69" s="8" t="s">
        <v>387</v>
      </c>
      <c r="P69" s="12" t="str">
        <f>IFERROR(IF(VLOOKUP(J69,SOURCE_REGISTRY!$A$2:$E$246,5,FALSE)="","",VLOOKUP(J69,SOURCE_REGISTRY!$A$2:$E$246,5,FALSE)),"")</f>
        <v>https://investors.atarabio.com/news-events/press-releases</v>
      </c>
      <c r="Q69" s="9" t="s">
        <v>356</v>
      </c>
    </row>
    <row r="70" spans="1:17" ht="51" customHeight="1" x14ac:dyDescent="0.25">
      <c r="A70" s="8" t="s">
        <v>805</v>
      </c>
      <c r="B70" s="8" t="s">
        <v>806</v>
      </c>
      <c r="C70" s="12" t="str">
        <f>IFERROR(VLOOKUP(B70,ENTITY_MASTER!$A$2:$B$266,2,FALSE),"")</f>
        <v>Debiopharm International</v>
      </c>
      <c r="D70" s="8" t="s">
        <v>344</v>
      </c>
      <c r="E70" s="8" t="s">
        <v>529</v>
      </c>
      <c r="F70" s="13" t="s">
        <v>372</v>
      </c>
      <c r="G70" s="13" t="s">
        <v>372</v>
      </c>
      <c r="H70" s="8" t="s">
        <v>543</v>
      </c>
      <c r="I70" s="8" t="s">
        <v>807</v>
      </c>
      <c r="J70" s="8" t="s">
        <v>531</v>
      </c>
      <c r="K70" s="9" t="s">
        <v>351</v>
      </c>
      <c r="L70" s="9" t="s">
        <v>352</v>
      </c>
      <c r="M70" s="8" t="s">
        <v>385</v>
      </c>
      <c r="N70" s="8" t="s">
        <v>808</v>
      </c>
      <c r="O70" s="8" t="s">
        <v>387</v>
      </c>
      <c r="P70" s="12" t="str">
        <f>IFERROR(IF(VLOOKUP(J70,SOURCE_REGISTRY!$A$2:$E$246,5,FALSE)="","",VLOOKUP(J70,SOURCE_REGISTRY!$A$2:$E$246,5,FALSE)),"")</f>
        <v>https://beam-alliance.eu/pipeline/</v>
      </c>
      <c r="Q70" s="9" t="s">
        <v>356</v>
      </c>
    </row>
    <row r="71" spans="1:17" ht="51" customHeight="1" x14ac:dyDescent="0.25">
      <c r="A71" s="8" t="s">
        <v>809</v>
      </c>
      <c r="B71" s="8" t="s">
        <v>810</v>
      </c>
      <c r="C71" s="12" t="str">
        <f>IFERROR(VLOOKUP(B71,ENTITY_MASTER!$A$2:$B$266,2,FALSE),"")</f>
        <v>INTELIPHAGE</v>
      </c>
      <c r="D71" s="8" t="s">
        <v>344</v>
      </c>
      <c r="E71" s="8" t="s">
        <v>529</v>
      </c>
      <c r="F71" s="13" t="s">
        <v>372</v>
      </c>
      <c r="G71" s="13" t="s">
        <v>372</v>
      </c>
      <c r="H71" s="13" t="s">
        <v>372</v>
      </c>
      <c r="I71" s="8" t="s">
        <v>811</v>
      </c>
      <c r="J71" s="8" t="s">
        <v>531</v>
      </c>
      <c r="K71" s="9" t="s">
        <v>351</v>
      </c>
      <c r="L71" s="9" t="s">
        <v>352</v>
      </c>
      <c r="M71" s="8" t="s">
        <v>385</v>
      </c>
      <c r="N71" s="8" t="s">
        <v>812</v>
      </c>
      <c r="O71" s="8" t="s">
        <v>387</v>
      </c>
      <c r="P71" s="12" t="str">
        <f>IFERROR(IF(VLOOKUP(J71,SOURCE_REGISTRY!$A$2:$E$246,5,FALSE)="","",VLOOKUP(J71,SOURCE_REGISTRY!$A$2:$E$246,5,FALSE)),"")</f>
        <v>https://beam-alliance.eu/pipeline/</v>
      </c>
      <c r="Q71" s="9" t="s">
        <v>356</v>
      </c>
    </row>
    <row r="72" spans="1:17" ht="51" customHeight="1" x14ac:dyDescent="0.25">
      <c r="A72" s="8" t="s">
        <v>813</v>
      </c>
      <c r="B72" s="8" t="s">
        <v>814</v>
      </c>
      <c r="C72" s="12" t="str">
        <f>IFERROR(VLOOKUP(B72,ENTITY_MASTER!$A$2:$B$266,2,FALSE),"")</f>
        <v>Shionogi</v>
      </c>
      <c r="D72" s="8" t="s">
        <v>344</v>
      </c>
      <c r="E72" s="8" t="s">
        <v>815</v>
      </c>
      <c r="F72" s="8" t="s">
        <v>709</v>
      </c>
      <c r="G72" s="8" t="s">
        <v>710</v>
      </c>
      <c r="H72" s="8" t="s">
        <v>816</v>
      </c>
      <c r="I72" s="8" t="s">
        <v>817</v>
      </c>
      <c r="J72" s="8" t="s">
        <v>818</v>
      </c>
      <c r="K72" s="9" t="s">
        <v>351</v>
      </c>
      <c r="L72" s="9" t="s">
        <v>352</v>
      </c>
      <c r="M72" s="8" t="s">
        <v>366</v>
      </c>
      <c r="N72" s="8" t="s">
        <v>819</v>
      </c>
      <c r="O72" s="8" t="s">
        <v>378</v>
      </c>
      <c r="P72" s="12" t="str">
        <f>IFERROR(IF(VLOOKUP(J72,SOURCE_REGISTRY!$A$2:$E$246,5,FALSE)="","",VLOOKUP(J72,SOURCE_REGISTRY!$A$2:$E$246,5,FALSE)),"")</f>
        <v>https://www.shionogi.com/eu/en/innovation/strategic-partnering-in-europe/partnering-licensing-interests.html</v>
      </c>
      <c r="Q72" s="9" t="s">
        <v>356</v>
      </c>
    </row>
    <row r="73" spans="1:17" ht="51" customHeight="1" x14ac:dyDescent="0.25">
      <c r="A73" s="8" t="s">
        <v>820</v>
      </c>
      <c r="B73" s="8" t="s">
        <v>821</v>
      </c>
      <c r="C73" s="12" t="str">
        <f>IFERROR(VLOOKUP(B73,ENTITY_MASTER!$A$2:$B$266,2,FALSE),"")</f>
        <v>Santero Therapeutics</v>
      </c>
      <c r="D73" s="8" t="s">
        <v>344</v>
      </c>
      <c r="E73" s="8" t="s">
        <v>529</v>
      </c>
      <c r="F73" s="13" t="s">
        <v>372</v>
      </c>
      <c r="G73" s="13" t="s">
        <v>372</v>
      </c>
      <c r="H73" s="8" t="s">
        <v>543</v>
      </c>
      <c r="I73" s="8" t="s">
        <v>822</v>
      </c>
      <c r="J73" s="8" t="s">
        <v>531</v>
      </c>
      <c r="K73" s="9" t="s">
        <v>351</v>
      </c>
      <c r="L73" s="9" t="s">
        <v>352</v>
      </c>
      <c r="M73" s="8" t="s">
        <v>385</v>
      </c>
      <c r="N73" s="8" t="s">
        <v>823</v>
      </c>
      <c r="O73" s="8" t="s">
        <v>387</v>
      </c>
      <c r="P73" s="12" t="str">
        <f>IFERROR(IF(VLOOKUP(J73,SOURCE_REGISTRY!$A$2:$E$246,5,FALSE)="","",VLOOKUP(J73,SOURCE_REGISTRY!$A$2:$E$246,5,FALSE)),"")</f>
        <v>https://beam-alliance.eu/pipeline/</v>
      </c>
      <c r="Q73" s="9" t="s">
        <v>356</v>
      </c>
    </row>
    <row r="74" spans="1:17" ht="36.950000000000003" customHeight="1" x14ac:dyDescent="0.25">
      <c r="A74" s="8" t="s">
        <v>824</v>
      </c>
      <c r="B74" s="8" t="s">
        <v>825</v>
      </c>
      <c r="C74" s="12" t="str">
        <f>IFERROR(VLOOKUP(B74,ENTITY_MASTER!$A$2:$B$266,2,FALSE),"")</f>
        <v>SK Bioscience Ltd</v>
      </c>
      <c r="D74" s="8" t="s">
        <v>344</v>
      </c>
      <c r="E74" s="8" t="s">
        <v>826</v>
      </c>
      <c r="F74" s="8" t="s">
        <v>827</v>
      </c>
      <c r="G74" s="8" t="s">
        <v>828</v>
      </c>
      <c r="H74" s="8" t="s">
        <v>425</v>
      </c>
      <c r="I74" s="8" t="s">
        <v>829</v>
      </c>
      <c r="J74" s="8" t="s">
        <v>830</v>
      </c>
      <c r="K74" s="9" t="s">
        <v>351</v>
      </c>
      <c r="L74" s="9" t="s">
        <v>352</v>
      </c>
      <c r="M74" s="8" t="s">
        <v>524</v>
      </c>
      <c r="N74" s="8" t="s">
        <v>831</v>
      </c>
      <c r="O74" s="8" t="s">
        <v>832</v>
      </c>
      <c r="P74" s="12" t="str">
        <f>IFERROR(IF(VLOOKUP(J74,SOURCE_REGISTRY!$A$2:$E$246,5,FALSE)="","",VLOOKUP(J74,SOURCE_REGISTRY!$A$2:$E$246,5,FALSE)),"")</f>
        <v>https://www.skbioscience.com/en/tech/rnd_01</v>
      </c>
      <c r="Q74" s="9" t="s">
        <v>356</v>
      </c>
    </row>
    <row r="75" spans="1:17" ht="51" customHeight="1" x14ac:dyDescent="0.25">
      <c r="A75" s="8" t="s">
        <v>833</v>
      </c>
      <c r="B75" s="8" t="s">
        <v>834</v>
      </c>
      <c r="C75" s="12" t="str">
        <f>IFERROR(VLOOKUP(B75,ENTITY_MASTER!$A$2:$B$266,2,FALSE),"")</f>
        <v>Sanofi</v>
      </c>
      <c r="D75" s="8" t="s">
        <v>344</v>
      </c>
      <c r="E75" s="8" t="s">
        <v>835</v>
      </c>
      <c r="F75" s="13" t="s">
        <v>372</v>
      </c>
      <c r="G75" s="13" t="s">
        <v>372</v>
      </c>
      <c r="H75" s="8" t="s">
        <v>409</v>
      </c>
      <c r="I75" s="8" t="s">
        <v>836</v>
      </c>
      <c r="J75" s="8" t="s">
        <v>837</v>
      </c>
      <c r="K75" s="9" t="s">
        <v>351</v>
      </c>
      <c r="L75" s="9" t="s">
        <v>352</v>
      </c>
      <c r="M75" s="8" t="s">
        <v>376</v>
      </c>
      <c r="N75" s="8" t="s">
        <v>838</v>
      </c>
      <c r="O75" s="8" t="s">
        <v>378</v>
      </c>
      <c r="P75" s="12" t="str">
        <f>IFERROR(IF(VLOOKUP(J75,SOURCE_REGISTRY!$A$2:$E$246,5,FALSE)="","",VLOOKUP(J75,SOURCE_REGISTRY!$A$2:$E$246,5,FALSE)),"")</f>
        <v>https://www.sanofi.com/en/partnering/partnering-focus-areas/vaccines</v>
      </c>
      <c r="Q75" s="9" t="s">
        <v>356</v>
      </c>
    </row>
    <row r="76" spans="1:17" ht="36.950000000000003" customHeight="1" x14ac:dyDescent="0.25">
      <c r="A76" s="8" t="s">
        <v>839</v>
      </c>
      <c r="B76" s="8" t="s">
        <v>840</v>
      </c>
      <c r="C76" s="12" t="str">
        <f>IFERROR(VLOOKUP(B76,ENTITY_MASTER!$A$2:$B$266,2,FALSE),"")</f>
        <v>Vaxcyte</v>
      </c>
      <c r="D76" s="8" t="s">
        <v>344</v>
      </c>
      <c r="E76" s="8" t="s">
        <v>841</v>
      </c>
      <c r="F76" s="13" t="s">
        <v>372</v>
      </c>
      <c r="G76" s="13" t="s">
        <v>372</v>
      </c>
      <c r="H76" s="8" t="s">
        <v>842</v>
      </c>
      <c r="I76" s="8" t="s">
        <v>843</v>
      </c>
      <c r="J76" s="8" t="s">
        <v>844</v>
      </c>
      <c r="K76" s="9" t="s">
        <v>351</v>
      </c>
      <c r="L76" s="9" t="s">
        <v>352</v>
      </c>
      <c r="M76" s="8" t="s">
        <v>394</v>
      </c>
      <c r="N76" s="8" t="s">
        <v>845</v>
      </c>
      <c r="O76" s="8" t="s">
        <v>396</v>
      </c>
      <c r="P76" s="12" t="str">
        <f>IFERROR(IF(VLOOKUP(J76,SOURCE_REGISTRY!$A$2:$E$246,5,FALSE)="","",VLOOKUP(J76,SOURCE_REGISTRY!$A$2:$E$246,5,FALSE)),"")</f>
        <v>https://vaxcyte.com/pipeline/</v>
      </c>
      <c r="Q76" s="9" t="s">
        <v>356</v>
      </c>
    </row>
    <row r="77" spans="1:17" ht="51" customHeight="1" x14ac:dyDescent="0.25">
      <c r="A77" s="8" t="s">
        <v>846</v>
      </c>
      <c r="B77" s="8" t="s">
        <v>847</v>
      </c>
      <c r="C77" s="12" t="str">
        <f>IFERROR(VLOOKUP(B77,ENTITY_MASTER!$A$2:$B$266,2,FALSE),"")</f>
        <v>Infex Therapeutics</v>
      </c>
      <c r="D77" s="8" t="s">
        <v>344</v>
      </c>
      <c r="E77" s="8" t="s">
        <v>848</v>
      </c>
      <c r="F77" s="8" t="s">
        <v>476</v>
      </c>
      <c r="G77" s="8" t="s">
        <v>644</v>
      </c>
      <c r="H77" s="8" t="s">
        <v>506</v>
      </c>
      <c r="I77" s="8" t="s">
        <v>849</v>
      </c>
      <c r="J77" s="8" t="s">
        <v>850</v>
      </c>
      <c r="K77" s="9" t="s">
        <v>351</v>
      </c>
      <c r="L77" s="9" t="s">
        <v>352</v>
      </c>
      <c r="M77" s="8" t="s">
        <v>366</v>
      </c>
      <c r="N77" s="8" t="s">
        <v>851</v>
      </c>
      <c r="O77" s="8" t="s">
        <v>450</v>
      </c>
      <c r="P77" s="12" t="str">
        <f>IFERROR(IF(VLOOKUP(J77,SOURCE_REGISTRY!$A$2:$E$246,5,FALSE)="","",VLOOKUP(J77,SOURCE_REGISTRY!$A$2:$E$246,5,FALSE)),"")</f>
        <v>https://www.infextx.com/infex-therapeutics-secures-4-3-million-funding-to-advance-anti-infective-pipeline-targeting-drug-resistant-infections/</v>
      </c>
      <c r="Q77" s="9" t="s">
        <v>356</v>
      </c>
    </row>
    <row r="78" spans="1:17" ht="36.950000000000003" customHeight="1" x14ac:dyDescent="0.25">
      <c r="A78" s="8" t="s">
        <v>852</v>
      </c>
      <c r="B78" s="8" t="s">
        <v>853</v>
      </c>
      <c r="C78" s="12" t="str">
        <f>IFERROR(VLOOKUP(B78,ENTITY_MASTER!$A$2:$B$266,2,FALSE),"")</f>
        <v>Novavax Inc</v>
      </c>
      <c r="D78" s="8" t="s">
        <v>344</v>
      </c>
      <c r="E78" s="8" t="s">
        <v>854</v>
      </c>
      <c r="F78" s="8" t="s">
        <v>855</v>
      </c>
      <c r="G78" s="8" t="s">
        <v>856</v>
      </c>
      <c r="H78" s="8" t="s">
        <v>842</v>
      </c>
      <c r="I78" s="8" t="s">
        <v>857</v>
      </c>
      <c r="J78" s="8" t="s">
        <v>858</v>
      </c>
      <c r="K78" s="9" t="s">
        <v>351</v>
      </c>
      <c r="L78" s="9" t="s">
        <v>352</v>
      </c>
      <c r="M78" s="8" t="s">
        <v>524</v>
      </c>
      <c r="N78" s="8" t="s">
        <v>859</v>
      </c>
      <c r="O78" s="8" t="s">
        <v>860</v>
      </c>
      <c r="P78" s="12" t="str">
        <f>IFERROR(IF(VLOOKUP(J78,SOURCE_REGISTRY!$A$2:$E$246,5,FALSE)="","",VLOOKUP(J78,SOURCE_REGISTRY!$A$2:$E$246,5,FALSE)),"")</f>
        <v>https://www.novavax.com/products-pipeline/pipeline</v>
      </c>
      <c r="Q78" s="9" t="s">
        <v>356</v>
      </c>
    </row>
    <row r="79" spans="1:17" ht="36.950000000000003" customHeight="1" x14ac:dyDescent="0.25">
      <c r="A79" s="8" t="s">
        <v>861</v>
      </c>
      <c r="B79" s="8" t="s">
        <v>862</v>
      </c>
      <c r="C79" s="12" t="str">
        <f>IFERROR(VLOOKUP(B79,ENTITY_MASTER!$A$2:$B$266,2,FALSE),"")</f>
        <v>Abbott</v>
      </c>
      <c r="D79" s="8" t="s">
        <v>359</v>
      </c>
      <c r="E79" s="8" t="s">
        <v>863</v>
      </c>
      <c r="F79" s="8" t="s">
        <v>864</v>
      </c>
      <c r="G79" s="8" t="s">
        <v>438</v>
      </c>
      <c r="H79" s="8" t="s">
        <v>382</v>
      </c>
      <c r="I79" s="8" t="s">
        <v>865</v>
      </c>
      <c r="J79" s="8" t="s">
        <v>866</v>
      </c>
      <c r="K79" s="9" t="s">
        <v>351</v>
      </c>
      <c r="L79" s="9" t="s">
        <v>352</v>
      </c>
      <c r="M79" s="8" t="s">
        <v>442</v>
      </c>
      <c r="N79" s="8" t="s">
        <v>867</v>
      </c>
      <c r="O79" s="8" t="s">
        <v>368</v>
      </c>
      <c r="P79" s="12" t="str">
        <f>IFERROR(IF(VLOOKUP(J79,SOURCE_REGISTRY!$A$2:$E$246,5,FALSE)="","",VLOOKUP(J79,SOURCE_REGISTRY!$A$2:$E$246,5,FALSE)),"")</f>
        <v>https://www.molecular.abbott/us/en/offerings/products/infectious-disease</v>
      </c>
      <c r="Q79" s="9" t="s">
        <v>356</v>
      </c>
    </row>
    <row r="80" spans="1:17" ht="36.950000000000003" customHeight="1" x14ac:dyDescent="0.25">
      <c r="A80" s="8" t="s">
        <v>868</v>
      </c>
      <c r="B80" s="8" t="s">
        <v>869</v>
      </c>
      <c r="C80" s="12" t="str">
        <f>IFERROR(VLOOKUP(B80,ENTITY_MASTER!$A$2:$B$266,2,FALSE),"")</f>
        <v>FIND</v>
      </c>
      <c r="D80" s="8" t="s">
        <v>359</v>
      </c>
      <c r="E80" s="8" t="s">
        <v>870</v>
      </c>
      <c r="F80" s="8" t="s">
        <v>438</v>
      </c>
      <c r="G80" s="8" t="s">
        <v>438</v>
      </c>
      <c r="H80" s="8" t="s">
        <v>382</v>
      </c>
      <c r="I80" s="8" t="s">
        <v>871</v>
      </c>
      <c r="J80" s="8" t="s">
        <v>872</v>
      </c>
      <c r="K80" s="9" t="s">
        <v>351</v>
      </c>
      <c r="L80" s="9" t="s">
        <v>352</v>
      </c>
      <c r="M80" s="8" t="s">
        <v>442</v>
      </c>
      <c r="N80" s="8" t="s">
        <v>873</v>
      </c>
      <c r="O80" s="8" t="s">
        <v>368</v>
      </c>
      <c r="P80" s="12" t="str">
        <f>IFERROR(IF(VLOOKUP(J80,SOURCE_REGISTRY!$A$2:$E$246,5,FALSE)="","",VLOOKUP(J80,SOURCE_REGISTRY!$A$2:$E$246,5,FALSE)),"")</f>
        <v>https://www.finddx.org/about-us/donors-and-partners/calls-for-partners/</v>
      </c>
      <c r="Q80" s="9" t="s">
        <v>356</v>
      </c>
    </row>
    <row r="81" spans="1:17" ht="33.950000000000003" customHeight="1" x14ac:dyDescent="0.25">
      <c r="A81" s="8" t="s">
        <v>874</v>
      </c>
      <c r="B81" s="8" t="s">
        <v>875</v>
      </c>
      <c r="C81" s="12" t="str">
        <f>IFERROR(VLOOKUP(B81,ENTITY_MASTER!$A$2:$B$266,2,FALSE),"")</f>
        <v>GARDP</v>
      </c>
      <c r="D81" s="8" t="s">
        <v>359</v>
      </c>
      <c r="E81" s="8" t="s">
        <v>876</v>
      </c>
      <c r="F81" s="8" t="s">
        <v>438</v>
      </c>
      <c r="G81" s="8" t="s">
        <v>438</v>
      </c>
      <c r="H81" s="8" t="s">
        <v>543</v>
      </c>
      <c r="I81" s="8" t="s">
        <v>877</v>
      </c>
      <c r="J81" s="8" t="s">
        <v>878</v>
      </c>
      <c r="K81" s="9" t="s">
        <v>351</v>
      </c>
      <c r="L81" s="9" t="s">
        <v>352</v>
      </c>
      <c r="M81" s="8" t="s">
        <v>442</v>
      </c>
      <c r="N81" s="8" t="s">
        <v>879</v>
      </c>
      <c r="O81" s="8" t="s">
        <v>368</v>
      </c>
      <c r="P81" s="12" t="str">
        <f>IFERROR(IF(VLOOKUP(J81,SOURCE_REGISTRY!$A$2:$E$246,5,FALSE)="","",VLOOKUP(J81,SOURCE_REGISTRY!$A$2:$E$246,5,FALSE)),"")</f>
        <v>https://gardp.org/gardp-treatments-and-projects/</v>
      </c>
      <c r="Q81" s="9" t="s">
        <v>356</v>
      </c>
    </row>
    <row r="82" spans="1:17" ht="36.950000000000003" customHeight="1" x14ac:dyDescent="0.25">
      <c r="A82" s="8" t="s">
        <v>880</v>
      </c>
      <c r="B82" s="8" t="s">
        <v>881</v>
      </c>
      <c r="C82" s="12" t="str">
        <f>IFERROR(VLOOKUP(B82,ENTITY_MASTER!$A$2:$B$266,2,FALSE),"")</f>
        <v>Medicines for Malaria Venture</v>
      </c>
      <c r="D82" s="8" t="s">
        <v>359</v>
      </c>
      <c r="E82" s="8" t="s">
        <v>882</v>
      </c>
      <c r="F82" s="8" t="s">
        <v>883</v>
      </c>
      <c r="G82" s="8" t="s">
        <v>884</v>
      </c>
      <c r="H82" s="8" t="s">
        <v>543</v>
      </c>
      <c r="I82" s="8" t="s">
        <v>885</v>
      </c>
      <c r="J82" s="8" t="s">
        <v>886</v>
      </c>
      <c r="K82" s="9" t="s">
        <v>351</v>
      </c>
      <c r="L82" s="9" t="s">
        <v>352</v>
      </c>
      <c r="M82" s="8" t="s">
        <v>366</v>
      </c>
      <c r="N82" s="8" t="s">
        <v>887</v>
      </c>
      <c r="O82" s="8" t="s">
        <v>368</v>
      </c>
      <c r="P82" s="12" t="str">
        <f>IFERROR(IF(VLOOKUP(J82,SOURCE_REGISTRY!$A$2:$E$246,5,FALSE)="","",VLOOKUP(J82,SOURCE_REGISTRY!$A$2:$E$246,5,FALSE)),"")</f>
        <v>https://www.mmv.org/</v>
      </c>
      <c r="Q82" s="9" t="s">
        <v>356</v>
      </c>
    </row>
    <row r="83" spans="1:17" ht="36.950000000000003" customHeight="1" x14ac:dyDescent="0.25">
      <c r="A83" s="8" t="s">
        <v>888</v>
      </c>
      <c r="B83" s="8" t="s">
        <v>889</v>
      </c>
      <c r="C83" s="12" t="str">
        <f>IFERROR(VLOOKUP(B83,ENTITY_MASTER!$A$2:$B$266,2,FALSE),"")</f>
        <v>Pierre Fabre</v>
      </c>
      <c r="D83" s="8" t="s">
        <v>359</v>
      </c>
      <c r="E83" s="8" t="s">
        <v>890</v>
      </c>
      <c r="F83" s="8" t="s">
        <v>416</v>
      </c>
      <c r="G83" s="8" t="s">
        <v>891</v>
      </c>
      <c r="H83" s="8" t="s">
        <v>892</v>
      </c>
      <c r="I83" s="8" t="s">
        <v>893</v>
      </c>
      <c r="J83" s="8" t="s">
        <v>894</v>
      </c>
      <c r="K83" s="9" t="s">
        <v>351</v>
      </c>
      <c r="L83" s="9" t="s">
        <v>352</v>
      </c>
      <c r="M83" s="8" t="s">
        <v>366</v>
      </c>
      <c r="N83" s="8" t="s">
        <v>895</v>
      </c>
      <c r="O83" s="8" t="s">
        <v>896</v>
      </c>
      <c r="P83" s="12" t="str">
        <f>IFERROR(IF(VLOOKUP(J83,SOURCE_REGISTRY!$A$2:$E$246,5,FALSE)="","",VLOOKUP(J83,SOURCE_REGISTRY!$A$2:$E$246,5,FALSE)),"")</f>
        <v>https://www.ema.europa.eu/en/medicines/human/EPAR/ebvallo</v>
      </c>
      <c r="Q83" s="9" t="s">
        <v>356</v>
      </c>
    </row>
    <row r="84" spans="1:17" ht="36.950000000000003" customHeight="1" x14ac:dyDescent="0.25">
      <c r="A84" s="8" t="s">
        <v>897</v>
      </c>
      <c r="B84" s="8" t="s">
        <v>898</v>
      </c>
      <c r="C84" s="12" t="str">
        <f>IFERROR(VLOOKUP(B84,ENTITY_MASTER!$A$2:$B$266,2,FALSE),"")</f>
        <v>TB Alliance</v>
      </c>
      <c r="D84" s="8" t="s">
        <v>359</v>
      </c>
      <c r="E84" s="8" t="s">
        <v>899</v>
      </c>
      <c r="F84" s="8" t="s">
        <v>900</v>
      </c>
      <c r="G84" s="8" t="s">
        <v>901</v>
      </c>
      <c r="H84" s="8" t="s">
        <v>543</v>
      </c>
      <c r="I84" s="8" t="s">
        <v>902</v>
      </c>
      <c r="J84" s="8" t="s">
        <v>903</v>
      </c>
      <c r="K84" s="9" t="s">
        <v>351</v>
      </c>
      <c r="L84" s="9" t="s">
        <v>352</v>
      </c>
      <c r="M84" s="8" t="s">
        <v>366</v>
      </c>
      <c r="N84" s="8" t="s">
        <v>904</v>
      </c>
      <c r="O84" s="8" t="s">
        <v>368</v>
      </c>
      <c r="P84" s="12" t="str">
        <f>IFERROR(IF(VLOOKUP(J84,SOURCE_REGISTRY!$A$2:$E$246,5,FALSE)="","",VLOOKUP(J84,SOURCE_REGISTRY!$A$2:$E$246,5,FALSE)),"")</f>
        <v>https://www.tballiance.org/our-pipeline-portfolio/</v>
      </c>
      <c r="Q84" s="9" t="s">
        <v>356</v>
      </c>
    </row>
    <row r="85" spans="1:17" ht="36.950000000000003" customHeight="1" x14ac:dyDescent="0.25">
      <c r="A85" s="8" t="s">
        <v>905</v>
      </c>
      <c r="B85" s="8" t="s">
        <v>906</v>
      </c>
      <c r="C85" s="12" t="str">
        <f>IFERROR(VLOOKUP(B85,ENTITY_MASTER!$A$2:$B$266,2,FALSE),"")</f>
        <v>Eligo Bioscience</v>
      </c>
      <c r="D85" s="8" t="s">
        <v>344</v>
      </c>
      <c r="E85" s="8" t="s">
        <v>907</v>
      </c>
      <c r="F85" s="13" t="s">
        <v>372</v>
      </c>
      <c r="G85" s="13" t="s">
        <v>372</v>
      </c>
      <c r="H85" s="8" t="s">
        <v>908</v>
      </c>
      <c r="I85" s="8" t="s">
        <v>909</v>
      </c>
      <c r="J85" s="8" t="s">
        <v>910</v>
      </c>
      <c r="K85" s="9" t="s">
        <v>351</v>
      </c>
      <c r="L85" s="9" t="s">
        <v>352</v>
      </c>
      <c r="M85" s="8" t="s">
        <v>524</v>
      </c>
      <c r="N85" s="8" t="s">
        <v>911</v>
      </c>
      <c r="O85" s="8" t="s">
        <v>912</v>
      </c>
      <c r="P85" s="12" t="str">
        <f>IFERROR(IF(VLOOKUP(J85,SOURCE_REGISTRY!$A$2:$E$246,5,FALSE)="","",VLOOKUP(J85,SOURCE_REGISTRY!$A$2:$E$246,5,FALSE)),"")</f>
        <v>https://eligo.bio/platform/</v>
      </c>
      <c r="Q85" s="9" t="s">
        <v>356</v>
      </c>
    </row>
    <row r="86" spans="1:17" ht="36.950000000000003" customHeight="1" x14ac:dyDescent="0.25">
      <c r="A86" s="8" t="s">
        <v>913</v>
      </c>
      <c r="B86" s="8" t="s">
        <v>914</v>
      </c>
      <c r="C86" s="12" t="str">
        <f>IFERROR(VLOOKUP(B86,ENTITY_MASTER!$A$2:$B$266,2,FALSE),"")</f>
        <v>Sabin Vaccine Institute</v>
      </c>
      <c r="D86" s="8" t="s">
        <v>359</v>
      </c>
      <c r="E86" s="8" t="s">
        <v>915</v>
      </c>
      <c r="F86" s="8" t="s">
        <v>916</v>
      </c>
      <c r="G86" s="8" t="s">
        <v>828</v>
      </c>
      <c r="H86" s="8" t="s">
        <v>409</v>
      </c>
      <c r="I86" s="8" t="s">
        <v>917</v>
      </c>
      <c r="J86" s="8" t="s">
        <v>918</v>
      </c>
      <c r="K86" s="9" t="s">
        <v>351</v>
      </c>
      <c r="L86" s="9" t="s">
        <v>352</v>
      </c>
      <c r="M86" s="8" t="s">
        <v>524</v>
      </c>
      <c r="N86" s="8" t="s">
        <v>919</v>
      </c>
      <c r="O86" s="8" t="s">
        <v>920</v>
      </c>
      <c r="P86" s="12" t="str">
        <f>IFERROR(IF(VLOOKUP(J86,SOURCE_REGISTRY!$A$2:$E$246,5,FALSE)="","",VLOOKUP(J86,SOURCE_REGISTRY!$A$2:$E$246,5,FALSE)),"")</f>
        <v>https://sabin.org/vaccine-research-and-development/</v>
      </c>
      <c r="Q86" s="9" t="s">
        <v>356</v>
      </c>
    </row>
    <row r="87" spans="1:17" ht="36.950000000000003" customHeight="1" x14ac:dyDescent="0.25">
      <c r="A87" s="8" t="s">
        <v>921</v>
      </c>
      <c r="B87" s="8" t="s">
        <v>922</v>
      </c>
      <c r="C87" s="12" t="str">
        <f>IFERROR(VLOOKUP(B87,ENTITY_MASTER!$A$2:$B$266,2,FALSE),"")</f>
        <v>SCYNEXIS</v>
      </c>
      <c r="D87" s="8" t="s">
        <v>344</v>
      </c>
      <c r="E87" s="8" t="s">
        <v>923</v>
      </c>
      <c r="F87" s="8" t="s">
        <v>924</v>
      </c>
      <c r="G87" s="8" t="s">
        <v>925</v>
      </c>
      <c r="H87" s="8" t="s">
        <v>543</v>
      </c>
      <c r="I87" s="8" t="s">
        <v>926</v>
      </c>
      <c r="J87" s="8" t="s">
        <v>927</v>
      </c>
      <c r="K87" s="9" t="s">
        <v>351</v>
      </c>
      <c r="L87" s="9" t="s">
        <v>352</v>
      </c>
      <c r="M87" s="8" t="s">
        <v>524</v>
      </c>
      <c r="N87" s="8" t="s">
        <v>928</v>
      </c>
      <c r="O87" s="8" t="s">
        <v>929</v>
      </c>
      <c r="P87" s="12" t="str">
        <f>IFERROR(IF(VLOOKUP(J87,SOURCE_REGISTRY!$A$2:$E$246,5,FALSE)="","",VLOOKUP(J87,SOURCE_REGISTRY!$A$2:$E$246,5,FALSE)),"")</f>
        <v>https://www.scynexis.com/our-pipeline/</v>
      </c>
      <c r="Q87" s="9" t="s">
        <v>356</v>
      </c>
    </row>
    <row r="88" spans="1:17" ht="36.950000000000003" customHeight="1" x14ac:dyDescent="0.25">
      <c r="A88" s="8" t="s">
        <v>930</v>
      </c>
      <c r="B88" s="8" t="s">
        <v>931</v>
      </c>
      <c r="C88" s="12" t="str">
        <f>IFERROR(VLOOKUP(B88,ENTITY_MASTER!$A$2:$B$266,2,FALSE),"")</f>
        <v>Seegene</v>
      </c>
      <c r="D88" s="8" t="s">
        <v>344</v>
      </c>
      <c r="E88" s="8" t="s">
        <v>932</v>
      </c>
      <c r="F88" s="13" t="s">
        <v>372</v>
      </c>
      <c r="G88" s="8" t="s">
        <v>933</v>
      </c>
      <c r="H88" s="8" t="s">
        <v>382</v>
      </c>
      <c r="I88" s="8" t="s">
        <v>934</v>
      </c>
      <c r="J88" s="8" t="s">
        <v>935</v>
      </c>
      <c r="K88" s="9" t="s">
        <v>351</v>
      </c>
      <c r="L88" s="9" t="s">
        <v>352</v>
      </c>
      <c r="M88" s="8" t="s">
        <v>524</v>
      </c>
      <c r="N88" s="8" t="s">
        <v>936</v>
      </c>
      <c r="O88" s="8" t="s">
        <v>937</v>
      </c>
      <c r="P88" s="12" t="str">
        <f>IFERROR(IF(VLOOKUP(J88,SOURCE_REGISTRY!$A$2:$E$246,5,FALSE)="","",VLOOKUP(J88,SOURCE_REGISTRY!$A$2:$E$246,5,FALSE)),"")</f>
        <v>https://www.seegene.com/company/technology</v>
      </c>
      <c r="Q88" s="9" t="s">
        <v>356</v>
      </c>
    </row>
    <row r="89" spans="1:17" ht="36.950000000000003" customHeight="1" x14ac:dyDescent="0.25">
      <c r="A89" s="8" t="s">
        <v>938</v>
      </c>
      <c r="B89" s="8" t="s">
        <v>939</v>
      </c>
      <c r="C89" s="12" t="str">
        <f>IFERROR(VLOOKUP(B89,ENTITY_MASTER!$A$2:$B$266,2,FALSE),"")</f>
        <v>Venatorx Pharmaceuticals</v>
      </c>
      <c r="D89" s="8" t="s">
        <v>344</v>
      </c>
      <c r="E89" s="8" t="s">
        <v>651</v>
      </c>
      <c r="F89" s="8" t="s">
        <v>940</v>
      </c>
      <c r="G89" s="8" t="s">
        <v>941</v>
      </c>
      <c r="H89" s="8" t="s">
        <v>543</v>
      </c>
      <c r="I89" s="8" t="s">
        <v>942</v>
      </c>
      <c r="J89" s="8" t="s">
        <v>943</v>
      </c>
      <c r="K89" s="9" t="s">
        <v>351</v>
      </c>
      <c r="L89" s="14" t="s">
        <v>944</v>
      </c>
      <c r="M89" s="8" t="s">
        <v>945</v>
      </c>
      <c r="N89" s="8" t="s">
        <v>946</v>
      </c>
      <c r="O89" s="8" t="s">
        <v>947</v>
      </c>
      <c r="P89" s="12" t="str">
        <f>IFERROR(IF(VLOOKUP(J89,SOURCE_REGISTRY!$A$2:$E$246,5,FALSE)="","",VLOOKUP(J89,SOURCE_REGISTRY!$A$2:$E$246,5,FALSE)),"")</f>
        <v>https://accesstomedicinefoundation.org/company/venatorx-pharmaceuticals-inc/amrb</v>
      </c>
      <c r="Q89" s="9" t="s">
        <v>356</v>
      </c>
    </row>
    <row r="90" spans="1:17" ht="36.950000000000003" customHeight="1" x14ac:dyDescent="0.25">
      <c r="A90" s="8" t="s">
        <v>948</v>
      </c>
      <c r="B90" s="8" t="s">
        <v>949</v>
      </c>
      <c r="C90" s="12" t="str">
        <f>IFERROR(VLOOKUP(B90,ENTITY_MASTER!$A$2:$B$266,2,FALSE),"")</f>
        <v>CSL Seqirus</v>
      </c>
      <c r="D90" s="8" t="s">
        <v>344</v>
      </c>
      <c r="E90" s="8" t="s">
        <v>950</v>
      </c>
      <c r="F90" s="8" t="s">
        <v>951</v>
      </c>
      <c r="G90" s="8" t="s">
        <v>828</v>
      </c>
      <c r="H90" s="8" t="s">
        <v>409</v>
      </c>
      <c r="I90" s="8" t="s">
        <v>952</v>
      </c>
      <c r="J90" s="8" t="s">
        <v>953</v>
      </c>
      <c r="K90" s="9" t="s">
        <v>954</v>
      </c>
      <c r="L90" s="9" t="s">
        <v>352</v>
      </c>
      <c r="M90" s="8" t="s">
        <v>366</v>
      </c>
      <c r="N90" s="8" t="s">
        <v>955</v>
      </c>
      <c r="O90" s="8" t="s">
        <v>378</v>
      </c>
      <c r="P90" s="12" t="str">
        <f>IFERROR(IF(VLOOKUP(J90,SOURCE_REGISTRY!$A$2:$E$246,5,FALSE)="","",VLOOKUP(J90,SOURCE_REGISTRY!$A$2:$E$246,5,FALSE)),"")</f>
        <v>https://www.cslseqirus.us/partnering</v>
      </c>
      <c r="Q90" s="9" t="s">
        <v>356</v>
      </c>
    </row>
    <row r="91" spans="1:17" ht="36.950000000000003" customHeight="1" x14ac:dyDescent="0.25">
      <c r="A91" s="8" t="s">
        <v>956</v>
      </c>
      <c r="B91" s="8" t="s">
        <v>957</v>
      </c>
      <c r="C91" s="12" t="str">
        <f>IFERROR(VLOOKUP(B91,ENTITY_MASTER!$A$2:$B$266,2,FALSE),"")</f>
        <v>Assembly Biosciences</v>
      </c>
      <c r="D91" s="8" t="s">
        <v>344</v>
      </c>
      <c r="E91" s="8" t="s">
        <v>958</v>
      </c>
      <c r="F91" s="8" t="s">
        <v>959</v>
      </c>
      <c r="G91" s="8" t="s">
        <v>960</v>
      </c>
      <c r="H91" s="8" t="s">
        <v>543</v>
      </c>
      <c r="I91" s="8" t="s">
        <v>961</v>
      </c>
      <c r="J91" s="8" t="s">
        <v>962</v>
      </c>
      <c r="K91" s="9" t="s">
        <v>954</v>
      </c>
      <c r="L91" s="9" t="s">
        <v>352</v>
      </c>
      <c r="M91" s="8" t="s">
        <v>366</v>
      </c>
      <c r="N91" s="8" t="s">
        <v>963</v>
      </c>
      <c r="O91" s="8" t="s">
        <v>396</v>
      </c>
      <c r="P91" s="12" t="str">
        <f>IFERROR(IF(VLOOKUP(J91,SOURCE_REGISTRY!$A$2:$E$246,5,FALSE)="","",VLOOKUP(J91,SOURCE_REGISTRY!$A$2:$E$246,5,FALSE)),"")</f>
        <v>https://www.assemblybio.com/pipeline/</v>
      </c>
      <c r="Q91" s="9" t="s">
        <v>356</v>
      </c>
    </row>
    <row r="92" spans="1:17" ht="51" customHeight="1" x14ac:dyDescent="0.25">
      <c r="A92" s="8" t="s">
        <v>964</v>
      </c>
      <c r="B92" s="8" t="s">
        <v>965</v>
      </c>
      <c r="C92" s="12" t="str">
        <f>IFERROR(VLOOKUP(B92,ENTITY_MASTER!$A$2:$B$266,2,FALSE),"")</f>
        <v>Regeneron</v>
      </c>
      <c r="D92" s="8" t="s">
        <v>344</v>
      </c>
      <c r="E92" s="8" t="s">
        <v>966</v>
      </c>
      <c r="F92" s="13" t="s">
        <v>372</v>
      </c>
      <c r="G92" s="13" t="s">
        <v>372</v>
      </c>
      <c r="H92" s="13" t="s">
        <v>372</v>
      </c>
      <c r="I92" s="8" t="s">
        <v>967</v>
      </c>
      <c r="J92" s="8" t="s">
        <v>968</v>
      </c>
      <c r="K92" s="9" t="s">
        <v>954</v>
      </c>
      <c r="L92" s="9" t="s">
        <v>352</v>
      </c>
      <c r="M92" s="8" t="s">
        <v>376</v>
      </c>
      <c r="N92" s="8" t="s">
        <v>969</v>
      </c>
      <c r="O92" s="8" t="s">
        <v>378</v>
      </c>
      <c r="P92" s="12" t="str">
        <f>IFERROR(IF(VLOOKUP(J92,SOURCE_REGISTRY!$A$2:$E$246,5,FALSE)="","",VLOOKUP(J92,SOURCE_REGISTRY!$A$2:$E$246,5,FALSE)),"")</f>
        <v>https://newsroom.regeneron.com/news-releases/news-release-details/regeneron-extends-agreement-barda-provide-additional-supply</v>
      </c>
      <c r="Q92" s="9" t="s">
        <v>356</v>
      </c>
    </row>
    <row r="93" spans="1:17" ht="36.950000000000003" customHeight="1" x14ac:dyDescent="0.25">
      <c r="A93" s="8" t="s">
        <v>970</v>
      </c>
      <c r="B93" s="8" t="s">
        <v>971</v>
      </c>
      <c r="C93" s="12" t="str">
        <f>IFERROR(VLOOKUP(B93,ENTITY_MASTER!$A$2:$B$266,2,FALSE),"")</f>
        <v>Roche</v>
      </c>
      <c r="D93" s="8" t="s">
        <v>344</v>
      </c>
      <c r="E93" s="8" t="s">
        <v>446</v>
      </c>
      <c r="F93" s="13" t="s">
        <v>372</v>
      </c>
      <c r="G93" s="13" t="s">
        <v>372</v>
      </c>
      <c r="H93" s="13" t="s">
        <v>372</v>
      </c>
      <c r="I93" s="8" t="s">
        <v>972</v>
      </c>
      <c r="J93" s="8" t="s">
        <v>973</v>
      </c>
      <c r="K93" s="9" t="s">
        <v>954</v>
      </c>
      <c r="L93" s="9" t="s">
        <v>352</v>
      </c>
      <c r="M93" s="8" t="s">
        <v>376</v>
      </c>
      <c r="N93" s="8" t="s">
        <v>974</v>
      </c>
      <c r="O93" s="8" t="s">
        <v>378</v>
      </c>
      <c r="P93" s="12" t="str">
        <f>IFERROR(IF(VLOOKUP(J93,SOURCE_REGISTRY!$A$2:$E$246,5,FALSE)="","",VLOOKUP(J93,SOURCE_REGISTRY!$A$2:$E$246,5,FALSE)),"")</f>
        <v>https://www.roche.com/innovation/partnering/areas-of-interest/infectious-diseases</v>
      </c>
      <c r="Q93" s="9" t="s">
        <v>356</v>
      </c>
    </row>
    <row r="94" spans="1:17" ht="65.099999999999994" customHeight="1" x14ac:dyDescent="0.25">
      <c r="A94" s="8" t="s">
        <v>975</v>
      </c>
      <c r="B94" s="8" t="s">
        <v>976</v>
      </c>
      <c r="C94" s="12" t="str">
        <f>IFERROR(VLOOKUP(B94,ENTITY_MASTER!$A$2:$B$266,2,FALSE),"")</f>
        <v>Drugs for Neglected Diseases initiative</v>
      </c>
      <c r="D94" s="8" t="s">
        <v>344</v>
      </c>
      <c r="E94" s="8" t="s">
        <v>977</v>
      </c>
      <c r="F94" s="8" t="s">
        <v>978</v>
      </c>
      <c r="G94" s="8" t="s">
        <v>979</v>
      </c>
      <c r="H94" s="8" t="s">
        <v>980</v>
      </c>
      <c r="I94" s="8" t="s">
        <v>981</v>
      </c>
      <c r="J94" s="8" t="s">
        <v>982</v>
      </c>
      <c r="K94" s="9" t="s">
        <v>954</v>
      </c>
      <c r="L94" s="9" t="s">
        <v>352</v>
      </c>
      <c r="M94" s="8" t="s">
        <v>353</v>
      </c>
      <c r="N94" s="8" t="s">
        <v>983</v>
      </c>
      <c r="O94" s="8" t="s">
        <v>355</v>
      </c>
      <c r="P94" s="12" t="str">
        <f>IFERROR(IF(VLOOKUP(J94,SOURCE_REGISTRY!$A$2:$E$246,5,FALSE)="","",VLOOKUP(J94,SOURCE_REGISTRY!$A$2:$E$246,5,FALSE)),"")</f>
        <v>https://dndi.org/partnerships/partnering-with-us/</v>
      </c>
      <c r="Q94" s="9" t="s">
        <v>356</v>
      </c>
    </row>
    <row r="95" spans="1:17" ht="36.950000000000003" customHeight="1" x14ac:dyDescent="0.25">
      <c r="A95" s="8" t="s">
        <v>984</v>
      </c>
      <c r="B95" s="8" t="s">
        <v>985</v>
      </c>
      <c r="C95" s="12" t="str">
        <f>IFERROR(VLOOKUP(B95,ENTITY_MASTER!$A$2:$B$266,2,FALSE),"")</f>
        <v>MinervaX</v>
      </c>
      <c r="D95" s="8" t="s">
        <v>344</v>
      </c>
      <c r="E95" s="8" t="s">
        <v>841</v>
      </c>
      <c r="F95" s="13" t="s">
        <v>372</v>
      </c>
      <c r="G95" s="13" t="s">
        <v>372</v>
      </c>
      <c r="H95" s="8" t="s">
        <v>986</v>
      </c>
      <c r="I95" s="8" t="s">
        <v>987</v>
      </c>
      <c r="J95" s="8" t="s">
        <v>988</v>
      </c>
      <c r="K95" s="9" t="s">
        <v>954</v>
      </c>
      <c r="L95" s="9" t="s">
        <v>352</v>
      </c>
      <c r="M95" s="8" t="s">
        <v>394</v>
      </c>
      <c r="N95" s="8" t="s">
        <v>989</v>
      </c>
      <c r="O95" s="8" t="s">
        <v>396</v>
      </c>
      <c r="P95" s="12" t="str">
        <f>IFERROR(IF(VLOOKUP(J95,SOURCE_REGISTRY!$A$2:$E$246,5,FALSE)="","",VLOOKUP(J95,SOURCE_REGISTRY!$A$2:$E$246,5,FALSE)),"")</f>
        <v>https://minervax.com/innovation/clinical-trials/</v>
      </c>
      <c r="Q95" s="9" t="s">
        <v>356</v>
      </c>
    </row>
    <row r="96" spans="1:17" ht="36.950000000000003" customHeight="1" x14ac:dyDescent="0.25">
      <c r="A96" s="8" t="s">
        <v>990</v>
      </c>
      <c r="B96" s="8" t="s">
        <v>991</v>
      </c>
      <c r="C96" s="12" t="str">
        <f>IFERROR(VLOOKUP(B96,ENTITY_MASTER!$A$2:$B$266,2,FALSE),"")</f>
        <v>Bavarian Nordic</v>
      </c>
      <c r="D96" s="8" t="s">
        <v>344</v>
      </c>
      <c r="E96" s="8" t="s">
        <v>702</v>
      </c>
      <c r="F96" s="13" t="s">
        <v>372</v>
      </c>
      <c r="G96" s="13" t="s">
        <v>372</v>
      </c>
      <c r="H96" s="8" t="s">
        <v>409</v>
      </c>
      <c r="I96" s="8" t="s">
        <v>992</v>
      </c>
      <c r="J96" s="8" t="s">
        <v>993</v>
      </c>
      <c r="K96" s="9" t="s">
        <v>954</v>
      </c>
      <c r="L96" s="9" t="s">
        <v>352</v>
      </c>
      <c r="M96" s="8" t="s">
        <v>376</v>
      </c>
      <c r="N96" s="8" t="s">
        <v>994</v>
      </c>
      <c r="O96" s="8" t="s">
        <v>378</v>
      </c>
      <c r="P96" s="12" t="str">
        <f>IFERROR(IF(VLOOKUP(J96,SOURCE_REGISTRY!$A$2:$E$246,5,FALSE)="","",VLOOKUP(J96,SOURCE_REGISTRY!$A$2:$E$246,5,FALSE)),"")</f>
        <v>https://www.bavarian-nordic.com/investor/news/news.aspx?news=7444</v>
      </c>
      <c r="Q96" s="9" t="s">
        <v>356</v>
      </c>
    </row>
    <row r="97" spans="1:17" ht="51" customHeight="1" x14ac:dyDescent="0.25">
      <c r="A97" s="8" t="s">
        <v>995</v>
      </c>
      <c r="B97" s="8" t="s">
        <v>996</v>
      </c>
      <c r="C97" s="12" t="str">
        <f>IFERROR(VLOOKUP(B97,ENTITY_MASTER!$A$2:$B$266,2,FALSE),"")</f>
        <v>Xiamen Innovax Biotech Co Ltd</v>
      </c>
      <c r="D97" s="8" t="s">
        <v>344</v>
      </c>
      <c r="E97" s="8" t="s">
        <v>997</v>
      </c>
      <c r="F97" s="8" t="s">
        <v>998</v>
      </c>
      <c r="G97" s="8" t="s">
        <v>999</v>
      </c>
      <c r="H97" s="8" t="s">
        <v>409</v>
      </c>
      <c r="I97" s="8" t="s">
        <v>1000</v>
      </c>
      <c r="J97" s="8" t="s">
        <v>1001</v>
      </c>
      <c r="K97" s="9" t="s">
        <v>954</v>
      </c>
      <c r="L97" s="9" t="s">
        <v>352</v>
      </c>
      <c r="M97" s="8" t="s">
        <v>353</v>
      </c>
      <c r="N97" s="8" t="s">
        <v>1002</v>
      </c>
      <c r="O97" s="8" t="s">
        <v>355</v>
      </c>
      <c r="P97" s="12" t="str">
        <f>IFERROR(IF(VLOOKUP(J97,SOURCE_REGISTRY!$A$2:$E$246,5,FALSE)="","",VLOOKUP(J97,SOURCE_REGISTRY!$A$2:$E$246,5,FALSE)),"")</f>
        <v>https://www.xiameninnovax.com/products/</v>
      </c>
      <c r="Q97" s="9" t="s">
        <v>356</v>
      </c>
    </row>
    <row r="98" spans="1:17" ht="36.950000000000003" customHeight="1" x14ac:dyDescent="0.25">
      <c r="A98" s="8" t="s">
        <v>1003</v>
      </c>
      <c r="B98" s="8" t="s">
        <v>1004</v>
      </c>
      <c r="C98" s="12" t="str">
        <f>IFERROR(VLOOKUP(B98,ENTITY_MASTER!$A$2:$B$266,2,FALSE),"")</f>
        <v>Vaxxas</v>
      </c>
      <c r="D98" s="8" t="s">
        <v>344</v>
      </c>
      <c r="E98" s="8" t="s">
        <v>1005</v>
      </c>
      <c r="F98" s="13" t="s">
        <v>372</v>
      </c>
      <c r="G98" s="13" t="s">
        <v>372</v>
      </c>
      <c r="H98" s="8" t="s">
        <v>1006</v>
      </c>
      <c r="I98" s="8" t="s">
        <v>1007</v>
      </c>
      <c r="J98" s="8" t="s">
        <v>1008</v>
      </c>
      <c r="K98" s="9" t="s">
        <v>954</v>
      </c>
      <c r="L98" s="9" t="s">
        <v>352</v>
      </c>
      <c r="M98" s="8" t="s">
        <v>394</v>
      </c>
      <c r="N98" s="8" t="s">
        <v>1009</v>
      </c>
      <c r="O98" s="8" t="s">
        <v>396</v>
      </c>
      <c r="P98" s="12" t="str">
        <f>IFERROR(IF(VLOOKUP(J98,SOURCE_REGISTRY!$A$2:$E$246,5,FALSE)="","",VLOOKUP(J98,SOURCE_REGISTRY!$A$2:$E$246,5,FALSE)),"")</f>
        <v>https://vaxxas.com/about-vaxxas/</v>
      </c>
      <c r="Q98" s="9" t="s">
        <v>356</v>
      </c>
    </row>
    <row r="99" spans="1:17" ht="51" customHeight="1" x14ac:dyDescent="0.25">
      <c r="A99" s="8" t="s">
        <v>1010</v>
      </c>
      <c r="B99" s="8" t="s">
        <v>1011</v>
      </c>
      <c r="C99" s="12" t="str">
        <f>IFERROR(VLOOKUP(B99,ENTITY_MASTER!$A$2:$B$266,2,FALSE),"")</f>
        <v>Otsuka Pharmaceutical Co Ltd</v>
      </c>
      <c r="D99" s="8" t="s">
        <v>344</v>
      </c>
      <c r="E99" s="8" t="s">
        <v>1012</v>
      </c>
      <c r="F99" s="8" t="s">
        <v>900</v>
      </c>
      <c r="G99" s="8" t="s">
        <v>901</v>
      </c>
      <c r="H99" s="8" t="s">
        <v>543</v>
      </c>
      <c r="I99" s="8" t="s">
        <v>1013</v>
      </c>
      <c r="J99" s="8" t="s">
        <v>1014</v>
      </c>
      <c r="K99" s="9" t="s">
        <v>954</v>
      </c>
      <c r="L99" s="9" t="s">
        <v>352</v>
      </c>
      <c r="M99" s="8" t="s">
        <v>353</v>
      </c>
      <c r="N99" s="8" t="s">
        <v>1015</v>
      </c>
      <c r="O99" s="8" t="s">
        <v>355</v>
      </c>
      <c r="P99" s="12" t="str">
        <f>IFERROR(IF(VLOOKUP(J99,SOURCE_REGISTRY!$A$2:$E$246,5,FALSE)="","",VLOOKUP(J99,SOURCE_REGISTRY!$A$2:$E$246,5,FALSE)),"")</f>
        <v>https://www.otsuka.co.jp/en/research-and-development/pipeline/</v>
      </c>
      <c r="Q99" s="9" t="s">
        <v>356</v>
      </c>
    </row>
    <row r="100" spans="1:17" ht="36.950000000000003" customHeight="1" x14ac:dyDescent="0.25">
      <c r="A100" s="8" t="s">
        <v>1016</v>
      </c>
      <c r="B100" s="8" t="s">
        <v>1017</v>
      </c>
      <c r="C100" s="12" t="str">
        <f>IFERROR(VLOOKUP(B100,ENTITY_MASTER!$A$2:$B$266,2,FALSE),"")</f>
        <v>Locus Biosciences</v>
      </c>
      <c r="D100" s="8" t="s">
        <v>344</v>
      </c>
      <c r="E100" s="8" t="s">
        <v>1018</v>
      </c>
      <c r="F100" s="13" t="s">
        <v>372</v>
      </c>
      <c r="G100" s="13" t="s">
        <v>372</v>
      </c>
      <c r="H100" s="8" t="s">
        <v>1019</v>
      </c>
      <c r="I100" s="8" t="s">
        <v>1020</v>
      </c>
      <c r="J100" s="8" t="s">
        <v>1021</v>
      </c>
      <c r="K100" s="9" t="s">
        <v>954</v>
      </c>
      <c r="L100" s="9" t="s">
        <v>352</v>
      </c>
      <c r="M100" s="8" t="s">
        <v>394</v>
      </c>
      <c r="N100" s="8" t="s">
        <v>1022</v>
      </c>
      <c r="O100" s="8" t="s">
        <v>396</v>
      </c>
      <c r="P100" s="12" t="str">
        <f>IFERROR(IF(VLOOKUP(J100,SOURCE_REGISTRY!$A$2:$E$246,5,FALSE)="","",VLOOKUP(J100,SOURCE_REGISTRY!$A$2:$E$246,5,FALSE)),"")</f>
        <v>https://www.locus-bio.com/pipeline/</v>
      </c>
      <c r="Q100" s="9" t="s">
        <v>356</v>
      </c>
    </row>
    <row r="101" spans="1:17" ht="51" customHeight="1" x14ac:dyDescent="0.25">
      <c r="A101" s="8" t="s">
        <v>1023</v>
      </c>
      <c r="B101" s="8" t="s">
        <v>1024</v>
      </c>
      <c r="C101" s="12" t="str">
        <f>IFERROR(VLOOKUP(B101,ENTITY_MASTER!$A$2:$B$266,2,FALSE),"")</f>
        <v>Precision BioSciences</v>
      </c>
      <c r="D101" s="8" t="s">
        <v>344</v>
      </c>
      <c r="E101" s="8" t="s">
        <v>1025</v>
      </c>
      <c r="F101" s="13" t="s">
        <v>372</v>
      </c>
      <c r="G101" s="13" t="s">
        <v>372</v>
      </c>
      <c r="H101" s="8" t="s">
        <v>1026</v>
      </c>
      <c r="I101" s="8" t="s">
        <v>1027</v>
      </c>
      <c r="J101" s="8" t="s">
        <v>1028</v>
      </c>
      <c r="K101" s="9" t="s">
        <v>954</v>
      </c>
      <c r="L101" s="9" t="s">
        <v>352</v>
      </c>
      <c r="M101" s="8" t="s">
        <v>394</v>
      </c>
      <c r="N101" s="8" t="s">
        <v>1029</v>
      </c>
      <c r="O101" s="8" t="s">
        <v>396</v>
      </c>
      <c r="P101" s="12" t="str">
        <f>IFERROR(IF(VLOOKUP(J101,SOURCE_REGISTRY!$A$2:$E$246,5,FALSE)="","",VLOOKUP(J101,SOURCE_REGISTRY!$A$2:$E$246,5,FALSE)),"")</f>
        <v>https://investor.precisionbiosciences.com/news-releases/news-release-details/precision-biosciences-reports-second-quarter-2026-financial</v>
      </c>
      <c r="Q101" s="9" t="s">
        <v>356</v>
      </c>
    </row>
    <row r="102" spans="1:17" ht="36.950000000000003" customHeight="1" x14ac:dyDescent="0.25">
      <c r="A102" s="8" t="s">
        <v>1030</v>
      </c>
      <c r="B102" s="8" t="s">
        <v>1031</v>
      </c>
      <c r="C102" s="12" t="str">
        <f>IFERROR(VLOOKUP(B102,ENTITY_MASTER!$A$2:$B$266,2,FALSE),"")</f>
        <v>Takeda</v>
      </c>
      <c r="D102" s="8" t="s">
        <v>344</v>
      </c>
      <c r="E102" s="8" t="s">
        <v>1032</v>
      </c>
      <c r="F102" s="13" t="s">
        <v>372</v>
      </c>
      <c r="G102" s="13" t="s">
        <v>372</v>
      </c>
      <c r="H102" s="8" t="s">
        <v>409</v>
      </c>
      <c r="I102" s="8" t="s">
        <v>1033</v>
      </c>
      <c r="J102" s="8" t="s">
        <v>1034</v>
      </c>
      <c r="K102" s="9" t="s">
        <v>954</v>
      </c>
      <c r="L102" s="9" t="s">
        <v>352</v>
      </c>
      <c r="M102" s="8" t="s">
        <v>376</v>
      </c>
      <c r="N102" s="8" t="s">
        <v>1035</v>
      </c>
      <c r="O102" s="8" t="s">
        <v>378</v>
      </c>
      <c r="P102" s="12" t="str">
        <f>IFERROR(IF(VLOOKUP(J102,SOURCE_REGISTRY!$A$2:$E$246,5,FALSE)="","",VLOOKUP(J102,SOURCE_REGISTRY!$A$2:$E$246,5,FALSE)),"")</f>
        <v>https://www.takeda.com/science/research-and-development/partnerships/iir/</v>
      </c>
      <c r="Q102" s="9" t="s">
        <v>356</v>
      </c>
    </row>
    <row r="103" spans="1:17" ht="36.950000000000003" customHeight="1" x14ac:dyDescent="0.25">
      <c r="A103" s="8" t="s">
        <v>1036</v>
      </c>
      <c r="B103" s="8" t="s">
        <v>1037</v>
      </c>
      <c r="C103" s="12" t="str">
        <f>IFERROR(VLOOKUP(B103,ENTITY_MASTER!$A$2:$B$266,2,FALSE),"")</f>
        <v>Elion Therapeutics</v>
      </c>
      <c r="D103" s="8" t="s">
        <v>344</v>
      </c>
      <c r="E103" s="8" t="s">
        <v>1038</v>
      </c>
      <c r="F103" s="13" t="s">
        <v>372</v>
      </c>
      <c r="G103" s="13" t="s">
        <v>372</v>
      </c>
      <c r="H103" s="8" t="s">
        <v>543</v>
      </c>
      <c r="I103" s="8" t="s">
        <v>1039</v>
      </c>
      <c r="J103" s="8" t="s">
        <v>1040</v>
      </c>
      <c r="K103" s="9" t="s">
        <v>954</v>
      </c>
      <c r="L103" s="9" t="s">
        <v>352</v>
      </c>
      <c r="M103" s="8" t="s">
        <v>394</v>
      </c>
      <c r="N103" s="8" t="s">
        <v>1041</v>
      </c>
      <c r="O103" s="8" t="s">
        <v>396</v>
      </c>
      <c r="P103" s="12" t="str">
        <f>IFERROR(IF(VLOOKUP(J103,SOURCE_REGISTRY!$A$2:$E$246,5,FALSE)="","",VLOOKUP(J103,SOURCE_REGISTRY!$A$2:$E$246,5,FALSE)),"")</f>
        <v>https://www.amractionfund.com/investments</v>
      </c>
      <c r="Q103" s="9" t="s">
        <v>356</v>
      </c>
    </row>
    <row r="104" spans="1:17" ht="36.950000000000003" customHeight="1" x14ac:dyDescent="0.25">
      <c r="A104" s="8" t="s">
        <v>1042</v>
      </c>
      <c r="B104" s="8" t="s">
        <v>1043</v>
      </c>
      <c r="C104" s="12" t="str">
        <f>IFERROR(VLOOKUP(B104,ENTITY_MASTER!$A$2:$B$266,2,FALSE),"")</f>
        <v>Hologic</v>
      </c>
      <c r="D104" s="8" t="s">
        <v>344</v>
      </c>
      <c r="E104" s="8" t="s">
        <v>1044</v>
      </c>
      <c r="F104" s="13" t="s">
        <v>372</v>
      </c>
      <c r="G104" s="13" t="s">
        <v>372</v>
      </c>
      <c r="H104" s="8" t="s">
        <v>382</v>
      </c>
      <c r="I104" s="8" t="s">
        <v>1045</v>
      </c>
      <c r="J104" s="8" t="s">
        <v>1046</v>
      </c>
      <c r="K104" s="9" t="s">
        <v>954</v>
      </c>
      <c r="L104" s="9" t="s">
        <v>352</v>
      </c>
      <c r="M104" s="8" t="s">
        <v>524</v>
      </c>
      <c r="N104" s="8" t="s">
        <v>1047</v>
      </c>
      <c r="O104" s="8" t="s">
        <v>1048</v>
      </c>
      <c r="P104" s="12" t="str">
        <f>IFERROR(IF(VLOOKUP(J104,SOURCE_REGISTRY!$A$2:$E$246,5,FALSE)="","",VLOOKUP(J104,SOURCE_REGISTRY!$A$2:$E$246,5,FALSE)),"")</f>
        <v>https://www.hologic.com/molecular-diagnostics</v>
      </c>
      <c r="Q104" s="9" t="s">
        <v>356</v>
      </c>
    </row>
    <row r="105" spans="1:17" ht="51" hidden="1" customHeight="1" outlineLevel="1" x14ac:dyDescent="0.25">
      <c r="A105" s="8" t="s">
        <v>1049</v>
      </c>
      <c r="B105" s="8" t="s">
        <v>1050</v>
      </c>
      <c r="C105" s="12" t="str">
        <f>IFERROR(VLOOKUP(B105,ENTITY_MASTER!$A$2:$B$266,2,FALSE),"")</f>
        <v>KM Biologics Co Ltd</v>
      </c>
      <c r="D105" s="8" t="s">
        <v>344</v>
      </c>
      <c r="E105" s="8" t="s">
        <v>1051</v>
      </c>
      <c r="F105" s="13" t="s">
        <v>372</v>
      </c>
      <c r="G105" s="13" t="s">
        <v>372</v>
      </c>
      <c r="H105" s="13" t="s">
        <v>372</v>
      </c>
      <c r="I105" s="8" t="s">
        <v>1052</v>
      </c>
      <c r="J105" s="8" t="s">
        <v>1053</v>
      </c>
      <c r="K105" s="9" t="s">
        <v>351</v>
      </c>
      <c r="L105" s="9" t="s">
        <v>352</v>
      </c>
      <c r="M105" s="8" t="s">
        <v>1054</v>
      </c>
      <c r="N105" s="8" t="s">
        <v>1055</v>
      </c>
      <c r="O105" s="8" t="s">
        <v>607</v>
      </c>
      <c r="P105" s="12" t="str">
        <f>IFERROR(IF(VLOOKUP(J105,SOURCE_REGISTRY!$A$2:$E$246,5,FALSE)="","",VLOOKUP(J105,SOURCE_REGISTRY!$A$2:$E$246,5,FALSE)),"")</f>
        <v/>
      </c>
      <c r="Q105" s="9" t="s">
        <v>1056</v>
      </c>
    </row>
    <row r="106" spans="1:17" ht="51" hidden="1" customHeight="1" outlineLevel="1" x14ac:dyDescent="0.25">
      <c r="A106" s="8" t="s">
        <v>1057</v>
      </c>
      <c r="B106" s="8" t="s">
        <v>1058</v>
      </c>
      <c r="C106" s="12" t="str">
        <f>IFERROR(VLOOKUP(B106,ENTITY_MASTER!$A$2:$B$266,2,FALSE),"")</f>
        <v>Shenzhen Rhegen Biotechnology Co Ltd</v>
      </c>
      <c r="D106" s="8" t="s">
        <v>344</v>
      </c>
      <c r="E106" s="8" t="s">
        <v>1059</v>
      </c>
      <c r="F106" s="13" t="s">
        <v>372</v>
      </c>
      <c r="G106" s="13" t="s">
        <v>372</v>
      </c>
      <c r="H106" s="8" t="s">
        <v>409</v>
      </c>
      <c r="I106" s="8" t="s">
        <v>1060</v>
      </c>
      <c r="J106" s="8" t="s">
        <v>1053</v>
      </c>
      <c r="K106" s="9" t="s">
        <v>351</v>
      </c>
      <c r="L106" s="9" t="s">
        <v>352</v>
      </c>
      <c r="M106" s="8" t="s">
        <v>1054</v>
      </c>
      <c r="N106" s="8" t="s">
        <v>1061</v>
      </c>
      <c r="O106" s="8" t="s">
        <v>607</v>
      </c>
      <c r="P106" s="12" t="str">
        <f>IFERROR(IF(VLOOKUP(J106,SOURCE_REGISTRY!$A$2:$E$246,5,FALSE)="","",VLOOKUP(J106,SOURCE_REGISTRY!$A$2:$E$246,5,FALSE)),"")</f>
        <v/>
      </c>
      <c r="Q106" s="9" t="s">
        <v>1056</v>
      </c>
    </row>
    <row r="107" spans="1:17" ht="51" hidden="1" customHeight="1" outlineLevel="1" x14ac:dyDescent="0.25">
      <c r="A107" s="8" t="s">
        <v>1062</v>
      </c>
      <c r="B107" s="8" t="s">
        <v>1063</v>
      </c>
      <c r="C107" s="12" t="str">
        <f>IFERROR(VLOOKUP(B107,ENTITY_MASTER!$A$2:$B$266,2,FALSE),"")</f>
        <v>City of Hope</v>
      </c>
      <c r="D107" s="8" t="s">
        <v>344</v>
      </c>
      <c r="E107" s="8" t="s">
        <v>1064</v>
      </c>
      <c r="F107" s="13" t="s">
        <v>372</v>
      </c>
      <c r="G107" s="13" t="s">
        <v>372</v>
      </c>
      <c r="H107" s="8" t="s">
        <v>801</v>
      </c>
      <c r="I107" s="8" t="s">
        <v>1065</v>
      </c>
      <c r="J107" s="8" t="s">
        <v>1053</v>
      </c>
      <c r="K107" s="9" t="s">
        <v>351</v>
      </c>
      <c r="L107" s="9" t="s">
        <v>352</v>
      </c>
      <c r="M107" s="8" t="s">
        <v>1054</v>
      </c>
      <c r="N107" s="8" t="s">
        <v>1066</v>
      </c>
      <c r="O107" s="8" t="s">
        <v>607</v>
      </c>
      <c r="P107" s="12" t="str">
        <f>IFERROR(IF(VLOOKUP(J107,SOURCE_REGISTRY!$A$2:$E$246,5,FALSE)="","",VLOOKUP(J107,SOURCE_REGISTRY!$A$2:$E$246,5,FALSE)),"")</f>
        <v/>
      </c>
      <c r="Q107" s="9" t="s">
        <v>1056</v>
      </c>
    </row>
    <row r="108" spans="1:17" ht="51" hidden="1" customHeight="1" outlineLevel="1" x14ac:dyDescent="0.25">
      <c r="A108" s="8" t="s">
        <v>1067</v>
      </c>
      <c r="B108" s="8" t="s">
        <v>1068</v>
      </c>
      <c r="C108" s="12" t="str">
        <f>IFERROR(VLOOKUP(B108,ENTITY_MASTER!$A$2:$B$266,2,FALSE),"")</f>
        <v>60 Degrees Pharmaceuticals Inc</v>
      </c>
      <c r="D108" s="8" t="s">
        <v>344</v>
      </c>
      <c r="E108" s="8" t="s">
        <v>1069</v>
      </c>
      <c r="F108" s="13" t="s">
        <v>372</v>
      </c>
      <c r="G108" s="13" t="s">
        <v>372</v>
      </c>
      <c r="H108" s="8" t="s">
        <v>543</v>
      </c>
      <c r="I108" s="8" t="s">
        <v>1070</v>
      </c>
      <c r="J108" s="8" t="s">
        <v>1053</v>
      </c>
      <c r="K108" s="9" t="s">
        <v>351</v>
      </c>
      <c r="L108" s="9" t="s">
        <v>352</v>
      </c>
      <c r="M108" s="8" t="s">
        <v>1054</v>
      </c>
      <c r="N108" s="8" t="s">
        <v>1071</v>
      </c>
      <c r="O108" s="8" t="s">
        <v>607</v>
      </c>
      <c r="P108" s="12" t="str">
        <f>IFERROR(IF(VLOOKUP(J108,SOURCE_REGISTRY!$A$2:$E$246,5,FALSE)="","",VLOOKUP(J108,SOURCE_REGISTRY!$A$2:$E$246,5,FALSE)),"")</f>
        <v/>
      </c>
      <c r="Q108" s="9" t="s">
        <v>1056</v>
      </c>
    </row>
    <row r="109" spans="1:17" ht="51" hidden="1" customHeight="1" outlineLevel="1" x14ac:dyDescent="0.25">
      <c r="A109" s="8" t="s">
        <v>1072</v>
      </c>
      <c r="B109" s="8" t="s">
        <v>1073</v>
      </c>
      <c r="C109" s="12" t="str">
        <f>IFERROR(VLOOKUP(B109,ENTITY_MASTER!$A$2:$B$266,2,FALSE),"")</f>
        <v>Sinovac Biotech Ltd</v>
      </c>
      <c r="D109" s="8" t="s">
        <v>344</v>
      </c>
      <c r="E109" s="8" t="s">
        <v>1074</v>
      </c>
      <c r="F109" s="13" t="s">
        <v>372</v>
      </c>
      <c r="G109" s="13" t="s">
        <v>372</v>
      </c>
      <c r="H109" s="8" t="s">
        <v>425</v>
      </c>
      <c r="I109" s="8" t="s">
        <v>1075</v>
      </c>
      <c r="J109" s="8" t="s">
        <v>1053</v>
      </c>
      <c r="K109" s="9" t="s">
        <v>351</v>
      </c>
      <c r="L109" s="9" t="s">
        <v>352</v>
      </c>
      <c r="M109" s="8" t="s">
        <v>1054</v>
      </c>
      <c r="N109" s="8" t="s">
        <v>1076</v>
      </c>
      <c r="O109" s="8" t="s">
        <v>607</v>
      </c>
      <c r="P109" s="12" t="str">
        <f>IFERROR(IF(VLOOKUP(J109,SOURCE_REGISTRY!$A$2:$E$246,5,FALSE)="","",VLOOKUP(J109,SOURCE_REGISTRY!$A$2:$E$246,5,FALSE)),"")</f>
        <v/>
      </c>
      <c r="Q109" s="9" t="s">
        <v>1056</v>
      </c>
    </row>
    <row r="110" spans="1:17" ht="51" hidden="1" customHeight="1" outlineLevel="1" x14ac:dyDescent="0.25">
      <c r="A110" s="8" t="s">
        <v>1077</v>
      </c>
      <c r="B110" s="8" t="s">
        <v>1078</v>
      </c>
      <c r="C110" s="12" t="str">
        <f>IFERROR(VLOOKUP(B110,ENTITY_MASTER!$A$2:$B$266,2,FALSE),"")</f>
        <v>Rebiotix Inc</v>
      </c>
      <c r="D110" s="8" t="s">
        <v>344</v>
      </c>
      <c r="E110" s="8" t="s">
        <v>529</v>
      </c>
      <c r="F110" s="13" t="s">
        <v>372</v>
      </c>
      <c r="G110" s="13" t="s">
        <v>372</v>
      </c>
      <c r="H110" s="8" t="s">
        <v>373</v>
      </c>
      <c r="I110" s="8" t="s">
        <v>1079</v>
      </c>
      <c r="J110" s="8" t="s">
        <v>1053</v>
      </c>
      <c r="K110" s="9" t="s">
        <v>351</v>
      </c>
      <c r="L110" s="9" t="s">
        <v>352</v>
      </c>
      <c r="M110" s="8" t="s">
        <v>1054</v>
      </c>
      <c r="N110" s="8" t="s">
        <v>1080</v>
      </c>
      <c r="O110" s="8" t="s">
        <v>607</v>
      </c>
      <c r="P110" s="12" t="str">
        <f>IFERROR(IF(VLOOKUP(J110,SOURCE_REGISTRY!$A$2:$E$246,5,FALSE)="","",VLOOKUP(J110,SOURCE_REGISTRY!$A$2:$E$246,5,FALSE)),"")</f>
        <v/>
      </c>
      <c r="Q110" s="9" t="s">
        <v>1056</v>
      </c>
    </row>
    <row r="111" spans="1:17" ht="51" hidden="1" customHeight="1" outlineLevel="1" x14ac:dyDescent="0.25">
      <c r="A111" s="8" t="s">
        <v>1081</v>
      </c>
      <c r="B111" s="8" t="s">
        <v>1082</v>
      </c>
      <c r="C111" s="12" t="str">
        <f>IFERROR(VLOOKUP(B111,ENTITY_MASTER!$A$2:$B$266,2,FALSE),"")</f>
        <v>Chengdu Olymvax Biopharmaceuticals Inc</v>
      </c>
      <c r="D111" s="8" t="s">
        <v>344</v>
      </c>
      <c r="E111" s="8" t="s">
        <v>371</v>
      </c>
      <c r="F111" s="13" t="s">
        <v>372</v>
      </c>
      <c r="G111" s="13" t="s">
        <v>372</v>
      </c>
      <c r="H111" s="8" t="s">
        <v>409</v>
      </c>
      <c r="I111" s="8" t="s">
        <v>1083</v>
      </c>
      <c r="J111" s="8" t="s">
        <v>1053</v>
      </c>
      <c r="K111" s="9" t="s">
        <v>351</v>
      </c>
      <c r="L111" s="9" t="s">
        <v>352</v>
      </c>
      <c r="M111" s="8" t="s">
        <v>1054</v>
      </c>
      <c r="N111" s="8" t="s">
        <v>1084</v>
      </c>
      <c r="O111" s="8" t="s">
        <v>607</v>
      </c>
      <c r="P111" s="12" t="str">
        <f>IFERROR(IF(VLOOKUP(J111,SOURCE_REGISTRY!$A$2:$E$246,5,FALSE)="","",VLOOKUP(J111,SOURCE_REGISTRY!$A$2:$E$246,5,FALSE)),"")</f>
        <v/>
      </c>
      <c r="Q111" s="9" t="s">
        <v>1056</v>
      </c>
    </row>
    <row r="112" spans="1:17" ht="51" hidden="1" customHeight="1" outlineLevel="1" x14ac:dyDescent="0.25">
      <c r="A112" s="8" t="s">
        <v>1085</v>
      </c>
      <c r="B112" s="8" t="s">
        <v>1086</v>
      </c>
      <c r="C112" s="12" t="str">
        <f>IFERROR(VLOOKUP(B112,ENTITY_MASTER!$A$2:$B$266,2,FALSE),"")</f>
        <v>Quratis Inc</v>
      </c>
      <c r="D112" s="8" t="s">
        <v>344</v>
      </c>
      <c r="E112" s="8" t="s">
        <v>1087</v>
      </c>
      <c r="F112" s="13" t="s">
        <v>372</v>
      </c>
      <c r="G112" s="13" t="s">
        <v>372</v>
      </c>
      <c r="H112" s="8" t="s">
        <v>409</v>
      </c>
      <c r="I112" s="8" t="s">
        <v>1088</v>
      </c>
      <c r="J112" s="8" t="s">
        <v>1053</v>
      </c>
      <c r="K112" s="9" t="s">
        <v>351</v>
      </c>
      <c r="L112" s="9" t="s">
        <v>352</v>
      </c>
      <c r="M112" s="8" t="s">
        <v>1054</v>
      </c>
      <c r="N112" s="8" t="s">
        <v>1089</v>
      </c>
      <c r="O112" s="8" t="s">
        <v>607</v>
      </c>
      <c r="P112" s="12" t="str">
        <f>IFERROR(IF(VLOOKUP(J112,SOURCE_REGISTRY!$A$2:$E$246,5,FALSE)="","",VLOOKUP(J112,SOURCE_REGISTRY!$A$2:$E$246,5,FALSE)),"")</f>
        <v/>
      </c>
      <c r="Q112" s="9" t="s">
        <v>1056</v>
      </c>
    </row>
    <row r="113" spans="1:17" ht="51" hidden="1" customHeight="1" outlineLevel="1" x14ac:dyDescent="0.25">
      <c r="A113" s="8" t="s">
        <v>1090</v>
      </c>
      <c r="B113" s="8" t="s">
        <v>1091</v>
      </c>
      <c r="C113" s="12" t="str">
        <f>IFERROR(VLOOKUP(B113,ENTITY_MASTER!$A$2:$B$266,2,FALSE),"")</f>
        <v>Vital Korea</v>
      </c>
      <c r="D113" s="8" t="s">
        <v>344</v>
      </c>
      <c r="E113" s="8" t="s">
        <v>1092</v>
      </c>
      <c r="F113" s="13" t="s">
        <v>372</v>
      </c>
      <c r="G113" s="13" t="s">
        <v>372</v>
      </c>
      <c r="H113" s="8" t="s">
        <v>409</v>
      </c>
      <c r="I113" s="8" t="s">
        <v>1093</v>
      </c>
      <c r="J113" s="8" t="s">
        <v>1053</v>
      </c>
      <c r="K113" s="9" t="s">
        <v>351</v>
      </c>
      <c r="L113" s="9" t="s">
        <v>352</v>
      </c>
      <c r="M113" s="8" t="s">
        <v>1054</v>
      </c>
      <c r="N113" s="8" t="s">
        <v>1094</v>
      </c>
      <c r="O113" s="8" t="s">
        <v>607</v>
      </c>
      <c r="P113" s="12" t="str">
        <f>IFERROR(IF(VLOOKUP(J113,SOURCE_REGISTRY!$A$2:$E$246,5,FALSE)="","",VLOOKUP(J113,SOURCE_REGISTRY!$A$2:$E$246,5,FALSE)),"")</f>
        <v/>
      </c>
      <c r="Q113" s="9" t="s">
        <v>1056</v>
      </c>
    </row>
    <row r="114" spans="1:17" ht="65.099999999999994" hidden="1" customHeight="1" outlineLevel="1" x14ac:dyDescent="0.25">
      <c r="A114" s="8" t="s">
        <v>1095</v>
      </c>
      <c r="B114" s="8" t="s">
        <v>1096</v>
      </c>
      <c r="C114" s="12" t="str">
        <f>IFERROR(VLOOKUP(B114,ENTITY_MASTER!$A$2:$B$266,2,FALSE),"")</f>
        <v>Palisades Therapeutics</v>
      </c>
      <c r="D114" s="8" t="s">
        <v>344</v>
      </c>
      <c r="E114" s="8" t="s">
        <v>1097</v>
      </c>
      <c r="F114" s="13" t="s">
        <v>372</v>
      </c>
      <c r="G114" s="13" t="s">
        <v>372</v>
      </c>
      <c r="H114" s="13" t="s">
        <v>372</v>
      </c>
      <c r="I114" s="8" t="s">
        <v>1098</v>
      </c>
      <c r="J114" s="8" t="s">
        <v>1053</v>
      </c>
      <c r="K114" s="9" t="s">
        <v>351</v>
      </c>
      <c r="L114" s="9" t="s">
        <v>352</v>
      </c>
      <c r="M114" s="8" t="s">
        <v>1054</v>
      </c>
      <c r="N114" s="8" t="s">
        <v>1099</v>
      </c>
      <c r="O114" s="8" t="s">
        <v>607</v>
      </c>
      <c r="P114" s="12" t="str">
        <f>IFERROR(IF(VLOOKUP(J114,SOURCE_REGISTRY!$A$2:$E$246,5,FALSE)="","",VLOOKUP(J114,SOURCE_REGISTRY!$A$2:$E$246,5,FALSE)),"")</f>
        <v/>
      </c>
      <c r="Q114" s="9" t="s">
        <v>1056</v>
      </c>
    </row>
    <row r="115" spans="1:17" ht="51" hidden="1" customHeight="1" outlineLevel="1" x14ac:dyDescent="0.25">
      <c r="A115" s="8" t="s">
        <v>1100</v>
      </c>
      <c r="B115" s="8" t="s">
        <v>1101</v>
      </c>
      <c r="C115" s="12" t="str">
        <f>IFERROR(VLOOKUP(B115,ENTITY_MASTER!$A$2:$B$266,2,FALSE),"")</f>
        <v>Bayer AG</v>
      </c>
      <c r="D115" s="8" t="s">
        <v>344</v>
      </c>
      <c r="E115" s="8" t="s">
        <v>763</v>
      </c>
      <c r="F115" s="13" t="s">
        <v>372</v>
      </c>
      <c r="G115" s="13" t="s">
        <v>372</v>
      </c>
      <c r="H115" s="13" t="s">
        <v>372</v>
      </c>
      <c r="I115" s="8" t="s">
        <v>1102</v>
      </c>
      <c r="J115" s="8" t="s">
        <v>1053</v>
      </c>
      <c r="K115" s="9" t="s">
        <v>351</v>
      </c>
      <c r="L115" s="9" t="s">
        <v>352</v>
      </c>
      <c r="M115" s="8" t="s">
        <v>1054</v>
      </c>
      <c r="N115" s="8" t="s">
        <v>1103</v>
      </c>
      <c r="O115" s="8" t="s">
        <v>607</v>
      </c>
      <c r="P115" s="12" t="str">
        <f>IFERROR(IF(VLOOKUP(J115,SOURCE_REGISTRY!$A$2:$E$246,5,FALSE)="","",VLOOKUP(J115,SOURCE_REGISTRY!$A$2:$E$246,5,FALSE)),"")</f>
        <v/>
      </c>
      <c r="Q115" s="9" t="s">
        <v>1056</v>
      </c>
    </row>
    <row r="116" spans="1:17" ht="51" hidden="1" customHeight="1" outlineLevel="1" x14ac:dyDescent="0.25">
      <c r="A116" s="8" t="s">
        <v>1104</v>
      </c>
      <c r="B116" s="8" t="s">
        <v>1105</v>
      </c>
      <c r="C116" s="12" t="str">
        <f>IFERROR(VLOOKUP(B116,ENTITY_MASTER!$A$2:$B$266,2,FALSE),"")</f>
        <v>Indian Immunologicals Ltd</v>
      </c>
      <c r="D116" s="8" t="s">
        <v>344</v>
      </c>
      <c r="E116" s="8" t="s">
        <v>1051</v>
      </c>
      <c r="F116" s="13" t="s">
        <v>372</v>
      </c>
      <c r="G116" s="13" t="s">
        <v>372</v>
      </c>
      <c r="H116" s="8" t="s">
        <v>409</v>
      </c>
      <c r="I116" s="8" t="s">
        <v>1106</v>
      </c>
      <c r="J116" s="8" t="s">
        <v>1053</v>
      </c>
      <c r="K116" s="9" t="s">
        <v>351</v>
      </c>
      <c r="L116" s="9" t="s">
        <v>352</v>
      </c>
      <c r="M116" s="8" t="s">
        <v>1054</v>
      </c>
      <c r="N116" s="8" t="s">
        <v>1107</v>
      </c>
      <c r="O116" s="8" t="s">
        <v>607</v>
      </c>
      <c r="P116" s="12" t="str">
        <f>IFERROR(IF(VLOOKUP(J116,SOURCE_REGISTRY!$A$2:$E$246,5,FALSE)="","",VLOOKUP(J116,SOURCE_REGISTRY!$A$2:$E$246,5,FALSE)),"")</f>
        <v/>
      </c>
      <c r="Q116" s="9" t="s">
        <v>1056</v>
      </c>
    </row>
    <row r="117" spans="1:17" ht="51" hidden="1" customHeight="1" outlineLevel="1" x14ac:dyDescent="0.25">
      <c r="A117" s="8" t="s">
        <v>1108</v>
      </c>
      <c r="B117" s="8" t="s">
        <v>1109</v>
      </c>
      <c r="C117" s="12" t="str">
        <f>IFERROR(VLOOKUP(B117,ENTITY_MASTER!$A$2:$B$266,2,FALSE),"")</f>
        <v>Biological E Ltd</v>
      </c>
      <c r="D117" s="8" t="s">
        <v>344</v>
      </c>
      <c r="E117" s="8" t="s">
        <v>1110</v>
      </c>
      <c r="F117" s="13" t="s">
        <v>372</v>
      </c>
      <c r="G117" s="13" t="s">
        <v>372</v>
      </c>
      <c r="H117" s="8" t="s">
        <v>409</v>
      </c>
      <c r="I117" s="8" t="s">
        <v>1111</v>
      </c>
      <c r="J117" s="8" t="s">
        <v>1053</v>
      </c>
      <c r="K117" s="9" t="s">
        <v>351</v>
      </c>
      <c r="L117" s="9" t="s">
        <v>352</v>
      </c>
      <c r="M117" s="8" t="s">
        <v>1054</v>
      </c>
      <c r="N117" s="8" t="s">
        <v>1112</v>
      </c>
      <c r="O117" s="8" t="s">
        <v>607</v>
      </c>
      <c r="P117" s="12" t="str">
        <f>IFERROR(IF(VLOOKUP(J117,SOURCE_REGISTRY!$A$2:$E$246,5,FALSE)="","",VLOOKUP(J117,SOURCE_REGISTRY!$A$2:$E$246,5,FALSE)),"")</f>
        <v/>
      </c>
      <c r="Q117" s="9" t="s">
        <v>1056</v>
      </c>
    </row>
    <row r="118" spans="1:17" ht="51" hidden="1" customHeight="1" outlineLevel="1" x14ac:dyDescent="0.25">
      <c r="A118" s="8" t="s">
        <v>1113</v>
      </c>
      <c r="B118" s="8" t="s">
        <v>1114</v>
      </c>
      <c r="C118" s="12" t="str">
        <f>IFERROR(VLOOKUP(B118,ENTITY_MASTER!$A$2:$B$266,2,FALSE),"")</f>
        <v>BioNet-Asia Co Ltd</v>
      </c>
      <c r="D118" s="8" t="s">
        <v>344</v>
      </c>
      <c r="E118" s="8" t="s">
        <v>702</v>
      </c>
      <c r="F118" s="13" t="s">
        <v>372</v>
      </c>
      <c r="G118" s="13" t="s">
        <v>372</v>
      </c>
      <c r="H118" s="8" t="s">
        <v>409</v>
      </c>
      <c r="I118" s="8" t="s">
        <v>1115</v>
      </c>
      <c r="J118" s="8" t="s">
        <v>1053</v>
      </c>
      <c r="K118" s="9" t="s">
        <v>351</v>
      </c>
      <c r="L118" s="9" t="s">
        <v>352</v>
      </c>
      <c r="M118" s="8" t="s">
        <v>1054</v>
      </c>
      <c r="N118" s="8" t="s">
        <v>1116</v>
      </c>
      <c r="O118" s="8" t="s">
        <v>607</v>
      </c>
      <c r="P118" s="12" t="str">
        <f>IFERROR(IF(VLOOKUP(J118,SOURCE_REGISTRY!$A$2:$E$246,5,FALSE)="","",VLOOKUP(J118,SOURCE_REGISTRY!$A$2:$E$246,5,FALSE)),"")</f>
        <v/>
      </c>
      <c r="Q118" s="9" t="s">
        <v>1056</v>
      </c>
    </row>
    <row r="119" spans="1:17" ht="51" hidden="1" customHeight="1" outlineLevel="1" x14ac:dyDescent="0.25">
      <c r="A119" s="8" t="s">
        <v>1117</v>
      </c>
      <c r="B119" s="8" t="s">
        <v>1118</v>
      </c>
      <c r="C119" s="12" t="str">
        <f>IFERROR(VLOOKUP(B119,ENTITY_MASTER!$A$2:$B$266,2,FALSE),"")</f>
        <v>Suzhou Abogen Biosciences Co Ltd</v>
      </c>
      <c r="D119" s="8" t="s">
        <v>344</v>
      </c>
      <c r="E119" s="8" t="s">
        <v>1119</v>
      </c>
      <c r="F119" s="13" t="s">
        <v>372</v>
      </c>
      <c r="G119" s="13" t="s">
        <v>372</v>
      </c>
      <c r="H119" s="8" t="s">
        <v>409</v>
      </c>
      <c r="I119" s="8" t="s">
        <v>1120</v>
      </c>
      <c r="J119" s="8" t="s">
        <v>1053</v>
      </c>
      <c r="K119" s="9" t="s">
        <v>351</v>
      </c>
      <c r="L119" s="9" t="s">
        <v>352</v>
      </c>
      <c r="M119" s="8" t="s">
        <v>1054</v>
      </c>
      <c r="N119" s="8" t="s">
        <v>1121</v>
      </c>
      <c r="O119" s="8" t="s">
        <v>607</v>
      </c>
      <c r="P119" s="12" t="str">
        <f>IFERROR(IF(VLOOKUP(J119,SOURCE_REGISTRY!$A$2:$E$246,5,FALSE)="","",VLOOKUP(J119,SOURCE_REGISTRY!$A$2:$E$246,5,FALSE)),"")</f>
        <v/>
      </c>
      <c r="Q119" s="9" t="s">
        <v>1056</v>
      </c>
    </row>
    <row r="120" spans="1:17" ht="51" hidden="1" customHeight="1" outlineLevel="1" x14ac:dyDescent="0.25">
      <c r="A120" s="8" t="s">
        <v>1122</v>
      </c>
      <c r="B120" s="8" t="s">
        <v>1123</v>
      </c>
      <c r="C120" s="12" t="str">
        <f>IFERROR(VLOOKUP(B120,ENTITY_MASTER!$A$2:$B$266,2,FALSE),"")</f>
        <v>Chia Tai Tianqing Pharmaceutical Group Co Ltd</v>
      </c>
      <c r="D120" s="8" t="s">
        <v>344</v>
      </c>
      <c r="E120" s="8" t="s">
        <v>1124</v>
      </c>
      <c r="F120" s="13" t="s">
        <v>372</v>
      </c>
      <c r="G120" s="13" t="s">
        <v>372</v>
      </c>
      <c r="H120" s="13" t="s">
        <v>372</v>
      </c>
      <c r="I120" s="8" t="s">
        <v>1125</v>
      </c>
      <c r="J120" s="8" t="s">
        <v>1053</v>
      </c>
      <c r="K120" s="9" t="s">
        <v>351</v>
      </c>
      <c r="L120" s="9" t="s">
        <v>352</v>
      </c>
      <c r="M120" s="8" t="s">
        <v>1054</v>
      </c>
      <c r="N120" s="8" t="s">
        <v>1126</v>
      </c>
      <c r="O120" s="8" t="s">
        <v>607</v>
      </c>
      <c r="P120" s="12" t="str">
        <f>IFERROR(IF(VLOOKUP(J120,SOURCE_REGISTRY!$A$2:$E$246,5,FALSE)="","",VLOOKUP(J120,SOURCE_REGISTRY!$A$2:$E$246,5,FALSE)),"")</f>
        <v/>
      </c>
      <c r="Q120" s="9" t="s">
        <v>1056</v>
      </c>
    </row>
    <row r="121" spans="1:17" ht="51" hidden="1" customHeight="1" outlineLevel="1" x14ac:dyDescent="0.25">
      <c r="A121" s="8" t="s">
        <v>1127</v>
      </c>
      <c r="B121" s="8" t="s">
        <v>1128</v>
      </c>
      <c r="C121" s="12" t="str">
        <f>IFERROR(VLOOKUP(B121,ENTITY_MASTER!$A$2:$B$266,2,FALSE),"")</f>
        <v>Shanxi Kangbao Biological Product Co Ltd</v>
      </c>
      <c r="D121" s="8" t="s">
        <v>344</v>
      </c>
      <c r="E121" s="8" t="s">
        <v>1129</v>
      </c>
      <c r="F121" s="13" t="s">
        <v>372</v>
      </c>
      <c r="G121" s="13" t="s">
        <v>372</v>
      </c>
      <c r="H121" s="8" t="s">
        <v>425</v>
      </c>
      <c r="I121" s="8" t="s">
        <v>1130</v>
      </c>
      <c r="J121" s="8" t="s">
        <v>1053</v>
      </c>
      <c r="K121" s="9" t="s">
        <v>351</v>
      </c>
      <c r="L121" s="9" t="s">
        <v>352</v>
      </c>
      <c r="M121" s="8" t="s">
        <v>1054</v>
      </c>
      <c r="N121" s="8" t="s">
        <v>1131</v>
      </c>
      <c r="O121" s="8" t="s">
        <v>607</v>
      </c>
      <c r="P121" s="12" t="str">
        <f>IFERROR(IF(VLOOKUP(J121,SOURCE_REGISTRY!$A$2:$E$246,5,FALSE)="","",VLOOKUP(J121,SOURCE_REGISTRY!$A$2:$E$246,5,FALSE)),"")</f>
        <v/>
      </c>
      <c r="Q121" s="9" t="s">
        <v>1056</v>
      </c>
    </row>
    <row r="122" spans="1:17" ht="51" hidden="1" customHeight="1" outlineLevel="1" x14ac:dyDescent="0.25">
      <c r="A122" s="8" t="s">
        <v>1132</v>
      </c>
      <c r="B122" s="8" t="s">
        <v>1133</v>
      </c>
      <c r="C122" s="12" t="str">
        <f>IFERROR(VLOOKUP(B122,ENTITY_MASTER!$A$2:$B$266,2,FALSE),"")</f>
        <v>Zydus Lifesciences Ltd</v>
      </c>
      <c r="D122" s="8" t="s">
        <v>344</v>
      </c>
      <c r="E122" s="8" t="s">
        <v>1134</v>
      </c>
      <c r="F122" s="13" t="s">
        <v>372</v>
      </c>
      <c r="G122" s="13" t="s">
        <v>372</v>
      </c>
      <c r="H122" s="8" t="s">
        <v>409</v>
      </c>
      <c r="I122" s="8" t="s">
        <v>1135</v>
      </c>
      <c r="J122" s="8" t="s">
        <v>1053</v>
      </c>
      <c r="K122" s="9" t="s">
        <v>351</v>
      </c>
      <c r="L122" s="9" t="s">
        <v>352</v>
      </c>
      <c r="M122" s="8" t="s">
        <v>1054</v>
      </c>
      <c r="N122" s="8" t="s">
        <v>1136</v>
      </c>
      <c r="O122" s="8" t="s">
        <v>607</v>
      </c>
      <c r="P122" s="12" t="str">
        <f>IFERROR(IF(VLOOKUP(J122,SOURCE_REGISTRY!$A$2:$E$246,5,FALSE)="","",VLOOKUP(J122,SOURCE_REGISTRY!$A$2:$E$246,5,FALSE)),"")</f>
        <v/>
      </c>
      <c r="Q122" s="9" t="s">
        <v>1056</v>
      </c>
    </row>
    <row r="123" spans="1:17" ht="51" hidden="1" customHeight="1" outlineLevel="1" x14ac:dyDescent="0.25">
      <c r="A123" s="8" t="s">
        <v>1137</v>
      </c>
      <c r="B123" s="8" t="s">
        <v>1138</v>
      </c>
      <c r="C123" s="12" t="str">
        <f>IFERROR(VLOOKUP(B123,ENTITY_MASTER!$A$2:$B$266,2,FALSE),"")</f>
        <v>GeneOne Life Science Inc</v>
      </c>
      <c r="D123" s="8" t="s">
        <v>344</v>
      </c>
      <c r="E123" s="8" t="s">
        <v>1051</v>
      </c>
      <c r="F123" s="13" t="s">
        <v>372</v>
      </c>
      <c r="G123" s="13" t="s">
        <v>372</v>
      </c>
      <c r="H123" s="13" t="s">
        <v>372</v>
      </c>
      <c r="I123" s="8" t="s">
        <v>1139</v>
      </c>
      <c r="J123" s="8" t="s">
        <v>1053</v>
      </c>
      <c r="K123" s="9" t="s">
        <v>351</v>
      </c>
      <c r="L123" s="9" t="s">
        <v>352</v>
      </c>
      <c r="M123" s="8" t="s">
        <v>1054</v>
      </c>
      <c r="N123" s="8" t="s">
        <v>1140</v>
      </c>
      <c r="O123" s="8" t="s">
        <v>607</v>
      </c>
      <c r="P123" s="12" t="str">
        <f>IFERROR(IF(VLOOKUP(J123,SOURCE_REGISTRY!$A$2:$E$246,5,FALSE)="","",VLOOKUP(J123,SOURCE_REGISTRY!$A$2:$E$246,5,FALSE)),"")</f>
        <v/>
      </c>
      <c r="Q123" s="9" t="s">
        <v>1056</v>
      </c>
    </row>
    <row r="124" spans="1:17" ht="51" hidden="1" customHeight="1" outlineLevel="1" x14ac:dyDescent="0.25">
      <c r="A124" s="8" t="s">
        <v>1141</v>
      </c>
      <c r="B124" s="8" t="s">
        <v>1142</v>
      </c>
      <c r="C124" s="12" t="str">
        <f>IFERROR(VLOOKUP(B124,ENTITY_MASTER!$A$2:$B$266,2,FALSE),"")</f>
        <v>MicuRx Pharmaceuticals Inc</v>
      </c>
      <c r="D124" s="8" t="s">
        <v>344</v>
      </c>
      <c r="E124" s="8" t="s">
        <v>1143</v>
      </c>
      <c r="F124" s="13" t="s">
        <v>372</v>
      </c>
      <c r="G124" s="13" t="s">
        <v>372</v>
      </c>
      <c r="H124" s="13" t="s">
        <v>372</v>
      </c>
      <c r="I124" s="8" t="s">
        <v>1144</v>
      </c>
      <c r="J124" s="8" t="s">
        <v>1053</v>
      </c>
      <c r="K124" s="9" t="s">
        <v>351</v>
      </c>
      <c r="L124" s="9" t="s">
        <v>352</v>
      </c>
      <c r="M124" s="8" t="s">
        <v>1054</v>
      </c>
      <c r="N124" s="8" t="s">
        <v>1145</v>
      </c>
      <c r="O124" s="8" t="s">
        <v>607</v>
      </c>
      <c r="P124" s="12" t="str">
        <f>IFERROR(IF(VLOOKUP(J124,SOURCE_REGISTRY!$A$2:$E$246,5,FALSE)="","",VLOOKUP(J124,SOURCE_REGISTRY!$A$2:$E$246,5,FALSE)),"")</f>
        <v/>
      </c>
      <c r="Q124" s="9" t="s">
        <v>1056</v>
      </c>
    </row>
    <row r="125" spans="1:17" ht="51" hidden="1" customHeight="1" outlineLevel="1" x14ac:dyDescent="0.25">
      <c r="A125" s="8" t="s">
        <v>1146</v>
      </c>
      <c r="B125" s="8" t="s">
        <v>1147</v>
      </c>
      <c r="C125" s="12" t="str">
        <f>IFERROR(VLOOKUP(B125,ENTITY_MASTER!$A$2:$B$266,2,FALSE),"")</f>
        <v>Bristar Immunotech Biotechnology Co Ltd</v>
      </c>
      <c r="D125" s="8" t="s">
        <v>344</v>
      </c>
      <c r="E125" s="8" t="s">
        <v>1148</v>
      </c>
      <c r="F125" s="13" t="s">
        <v>372</v>
      </c>
      <c r="G125" s="13" t="s">
        <v>372</v>
      </c>
      <c r="H125" s="8" t="s">
        <v>801</v>
      </c>
      <c r="I125" s="8" t="s">
        <v>1149</v>
      </c>
      <c r="J125" s="8" t="s">
        <v>1053</v>
      </c>
      <c r="K125" s="9" t="s">
        <v>351</v>
      </c>
      <c r="L125" s="9" t="s">
        <v>352</v>
      </c>
      <c r="M125" s="8" t="s">
        <v>1054</v>
      </c>
      <c r="N125" s="8" t="s">
        <v>1150</v>
      </c>
      <c r="O125" s="8" t="s">
        <v>607</v>
      </c>
      <c r="P125" s="12" t="str">
        <f>IFERROR(IF(VLOOKUP(J125,SOURCE_REGISTRY!$A$2:$E$246,5,FALSE)="","",VLOOKUP(J125,SOURCE_REGISTRY!$A$2:$E$246,5,FALSE)),"")</f>
        <v/>
      </c>
      <c r="Q125" s="9" t="s">
        <v>1056</v>
      </c>
    </row>
    <row r="126" spans="1:17" ht="51" hidden="1" customHeight="1" outlineLevel="1" x14ac:dyDescent="0.25">
      <c r="A126" s="8" t="s">
        <v>1151</v>
      </c>
      <c r="B126" s="8" t="s">
        <v>1152</v>
      </c>
      <c r="C126" s="12" t="str">
        <f>IFERROR(VLOOKUP(B126,ENTITY_MASTER!$A$2:$B$266,2,FALSE),"")</f>
        <v>Johnson &amp; Johnson</v>
      </c>
      <c r="D126" s="8" t="s">
        <v>344</v>
      </c>
      <c r="E126" s="8" t="s">
        <v>1153</v>
      </c>
      <c r="F126" s="13" t="s">
        <v>372</v>
      </c>
      <c r="G126" s="13" t="s">
        <v>372</v>
      </c>
      <c r="H126" s="8" t="s">
        <v>816</v>
      </c>
      <c r="I126" s="8" t="s">
        <v>1154</v>
      </c>
      <c r="J126" s="8" t="s">
        <v>1053</v>
      </c>
      <c r="K126" s="9" t="s">
        <v>351</v>
      </c>
      <c r="L126" s="9" t="s">
        <v>352</v>
      </c>
      <c r="M126" s="8" t="s">
        <v>1054</v>
      </c>
      <c r="N126" s="8" t="s">
        <v>1155</v>
      </c>
      <c r="O126" s="8" t="s">
        <v>607</v>
      </c>
      <c r="P126" s="12" t="str">
        <f>IFERROR(IF(VLOOKUP(J126,SOURCE_REGISTRY!$A$2:$E$246,5,FALSE)="","",VLOOKUP(J126,SOURCE_REGISTRY!$A$2:$E$246,5,FALSE)),"")</f>
        <v/>
      </c>
      <c r="Q126" s="9" t="s">
        <v>1056</v>
      </c>
    </row>
    <row r="127" spans="1:17" ht="51" hidden="1" customHeight="1" outlineLevel="1" x14ac:dyDescent="0.25">
      <c r="A127" s="8" t="s">
        <v>1156</v>
      </c>
      <c r="B127" s="8" t="s">
        <v>1157</v>
      </c>
      <c r="C127" s="12" t="str">
        <f>IFERROR(VLOOKUP(B127,ENTITY_MASTER!$A$2:$B$266,2,FALSE),"")</f>
        <v>Changchun Bcht Biotechnology Co Ltd</v>
      </c>
      <c r="D127" s="8" t="s">
        <v>344</v>
      </c>
      <c r="E127" s="8" t="s">
        <v>1158</v>
      </c>
      <c r="F127" s="13" t="s">
        <v>372</v>
      </c>
      <c r="G127" s="13" t="s">
        <v>372</v>
      </c>
      <c r="H127" s="8" t="s">
        <v>425</v>
      </c>
      <c r="I127" s="8" t="s">
        <v>1159</v>
      </c>
      <c r="J127" s="8" t="s">
        <v>1053</v>
      </c>
      <c r="K127" s="9" t="s">
        <v>351</v>
      </c>
      <c r="L127" s="9" t="s">
        <v>352</v>
      </c>
      <c r="M127" s="8" t="s">
        <v>1054</v>
      </c>
      <c r="N127" s="8" t="s">
        <v>1160</v>
      </c>
      <c r="O127" s="8" t="s">
        <v>607</v>
      </c>
      <c r="P127" s="12" t="str">
        <f>IFERROR(IF(VLOOKUP(J127,SOURCE_REGISTRY!$A$2:$E$246,5,FALSE)="","",VLOOKUP(J127,SOURCE_REGISTRY!$A$2:$E$246,5,FALSE)),"")</f>
        <v/>
      </c>
      <c r="Q127" s="9" t="s">
        <v>1056</v>
      </c>
    </row>
    <row r="128" spans="1:17" ht="51" hidden="1" customHeight="1" outlineLevel="1" x14ac:dyDescent="0.25">
      <c r="A128" s="8" t="s">
        <v>1161</v>
      </c>
      <c r="B128" s="8" t="s">
        <v>1162</v>
      </c>
      <c r="C128" s="12" t="str">
        <f>IFERROR(VLOOKUP(B128,ENTITY_MASTER!$A$2:$B$266,2,FALSE),"")</f>
        <v>Crestone Inc</v>
      </c>
      <c r="D128" s="8" t="s">
        <v>344</v>
      </c>
      <c r="E128" s="8" t="s">
        <v>1163</v>
      </c>
      <c r="F128" s="13" t="s">
        <v>372</v>
      </c>
      <c r="G128" s="13" t="s">
        <v>372</v>
      </c>
      <c r="H128" s="13" t="s">
        <v>372</v>
      </c>
      <c r="I128" s="8" t="s">
        <v>1164</v>
      </c>
      <c r="J128" s="8" t="s">
        <v>1053</v>
      </c>
      <c r="K128" s="9" t="s">
        <v>351</v>
      </c>
      <c r="L128" s="9" t="s">
        <v>352</v>
      </c>
      <c r="M128" s="8" t="s">
        <v>1054</v>
      </c>
      <c r="N128" s="8" t="s">
        <v>1165</v>
      </c>
      <c r="O128" s="8" t="s">
        <v>607</v>
      </c>
      <c r="P128" s="12" t="str">
        <f>IFERROR(IF(VLOOKUP(J128,SOURCE_REGISTRY!$A$2:$E$246,5,FALSE)="","",VLOOKUP(J128,SOURCE_REGISTRY!$A$2:$E$246,5,FALSE)),"")</f>
        <v/>
      </c>
      <c r="Q128" s="9" t="s">
        <v>1056</v>
      </c>
    </row>
    <row r="129" spans="1:17" ht="36.950000000000003" hidden="1" customHeight="1" outlineLevel="1" x14ac:dyDescent="0.25">
      <c r="A129" s="8" t="s">
        <v>1166</v>
      </c>
      <c r="B129" s="8" t="s">
        <v>1167</v>
      </c>
      <c r="C129" s="12" t="str">
        <f>IFERROR(VLOOKUP(B129,ENTITY_MASTER!$A$2:$B$266,2,FALSE),"")</f>
        <v>AbbVie Inc</v>
      </c>
      <c r="D129" s="8" t="s">
        <v>344</v>
      </c>
      <c r="E129" s="8" t="s">
        <v>1168</v>
      </c>
      <c r="F129" s="13" t="s">
        <v>372</v>
      </c>
      <c r="G129" s="13" t="s">
        <v>372</v>
      </c>
      <c r="H129" s="13" t="s">
        <v>372</v>
      </c>
      <c r="I129" s="8" t="s">
        <v>1169</v>
      </c>
      <c r="J129" s="8" t="s">
        <v>1170</v>
      </c>
      <c r="K129" s="9" t="s">
        <v>351</v>
      </c>
      <c r="L129" s="9" t="s">
        <v>352</v>
      </c>
      <c r="M129" s="8" t="s">
        <v>1171</v>
      </c>
      <c r="N129" s="8" t="s">
        <v>1172</v>
      </c>
      <c r="O129" s="8" t="s">
        <v>1173</v>
      </c>
      <c r="P129" s="12" t="str">
        <f>IFERROR(IF(VLOOKUP(J129,SOURCE_REGISTRY!$A$2:$E$246,5,FALSE)="","",VLOOKUP(J129,SOURCE_REGISTRY!$A$2:$E$246,5,FALSE)),"")</f>
        <v>https://www.abbvie.com/science/pipeline.html</v>
      </c>
      <c r="Q129" s="9" t="s">
        <v>1056</v>
      </c>
    </row>
    <row r="130" spans="1:17" ht="51" hidden="1" customHeight="1" outlineLevel="1" x14ac:dyDescent="0.25">
      <c r="A130" s="8" t="s">
        <v>1174</v>
      </c>
      <c r="B130" s="8" t="s">
        <v>1175</v>
      </c>
      <c r="C130" s="12" t="str">
        <f>IFERROR(VLOOKUP(B130,ENTITY_MASTER!$A$2:$B$266,2,FALSE),"")</f>
        <v>AIM Vaccine Co Ltd</v>
      </c>
      <c r="D130" s="8" t="s">
        <v>344</v>
      </c>
      <c r="E130" s="8" t="s">
        <v>1176</v>
      </c>
      <c r="F130" s="13" t="s">
        <v>372</v>
      </c>
      <c r="G130" s="13" t="s">
        <v>372</v>
      </c>
      <c r="H130" s="8" t="s">
        <v>409</v>
      </c>
      <c r="I130" s="8" t="s">
        <v>1177</v>
      </c>
      <c r="J130" s="8" t="s">
        <v>1053</v>
      </c>
      <c r="K130" s="9" t="s">
        <v>351</v>
      </c>
      <c r="L130" s="9" t="s">
        <v>352</v>
      </c>
      <c r="M130" s="8" t="s">
        <v>1054</v>
      </c>
      <c r="N130" s="8" t="s">
        <v>1178</v>
      </c>
      <c r="O130" s="8" t="s">
        <v>607</v>
      </c>
      <c r="P130" s="12" t="str">
        <f>IFERROR(IF(VLOOKUP(J130,SOURCE_REGISTRY!$A$2:$E$246,5,FALSE)="","",VLOOKUP(J130,SOURCE_REGISTRY!$A$2:$E$246,5,FALSE)),"")</f>
        <v/>
      </c>
      <c r="Q130" s="9" t="s">
        <v>1056</v>
      </c>
    </row>
    <row r="131" spans="1:17" ht="51" hidden="1" customHeight="1" outlineLevel="1" x14ac:dyDescent="0.25">
      <c r="A131" s="8" t="s">
        <v>1179</v>
      </c>
      <c r="B131" s="8" t="s">
        <v>1180</v>
      </c>
      <c r="C131" s="12" t="str">
        <f>IFERROR(VLOOKUP(B131,ENTITY_MASTER!$A$2:$B$266,2,FALSE),"")</f>
        <v>Lanzhou Institute of Biological Products Co Ltd</v>
      </c>
      <c r="D131" s="8" t="s">
        <v>344</v>
      </c>
      <c r="E131" s="8" t="s">
        <v>950</v>
      </c>
      <c r="F131" s="13" t="s">
        <v>372</v>
      </c>
      <c r="G131" s="13" t="s">
        <v>372</v>
      </c>
      <c r="H131" s="8" t="s">
        <v>425</v>
      </c>
      <c r="I131" s="8" t="s">
        <v>1181</v>
      </c>
      <c r="J131" s="8" t="s">
        <v>1053</v>
      </c>
      <c r="K131" s="9" t="s">
        <v>351</v>
      </c>
      <c r="L131" s="9" t="s">
        <v>352</v>
      </c>
      <c r="M131" s="8" t="s">
        <v>1054</v>
      </c>
      <c r="N131" s="8" t="s">
        <v>1182</v>
      </c>
      <c r="O131" s="8" t="s">
        <v>607</v>
      </c>
      <c r="P131" s="12" t="str">
        <f>IFERROR(IF(VLOOKUP(J131,SOURCE_REGISTRY!$A$2:$E$246,5,FALSE)="","",VLOOKUP(J131,SOURCE_REGISTRY!$A$2:$E$246,5,FALSE)),"")</f>
        <v/>
      </c>
      <c r="Q131" s="9" t="s">
        <v>1056</v>
      </c>
    </row>
    <row r="132" spans="1:17" ht="51" hidden="1" customHeight="1" outlineLevel="1" x14ac:dyDescent="0.25">
      <c r="A132" s="8" t="s">
        <v>1183</v>
      </c>
      <c r="B132" s="8" t="s">
        <v>1184</v>
      </c>
      <c r="C132" s="12" t="str">
        <f>IFERROR(VLOOKUP(B132,ENTITY_MASTER!$A$2:$B$266,2,FALSE),"")</f>
        <v>Suzhou Juwei Biotech Co Ltd</v>
      </c>
      <c r="D132" s="8" t="s">
        <v>344</v>
      </c>
      <c r="E132" s="8" t="s">
        <v>371</v>
      </c>
      <c r="F132" s="13" t="s">
        <v>372</v>
      </c>
      <c r="G132" s="13" t="s">
        <v>372</v>
      </c>
      <c r="H132" s="8" t="s">
        <v>409</v>
      </c>
      <c r="I132" s="8" t="s">
        <v>1185</v>
      </c>
      <c r="J132" s="8" t="s">
        <v>1053</v>
      </c>
      <c r="K132" s="9" t="s">
        <v>351</v>
      </c>
      <c r="L132" s="9" t="s">
        <v>352</v>
      </c>
      <c r="M132" s="8" t="s">
        <v>1054</v>
      </c>
      <c r="N132" s="8" t="s">
        <v>1186</v>
      </c>
      <c r="O132" s="8" t="s">
        <v>607</v>
      </c>
      <c r="P132" s="12" t="str">
        <f>IFERROR(IF(VLOOKUP(J132,SOURCE_REGISTRY!$A$2:$E$246,5,FALSE)="","",VLOOKUP(J132,SOURCE_REGISTRY!$A$2:$E$246,5,FALSE)),"")</f>
        <v/>
      </c>
      <c r="Q132" s="9" t="s">
        <v>1056</v>
      </c>
    </row>
    <row r="133" spans="1:17" ht="51" hidden="1" customHeight="1" outlineLevel="1" x14ac:dyDescent="0.25">
      <c r="A133" s="8" t="s">
        <v>1187</v>
      </c>
      <c r="B133" s="8" t="s">
        <v>1188</v>
      </c>
      <c r="C133" s="12" t="str">
        <f>IFERROR(VLOOKUP(B133,ENTITY_MASTER!$A$2:$B$266,2,FALSE),"")</f>
        <v>CSPC Pharmaceutical Group Ltd</v>
      </c>
      <c r="D133" s="8" t="s">
        <v>344</v>
      </c>
      <c r="E133" s="8" t="s">
        <v>1189</v>
      </c>
      <c r="F133" s="13" t="s">
        <v>372</v>
      </c>
      <c r="G133" s="13" t="s">
        <v>372</v>
      </c>
      <c r="H133" s="8" t="s">
        <v>409</v>
      </c>
      <c r="I133" s="8" t="s">
        <v>1190</v>
      </c>
      <c r="J133" s="8" t="s">
        <v>1053</v>
      </c>
      <c r="K133" s="9" t="s">
        <v>351</v>
      </c>
      <c r="L133" s="9" t="s">
        <v>352</v>
      </c>
      <c r="M133" s="8" t="s">
        <v>1054</v>
      </c>
      <c r="N133" s="8" t="s">
        <v>1191</v>
      </c>
      <c r="O133" s="8" t="s">
        <v>607</v>
      </c>
      <c r="P133" s="12" t="str">
        <f>IFERROR(IF(VLOOKUP(J133,SOURCE_REGISTRY!$A$2:$E$246,5,FALSE)="","",VLOOKUP(J133,SOURCE_REGISTRY!$A$2:$E$246,5,FALSE)),"")</f>
        <v/>
      </c>
      <c r="Q133" s="9" t="s">
        <v>1056</v>
      </c>
    </row>
    <row r="134" spans="1:17" ht="51" hidden="1" customHeight="1" outlineLevel="1" x14ac:dyDescent="0.25">
      <c r="A134" s="8" t="s">
        <v>1192</v>
      </c>
      <c r="B134" s="8" t="s">
        <v>1193</v>
      </c>
      <c r="C134" s="12" t="str">
        <f>IFERROR(VLOOKUP(B134,ENTITY_MASTER!$A$2:$B$266,2,FALSE),"")</f>
        <v>Shenzhen Geno-Immune Medical Institute</v>
      </c>
      <c r="D134" s="8" t="s">
        <v>344</v>
      </c>
      <c r="E134" s="8" t="s">
        <v>1194</v>
      </c>
      <c r="F134" s="13" t="s">
        <v>372</v>
      </c>
      <c r="G134" s="13" t="s">
        <v>372</v>
      </c>
      <c r="H134" s="8" t="s">
        <v>801</v>
      </c>
      <c r="I134" s="8" t="s">
        <v>1195</v>
      </c>
      <c r="J134" s="8" t="s">
        <v>1053</v>
      </c>
      <c r="K134" s="9" t="s">
        <v>351</v>
      </c>
      <c r="L134" s="9" t="s">
        <v>352</v>
      </c>
      <c r="M134" s="8" t="s">
        <v>1054</v>
      </c>
      <c r="N134" s="8" t="s">
        <v>1196</v>
      </c>
      <c r="O134" s="8" t="s">
        <v>607</v>
      </c>
      <c r="P134" s="12" t="str">
        <f>IFERROR(IF(VLOOKUP(J134,SOURCE_REGISTRY!$A$2:$E$246,5,FALSE)="","",VLOOKUP(J134,SOURCE_REGISTRY!$A$2:$E$246,5,FALSE)),"")</f>
        <v/>
      </c>
      <c r="Q134" s="9" t="s">
        <v>1056</v>
      </c>
    </row>
    <row r="135" spans="1:17" ht="51" hidden="1" customHeight="1" outlineLevel="1" x14ac:dyDescent="0.25">
      <c r="A135" s="8" t="s">
        <v>1197</v>
      </c>
      <c r="B135" s="8" t="s">
        <v>1198</v>
      </c>
      <c r="C135" s="12" t="str">
        <f>IFERROR(VLOOKUP(B135,ENTITY_MASTER!$A$2:$B$266,2,FALSE),"")</f>
        <v>Wuhan Bio-Raid Biotechnology Co Ltd</v>
      </c>
      <c r="D135" s="8" t="s">
        <v>344</v>
      </c>
      <c r="E135" s="8" t="s">
        <v>588</v>
      </c>
      <c r="F135" s="13" t="s">
        <v>372</v>
      </c>
      <c r="G135" s="13" t="s">
        <v>372</v>
      </c>
      <c r="H135" s="8" t="s">
        <v>801</v>
      </c>
      <c r="I135" s="8" t="s">
        <v>1199</v>
      </c>
      <c r="J135" s="8" t="s">
        <v>1053</v>
      </c>
      <c r="K135" s="9" t="s">
        <v>351</v>
      </c>
      <c r="L135" s="9" t="s">
        <v>352</v>
      </c>
      <c r="M135" s="8" t="s">
        <v>1054</v>
      </c>
      <c r="N135" s="8" t="s">
        <v>1200</v>
      </c>
      <c r="O135" s="8" t="s">
        <v>607</v>
      </c>
      <c r="P135" s="12" t="str">
        <f>IFERROR(IF(VLOOKUP(J135,SOURCE_REGISTRY!$A$2:$E$246,5,FALSE)="","",VLOOKUP(J135,SOURCE_REGISTRY!$A$2:$E$246,5,FALSE)),"")</f>
        <v/>
      </c>
      <c r="Q135" s="9" t="s">
        <v>1056</v>
      </c>
    </row>
    <row r="136" spans="1:17" ht="51" hidden="1" customHeight="1" outlineLevel="1" x14ac:dyDescent="0.25">
      <c r="A136" s="8" t="s">
        <v>1201</v>
      </c>
      <c r="B136" s="8" t="s">
        <v>1202</v>
      </c>
      <c r="C136" s="12" t="str">
        <f>IFERROR(VLOOKUP(B136,ENTITY_MASTER!$A$2:$B$266,2,FALSE),"")</f>
        <v>Chongqing Zhifei Biological Products Co Ltd</v>
      </c>
      <c r="D136" s="8" t="s">
        <v>344</v>
      </c>
      <c r="E136" s="8" t="s">
        <v>643</v>
      </c>
      <c r="F136" s="13" t="s">
        <v>372</v>
      </c>
      <c r="G136" s="13" t="s">
        <v>372</v>
      </c>
      <c r="H136" s="8" t="s">
        <v>409</v>
      </c>
      <c r="I136" s="8" t="s">
        <v>1203</v>
      </c>
      <c r="J136" s="8" t="s">
        <v>1053</v>
      </c>
      <c r="K136" s="9" t="s">
        <v>351</v>
      </c>
      <c r="L136" s="9" t="s">
        <v>352</v>
      </c>
      <c r="M136" s="8" t="s">
        <v>1054</v>
      </c>
      <c r="N136" s="8" t="s">
        <v>1204</v>
      </c>
      <c r="O136" s="8" t="s">
        <v>607</v>
      </c>
      <c r="P136" s="12" t="str">
        <f>IFERROR(IF(VLOOKUP(J136,SOURCE_REGISTRY!$A$2:$E$246,5,FALSE)="","",VLOOKUP(J136,SOURCE_REGISTRY!$A$2:$E$246,5,FALSE)),"")</f>
        <v/>
      </c>
      <c r="Q136" s="9" t="s">
        <v>1056</v>
      </c>
    </row>
    <row r="137" spans="1:17" ht="51" hidden="1" customHeight="1" outlineLevel="1" x14ac:dyDescent="0.25">
      <c r="A137" s="8" t="s">
        <v>1205</v>
      </c>
      <c r="B137" s="8" t="s">
        <v>1206</v>
      </c>
      <c r="C137" s="12" t="str">
        <f>IFERROR(VLOOKUP(B137,ENTITY_MASTER!$A$2:$B$266,2,FALSE),"")</f>
        <v>AriBioLab Co Ltd</v>
      </c>
      <c r="D137" s="8" t="s">
        <v>344</v>
      </c>
      <c r="E137" s="8" t="s">
        <v>1189</v>
      </c>
      <c r="F137" s="13" t="s">
        <v>372</v>
      </c>
      <c r="G137" s="13" t="s">
        <v>372</v>
      </c>
      <c r="H137" s="8" t="s">
        <v>409</v>
      </c>
      <c r="I137" s="8" t="s">
        <v>1207</v>
      </c>
      <c r="J137" s="8" t="s">
        <v>1053</v>
      </c>
      <c r="K137" s="9" t="s">
        <v>351</v>
      </c>
      <c r="L137" s="9" t="s">
        <v>352</v>
      </c>
      <c r="M137" s="8" t="s">
        <v>1054</v>
      </c>
      <c r="N137" s="8" t="s">
        <v>1208</v>
      </c>
      <c r="O137" s="8" t="s">
        <v>607</v>
      </c>
      <c r="P137" s="12" t="str">
        <f>IFERROR(IF(VLOOKUP(J137,SOURCE_REGISTRY!$A$2:$E$246,5,FALSE)="","",VLOOKUP(J137,SOURCE_REGISTRY!$A$2:$E$246,5,FALSE)),"")</f>
        <v/>
      </c>
      <c r="Q137" s="9" t="s">
        <v>1056</v>
      </c>
    </row>
    <row r="138" spans="1:17" ht="51" hidden="1" customHeight="1" outlineLevel="1" x14ac:dyDescent="0.25">
      <c r="A138" s="8" t="s">
        <v>1209</v>
      </c>
      <c r="B138" s="8" t="s">
        <v>1210</v>
      </c>
      <c r="C138" s="12" t="str">
        <f>IFERROR(VLOOKUP(B138,ENTITY_MASTER!$A$2:$B$266,2,FALSE),"")</f>
        <v>Akagera Medicines Inc</v>
      </c>
      <c r="D138" s="8" t="s">
        <v>344</v>
      </c>
      <c r="E138" s="8" t="s">
        <v>1211</v>
      </c>
      <c r="F138" s="13" t="s">
        <v>372</v>
      </c>
      <c r="G138" s="13" t="s">
        <v>372</v>
      </c>
      <c r="H138" s="13" t="s">
        <v>372</v>
      </c>
      <c r="I138" s="8" t="s">
        <v>1212</v>
      </c>
      <c r="J138" s="8" t="s">
        <v>1053</v>
      </c>
      <c r="K138" s="9" t="s">
        <v>351</v>
      </c>
      <c r="L138" s="9" t="s">
        <v>352</v>
      </c>
      <c r="M138" s="8" t="s">
        <v>1054</v>
      </c>
      <c r="N138" s="8" t="s">
        <v>1213</v>
      </c>
      <c r="O138" s="8" t="s">
        <v>607</v>
      </c>
      <c r="P138" s="12" t="str">
        <f>IFERROR(IF(VLOOKUP(J138,SOURCE_REGISTRY!$A$2:$E$246,5,FALSE)="","",VLOOKUP(J138,SOURCE_REGISTRY!$A$2:$E$246,5,FALSE)),"")</f>
        <v/>
      </c>
      <c r="Q138" s="9" t="s">
        <v>1056</v>
      </c>
    </row>
    <row r="139" spans="1:17" ht="51" hidden="1" customHeight="1" outlineLevel="1" x14ac:dyDescent="0.25">
      <c r="A139" s="8" t="s">
        <v>1214</v>
      </c>
      <c r="B139" s="8" t="s">
        <v>1215</v>
      </c>
      <c r="C139" s="12" t="str">
        <f>IFERROR(VLOOKUP(B139,ENTITY_MASTER!$A$2:$B$266,2,FALSE),"")</f>
        <v>Suzhou CureMed Biopharma Technology Co Ltd</v>
      </c>
      <c r="D139" s="8" t="s">
        <v>344</v>
      </c>
      <c r="E139" s="8" t="s">
        <v>800</v>
      </c>
      <c r="F139" s="13" t="s">
        <v>372</v>
      </c>
      <c r="G139" s="13" t="s">
        <v>372</v>
      </c>
      <c r="H139" s="8" t="s">
        <v>801</v>
      </c>
      <c r="I139" s="8" t="s">
        <v>1216</v>
      </c>
      <c r="J139" s="8" t="s">
        <v>1053</v>
      </c>
      <c r="K139" s="9" t="s">
        <v>351</v>
      </c>
      <c r="L139" s="9" t="s">
        <v>352</v>
      </c>
      <c r="M139" s="8" t="s">
        <v>1054</v>
      </c>
      <c r="N139" s="8" t="s">
        <v>1217</v>
      </c>
      <c r="O139" s="8" t="s">
        <v>607</v>
      </c>
      <c r="P139" s="12" t="str">
        <f>IFERROR(IF(VLOOKUP(J139,SOURCE_REGISTRY!$A$2:$E$246,5,FALSE)="","",VLOOKUP(J139,SOURCE_REGISTRY!$A$2:$E$246,5,FALSE)),"")</f>
        <v/>
      </c>
      <c r="Q139" s="9" t="s">
        <v>1056</v>
      </c>
    </row>
    <row r="140" spans="1:17" ht="51" hidden="1" customHeight="1" outlineLevel="1" x14ac:dyDescent="0.25">
      <c r="A140" s="8" t="s">
        <v>1218</v>
      </c>
      <c r="B140" s="8" t="s">
        <v>1219</v>
      </c>
      <c r="C140" s="12" t="str">
        <f>IFERROR(VLOOKUP(B140,ENTITY_MASTER!$A$2:$B$266,2,FALSE),"")</f>
        <v>Henan Genuine Biotech Co Ltd</v>
      </c>
      <c r="D140" s="8" t="s">
        <v>344</v>
      </c>
      <c r="E140" s="8" t="s">
        <v>1220</v>
      </c>
      <c r="F140" s="13" t="s">
        <v>372</v>
      </c>
      <c r="G140" s="13" t="s">
        <v>372</v>
      </c>
      <c r="H140" s="13" t="s">
        <v>372</v>
      </c>
      <c r="I140" s="8" t="s">
        <v>1221</v>
      </c>
      <c r="J140" s="8" t="s">
        <v>1053</v>
      </c>
      <c r="K140" s="9" t="s">
        <v>351</v>
      </c>
      <c r="L140" s="9" t="s">
        <v>352</v>
      </c>
      <c r="M140" s="8" t="s">
        <v>1054</v>
      </c>
      <c r="N140" s="8" t="s">
        <v>1222</v>
      </c>
      <c r="O140" s="8" t="s">
        <v>607</v>
      </c>
      <c r="P140" s="12" t="str">
        <f>IFERROR(IF(VLOOKUP(J140,SOURCE_REGISTRY!$A$2:$E$246,5,FALSE)="","",VLOOKUP(J140,SOURCE_REGISTRY!$A$2:$E$246,5,FALSE)),"")</f>
        <v/>
      </c>
      <c r="Q140" s="9" t="s">
        <v>1056</v>
      </c>
    </row>
    <row r="141" spans="1:17" ht="51" hidden="1" customHeight="1" outlineLevel="1" x14ac:dyDescent="0.25">
      <c r="A141" s="8" t="s">
        <v>1223</v>
      </c>
      <c r="B141" s="8" t="s">
        <v>1224</v>
      </c>
      <c r="C141" s="12" t="str">
        <f>IFERROR(VLOOKUP(B141,ENTITY_MASTER!$A$2:$B$266,2,FALSE),"")</f>
        <v>Bristol-Myers Squibb Co</v>
      </c>
      <c r="D141" s="8" t="s">
        <v>344</v>
      </c>
      <c r="E141" s="8" t="s">
        <v>1225</v>
      </c>
      <c r="F141" s="13" t="s">
        <v>372</v>
      </c>
      <c r="G141" s="13" t="s">
        <v>372</v>
      </c>
      <c r="H141" s="13" t="s">
        <v>372</v>
      </c>
      <c r="I141" s="8" t="s">
        <v>1226</v>
      </c>
      <c r="J141" s="8" t="s">
        <v>1053</v>
      </c>
      <c r="K141" s="9" t="s">
        <v>351</v>
      </c>
      <c r="L141" s="9" t="s">
        <v>352</v>
      </c>
      <c r="M141" s="8" t="s">
        <v>1054</v>
      </c>
      <c r="N141" s="8" t="s">
        <v>1227</v>
      </c>
      <c r="O141" s="8" t="s">
        <v>607</v>
      </c>
      <c r="P141" s="12" t="str">
        <f>IFERROR(IF(VLOOKUP(J141,SOURCE_REGISTRY!$A$2:$E$246,5,FALSE)="","",VLOOKUP(J141,SOURCE_REGISTRY!$A$2:$E$246,5,FALSE)),"")</f>
        <v/>
      </c>
      <c r="Q141" s="9" t="s">
        <v>1056</v>
      </c>
    </row>
    <row r="142" spans="1:17" ht="51" hidden="1" customHeight="1" outlineLevel="1" x14ac:dyDescent="0.25">
      <c r="A142" s="8" t="s">
        <v>1228</v>
      </c>
      <c r="B142" s="8" t="s">
        <v>1229</v>
      </c>
      <c r="C142" s="12" t="str">
        <f>IFERROR(VLOOKUP(B142,ENTITY_MASTER!$A$2:$B$266,2,FALSE),"")</f>
        <v>SPbNIIVS FMBA of Russia</v>
      </c>
      <c r="D142" s="8" t="s">
        <v>344</v>
      </c>
      <c r="E142" s="8" t="s">
        <v>1230</v>
      </c>
      <c r="F142" s="13" t="s">
        <v>372</v>
      </c>
      <c r="G142" s="13" t="s">
        <v>372</v>
      </c>
      <c r="H142" s="8" t="s">
        <v>409</v>
      </c>
      <c r="I142" s="8" t="s">
        <v>1231</v>
      </c>
      <c r="J142" s="8" t="s">
        <v>1053</v>
      </c>
      <c r="K142" s="9" t="s">
        <v>351</v>
      </c>
      <c r="L142" s="9" t="s">
        <v>352</v>
      </c>
      <c r="M142" s="8" t="s">
        <v>1054</v>
      </c>
      <c r="N142" s="8" t="s">
        <v>1232</v>
      </c>
      <c r="O142" s="8" t="s">
        <v>607</v>
      </c>
      <c r="P142" s="12" t="str">
        <f>IFERROR(IF(VLOOKUP(J142,SOURCE_REGISTRY!$A$2:$E$246,5,FALSE)="","",VLOOKUP(J142,SOURCE_REGISTRY!$A$2:$E$246,5,FALSE)),"")</f>
        <v/>
      </c>
      <c r="Q142" s="9" t="s">
        <v>1056</v>
      </c>
    </row>
    <row r="143" spans="1:17" ht="51" hidden="1" customHeight="1" outlineLevel="1" x14ac:dyDescent="0.25">
      <c r="A143" s="8" t="s">
        <v>1233</v>
      </c>
      <c r="B143" s="8" t="s">
        <v>1234</v>
      </c>
      <c r="C143" s="12" t="str">
        <f>IFERROR(VLOOKUP(B143,ENTITY_MASTER!$A$2:$B$266,2,FALSE),"")</f>
        <v>Beijing Minhai Biotechnology Co Ltd</v>
      </c>
      <c r="D143" s="8" t="s">
        <v>344</v>
      </c>
      <c r="E143" s="8" t="s">
        <v>1235</v>
      </c>
      <c r="F143" s="13" t="s">
        <v>372</v>
      </c>
      <c r="G143" s="13" t="s">
        <v>372</v>
      </c>
      <c r="H143" s="8" t="s">
        <v>409</v>
      </c>
      <c r="I143" s="8" t="s">
        <v>1236</v>
      </c>
      <c r="J143" s="8" t="s">
        <v>1053</v>
      </c>
      <c r="K143" s="9" t="s">
        <v>351</v>
      </c>
      <c r="L143" s="9" t="s">
        <v>352</v>
      </c>
      <c r="M143" s="8" t="s">
        <v>1054</v>
      </c>
      <c r="N143" s="8" t="s">
        <v>1237</v>
      </c>
      <c r="O143" s="8" t="s">
        <v>607</v>
      </c>
      <c r="P143" s="12" t="str">
        <f>IFERROR(IF(VLOOKUP(J143,SOURCE_REGISTRY!$A$2:$E$246,5,FALSE)="","",VLOOKUP(J143,SOURCE_REGISTRY!$A$2:$E$246,5,FALSE)),"")</f>
        <v/>
      </c>
      <c r="Q143" s="9" t="s">
        <v>1056</v>
      </c>
    </row>
    <row r="144" spans="1:17" ht="51" hidden="1" customHeight="1" outlineLevel="1" x14ac:dyDescent="0.25">
      <c r="A144" s="8" t="s">
        <v>1238</v>
      </c>
      <c r="B144" s="8" t="s">
        <v>1239</v>
      </c>
      <c r="C144" s="12" t="str">
        <f>IFERROR(VLOOKUP(B144,ENTITY_MASTER!$A$2:$B$266,2,FALSE),"")</f>
        <v>Lion TCR Pte Ltd</v>
      </c>
      <c r="D144" s="8" t="s">
        <v>344</v>
      </c>
      <c r="E144" s="8" t="s">
        <v>999</v>
      </c>
      <c r="F144" s="13" t="s">
        <v>372</v>
      </c>
      <c r="G144" s="13" t="s">
        <v>372</v>
      </c>
      <c r="H144" s="8" t="s">
        <v>801</v>
      </c>
      <c r="I144" s="8" t="s">
        <v>1240</v>
      </c>
      <c r="J144" s="8" t="s">
        <v>1053</v>
      </c>
      <c r="K144" s="9" t="s">
        <v>351</v>
      </c>
      <c r="L144" s="9" t="s">
        <v>352</v>
      </c>
      <c r="M144" s="8" t="s">
        <v>1054</v>
      </c>
      <c r="N144" s="8" t="s">
        <v>1241</v>
      </c>
      <c r="O144" s="8" t="s">
        <v>607</v>
      </c>
      <c r="P144" s="12" t="str">
        <f>IFERROR(IF(VLOOKUP(J144,SOURCE_REGISTRY!$A$2:$E$246,5,FALSE)="","",VLOOKUP(J144,SOURCE_REGISTRY!$A$2:$E$246,5,FALSE)),"")</f>
        <v/>
      </c>
      <c r="Q144" s="9" t="s">
        <v>1056</v>
      </c>
    </row>
    <row r="145" spans="1:17" ht="51" hidden="1" customHeight="1" outlineLevel="1" x14ac:dyDescent="0.25">
      <c r="A145" s="8" t="s">
        <v>1242</v>
      </c>
      <c r="B145" s="8" t="s">
        <v>1243</v>
      </c>
      <c r="C145" s="12" t="str">
        <f>IFERROR(VLOOKUP(B145,ENTITY_MASTER!$A$2:$B$266,2,FALSE),"")</f>
        <v>Inventprise LLC</v>
      </c>
      <c r="D145" s="8" t="s">
        <v>344</v>
      </c>
      <c r="E145" s="8" t="s">
        <v>1244</v>
      </c>
      <c r="F145" s="13" t="s">
        <v>372</v>
      </c>
      <c r="G145" s="13" t="s">
        <v>372</v>
      </c>
      <c r="H145" s="8" t="s">
        <v>409</v>
      </c>
      <c r="I145" s="8" t="s">
        <v>1245</v>
      </c>
      <c r="J145" s="8" t="s">
        <v>1053</v>
      </c>
      <c r="K145" s="9" t="s">
        <v>954</v>
      </c>
      <c r="L145" s="9" t="s">
        <v>352</v>
      </c>
      <c r="M145" s="8" t="s">
        <v>1054</v>
      </c>
      <c r="N145" s="8" t="s">
        <v>1246</v>
      </c>
      <c r="O145" s="8" t="s">
        <v>607</v>
      </c>
      <c r="P145" s="12" t="str">
        <f>IFERROR(IF(VLOOKUP(J145,SOURCE_REGISTRY!$A$2:$E$246,5,FALSE)="","",VLOOKUP(J145,SOURCE_REGISTRY!$A$2:$E$246,5,FALSE)),"")</f>
        <v/>
      </c>
      <c r="Q145" s="9" t="s">
        <v>1056</v>
      </c>
    </row>
    <row r="146" spans="1:17" ht="51" hidden="1" customHeight="1" outlineLevel="1" x14ac:dyDescent="0.25">
      <c r="A146" s="8" t="s">
        <v>1247</v>
      </c>
      <c r="B146" s="8" t="s">
        <v>1248</v>
      </c>
      <c r="C146" s="12" t="str">
        <f>IFERROR(VLOOKUP(B146,ENTITY_MASTER!$A$2:$B$266,2,FALSE),"")</f>
        <v>Jiangsu Hengrui Pharmaceuticals Co Ltd</v>
      </c>
      <c r="D146" s="8" t="s">
        <v>344</v>
      </c>
      <c r="E146" s="8" t="s">
        <v>1249</v>
      </c>
      <c r="F146" s="13" t="s">
        <v>372</v>
      </c>
      <c r="G146" s="13" t="s">
        <v>372</v>
      </c>
      <c r="H146" s="13" t="s">
        <v>372</v>
      </c>
      <c r="I146" s="8" t="s">
        <v>1250</v>
      </c>
      <c r="J146" s="8" t="s">
        <v>1053</v>
      </c>
      <c r="K146" s="9" t="s">
        <v>954</v>
      </c>
      <c r="L146" s="9" t="s">
        <v>352</v>
      </c>
      <c r="M146" s="8" t="s">
        <v>1054</v>
      </c>
      <c r="N146" s="8" t="s">
        <v>1251</v>
      </c>
      <c r="O146" s="8" t="s">
        <v>607</v>
      </c>
      <c r="P146" s="12" t="str">
        <f>IFERROR(IF(VLOOKUP(J146,SOURCE_REGISTRY!$A$2:$E$246,5,FALSE)="","",VLOOKUP(J146,SOURCE_REGISTRY!$A$2:$E$246,5,FALSE)),"")</f>
        <v/>
      </c>
      <c r="Q146" s="9" t="s">
        <v>1056</v>
      </c>
    </row>
    <row r="147" spans="1:17" ht="51" hidden="1" customHeight="1" outlineLevel="1" x14ac:dyDescent="0.25">
      <c r="A147" s="8" t="s">
        <v>1252</v>
      </c>
      <c r="B147" s="8" t="s">
        <v>1253</v>
      </c>
      <c r="C147" s="12" t="str">
        <f>IFERROR(VLOOKUP(B147,ENTITY_MASTER!$A$2:$B$266,2,FALSE),"")</f>
        <v>Shanghai Institute of Biological Products Co Ltd</v>
      </c>
      <c r="D147" s="8" t="s">
        <v>344</v>
      </c>
      <c r="E147" s="8" t="s">
        <v>1254</v>
      </c>
      <c r="F147" s="13" t="s">
        <v>372</v>
      </c>
      <c r="G147" s="13" t="s">
        <v>372</v>
      </c>
      <c r="H147" s="8" t="s">
        <v>409</v>
      </c>
      <c r="I147" s="8" t="s">
        <v>1255</v>
      </c>
      <c r="J147" s="8" t="s">
        <v>1053</v>
      </c>
      <c r="K147" s="9" t="s">
        <v>954</v>
      </c>
      <c r="L147" s="9" t="s">
        <v>352</v>
      </c>
      <c r="M147" s="8" t="s">
        <v>1054</v>
      </c>
      <c r="N147" s="8" t="s">
        <v>1256</v>
      </c>
      <c r="O147" s="8" t="s">
        <v>607</v>
      </c>
      <c r="P147" s="12" t="str">
        <f>IFERROR(IF(VLOOKUP(J147,SOURCE_REGISTRY!$A$2:$E$246,5,FALSE)="","",VLOOKUP(J147,SOURCE_REGISTRY!$A$2:$E$246,5,FALSE)),"")</f>
        <v/>
      </c>
      <c r="Q147" s="9" t="s">
        <v>1056</v>
      </c>
    </row>
    <row r="148" spans="1:17" ht="51" hidden="1" customHeight="1" outlineLevel="1" x14ac:dyDescent="0.25">
      <c r="A148" s="8" t="s">
        <v>1257</v>
      </c>
      <c r="B148" s="8" t="s">
        <v>1258</v>
      </c>
      <c r="C148" s="12" t="str">
        <f>IFERROR(VLOOKUP(B148,ENTITY_MASTER!$A$2:$B$266,2,FALSE),"")</f>
        <v>LucasBio Co Ltd</v>
      </c>
      <c r="D148" s="8" t="s">
        <v>344</v>
      </c>
      <c r="E148" s="8" t="s">
        <v>800</v>
      </c>
      <c r="F148" s="13" t="s">
        <v>372</v>
      </c>
      <c r="G148" s="13" t="s">
        <v>372</v>
      </c>
      <c r="H148" s="13" t="s">
        <v>372</v>
      </c>
      <c r="I148" s="8" t="s">
        <v>1259</v>
      </c>
      <c r="J148" s="8" t="s">
        <v>1053</v>
      </c>
      <c r="K148" s="9" t="s">
        <v>954</v>
      </c>
      <c r="L148" s="9" t="s">
        <v>352</v>
      </c>
      <c r="M148" s="8" t="s">
        <v>1054</v>
      </c>
      <c r="N148" s="8" t="s">
        <v>1260</v>
      </c>
      <c r="O148" s="8" t="s">
        <v>607</v>
      </c>
      <c r="P148" s="12" t="str">
        <f>IFERROR(IF(VLOOKUP(J148,SOURCE_REGISTRY!$A$2:$E$246,5,FALSE)="","",VLOOKUP(J148,SOURCE_REGISTRY!$A$2:$E$246,5,FALSE)),"")</f>
        <v/>
      </c>
      <c r="Q148" s="9" t="s">
        <v>1056</v>
      </c>
    </row>
    <row r="149" spans="1:17" ht="51" hidden="1" customHeight="1" outlineLevel="1" x14ac:dyDescent="0.25">
      <c r="A149" s="8" t="s">
        <v>1261</v>
      </c>
      <c r="B149" s="8" t="s">
        <v>1262</v>
      </c>
      <c r="C149" s="12" t="str">
        <f>IFERROR(VLOOKUP(B149,ENTITY_MASTER!$A$2:$B$266,2,FALSE),"")</f>
        <v>Boehringer Ingelheim International GmbH</v>
      </c>
      <c r="D149" s="8" t="s">
        <v>344</v>
      </c>
      <c r="E149" s="8" t="s">
        <v>1176</v>
      </c>
      <c r="F149" s="13" t="s">
        <v>372</v>
      </c>
      <c r="G149" s="13" t="s">
        <v>372</v>
      </c>
      <c r="H149" s="13" t="s">
        <v>372</v>
      </c>
      <c r="I149" s="8" t="s">
        <v>1263</v>
      </c>
      <c r="J149" s="8" t="s">
        <v>1053</v>
      </c>
      <c r="K149" s="9" t="s">
        <v>954</v>
      </c>
      <c r="L149" s="9" t="s">
        <v>352</v>
      </c>
      <c r="M149" s="8" t="s">
        <v>1054</v>
      </c>
      <c r="N149" s="8" t="s">
        <v>1264</v>
      </c>
      <c r="O149" s="8" t="s">
        <v>607</v>
      </c>
      <c r="P149" s="12" t="str">
        <f>IFERROR(IF(VLOOKUP(J149,SOURCE_REGISTRY!$A$2:$E$246,5,FALSE)="","",VLOOKUP(J149,SOURCE_REGISTRY!$A$2:$E$246,5,FALSE)),"")</f>
        <v/>
      </c>
      <c r="Q149" s="9" t="s">
        <v>1056</v>
      </c>
    </row>
    <row r="150" spans="1:17" ht="51" hidden="1" customHeight="1" outlineLevel="1" x14ac:dyDescent="0.25">
      <c r="A150" s="8" t="s">
        <v>1265</v>
      </c>
      <c r="B150" s="8" t="s">
        <v>1266</v>
      </c>
      <c r="C150" s="12" t="str">
        <f>IFERROR(VLOOKUP(B150,ENTITY_MASTER!$A$2:$B$266,2,FALSE),"")</f>
        <v>Aviex Technologies LLC</v>
      </c>
      <c r="D150" s="8" t="s">
        <v>344</v>
      </c>
      <c r="E150" s="8" t="s">
        <v>1267</v>
      </c>
      <c r="F150" s="13" t="s">
        <v>372</v>
      </c>
      <c r="G150" s="13" t="s">
        <v>372</v>
      </c>
      <c r="H150" s="13" t="s">
        <v>372</v>
      </c>
      <c r="I150" s="8" t="s">
        <v>1268</v>
      </c>
      <c r="J150" s="8" t="s">
        <v>1053</v>
      </c>
      <c r="K150" s="9" t="s">
        <v>954</v>
      </c>
      <c r="L150" s="9" t="s">
        <v>352</v>
      </c>
      <c r="M150" s="8" t="s">
        <v>1054</v>
      </c>
      <c r="N150" s="8" t="s">
        <v>1269</v>
      </c>
      <c r="O150" s="8" t="s">
        <v>607</v>
      </c>
      <c r="P150" s="12" t="str">
        <f>IFERROR(IF(VLOOKUP(J150,SOURCE_REGISTRY!$A$2:$E$246,5,FALSE)="","",VLOOKUP(J150,SOURCE_REGISTRY!$A$2:$E$246,5,FALSE)),"")</f>
        <v/>
      </c>
      <c r="Q150" s="9" t="s">
        <v>1056</v>
      </c>
    </row>
    <row r="151" spans="1:17" ht="51" hidden="1" customHeight="1" outlineLevel="1" x14ac:dyDescent="0.25">
      <c r="A151" s="8" t="s">
        <v>1270</v>
      </c>
      <c r="B151" s="8" t="s">
        <v>1271</v>
      </c>
      <c r="C151" s="12" t="str">
        <f>IFERROR(VLOOKUP(B151,ENTITY_MASTER!$A$2:$B$266,2,FALSE),"")</f>
        <v>Huahui Health Ltd</v>
      </c>
      <c r="D151" s="8" t="s">
        <v>344</v>
      </c>
      <c r="E151" s="8" t="s">
        <v>614</v>
      </c>
      <c r="F151" s="13" t="s">
        <v>372</v>
      </c>
      <c r="G151" s="13" t="s">
        <v>372</v>
      </c>
      <c r="H151" s="13" t="s">
        <v>372</v>
      </c>
      <c r="I151" s="8" t="s">
        <v>1272</v>
      </c>
      <c r="J151" s="8" t="s">
        <v>1053</v>
      </c>
      <c r="K151" s="9" t="s">
        <v>954</v>
      </c>
      <c r="L151" s="9" t="s">
        <v>352</v>
      </c>
      <c r="M151" s="8" t="s">
        <v>1054</v>
      </c>
      <c r="N151" s="8" t="s">
        <v>1273</v>
      </c>
      <c r="O151" s="8" t="s">
        <v>607</v>
      </c>
      <c r="P151" s="12" t="str">
        <f>IFERROR(IF(VLOOKUP(J151,SOURCE_REGISTRY!$A$2:$E$246,5,FALSE)="","",VLOOKUP(J151,SOURCE_REGISTRY!$A$2:$E$246,5,FALSE)),"")</f>
        <v/>
      </c>
      <c r="Q151" s="9" t="s">
        <v>1056</v>
      </c>
    </row>
    <row r="152" spans="1:17" ht="51" hidden="1" customHeight="1" outlineLevel="1" x14ac:dyDescent="0.25">
      <c r="A152" s="8" t="s">
        <v>1274</v>
      </c>
      <c r="B152" s="8" t="s">
        <v>1275</v>
      </c>
      <c r="C152" s="12" t="str">
        <f>IFERROR(VLOOKUP(B152,ENTITY_MASTER!$A$2:$B$266,2,FALSE),"")</f>
        <v>Citius Pharmaceuticals Inc</v>
      </c>
      <c r="D152" s="8" t="s">
        <v>344</v>
      </c>
      <c r="E152" s="8" t="s">
        <v>966</v>
      </c>
      <c r="F152" s="13" t="s">
        <v>372</v>
      </c>
      <c r="G152" s="13" t="s">
        <v>372</v>
      </c>
      <c r="H152" s="13" t="s">
        <v>372</v>
      </c>
      <c r="I152" s="8" t="s">
        <v>1276</v>
      </c>
      <c r="J152" s="8" t="s">
        <v>1053</v>
      </c>
      <c r="K152" s="9" t="s">
        <v>954</v>
      </c>
      <c r="L152" s="9" t="s">
        <v>352</v>
      </c>
      <c r="M152" s="8" t="s">
        <v>1054</v>
      </c>
      <c r="N152" s="8" t="s">
        <v>1277</v>
      </c>
      <c r="O152" s="8" t="s">
        <v>607</v>
      </c>
      <c r="P152" s="12" t="str">
        <f>IFERROR(IF(VLOOKUP(J152,SOURCE_REGISTRY!$A$2:$E$246,5,FALSE)="","",VLOOKUP(J152,SOURCE_REGISTRY!$A$2:$E$246,5,FALSE)),"")</f>
        <v/>
      </c>
      <c r="Q152" s="9" t="s">
        <v>1056</v>
      </c>
    </row>
    <row r="153" spans="1:17" ht="51" hidden="1" customHeight="1" outlineLevel="1" x14ac:dyDescent="0.25">
      <c r="A153" s="8" t="s">
        <v>1278</v>
      </c>
      <c r="B153" s="8" t="s">
        <v>1279</v>
      </c>
      <c r="C153" s="12" t="str">
        <f>IFERROR(VLOOKUP(B153,ENTITY_MASTER!$A$2:$B$266,2,FALSE),"")</f>
        <v>Alopexx Inc</v>
      </c>
      <c r="D153" s="8" t="s">
        <v>344</v>
      </c>
      <c r="E153" s="8" t="s">
        <v>734</v>
      </c>
      <c r="F153" s="13" t="s">
        <v>372</v>
      </c>
      <c r="G153" s="13" t="s">
        <v>372</v>
      </c>
      <c r="H153" s="13" t="s">
        <v>372</v>
      </c>
      <c r="I153" s="8" t="s">
        <v>1280</v>
      </c>
      <c r="J153" s="8" t="s">
        <v>1053</v>
      </c>
      <c r="K153" s="9" t="s">
        <v>954</v>
      </c>
      <c r="L153" s="9" t="s">
        <v>352</v>
      </c>
      <c r="M153" s="8" t="s">
        <v>1054</v>
      </c>
      <c r="N153" s="8" t="s">
        <v>1281</v>
      </c>
      <c r="O153" s="8" t="s">
        <v>607</v>
      </c>
      <c r="P153" s="12" t="str">
        <f>IFERROR(IF(VLOOKUP(J153,SOURCE_REGISTRY!$A$2:$E$246,5,FALSE)="","",VLOOKUP(J153,SOURCE_REGISTRY!$A$2:$E$246,5,FALSE)),"")</f>
        <v/>
      </c>
      <c r="Q153" s="9" t="s">
        <v>1056</v>
      </c>
    </row>
    <row r="154" spans="1:17" ht="51" hidden="1" customHeight="1" outlineLevel="1" x14ac:dyDescent="0.25">
      <c r="A154" s="8" t="s">
        <v>1282</v>
      </c>
      <c r="B154" s="8" t="s">
        <v>1283</v>
      </c>
      <c r="C154" s="12" t="str">
        <f>IFERROR(VLOOKUP(B154,ENTITY_MASTER!$A$2:$B$266,2,FALSE),"")</f>
        <v>Osel Inc</v>
      </c>
      <c r="D154" s="8" t="s">
        <v>344</v>
      </c>
      <c r="E154" s="8" t="s">
        <v>1284</v>
      </c>
      <c r="F154" s="13" t="s">
        <v>372</v>
      </c>
      <c r="G154" s="13" t="s">
        <v>372</v>
      </c>
      <c r="H154" s="13" t="s">
        <v>372</v>
      </c>
      <c r="I154" s="8" t="s">
        <v>1285</v>
      </c>
      <c r="J154" s="8" t="s">
        <v>1053</v>
      </c>
      <c r="K154" s="9" t="s">
        <v>954</v>
      </c>
      <c r="L154" s="9" t="s">
        <v>352</v>
      </c>
      <c r="M154" s="8" t="s">
        <v>1054</v>
      </c>
      <c r="N154" s="8" t="s">
        <v>1286</v>
      </c>
      <c r="O154" s="8" t="s">
        <v>607</v>
      </c>
      <c r="P154" s="12" t="str">
        <f>IFERROR(IF(VLOOKUP(J154,SOURCE_REGISTRY!$A$2:$E$246,5,FALSE)="","",VLOOKUP(J154,SOURCE_REGISTRY!$A$2:$E$246,5,FALSE)),"")</f>
        <v/>
      </c>
      <c r="Q154" s="9" t="s">
        <v>1056</v>
      </c>
    </row>
    <row r="155" spans="1:17" ht="51" hidden="1" customHeight="1" outlineLevel="1" x14ac:dyDescent="0.25">
      <c r="A155" s="8" t="s">
        <v>1287</v>
      </c>
      <c r="B155" s="8" t="s">
        <v>1288</v>
      </c>
      <c r="C155" s="12" t="str">
        <f>IFERROR(VLOOKUP(B155,ENTITY_MASTER!$A$2:$B$266,2,FALSE),"")</f>
        <v>Beijing Luzhu Biotechnology Co Ltd</v>
      </c>
      <c r="D155" s="8" t="s">
        <v>344</v>
      </c>
      <c r="E155" s="8" t="s">
        <v>371</v>
      </c>
      <c r="F155" s="13" t="s">
        <v>372</v>
      </c>
      <c r="G155" s="13" t="s">
        <v>372</v>
      </c>
      <c r="H155" s="8" t="s">
        <v>409</v>
      </c>
      <c r="I155" s="8" t="s">
        <v>1289</v>
      </c>
      <c r="J155" s="8" t="s">
        <v>1053</v>
      </c>
      <c r="K155" s="9" t="s">
        <v>954</v>
      </c>
      <c r="L155" s="9" t="s">
        <v>352</v>
      </c>
      <c r="M155" s="8" t="s">
        <v>1054</v>
      </c>
      <c r="N155" s="8" t="s">
        <v>1290</v>
      </c>
      <c r="O155" s="8" t="s">
        <v>607</v>
      </c>
      <c r="P155" s="12" t="str">
        <f>IFERROR(IF(VLOOKUP(J155,SOURCE_REGISTRY!$A$2:$E$246,5,FALSE)="","",VLOOKUP(J155,SOURCE_REGISTRY!$A$2:$E$246,5,FALSE)),"")</f>
        <v/>
      </c>
      <c r="Q155" s="9" t="s">
        <v>1056</v>
      </c>
    </row>
    <row r="156" spans="1:17" ht="51" hidden="1" customHeight="1" outlineLevel="1" x14ac:dyDescent="0.25">
      <c r="A156" s="8" t="s">
        <v>1291</v>
      </c>
      <c r="B156" s="8" t="s">
        <v>1292</v>
      </c>
      <c r="C156" s="12" t="str">
        <f>IFERROR(VLOOKUP(B156,ENTITY_MASTER!$A$2:$B$266,2,FALSE),"")</f>
        <v>MAXVAX Biotechnology Co Ltd</v>
      </c>
      <c r="D156" s="8" t="s">
        <v>344</v>
      </c>
      <c r="E156" s="8" t="s">
        <v>1158</v>
      </c>
      <c r="F156" s="13" t="s">
        <v>372</v>
      </c>
      <c r="G156" s="13" t="s">
        <v>372</v>
      </c>
      <c r="H156" s="8" t="s">
        <v>409</v>
      </c>
      <c r="I156" s="8" t="s">
        <v>1293</v>
      </c>
      <c r="J156" s="8" t="s">
        <v>1053</v>
      </c>
      <c r="K156" s="9" t="s">
        <v>954</v>
      </c>
      <c r="L156" s="9" t="s">
        <v>352</v>
      </c>
      <c r="M156" s="8" t="s">
        <v>1054</v>
      </c>
      <c r="N156" s="8" t="s">
        <v>1294</v>
      </c>
      <c r="O156" s="8" t="s">
        <v>607</v>
      </c>
      <c r="P156" s="12" t="str">
        <f>IFERROR(IF(VLOOKUP(J156,SOURCE_REGISTRY!$A$2:$E$246,5,FALSE)="","",VLOOKUP(J156,SOURCE_REGISTRY!$A$2:$E$246,5,FALSE)),"")</f>
        <v/>
      </c>
      <c r="Q156" s="9" t="s">
        <v>1056</v>
      </c>
    </row>
    <row r="157" spans="1:17" ht="51" hidden="1" customHeight="1" outlineLevel="1" x14ac:dyDescent="0.25">
      <c r="A157" s="8" t="s">
        <v>1295</v>
      </c>
      <c r="B157" s="8" t="s">
        <v>1296</v>
      </c>
      <c r="C157" s="12" t="str">
        <f>IFERROR(VLOOKUP(B157,ENTITY_MASTER!$A$2:$B$266,2,FALSE),"")</f>
        <v>LigaChem Biosciences Inc</v>
      </c>
      <c r="D157" s="8" t="s">
        <v>344</v>
      </c>
      <c r="E157" s="8" t="s">
        <v>1012</v>
      </c>
      <c r="F157" s="13" t="s">
        <v>372</v>
      </c>
      <c r="G157" s="13" t="s">
        <v>372</v>
      </c>
      <c r="H157" s="13" t="s">
        <v>372</v>
      </c>
      <c r="I157" s="8" t="s">
        <v>1297</v>
      </c>
      <c r="J157" s="8" t="s">
        <v>1053</v>
      </c>
      <c r="K157" s="9" t="s">
        <v>954</v>
      </c>
      <c r="L157" s="9" t="s">
        <v>352</v>
      </c>
      <c r="M157" s="8" t="s">
        <v>1054</v>
      </c>
      <c r="N157" s="8" t="s">
        <v>1298</v>
      </c>
      <c r="O157" s="8" t="s">
        <v>607</v>
      </c>
      <c r="P157" s="12" t="str">
        <f>IFERROR(IF(VLOOKUP(J157,SOURCE_REGISTRY!$A$2:$E$246,5,FALSE)="","",VLOOKUP(J157,SOURCE_REGISTRY!$A$2:$E$246,5,FALSE)),"")</f>
        <v/>
      </c>
      <c r="Q157" s="9" t="s">
        <v>1056</v>
      </c>
    </row>
    <row r="158" spans="1:17" ht="51" hidden="1" customHeight="1" outlineLevel="1" x14ac:dyDescent="0.25">
      <c r="A158" s="8" t="s">
        <v>1299</v>
      </c>
      <c r="B158" s="8" t="s">
        <v>1300</v>
      </c>
      <c r="C158" s="12" t="str">
        <f>IFERROR(VLOOKUP(B158,ENTITY_MASTER!$A$2:$B$266,2,FALSE),"")</f>
        <v>Luye Life Sciences Group Ltd</v>
      </c>
      <c r="D158" s="8" t="s">
        <v>344</v>
      </c>
      <c r="E158" s="8" t="s">
        <v>1254</v>
      </c>
      <c r="F158" s="13" t="s">
        <v>372</v>
      </c>
      <c r="G158" s="13" t="s">
        <v>372</v>
      </c>
      <c r="H158" s="13" t="s">
        <v>372</v>
      </c>
      <c r="I158" s="8" t="s">
        <v>1301</v>
      </c>
      <c r="J158" s="8" t="s">
        <v>1053</v>
      </c>
      <c r="K158" s="9" t="s">
        <v>954</v>
      </c>
      <c r="L158" s="9" t="s">
        <v>352</v>
      </c>
      <c r="M158" s="8" t="s">
        <v>1054</v>
      </c>
      <c r="N158" s="8" t="s">
        <v>1302</v>
      </c>
      <c r="O158" s="8" t="s">
        <v>607</v>
      </c>
      <c r="P158" s="12" t="str">
        <f>IFERROR(IF(VLOOKUP(J158,SOURCE_REGISTRY!$A$2:$E$246,5,FALSE)="","",VLOOKUP(J158,SOURCE_REGISTRY!$A$2:$E$246,5,FALSE)),"")</f>
        <v/>
      </c>
      <c r="Q158" s="9" t="s">
        <v>1056</v>
      </c>
    </row>
    <row r="159" spans="1:17" ht="51" hidden="1" customHeight="1" outlineLevel="1" x14ac:dyDescent="0.25">
      <c r="A159" s="8" t="s">
        <v>1303</v>
      </c>
      <c r="B159" s="8" t="s">
        <v>1304</v>
      </c>
      <c r="C159" s="12" t="str">
        <f>IFERROR(VLOOKUP(B159,ENTITY_MASTER!$A$2:$B$266,2,FALSE),"")</f>
        <v>Dynavax Technologies Corp</v>
      </c>
      <c r="D159" s="8" t="s">
        <v>344</v>
      </c>
      <c r="E159" s="8" t="s">
        <v>1254</v>
      </c>
      <c r="F159" s="13" t="s">
        <v>372</v>
      </c>
      <c r="G159" s="13" t="s">
        <v>372</v>
      </c>
      <c r="H159" s="8" t="s">
        <v>409</v>
      </c>
      <c r="I159" s="8" t="s">
        <v>1305</v>
      </c>
      <c r="J159" s="8" t="s">
        <v>1053</v>
      </c>
      <c r="K159" s="9" t="s">
        <v>954</v>
      </c>
      <c r="L159" s="9" t="s">
        <v>352</v>
      </c>
      <c r="M159" s="8" t="s">
        <v>1054</v>
      </c>
      <c r="N159" s="8" t="s">
        <v>1306</v>
      </c>
      <c r="O159" s="8" t="s">
        <v>607</v>
      </c>
      <c r="P159" s="12" t="str">
        <f>IFERROR(IF(VLOOKUP(J159,SOURCE_REGISTRY!$A$2:$E$246,5,FALSE)="","",VLOOKUP(J159,SOURCE_REGISTRY!$A$2:$E$246,5,FALSE)),"")</f>
        <v/>
      </c>
      <c r="Q159" s="9" t="s">
        <v>1056</v>
      </c>
    </row>
    <row r="160" spans="1:17" ht="51" hidden="1" customHeight="1" outlineLevel="1" x14ac:dyDescent="0.25">
      <c r="A160" s="8" t="s">
        <v>1307</v>
      </c>
      <c r="B160" s="8" t="s">
        <v>1308</v>
      </c>
      <c r="C160" s="12" t="str">
        <f>IFERROR(VLOOKUP(B160,ENTITY_MASTER!$A$2:$B$266,2,FALSE),"")</f>
        <v>Viriom Inc</v>
      </c>
      <c r="D160" s="8" t="s">
        <v>344</v>
      </c>
      <c r="E160" s="8" t="s">
        <v>588</v>
      </c>
      <c r="F160" s="13" t="s">
        <v>372</v>
      </c>
      <c r="G160" s="13" t="s">
        <v>372</v>
      </c>
      <c r="H160" s="13" t="s">
        <v>372</v>
      </c>
      <c r="I160" s="8" t="s">
        <v>1309</v>
      </c>
      <c r="J160" s="8" t="s">
        <v>1053</v>
      </c>
      <c r="K160" s="9" t="s">
        <v>954</v>
      </c>
      <c r="L160" s="9" t="s">
        <v>352</v>
      </c>
      <c r="M160" s="8" t="s">
        <v>1054</v>
      </c>
      <c r="N160" s="8" t="s">
        <v>1310</v>
      </c>
      <c r="O160" s="8" t="s">
        <v>607</v>
      </c>
      <c r="P160" s="12" t="str">
        <f>IFERROR(IF(VLOOKUP(J160,SOURCE_REGISTRY!$A$2:$E$246,5,FALSE)="","",VLOOKUP(J160,SOURCE_REGISTRY!$A$2:$E$246,5,FALSE)),"")</f>
        <v/>
      </c>
      <c r="Q160" s="9" t="s">
        <v>1056</v>
      </c>
    </row>
    <row r="161" spans="1:17" ht="51" hidden="1" customHeight="1" outlineLevel="1" x14ac:dyDescent="0.25">
      <c r="A161" s="8" t="s">
        <v>1311</v>
      </c>
      <c r="B161" s="8" t="s">
        <v>1312</v>
      </c>
      <c r="C161" s="12" t="str">
        <f>IFERROR(VLOOKUP(B161,ENTITY_MASTER!$A$2:$B$266,2,FALSE),"")</f>
        <v>RedHill Biopharma Ltd</v>
      </c>
      <c r="D161" s="8" t="s">
        <v>344</v>
      </c>
      <c r="E161" s="8" t="s">
        <v>1313</v>
      </c>
      <c r="F161" s="13" t="s">
        <v>372</v>
      </c>
      <c r="G161" s="13" t="s">
        <v>372</v>
      </c>
      <c r="H161" s="13" t="s">
        <v>372</v>
      </c>
      <c r="I161" s="8" t="s">
        <v>1314</v>
      </c>
      <c r="J161" s="8" t="s">
        <v>1053</v>
      </c>
      <c r="K161" s="9" t="s">
        <v>954</v>
      </c>
      <c r="L161" s="9" t="s">
        <v>352</v>
      </c>
      <c r="M161" s="8" t="s">
        <v>1054</v>
      </c>
      <c r="N161" s="8" t="s">
        <v>1315</v>
      </c>
      <c r="O161" s="8" t="s">
        <v>607</v>
      </c>
      <c r="P161" s="12" t="str">
        <f>IFERROR(IF(VLOOKUP(J161,SOURCE_REGISTRY!$A$2:$E$246,5,FALSE)="","",VLOOKUP(J161,SOURCE_REGISTRY!$A$2:$E$246,5,FALSE)),"")</f>
        <v/>
      </c>
      <c r="Q161" s="9" t="s">
        <v>1056</v>
      </c>
    </row>
    <row r="162" spans="1:17" ht="51" hidden="1" customHeight="1" outlineLevel="1" x14ac:dyDescent="0.25">
      <c r="A162" s="8" t="s">
        <v>1316</v>
      </c>
      <c r="B162" s="8" t="s">
        <v>1317</v>
      </c>
      <c r="C162" s="12" t="str">
        <f>IFERROR(VLOOKUP(B162,ENTITY_MASTER!$A$2:$B$266,2,FALSE),"")</f>
        <v>Immuron Ltd</v>
      </c>
      <c r="D162" s="8" t="s">
        <v>344</v>
      </c>
      <c r="E162" s="8" t="s">
        <v>512</v>
      </c>
      <c r="F162" s="13" t="s">
        <v>372</v>
      </c>
      <c r="G162" s="13" t="s">
        <v>372</v>
      </c>
      <c r="H162" s="8" t="s">
        <v>513</v>
      </c>
      <c r="I162" s="8" t="s">
        <v>1318</v>
      </c>
      <c r="J162" s="8" t="s">
        <v>1053</v>
      </c>
      <c r="K162" s="9" t="s">
        <v>954</v>
      </c>
      <c r="L162" s="9" t="s">
        <v>352</v>
      </c>
      <c r="M162" s="8" t="s">
        <v>1054</v>
      </c>
      <c r="N162" s="8" t="s">
        <v>1319</v>
      </c>
      <c r="O162" s="8" t="s">
        <v>607</v>
      </c>
      <c r="P162" s="12" t="str">
        <f>IFERROR(IF(VLOOKUP(J162,SOURCE_REGISTRY!$A$2:$E$246,5,FALSE)="","",VLOOKUP(J162,SOURCE_REGISTRY!$A$2:$E$246,5,FALSE)),"")</f>
        <v/>
      </c>
      <c r="Q162" s="9" t="s">
        <v>1056</v>
      </c>
    </row>
    <row r="163" spans="1:17" ht="51" hidden="1" customHeight="1" outlineLevel="1" x14ac:dyDescent="0.25">
      <c r="A163" s="8" t="s">
        <v>1320</v>
      </c>
      <c r="B163" s="8" t="s">
        <v>1321</v>
      </c>
      <c r="C163" s="12" t="str">
        <f>IFERROR(VLOOKUP(B163,ENTITY_MASTER!$A$2:$B$266,2,FALSE),"")</f>
        <v>ConserV Bioscience Ltd</v>
      </c>
      <c r="D163" s="8" t="s">
        <v>344</v>
      </c>
      <c r="E163" s="8" t="s">
        <v>1322</v>
      </c>
      <c r="F163" s="13" t="s">
        <v>372</v>
      </c>
      <c r="G163" s="13" t="s">
        <v>372</v>
      </c>
      <c r="H163" s="8" t="s">
        <v>409</v>
      </c>
      <c r="I163" s="8" t="s">
        <v>1323</v>
      </c>
      <c r="J163" s="8" t="s">
        <v>1053</v>
      </c>
      <c r="K163" s="9" t="s">
        <v>954</v>
      </c>
      <c r="L163" s="9" t="s">
        <v>352</v>
      </c>
      <c r="M163" s="8" t="s">
        <v>1054</v>
      </c>
      <c r="N163" s="8" t="s">
        <v>1324</v>
      </c>
      <c r="O163" s="8" t="s">
        <v>607</v>
      </c>
      <c r="P163" s="12" t="str">
        <f>IFERROR(IF(VLOOKUP(J163,SOURCE_REGISTRY!$A$2:$E$246,5,FALSE)="","",VLOOKUP(J163,SOURCE_REGISTRY!$A$2:$E$246,5,FALSE)),"")</f>
        <v/>
      </c>
      <c r="Q163" s="9" t="s">
        <v>1056</v>
      </c>
    </row>
    <row r="164" spans="1:17" ht="51" hidden="1" customHeight="1" outlineLevel="1" x14ac:dyDescent="0.25">
      <c r="A164" s="8" t="s">
        <v>1325</v>
      </c>
      <c r="B164" s="8" t="s">
        <v>1326</v>
      </c>
      <c r="C164" s="12" t="str">
        <f>IFERROR(VLOOKUP(B164,ENTITY_MASTER!$A$2:$B$266,2,FALSE),"")</f>
        <v>Eisai Co Ltd</v>
      </c>
      <c r="D164" s="8" t="s">
        <v>344</v>
      </c>
      <c r="E164" s="8" t="s">
        <v>1327</v>
      </c>
      <c r="F164" s="13" t="s">
        <v>372</v>
      </c>
      <c r="G164" s="13" t="s">
        <v>372</v>
      </c>
      <c r="H164" s="8" t="s">
        <v>409</v>
      </c>
      <c r="I164" s="8" t="s">
        <v>1328</v>
      </c>
      <c r="J164" s="8" t="s">
        <v>1053</v>
      </c>
      <c r="K164" s="9" t="s">
        <v>954</v>
      </c>
      <c r="L164" s="9" t="s">
        <v>352</v>
      </c>
      <c r="M164" s="8" t="s">
        <v>1054</v>
      </c>
      <c r="N164" s="8" t="s">
        <v>1329</v>
      </c>
      <c r="O164" s="8" t="s">
        <v>607</v>
      </c>
      <c r="P164" s="12" t="str">
        <f>IFERROR(IF(VLOOKUP(J164,SOURCE_REGISTRY!$A$2:$E$246,5,FALSE)="","",VLOOKUP(J164,SOURCE_REGISTRY!$A$2:$E$246,5,FALSE)),"")</f>
        <v/>
      </c>
      <c r="Q164" s="9" t="s">
        <v>1056</v>
      </c>
    </row>
    <row r="165" spans="1:17" ht="51" hidden="1" customHeight="1" outlineLevel="1" x14ac:dyDescent="0.25">
      <c r="A165" s="8" t="s">
        <v>1330</v>
      </c>
      <c r="B165" s="8" t="s">
        <v>1331</v>
      </c>
      <c r="C165" s="12" t="str">
        <f>IFERROR(VLOOKUP(B165,ENTITY_MASTER!$A$2:$B$266,2,FALSE),"")</f>
        <v>Eubiologics Co Ltd</v>
      </c>
      <c r="D165" s="8" t="s">
        <v>344</v>
      </c>
      <c r="E165" s="8" t="s">
        <v>1244</v>
      </c>
      <c r="F165" s="13" t="s">
        <v>372</v>
      </c>
      <c r="G165" s="13" t="s">
        <v>372</v>
      </c>
      <c r="H165" s="8" t="s">
        <v>409</v>
      </c>
      <c r="I165" s="8" t="s">
        <v>1332</v>
      </c>
      <c r="J165" s="8" t="s">
        <v>1053</v>
      </c>
      <c r="K165" s="9" t="s">
        <v>954</v>
      </c>
      <c r="L165" s="9" t="s">
        <v>352</v>
      </c>
      <c r="M165" s="8" t="s">
        <v>1054</v>
      </c>
      <c r="N165" s="8" t="s">
        <v>1333</v>
      </c>
      <c r="O165" s="8" t="s">
        <v>607</v>
      </c>
      <c r="P165" s="12" t="str">
        <f>IFERROR(IF(VLOOKUP(J165,SOURCE_REGISTRY!$A$2:$E$246,5,FALSE)="","",VLOOKUP(J165,SOURCE_REGISTRY!$A$2:$E$246,5,FALSE)),"")</f>
        <v/>
      </c>
      <c r="Q165" s="9" t="s">
        <v>1056</v>
      </c>
    </row>
    <row r="166" spans="1:17" ht="51" hidden="1" customHeight="1" outlineLevel="1" x14ac:dyDescent="0.25">
      <c r="A166" s="8" t="s">
        <v>1334</v>
      </c>
      <c r="B166" s="8" t="s">
        <v>1335</v>
      </c>
      <c r="C166" s="12" t="str">
        <f>IFERROR(VLOOKUP(B166,ENTITY_MASTER!$A$2:$B$266,2,FALSE),"")</f>
        <v>AimMax Therapeutics Inc</v>
      </c>
      <c r="D166" s="8" t="s">
        <v>344</v>
      </c>
      <c r="E166" s="8" t="s">
        <v>371</v>
      </c>
      <c r="F166" s="13" t="s">
        <v>372</v>
      </c>
      <c r="G166" s="13" t="s">
        <v>372</v>
      </c>
      <c r="H166" s="13" t="s">
        <v>372</v>
      </c>
      <c r="I166" s="8" t="s">
        <v>1336</v>
      </c>
      <c r="J166" s="8" t="s">
        <v>1053</v>
      </c>
      <c r="K166" s="9" t="s">
        <v>954</v>
      </c>
      <c r="L166" s="9" t="s">
        <v>352</v>
      </c>
      <c r="M166" s="8" t="s">
        <v>1054</v>
      </c>
      <c r="N166" s="8" t="s">
        <v>1337</v>
      </c>
      <c r="O166" s="8" t="s">
        <v>607</v>
      </c>
      <c r="P166" s="12" t="str">
        <f>IFERROR(IF(VLOOKUP(J166,SOURCE_REGISTRY!$A$2:$E$246,5,FALSE)="","",VLOOKUP(J166,SOURCE_REGISTRY!$A$2:$E$246,5,FALSE)),"")</f>
        <v/>
      </c>
      <c r="Q166" s="9" t="s">
        <v>1056</v>
      </c>
    </row>
    <row r="167" spans="1:17" ht="51" hidden="1" customHeight="1" outlineLevel="1" x14ac:dyDescent="0.25">
      <c r="A167" s="8" t="s">
        <v>1338</v>
      </c>
      <c r="B167" s="8" t="s">
        <v>1339</v>
      </c>
      <c r="C167" s="12" t="str">
        <f>IFERROR(VLOOKUP(B167,ENTITY_MASTER!$A$2:$B$266,2,FALSE),"")</f>
        <v>Jiangsu Aidea Pharmaceutical Group Co Ltd</v>
      </c>
      <c r="D167" s="8" t="s">
        <v>344</v>
      </c>
      <c r="E167" s="8" t="s">
        <v>588</v>
      </c>
      <c r="F167" s="13" t="s">
        <v>372</v>
      </c>
      <c r="G167" s="13" t="s">
        <v>372</v>
      </c>
      <c r="H167" s="13" t="s">
        <v>372</v>
      </c>
      <c r="I167" s="8" t="s">
        <v>1340</v>
      </c>
      <c r="J167" s="8" t="s">
        <v>1053</v>
      </c>
      <c r="K167" s="9" t="s">
        <v>954</v>
      </c>
      <c r="L167" s="9" t="s">
        <v>352</v>
      </c>
      <c r="M167" s="8" t="s">
        <v>1054</v>
      </c>
      <c r="N167" s="8" t="s">
        <v>1341</v>
      </c>
      <c r="O167" s="8" t="s">
        <v>607</v>
      </c>
      <c r="P167" s="12" t="str">
        <f>IFERROR(IF(VLOOKUP(J167,SOURCE_REGISTRY!$A$2:$E$246,5,FALSE)="","",VLOOKUP(J167,SOURCE_REGISTRY!$A$2:$E$246,5,FALSE)),"")</f>
        <v/>
      </c>
      <c r="Q167" s="9" t="s">
        <v>1056</v>
      </c>
    </row>
    <row r="168" spans="1:17" ht="51" hidden="1" customHeight="1" outlineLevel="1" x14ac:dyDescent="0.25">
      <c r="A168" s="8" t="s">
        <v>1342</v>
      </c>
      <c r="B168" s="8" t="s">
        <v>1343</v>
      </c>
      <c r="C168" s="12" t="str">
        <f>IFERROR(VLOOKUP(B168,ENTITY_MASTER!$A$2:$B$266,2,FALSE),"")</f>
        <v>Pasteur Institute</v>
      </c>
      <c r="D168" s="8" t="s">
        <v>344</v>
      </c>
      <c r="E168" s="8" t="s">
        <v>1344</v>
      </c>
      <c r="F168" s="13" t="s">
        <v>372</v>
      </c>
      <c r="G168" s="13" t="s">
        <v>372</v>
      </c>
      <c r="H168" s="8" t="s">
        <v>513</v>
      </c>
      <c r="I168" s="8" t="s">
        <v>1345</v>
      </c>
      <c r="J168" s="8" t="s">
        <v>1053</v>
      </c>
      <c r="K168" s="9" t="s">
        <v>954</v>
      </c>
      <c r="L168" s="9" t="s">
        <v>352</v>
      </c>
      <c r="M168" s="8" t="s">
        <v>1054</v>
      </c>
      <c r="N168" s="8" t="s">
        <v>1346</v>
      </c>
      <c r="O168" s="8" t="s">
        <v>607</v>
      </c>
      <c r="P168" s="12" t="str">
        <f>IFERROR(IF(VLOOKUP(J168,SOURCE_REGISTRY!$A$2:$E$246,5,FALSE)="","",VLOOKUP(J168,SOURCE_REGISTRY!$A$2:$E$246,5,FALSE)),"")</f>
        <v/>
      </c>
      <c r="Q168" s="9" t="s">
        <v>1056</v>
      </c>
    </row>
    <row r="169" spans="1:17" ht="51" hidden="1" customHeight="1" outlineLevel="1" x14ac:dyDescent="0.25">
      <c r="A169" s="8" t="s">
        <v>1347</v>
      </c>
      <c r="B169" s="8" t="s">
        <v>1348</v>
      </c>
      <c r="C169" s="12" t="str">
        <f>IFERROR(VLOOKUP(B169,ENTITY_MASTER!$A$2:$B$266,2,FALSE),"")</f>
        <v>GeneCure Biotechnologies LLC</v>
      </c>
      <c r="D169" s="8" t="s">
        <v>344</v>
      </c>
      <c r="E169" s="8" t="s">
        <v>1349</v>
      </c>
      <c r="F169" s="13" t="s">
        <v>372</v>
      </c>
      <c r="G169" s="13" t="s">
        <v>372</v>
      </c>
      <c r="H169" s="8" t="s">
        <v>409</v>
      </c>
      <c r="I169" s="8" t="s">
        <v>1350</v>
      </c>
      <c r="J169" s="8" t="s">
        <v>1053</v>
      </c>
      <c r="K169" s="9" t="s">
        <v>954</v>
      </c>
      <c r="L169" s="9" t="s">
        <v>352</v>
      </c>
      <c r="M169" s="8" t="s">
        <v>1054</v>
      </c>
      <c r="N169" s="8" t="s">
        <v>1351</v>
      </c>
      <c r="O169" s="8" t="s">
        <v>607</v>
      </c>
      <c r="P169" s="12" t="str">
        <f>IFERROR(IF(VLOOKUP(J169,SOURCE_REGISTRY!$A$2:$E$246,5,FALSE)="","",VLOOKUP(J169,SOURCE_REGISTRY!$A$2:$E$246,5,FALSE)),"")</f>
        <v/>
      </c>
      <c r="Q169" s="9" t="s">
        <v>1056</v>
      </c>
    </row>
    <row r="170" spans="1:17" ht="51" hidden="1" customHeight="1" outlineLevel="1" x14ac:dyDescent="0.25">
      <c r="A170" s="8" t="s">
        <v>1352</v>
      </c>
      <c r="B170" s="8" t="s">
        <v>1353</v>
      </c>
      <c r="C170" s="12" t="str">
        <f>IFERROR(VLOOKUP(B170,ENTITY_MASTER!$A$2:$B$266,2,FALSE),"")</f>
        <v>Genrix (Shanghai) Biopharmaceutical Co Ltd</v>
      </c>
      <c r="D170" s="8" t="s">
        <v>344</v>
      </c>
      <c r="E170" s="8" t="s">
        <v>1354</v>
      </c>
      <c r="F170" s="13" t="s">
        <v>372</v>
      </c>
      <c r="G170" s="13" t="s">
        <v>372</v>
      </c>
      <c r="H170" s="13" t="s">
        <v>372</v>
      </c>
      <c r="I170" s="8" t="s">
        <v>1355</v>
      </c>
      <c r="J170" s="8" t="s">
        <v>1053</v>
      </c>
      <c r="K170" s="9" t="s">
        <v>954</v>
      </c>
      <c r="L170" s="9" t="s">
        <v>352</v>
      </c>
      <c r="M170" s="8" t="s">
        <v>1054</v>
      </c>
      <c r="N170" s="8" t="s">
        <v>1356</v>
      </c>
      <c r="O170" s="8" t="s">
        <v>607</v>
      </c>
      <c r="P170" s="12" t="str">
        <f>IFERROR(IF(VLOOKUP(J170,SOURCE_REGISTRY!$A$2:$E$246,5,FALSE)="","",VLOOKUP(J170,SOURCE_REGISTRY!$A$2:$E$246,5,FALSE)),"")</f>
        <v/>
      </c>
      <c r="Q170" s="9" t="s">
        <v>1056</v>
      </c>
    </row>
    <row r="171" spans="1:17" ht="51" hidden="1" customHeight="1" outlineLevel="1" x14ac:dyDescent="0.25">
      <c r="A171" s="8" t="s">
        <v>1357</v>
      </c>
      <c r="B171" s="8" t="s">
        <v>1358</v>
      </c>
      <c r="C171" s="12" t="str">
        <f>IFERROR(VLOOKUP(B171,ENTITY_MASTER!$A$2:$B$266,2,FALSE),"")</f>
        <v>Joincare Pharmaceutical Group Industry Co Ltd</v>
      </c>
      <c r="D171" s="8" t="s">
        <v>344</v>
      </c>
      <c r="E171" s="8" t="s">
        <v>446</v>
      </c>
      <c r="F171" s="13" t="s">
        <v>372</v>
      </c>
      <c r="G171" s="13" t="s">
        <v>372</v>
      </c>
      <c r="H171" s="8" t="s">
        <v>409</v>
      </c>
      <c r="I171" s="8" t="s">
        <v>1359</v>
      </c>
      <c r="J171" s="8" t="s">
        <v>1053</v>
      </c>
      <c r="K171" s="9" t="s">
        <v>954</v>
      </c>
      <c r="L171" s="9" t="s">
        <v>352</v>
      </c>
      <c r="M171" s="8" t="s">
        <v>1054</v>
      </c>
      <c r="N171" s="8" t="s">
        <v>1360</v>
      </c>
      <c r="O171" s="8" t="s">
        <v>607</v>
      </c>
      <c r="P171" s="12" t="str">
        <f>IFERROR(IF(VLOOKUP(J171,SOURCE_REGISTRY!$A$2:$E$246,5,FALSE)="","",VLOOKUP(J171,SOURCE_REGISTRY!$A$2:$E$246,5,FALSE)),"")</f>
        <v/>
      </c>
      <c r="Q171" s="9" t="s">
        <v>1056</v>
      </c>
    </row>
    <row r="172" spans="1:17" ht="51" hidden="1" customHeight="1" outlineLevel="1" x14ac:dyDescent="0.25">
      <c r="A172" s="8" t="s">
        <v>1361</v>
      </c>
      <c r="B172" s="8" t="s">
        <v>1362</v>
      </c>
      <c r="C172" s="12" t="str">
        <f>IFERROR(VLOOKUP(B172,ENTITY_MASTER!$A$2:$B$266,2,FALSE),"")</f>
        <v>ReiThera Srl</v>
      </c>
      <c r="D172" s="8" t="s">
        <v>344</v>
      </c>
      <c r="E172" s="8" t="s">
        <v>1064</v>
      </c>
      <c r="F172" s="13" t="s">
        <v>372</v>
      </c>
      <c r="G172" s="13" t="s">
        <v>372</v>
      </c>
      <c r="H172" s="8" t="s">
        <v>409</v>
      </c>
      <c r="I172" s="8" t="s">
        <v>1363</v>
      </c>
      <c r="J172" s="8" t="s">
        <v>1053</v>
      </c>
      <c r="K172" s="9" t="s">
        <v>954</v>
      </c>
      <c r="L172" s="9" t="s">
        <v>352</v>
      </c>
      <c r="M172" s="8" t="s">
        <v>1054</v>
      </c>
      <c r="N172" s="8" t="s">
        <v>1364</v>
      </c>
      <c r="O172" s="8" t="s">
        <v>607</v>
      </c>
      <c r="P172" s="12" t="str">
        <f>IFERROR(IF(VLOOKUP(J172,SOURCE_REGISTRY!$A$2:$E$246,5,FALSE)="","",VLOOKUP(J172,SOURCE_REGISTRY!$A$2:$E$246,5,FALSE)),"")</f>
        <v/>
      </c>
      <c r="Q172" s="9" t="s">
        <v>1056</v>
      </c>
    </row>
    <row r="173" spans="1:17" ht="51" hidden="1" customHeight="1" outlineLevel="1" x14ac:dyDescent="0.25">
      <c r="A173" s="8" t="s">
        <v>1365</v>
      </c>
      <c r="B173" s="8" t="s">
        <v>1366</v>
      </c>
      <c r="C173" s="12" t="str">
        <f>IFERROR(VLOOKUP(B173,ENTITY_MASTER!$A$2:$B$266,2,FALSE),"")</f>
        <v>Lumen Bioscience Inc</v>
      </c>
      <c r="D173" s="8" t="s">
        <v>344</v>
      </c>
      <c r="E173" s="8" t="s">
        <v>446</v>
      </c>
      <c r="F173" s="13" t="s">
        <v>372</v>
      </c>
      <c r="G173" s="13" t="s">
        <v>372</v>
      </c>
      <c r="H173" s="13" t="s">
        <v>372</v>
      </c>
      <c r="I173" s="8" t="s">
        <v>1367</v>
      </c>
      <c r="J173" s="8" t="s">
        <v>1053</v>
      </c>
      <c r="K173" s="9" t="s">
        <v>954</v>
      </c>
      <c r="L173" s="9" t="s">
        <v>352</v>
      </c>
      <c r="M173" s="8" t="s">
        <v>1054</v>
      </c>
      <c r="N173" s="8" t="s">
        <v>1368</v>
      </c>
      <c r="O173" s="8" t="s">
        <v>607</v>
      </c>
      <c r="P173" s="12" t="str">
        <f>IFERROR(IF(VLOOKUP(J173,SOURCE_REGISTRY!$A$2:$E$246,5,FALSE)="","",VLOOKUP(J173,SOURCE_REGISTRY!$A$2:$E$246,5,FALSE)),"")</f>
        <v/>
      </c>
      <c r="Q173" s="9" t="s">
        <v>1056</v>
      </c>
    </row>
    <row r="174" spans="1:17" ht="51" hidden="1" customHeight="1" outlineLevel="1" x14ac:dyDescent="0.25">
      <c r="A174" s="8" t="s">
        <v>1369</v>
      </c>
      <c r="B174" s="8" t="s">
        <v>1370</v>
      </c>
      <c r="C174" s="12" t="str">
        <f>IFERROR(VLOOKUP(B174,ENTITY_MASTER!$A$2:$B$266,2,FALSE),"")</f>
        <v>CSL Ltd</v>
      </c>
      <c r="D174" s="8" t="s">
        <v>344</v>
      </c>
      <c r="E174" s="8" t="s">
        <v>950</v>
      </c>
      <c r="F174" s="13" t="s">
        <v>372</v>
      </c>
      <c r="G174" s="13" t="s">
        <v>372</v>
      </c>
      <c r="H174" s="8" t="s">
        <v>409</v>
      </c>
      <c r="I174" s="8" t="s">
        <v>1371</v>
      </c>
      <c r="J174" s="8" t="s">
        <v>1053</v>
      </c>
      <c r="K174" s="9" t="s">
        <v>954</v>
      </c>
      <c r="L174" s="9" t="s">
        <v>352</v>
      </c>
      <c r="M174" s="8" t="s">
        <v>1054</v>
      </c>
      <c r="N174" s="8" t="s">
        <v>1372</v>
      </c>
      <c r="O174" s="8" t="s">
        <v>607</v>
      </c>
      <c r="P174" s="12" t="str">
        <f>IFERROR(IF(VLOOKUP(J174,SOURCE_REGISTRY!$A$2:$E$246,5,FALSE)="","",VLOOKUP(J174,SOURCE_REGISTRY!$A$2:$E$246,5,FALSE)),"")</f>
        <v/>
      </c>
      <c r="Q174" s="9" t="s">
        <v>1056</v>
      </c>
    </row>
    <row r="175" spans="1:17" ht="51" hidden="1" customHeight="1" outlineLevel="1" x14ac:dyDescent="0.25">
      <c r="A175" s="8" t="s">
        <v>1373</v>
      </c>
      <c r="B175" s="8" t="s">
        <v>1374</v>
      </c>
      <c r="C175" s="12" t="str">
        <f>IFERROR(VLOOKUP(B175,ENTITY_MASTER!$A$2:$B$266,2,FALSE),"")</f>
        <v>Codagenix Inc</v>
      </c>
      <c r="D175" s="8" t="s">
        <v>344</v>
      </c>
      <c r="E175" s="8" t="s">
        <v>702</v>
      </c>
      <c r="F175" s="13" t="s">
        <v>372</v>
      </c>
      <c r="G175" s="13" t="s">
        <v>372</v>
      </c>
      <c r="H175" s="8" t="s">
        <v>409</v>
      </c>
      <c r="I175" s="8" t="s">
        <v>1375</v>
      </c>
      <c r="J175" s="8" t="s">
        <v>1053</v>
      </c>
      <c r="K175" s="9" t="s">
        <v>954</v>
      </c>
      <c r="L175" s="9" t="s">
        <v>352</v>
      </c>
      <c r="M175" s="8" t="s">
        <v>1054</v>
      </c>
      <c r="N175" s="8" t="s">
        <v>1376</v>
      </c>
      <c r="O175" s="8" t="s">
        <v>607</v>
      </c>
      <c r="P175" s="12" t="str">
        <f>IFERROR(IF(VLOOKUP(J175,SOURCE_REGISTRY!$A$2:$E$246,5,FALSE)="","",VLOOKUP(J175,SOURCE_REGISTRY!$A$2:$E$246,5,FALSE)),"")</f>
        <v/>
      </c>
      <c r="Q175" s="9" t="s">
        <v>1056</v>
      </c>
    </row>
    <row r="176" spans="1:17" ht="51" hidden="1" customHeight="1" outlineLevel="1" x14ac:dyDescent="0.25">
      <c r="A176" s="8" t="s">
        <v>1377</v>
      </c>
      <c r="B176" s="8" t="s">
        <v>1378</v>
      </c>
      <c r="C176" s="12" t="str">
        <f>IFERROR(VLOOKUP(B176,ENTITY_MASTER!$A$2:$B$266,2,FALSE),"")</f>
        <v>GC Biopharma Corp</v>
      </c>
      <c r="D176" s="8" t="s">
        <v>344</v>
      </c>
      <c r="E176" s="8" t="s">
        <v>950</v>
      </c>
      <c r="F176" s="13" t="s">
        <v>372</v>
      </c>
      <c r="G176" s="13" t="s">
        <v>372</v>
      </c>
      <c r="H176" s="8" t="s">
        <v>409</v>
      </c>
      <c r="I176" s="8" t="s">
        <v>1379</v>
      </c>
      <c r="J176" s="8" t="s">
        <v>1053</v>
      </c>
      <c r="K176" s="9" t="s">
        <v>954</v>
      </c>
      <c r="L176" s="9" t="s">
        <v>352</v>
      </c>
      <c r="M176" s="8" t="s">
        <v>1054</v>
      </c>
      <c r="N176" s="8" t="s">
        <v>1380</v>
      </c>
      <c r="O176" s="8" t="s">
        <v>607</v>
      </c>
      <c r="P176" s="12" t="str">
        <f>IFERROR(IF(VLOOKUP(J176,SOURCE_REGISTRY!$A$2:$E$246,5,FALSE)="","",VLOOKUP(J176,SOURCE_REGISTRY!$A$2:$E$246,5,FALSE)),"")</f>
        <v/>
      </c>
      <c r="Q176" s="9" t="s">
        <v>1056</v>
      </c>
    </row>
    <row r="177" spans="1:17" ht="51" hidden="1" customHeight="1" outlineLevel="1" x14ac:dyDescent="0.25">
      <c r="A177" s="8" t="s">
        <v>1381</v>
      </c>
      <c r="B177" s="8" t="s">
        <v>1382</v>
      </c>
      <c r="C177" s="12" t="str">
        <f>IFERROR(VLOOKUP(B177,ENTITY_MASTER!$A$2:$B$266,2,FALSE),"")</f>
        <v>Clover Biopharmaceuticals Ltd</v>
      </c>
      <c r="D177" s="8" t="s">
        <v>344</v>
      </c>
      <c r="E177" s="8" t="s">
        <v>950</v>
      </c>
      <c r="F177" s="13" t="s">
        <v>372</v>
      </c>
      <c r="G177" s="13" t="s">
        <v>372</v>
      </c>
      <c r="H177" s="8" t="s">
        <v>409</v>
      </c>
      <c r="I177" s="8" t="s">
        <v>1383</v>
      </c>
      <c r="J177" s="8" t="s">
        <v>1053</v>
      </c>
      <c r="K177" s="9" t="s">
        <v>954</v>
      </c>
      <c r="L177" s="9" t="s">
        <v>352</v>
      </c>
      <c r="M177" s="8" t="s">
        <v>1054</v>
      </c>
      <c r="N177" s="8" t="s">
        <v>1384</v>
      </c>
      <c r="O177" s="8" t="s">
        <v>607</v>
      </c>
      <c r="P177" s="12" t="str">
        <f>IFERROR(IF(VLOOKUP(J177,SOURCE_REGISTRY!$A$2:$E$246,5,FALSE)="","",VLOOKUP(J177,SOURCE_REGISTRY!$A$2:$E$246,5,FALSE)),"")</f>
        <v/>
      </c>
      <c r="Q177" s="9" t="s">
        <v>1056</v>
      </c>
    </row>
    <row r="178" spans="1:17" ht="51" hidden="1" customHeight="1" outlineLevel="1" x14ac:dyDescent="0.25">
      <c r="A178" s="8" t="s">
        <v>1385</v>
      </c>
      <c r="B178" s="8" t="s">
        <v>1386</v>
      </c>
      <c r="C178" s="12" t="str">
        <f>IFERROR(VLOOKUP(B178,ENTITY_MASTER!$A$2:$B$266,2,FALSE),"")</f>
        <v>AbVacc Inc</v>
      </c>
      <c r="D178" s="8" t="s">
        <v>344</v>
      </c>
      <c r="E178" s="8" t="s">
        <v>1387</v>
      </c>
      <c r="F178" s="13" t="s">
        <v>372</v>
      </c>
      <c r="G178" s="13" t="s">
        <v>372</v>
      </c>
      <c r="H178" s="13" t="s">
        <v>372</v>
      </c>
      <c r="I178" s="8" t="s">
        <v>1388</v>
      </c>
      <c r="J178" s="8" t="s">
        <v>1053</v>
      </c>
      <c r="K178" s="9" t="s">
        <v>954</v>
      </c>
      <c r="L178" s="9" t="s">
        <v>352</v>
      </c>
      <c r="M178" s="8" t="s">
        <v>1054</v>
      </c>
      <c r="N178" s="8" t="s">
        <v>1389</v>
      </c>
      <c r="O178" s="8" t="s">
        <v>607</v>
      </c>
      <c r="P178" s="12" t="str">
        <f>IFERROR(IF(VLOOKUP(J178,SOURCE_REGISTRY!$A$2:$E$246,5,FALSE)="","",VLOOKUP(J178,SOURCE_REGISTRY!$A$2:$E$246,5,FALSE)),"")</f>
        <v/>
      </c>
      <c r="Q178" s="9" t="s">
        <v>1056</v>
      </c>
    </row>
    <row r="179" spans="1:17" ht="51" hidden="1" customHeight="1" outlineLevel="1" x14ac:dyDescent="0.25">
      <c r="A179" s="8" t="s">
        <v>1390</v>
      </c>
      <c r="B179" s="8" t="s">
        <v>1391</v>
      </c>
      <c r="C179" s="12" t="str">
        <f>IFERROR(VLOOKUP(B179,ENTITY_MASTER!$A$2:$B$266,2,FALSE),"")</f>
        <v>Abion Inc</v>
      </c>
      <c r="D179" s="8" t="s">
        <v>344</v>
      </c>
      <c r="E179" s="8" t="s">
        <v>1392</v>
      </c>
      <c r="F179" s="13" t="s">
        <v>372</v>
      </c>
      <c r="G179" s="13" t="s">
        <v>372</v>
      </c>
      <c r="H179" s="13" t="s">
        <v>372</v>
      </c>
      <c r="I179" s="8" t="s">
        <v>1393</v>
      </c>
      <c r="J179" s="8" t="s">
        <v>1053</v>
      </c>
      <c r="K179" s="9" t="s">
        <v>954</v>
      </c>
      <c r="L179" s="9" t="s">
        <v>352</v>
      </c>
      <c r="M179" s="8" t="s">
        <v>1054</v>
      </c>
      <c r="N179" s="8" t="s">
        <v>1394</v>
      </c>
      <c r="O179" s="8" t="s">
        <v>607</v>
      </c>
      <c r="P179" s="12" t="str">
        <f>IFERROR(IF(VLOOKUP(J179,SOURCE_REGISTRY!$A$2:$E$246,5,FALSE)="","",VLOOKUP(J179,SOURCE_REGISTRY!$A$2:$E$246,5,FALSE)),"")</f>
        <v/>
      </c>
      <c r="Q179" s="9" t="s">
        <v>1056</v>
      </c>
    </row>
    <row r="180" spans="1:17" ht="51" hidden="1" customHeight="1" outlineLevel="1" x14ac:dyDescent="0.25">
      <c r="A180" s="8" t="s">
        <v>1395</v>
      </c>
      <c r="B180" s="8" t="s">
        <v>1396</v>
      </c>
      <c r="C180" s="12" t="str">
        <f>IFERROR(VLOOKUP(B180,ENTITY_MASTER!$A$2:$B$266,2,FALSE),"")</f>
        <v>Jecho Biopharmaceuticals Co Ltd</v>
      </c>
      <c r="D180" s="8" t="s">
        <v>344</v>
      </c>
      <c r="E180" s="8" t="s">
        <v>1064</v>
      </c>
      <c r="F180" s="13" t="s">
        <v>372</v>
      </c>
      <c r="G180" s="13" t="s">
        <v>372</v>
      </c>
      <c r="H180" s="13" t="s">
        <v>372</v>
      </c>
      <c r="I180" s="8" t="s">
        <v>1397</v>
      </c>
      <c r="J180" s="8" t="s">
        <v>1053</v>
      </c>
      <c r="K180" s="9" t="s">
        <v>954</v>
      </c>
      <c r="L180" s="9" t="s">
        <v>352</v>
      </c>
      <c r="M180" s="8" t="s">
        <v>1054</v>
      </c>
      <c r="N180" s="8" t="s">
        <v>1398</v>
      </c>
      <c r="O180" s="8" t="s">
        <v>607</v>
      </c>
      <c r="P180" s="12" t="str">
        <f>IFERROR(IF(VLOOKUP(J180,SOURCE_REGISTRY!$A$2:$E$246,5,FALSE)="","",VLOOKUP(J180,SOURCE_REGISTRY!$A$2:$E$246,5,FALSE)),"")</f>
        <v/>
      </c>
      <c r="Q180" s="9" t="s">
        <v>1056</v>
      </c>
    </row>
    <row r="181" spans="1:17" ht="51" hidden="1" customHeight="1" outlineLevel="1" x14ac:dyDescent="0.25">
      <c r="A181" s="8" t="s">
        <v>1399</v>
      </c>
      <c r="B181" s="8" t="s">
        <v>1400</v>
      </c>
      <c r="C181" s="12" t="str">
        <f>IFERROR(VLOOKUP(B181,ENTITY_MASTER!$A$2:$B$266,2,FALSE),"")</f>
        <v>Chugai Pharmaceutical Co Ltd</v>
      </c>
      <c r="D181" s="8" t="s">
        <v>344</v>
      </c>
      <c r="E181" s="8" t="s">
        <v>763</v>
      </c>
      <c r="F181" s="13" t="s">
        <v>372</v>
      </c>
      <c r="G181" s="13" t="s">
        <v>372</v>
      </c>
      <c r="H181" s="13" t="s">
        <v>372</v>
      </c>
      <c r="I181" s="8" t="s">
        <v>1401</v>
      </c>
      <c r="J181" s="8" t="s">
        <v>1053</v>
      </c>
      <c r="K181" s="9" t="s">
        <v>954</v>
      </c>
      <c r="L181" s="9" t="s">
        <v>352</v>
      </c>
      <c r="M181" s="8" t="s">
        <v>1054</v>
      </c>
      <c r="N181" s="8" t="s">
        <v>1402</v>
      </c>
      <c r="O181" s="8" t="s">
        <v>607</v>
      </c>
      <c r="P181" s="12" t="str">
        <f>IFERROR(IF(VLOOKUP(J181,SOURCE_REGISTRY!$A$2:$E$246,5,FALSE)="","",VLOOKUP(J181,SOURCE_REGISTRY!$A$2:$E$246,5,FALSE)),"")</f>
        <v/>
      </c>
      <c r="Q181" s="9" t="s">
        <v>1056</v>
      </c>
    </row>
    <row r="182" spans="1:17" ht="51" hidden="1" customHeight="1" outlineLevel="1" x14ac:dyDescent="0.25">
      <c r="A182" s="8" t="s">
        <v>1403</v>
      </c>
      <c r="B182" s="8" t="s">
        <v>1404</v>
      </c>
      <c r="C182" s="12" t="str">
        <f>IFERROR(VLOOKUP(B182,ENTITY_MASTER!$A$2:$B$266,2,FALSE),"")</f>
        <v>Austrianni GmbH</v>
      </c>
      <c r="D182" s="8" t="s">
        <v>344</v>
      </c>
      <c r="E182" s="8" t="s">
        <v>734</v>
      </c>
      <c r="F182" s="13" t="s">
        <v>372</v>
      </c>
      <c r="G182" s="13" t="s">
        <v>372</v>
      </c>
      <c r="H182" s="8" t="s">
        <v>513</v>
      </c>
      <c r="I182" s="8" t="s">
        <v>1405</v>
      </c>
      <c r="J182" s="8" t="s">
        <v>1053</v>
      </c>
      <c r="K182" s="9" t="s">
        <v>954</v>
      </c>
      <c r="L182" s="9" t="s">
        <v>352</v>
      </c>
      <c r="M182" s="8" t="s">
        <v>1054</v>
      </c>
      <c r="N182" s="8" t="s">
        <v>1406</v>
      </c>
      <c r="O182" s="8" t="s">
        <v>607</v>
      </c>
      <c r="P182" s="12" t="str">
        <f>IFERROR(IF(VLOOKUP(J182,SOURCE_REGISTRY!$A$2:$E$246,5,FALSE)="","",VLOOKUP(J182,SOURCE_REGISTRY!$A$2:$E$246,5,FALSE)),"")</f>
        <v/>
      </c>
      <c r="Q182" s="9" t="s">
        <v>1056</v>
      </c>
    </row>
    <row r="183" spans="1:17" ht="51" hidden="1" customHeight="1" outlineLevel="1" x14ac:dyDescent="0.25">
      <c r="A183" s="8" t="s">
        <v>1407</v>
      </c>
      <c r="B183" s="8" t="s">
        <v>1408</v>
      </c>
      <c r="C183" s="12" t="str">
        <f>IFERROR(VLOOKUP(B183,ENTITY_MASTER!$A$2:$B$266,2,FALSE),"")</f>
        <v>Bolder Biotechnology Inc</v>
      </c>
      <c r="D183" s="8" t="s">
        <v>344</v>
      </c>
      <c r="E183" s="8" t="s">
        <v>1409</v>
      </c>
      <c r="F183" s="13" t="s">
        <v>372</v>
      </c>
      <c r="G183" s="13" t="s">
        <v>372</v>
      </c>
      <c r="H183" s="13" t="s">
        <v>372</v>
      </c>
      <c r="I183" s="8" t="s">
        <v>1410</v>
      </c>
      <c r="J183" s="8" t="s">
        <v>1053</v>
      </c>
      <c r="K183" s="9" t="s">
        <v>954</v>
      </c>
      <c r="L183" s="9" t="s">
        <v>352</v>
      </c>
      <c r="M183" s="8" t="s">
        <v>1054</v>
      </c>
      <c r="N183" s="8" t="s">
        <v>1411</v>
      </c>
      <c r="O183" s="8" t="s">
        <v>607</v>
      </c>
      <c r="P183" s="12" t="str">
        <f>IFERROR(IF(VLOOKUP(J183,SOURCE_REGISTRY!$A$2:$E$246,5,FALSE)="","",VLOOKUP(J183,SOURCE_REGISTRY!$A$2:$E$246,5,FALSE)),"")</f>
        <v/>
      </c>
      <c r="Q183" s="9" t="s">
        <v>1056</v>
      </c>
    </row>
    <row r="184" spans="1:17" ht="51" hidden="1" customHeight="1" outlineLevel="1" x14ac:dyDescent="0.25">
      <c r="A184" s="8" t="s">
        <v>1412</v>
      </c>
      <c r="B184" s="8" t="s">
        <v>1413</v>
      </c>
      <c r="C184" s="12" t="str">
        <f>IFERROR(VLOOKUP(B184,ENTITY_MASTER!$A$2:$B$266,2,FALSE),"")</f>
        <v>EyeGene Inc</v>
      </c>
      <c r="D184" s="8" t="s">
        <v>344</v>
      </c>
      <c r="E184" s="8" t="s">
        <v>1074</v>
      </c>
      <c r="F184" s="13" t="s">
        <v>372</v>
      </c>
      <c r="G184" s="13" t="s">
        <v>372</v>
      </c>
      <c r="H184" s="13" t="s">
        <v>372</v>
      </c>
      <c r="I184" s="8" t="s">
        <v>1414</v>
      </c>
      <c r="J184" s="8" t="s">
        <v>1053</v>
      </c>
      <c r="K184" s="9" t="s">
        <v>954</v>
      </c>
      <c r="L184" s="9" t="s">
        <v>352</v>
      </c>
      <c r="M184" s="8" t="s">
        <v>1054</v>
      </c>
      <c r="N184" s="8" t="s">
        <v>1415</v>
      </c>
      <c r="O184" s="8" t="s">
        <v>607</v>
      </c>
      <c r="P184" s="12" t="str">
        <f>IFERROR(IF(VLOOKUP(J184,SOURCE_REGISTRY!$A$2:$E$246,5,FALSE)="","",VLOOKUP(J184,SOURCE_REGISTRY!$A$2:$E$246,5,FALSE)),"")</f>
        <v/>
      </c>
      <c r="Q184" s="9" t="s">
        <v>1056</v>
      </c>
    </row>
    <row r="185" spans="1:17" ht="51" hidden="1" customHeight="1" outlineLevel="1" x14ac:dyDescent="0.25">
      <c r="A185" s="8" t="s">
        <v>1416</v>
      </c>
      <c r="B185" s="8" t="s">
        <v>1417</v>
      </c>
      <c r="C185" s="12" t="str">
        <f>IFERROR(VLOOKUP(B185,ENTITY_MASTER!$A$2:$B$266,2,FALSE),"")</f>
        <v>LG Chem Ltd</v>
      </c>
      <c r="D185" s="8" t="s">
        <v>344</v>
      </c>
      <c r="E185" s="8" t="s">
        <v>1418</v>
      </c>
      <c r="F185" s="13" t="s">
        <v>372</v>
      </c>
      <c r="G185" s="13" t="s">
        <v>372</v>
      </c>
      <c r="H185" s="13" t="s">
        <v>372</v>
      </c>
      <c r="I185" s="8" t="s">
        <v>1419</v>
      </c>
      <c r="J185" s="8" t="s">
        <v>1053</v>
      </c>
      <c r="K185" s="9" t="s">
        <v>954</v>
      </c>
      <c r="L185" s="9" t="s">
        <v>352</v>
      </c>
      <c r="M185" s="8" t="s">
        <v>1054</v>
      </c>
      <c r="N185" s="8" t="s">
        <v>1420</v>
      </c>
      <c r="O185" s="8" t="s">
        <v>607</v>
      </c>
      <c r="P185" s="12" t="str">
        <f>IFERROR(IF(VLOOKUP(J185,SOURCE_REGISTRY!$A$2:$E$246,5,FALSE)="","",VLOOKUP(J185,SOURCE_REGISTRY!$A$2:$E$246,5,FALSE)),"")</f>
        <v/>
      </c>
      <c r="Q185" s="9" t="s">
        <v>1056</v>
      </c>
    </row>
    <row r="186" spans="1:17" ht="51" hidden="1" customHeight="1" outlineLevel="1" x14ac:dyDescent="0.25">
      <c r="A186" s="8" t="s">
        <v>1421</v>
      </c>
      <c r="B186" s="8" t="s">
        <v>1422</v>
      </c>
      <c r="C186" s="12" t="str">
        <f>IFERROR(VLOOKUP(B186,ENTITY_MASTER!$A$2:$B$266,2,FALSE),"")</f>
        <v>Medicines Development for Global Health Ltd</v>
      </c>
      <c r="D186" s="8" t="s">
        <v>344</v>
      </c>
      <c r="E186" s="8" t="s">
        <v>1012</v>
      </c>
      <c r="F186" s="13" t="s">
        <v>372</v>
      </c>
      <c r="G186" s="13" t="s">
        <v>372</v>
      </c>
      <c r="H186" s="13" t="s">
        <v>372</v>
      </c>
      <c r="I186" s="8" t="s">
        <v>1423</v>
      </c>
      <c r="J186" s="8" t="s">
        <v>1053</v>
      </c>
      <c r="K186" s="9" t="s">
        <v>954</v>
      </c>
      <c r="L186" s="9" t="s">
        <v>352</v>
      </c>
      <c r="M186" s="8" t="s">
        <v>1054</v>
      </c>
      <c r="N186" s="8" t="s">
        <v>1424</v>
      </c>
      <c r="O186" s="8" t="s">
        <v>607</v>
      </c>
      <c r="P186" s="12" t="str">
        <f>IFERROR(IF(VLOOKUP(J186,SOURCE_REGISTRY!$A$2:$E$246,5,FALSE)="","",VLOOKUP(J186,SOURCE_REGISTRY!$A$2:$E$246,5,FALSE)),"")</f>
        <v/>
      </c>
      <c r="Q186" s="9" t="s">
        <v>1056</v>
      </c>
    </row>
    <row r="187" spans="1:17" ht="51" hidden="1" customHeight="1" outlineLevel="1" x14ac:dyDescent="0.25">
      <c r="A187" s="8" t="s">
        <v>1425</v>
      </c>
      <c r="B187" s="8" t="s">
        <v>1426</v>
      </c>
      <c r="C187" s="12" t="str">
        <f>IFERROR(VLOOKUP(B187,ENTITY_MASTER!$A$2:$B$266,2,FALSE),"")</f>
        <v>Vaxart Inc</v>
      </c>
      <c r="D187" s="8" t="s">
        <v>344</v>
      </c>
      <c r="E187" s="8" t="s">
        <v>950</v>
      </c>
      <c r="F187" s="13" t="s">
        <v>372</v>
      </c>
      <c r="G187" s="13" t="s">
        <v>372</v>
      </c>
      <c r="H187" s="8" t="s">
        <v>409</v>
      </c>
      <c r="I187" s="8" t="s">
        <v>1427</v>
      </c>
      <c r="J187" s="8" t="s">
        <v>1053</v>
      </c>
      <c r="K187" s="9" t="s">
        <v>954</v>
      </c>
      <c r="L187" s="9" t="s">
        <v>352</v>
      </c>
      <c r="M187" s="8" t="s">
        <v>1054</v>
      </c>
      <c r="N187" s="8" t="s">
        <v>1428</v>
      </c>
      <c r="O187" s="8" t="s">
        <v>607</v>
      </c>
      <c r="P187" s="12" t="str">
        <f>IFERROR(IF(VLOOKUP(J187,SOURCE_REGISTRY!$A$2:$E$246,5,FALSE)="","",VLOOKUP(J187,SOURCE_REGISTRY!$A$2:$E$246,5,FALSE)),"")</f>
        <v/>
      </c>
      <c r="Q187" s="9" t="s">
        <v>1056</v>
      </c>
    </row>
    <row r="188" spans="1:17" ht="51" hidden="1" customHeight="1" outlineLevel="1" x14ac:dyDescent="0.25">
      <c r="A188" s="8" t="s">
        <v>1429</v>
      </c>
      <c r="B188" s="8" t="s">
        <v>1430</v>
      </c>
      <c r="C188" s="12" t="str">
        <f>IFERROR(VLOOKUP(B188,ENTITY_MASTER!$A$2:$B$266,2,FALSE),"")</f>
        <v>Grifols SA</v>
      </c>
      <c r="D188" s="8" t="s">
        <v>344</v>
      </c>
      <c r="E188" s="8" t="s">
        <v>1431</v>
      </c>
      <c r="F188" s="13" t="s">
        <v>372</v>
      </c>
      <c r="G188" s="13" t="s">
        <v>372</v>
      </c>
      <c r="H188" s="13" t="s">
        <v>372</v>
      </c>
      <c r="I188" s="8" t="s">
        <v>1432</v>
      </c>
      <c r="J188" s="8" t="s">
        <v>1053</v>
      </c>
      <c r="K188" s="9" t="s">
        <v>954</v>
      </c>
      <c r="L188" s="9" t="s">
        <v>352</v>
      </c>
      <c r="M188" s="8" t="s">
        <v>1054</v>
      </c>
      <c r="N188" s="8" t="s">
        <v>1433</v>
      </c>
      <c r="O188" s="8" t="s">
        <v>607</v>
      </c>
      <c r="P188" s="12" t="str">
        <f>IFERROR(IF(VLOOKUP(J188,SOURCE_REGISTRY!$A$2:$E$246,5,FALSE)="","",VLOOKUP(J188,SOURCE_REGISTRY!$A$2:$E$246,5,FALSE)),"")</f>
        <v/>
      </c>
      <c r="Q188" s="9" t="s">
        <v>1056</v>
      </c>
    </row>
    <row r="189" spans="1:17" ht="51" hidden="1" customHeight="1" outlineLevel="1" x14ac:dyDescent="0.25">
      <c r="A189" s="8" t="s">
        <v>1434</v>
      </c>
      <c r="B189" s="8" t="s">
        <v>1435</v>
      </c>
      <c r="C189" s="12" t="str">
        <f>IFERROR(VLOOKUP(B189,ENTITY_MASTER!$A$2:$B$266,2,FALSE),"")</f>
        <v>Chengdu Keen Biotechnology Co Ltd</v>
      </c>
      <c r="D189" s="8" t="s">
        <v>344</v>
      </c>
      <c r="E189" s="8" t="s">
        <v>1012</v>
      </c>
      <c r="F189" s="13" t="s">
        <v>372</v>
      </c>
      <c r="G189" s="13" t="s">
        <v>372</v>
      </c>
      <c r="H189" s="8" t="s">
        <v>409</v>
      </c>
      <c r="I189" s="8" t="s">
        <v>1436</v>
      </c>
      <c r="J189" s="8" t="s">
        <v>1053</v>
      </c>
      <c r="K189" s="9" t="s">
        <v>954</v>
      </c>
      <c r="L189" s="9" t="s">
        <v>352</v>
      </c>
      <c r="M189" s="8" t="s">
        <v>1054</v>
      </c>
      <c r="N189" s="8" t="s">
        <v>1437</v>
      </c>
      <c r="O189" s="8" t="s">
        <v>607</v>
      </c>
      <c r="P189" s="12" t="str">
        <f>IFERROR(IF(VLOOKUP(J189,SOURCE_REGISTRY!$A$2:$E$246,5,FALSE)="","",VLOOKUP(J189,SOURCE_REGISTRY!$A$2:$E$246,5,FALSE)),"")</f>
        <v/>
      </c>
      <c r="Q189" s="9" t="s">
        <v>1056</v>
      </c>
    </row>
    <row r="190" spans="1:17" ht="51" hidden="1" customHeight="1" outlineLevel="1" x14ac:dyDescent="0.25">
      <c r="A190" s="8" t="s">
        <v>1438</v>
      </c>
      <c r="B190" s="8" t="s">
        <v>1439</v>
      </c>
      <c r="C190" s="12" t="str">
        <f>IFERROR(VLOOKUP(B190,ENTITY_MASTER!$A$2:$B$266,2,FALSE),"")</f>
        <v>ILiAD Biotechnologies LLC</v>
      </c>
      <c r="D190" s="8" t="s">
        <v>344</v>
      </c>
      <c r="E190" s="8" t="s">
        <v>1440</v>
      </c>
      <c r="F190" s="13" t="s">
        <v>372</v>
      </c>
      <c r="G190" s="13" t="s">
        <v>372</v>
      </c>
      <c r="H190" s="8" t="s">
        <v>409</v>
      </c>
      <c r="I190" s="8" t="s">
        <v>1441</v>
      </c>
      <c r="J190" s="8" t="s">
        <v>1053</v>
      </c>
      <c r="K190" s="9" t="s">
        <v>954</v>
      </c>
      <c r="L190" s="9" t="s">
        <v>352</v>
      </c>
      <c r="M190" s="8" t="s">
        <v>1054</v>
      </c>
      <c r="N190" s="8" t="s">
        <v>1442</v>
      </c>
      <c r="O190" s="8" t="s">
        <v>607</v>
      </c>
      <c r="P190" s="12" t="str">
        <f>IFERROR(IF(VLOOKUP(J190,SOURCE_REGISTRY!$A$2:$E$246,5,FALSE)="","",VLOOKUP(J190,SOURCE_REGISTRY!$A$2:$E$246,5,FALSE)),"")</f>
        <v/>
      </c>
      <c r="Q190" s="9" t="s">
        <v>1056</v>
      </c>
    </row>
    <row r="191" spans="1:17" ht="51" hidden="1" customHeight="1" outlineLevel="1" x14ac:dyDescent="0.25">
      <c r="A191" s="8" t="s">
        <v>1443</v>
      </c>
      <c r="B191" s="8" t="s">
        <v>1444</v>
      </c>
      <c r="C191" s="12" t="str">
        <f>IFERROR(VLOOKUP(B191,ENTITY_MASTER!$A$2:$B$266,2,FALSE),"")</f>
        <v>Sysvax (Beijing) Biotechnology Co Ltd</v>
      </c>
      <c r="D191" s="8" t="s">
        <v>344</v>
      </c>
      <c r="E191" s="8" t="s">
        <v>1445</v>
      </c>
      <c r="F191" s="13" t="s">
        <v>372</v>
      </c>
      <c r="G191" s="13" t="s">
        <v>372</v>
      </c>
      <c r="H191" s="8" t="s">
        <v>409</v>
      </c>
      <c r="I191" s="8" t="s">
        <v>1446</v>
      </c>
      <c r="J191" s="8" t="s">
        <v>1053</v>
      </c>
      <c r="K191" s="9" t="s">
        <v>954</v>
      </c>
      <c r="L191" s="9" t="s">
        <v>352</v>
      </c>
      <c r="M191" s="8" t="s">
        <v>1054</v>
      </c>
      <c r="N191" s="8" t="s">
        <v>1447</v>
      </c>
      <c r="O191" s="8" t="s">
        <v>607</v>
      </c>
      <c r="P191" s="12" t="str">
        <f>IFERROR(IF(VLOOKUP(J191,SOURCE_REGISTRY!$A$2:$E$246,5,FALSE)="","",VLOOKUP(J191,SOURCE_REGISTRY!$A$2:$E$246,5,FALSE)),"")</f>
        <v/>
      </c>
      <c r="Q191" s="9" t="s">
        <v>1056</v>
      </c>
    </row>
    <row r="192" spans="1:17" ht="51" hidden="1" customHeight="1" outlineLevel="1" x14ac:dyDescent="0.25">
      <c r="A192" s="8" t="s">
        <v>1448</v>
      </c>
      <c r="B192" s="8" t="s">
        <v>1449</v>
      </c>
      <c r="C192" s="12" t="str">
        <f>IFERROR(VLOOKUP(B192,ENTITY_MASTER!$A$2:$B$266,2,FALSE),"")</f>
        <v>Shenzhen Kangtai Biological Products Co Ltd</v>
      </c>
      <c r="D192" s="8" t="s">
        <v>344</v>
      </c>
      <c r="E192" s="8" t="s">
        <v>1418</v>
      </c>
      <c r="F192" s="13" t="s">
        <v>372</v>
      </c>
      <c r="G192" s="13" t="s">
        <v>372</v>
      </c>
      <c r="H192" s="8" t="s">
        <v>409</v>
      </c>
      <c r="I192" s="8" t="s">
        <v>1450</v>
      </c>
      <c r="J192" s="8" t="s">
        <v>1053</v>
      </c>
      <c r="K192" s="9" t="s">
        <v>954</v>
      </c>
      <c r="L192" s="9" t="s">
        <v>352</v>
      </c>
      <c r="M192" s="8" t="s">
        <v>1054</v>
      </c>
      <c r="N192" s="8" t="s">
        <v>1451</v>
      </c>
      <c r="O192" s="8" t="s">
        <v>607</v>
      </c>
      <c r="P192" s="12" t="str">
        <f>IFERROR(IF(VLOOKUP(J192,SOURCE_REGISTRY!$A$2:$E$246,5,FALSE)="","",VLOOKUP(J192,SOURCE_REGISTRY!$A$2:$E$246,5,FALSE)),"")</f>
        <v/>
      </c>
      <c r="Q192" s="9" t="s">
        <v>1056</v>
      </c>
    </row>
    <row r="193" spans="1:17" ht="51" hidden="1" customHeight="1" outlineLevel="1" x14ac:dyDescent="0.25">
      <c r="A193" s="8" t="s">
        <v>1452</v>
      </c>
      <c r="B193" s="8" t="s">
        <v>1453</v>
      </c>
      <c r="C193" s="12" t="str">
        <f>IFERROR(VLOOKUP(B193,ENTITY_MASTER!$A$2:$B$266,2,FALSE),"")</f>
        <v>Shanghai Jiatan Pharmaceutical Technology Co Ltd</v>
      </c>
      <c r="D193" s="8" t="s">
        <v>344</v>
      </c>
      <c r="E193" s="8" t="s">
        <v>1012</v>
      </c>
      <c r="F193" s="13" t="s">
        <v>372</v>
      </c>
      <c r="G193" s="13" t="s">
        <v>372</v>
      </c>
      <c r="H193" s="13" t="s">
        <v>372</v>
      </c>
      <c r="I193" s="8" t="s">
        <v>1454</v>
      </c>
      <c r="J193" s="8" t="s">
        <v>1053</v>
      </c>
      <c r="K193" s="9" t="s">
        <v>954</v>
      </c>
      <c r="L193" s="9" t="s">
        <v>352</v>
      </c>
      <c r="M193" s="8" t="s">
        <v>1054</v>
      </c>
      <c r="N193" s="8" t="s">
        <v>1455</v>
      </c>
      <c r="O193" s="8" t="s">
        <v>607</v>
      </c>
      <c r="P193" s="12" t="str">
        <f>IFERROR(IF(VLOOKUP(J193,SOURCE_REGISTRY!$A$2:$E$246,5,FALSE)="","",VLOOKUP(J193,SOURCE_REGISTRY!$A$2:$E$246,5,FALSE)),"")</f>
        <v/>
      </c>
      <c r="Q193" s="9" t="s">
        <v>1056</v>
      </c>
    </row>
    <row r="194" spans="1:17" ht="51" hidden="1" customHeight="1" outlineLevel="1" x14ac:dyDescent="0.25">
      <c r="A194" s="8" t="s">
        <v>1456</v>
      </c>
      <c r="B194" s="8" t="s">
        <v>1457</v>
      </c>
      <c r="C194" s="12" t="str">
        <f>IFERROR(VLOOKUP(B194,ENTITY_MASTER!$A$2:$B$266,2,FALSE),"")</f>
        <v>TaiGen Biotechnology Co Ltd</v>
      </c>
      <c r="D194" s="8" t="s">
        <v>344</v>
      </c>
      <c r="E194" s="8" t="s">
        <v>1418</v>
      </c>
      <c r="F194" s="13" t="s">
        <v>372</v>
      </c>
      <c r="G194" s="13" t="s">
        <v>372</v>
      </c>
      <c r="H194" s="13" t="s">
        <v>372</v>
      </c>
      <c r="I194" s="8" t="s">
        <v>1458</v>
      </c>
      <c r="J194" s="8" t="s">
        <v>1053</v>
      </c>
      <c r="K194" s="9" t="s">
        <v>954</v>
      </c>
      <c r="L194" s="9" t="s">
        <v>352</v>
      </c>
      <c r="M194" s="8" t="s">
        <v>1054</v>
      </c>
      <c r="N194" s="8" t="s">
        <v>1459</v>
      </c>
      <c r="O194" s="8" t="s">
        <v>607</v>
      </c>
      <c r="P194" s="12" t="str">
        <f>IFERROR(IF(VLOOKUP(J194,SOURCE_REGISTRY!$A$2:$E$246,5,FALSE)="","",VLOOKUP(J194,SOURCE_REGISTRY!$A$2:$E$246,5,FALSE)),"")</f>
        <v/>
      </c>
      <c r="Q194" s="9" t="s">
        <v>1056</v>
      </c>
    </row>
    <row r="195" spans="1:17" ht="51" hidden="1" customHeight="1" outlineLevel="1" x14ac:dyDescent="0.25">
      <c r="A195" s="8" t="s">
        <v>1460</v>
      </c>
      <c r="B195" s="8" t="s">
        <v>1461</v>
      </c>
      <c r="C195" s="12" t="str">
        <f>IFERROR(VLOOKUP(B195,ENTITY_MASTER!$A$2:$B$266,2,FALSE),"")</f>
        <v>Frontier Biotechnologies Inc</v>
      </c>
      <c r="D195" s="8" t="s">
        <v>344</v>
      </c>
      <c r="E195" s="8" t="s">
        <v>1220</v>
      </c>
      <c r="F195" s="13" t="s">
        <v>372</v>
      </c>
      <c r="G195" s="13" t="s">
        <v>372</v>
      </c>
      <c r="H195" s="13" t="s">
        <v>372</v>
      </c>
      <c r="I195" s="8" t="s">
        <v>1462</v>
      </c>
      <c r="J195" s="8" t="s">
        <v>1053</v>
      </c>
      <c r="K195" s="9" t="s">
        <v>954</v>
      </c>
      <c r="L195" s="9" t="s">
        <v>352</v>
      </c>
      <c r="M195" s="8" t="s">
        <v>1054</v>
      </c>
      <c r="N195" s="8" t="s">
        <v>1463</v>
      </c>
      <c r="O195" s="8" t="s">
        <v>607</v>
      </c>
      <c r="P195" s="12" t="str">
        <f>IFERROR(IF(VLOOKUP(J195,SOURCE_REGISTRY!$A$2:$E$246,5,FALSE)="","",VLOOKUP(J195,SOURCE_REGISTRY!$A$2:$E$246,5,FALSE)),"")</f>
        <v/>
      </c>
      <c r="Q195" s="9" t="s">
        <v>1056</v>
      </c>
    </row>
    <row r="196" spans="1:17" ht="51" hidden="1" customHeight="1" outlineLevel="1" x14ac:dyDescent="0.25">
      <c r="A196" s="8" t="s">
        <v>1464</v>
      </c>
      <c r="B196" s="8" t="s">
        <v>1465</v>
      </c>
      <c r="C196" s="12" t="str">
        <f>IFERROR(VLOOKUP(B196,ENTITY_MASTER!$A$2:$B$266,2,FALSE),"")</f>
        <v>SinoCelltech Group Ltd</v>
      </c>
      <c r="D196" s="8" t="s">
        <v>344</v>
      </c>
      <c r="E196" s="8" t="s">
        <v>1254</v>
      </c>
      <c r="F196" s="13" t="s">
        <v>372</v>
      </c>
      <c r="G196" s="13" t="s">
        <v>372</v>
      </c>
      <c r="H196" s="8" t="s">
        <v>409</v>
      </c>
      <c r="I196" s="8" t="s">
        <v>1466</v>
      </c>
      <c r="J196" s="8" t="s">
        <v>1053</v>
      </c>
      <c r="K196" s="9" t="s">
        <v>954</v>
      </c>
      <c r="L196" s="9" t="s">
        <v>352</v>
      </c>
      <c r="M196" s="8" t="s">
        <v>1054</v>
      </c>
      <c r="N196" s="8" t="s">
        <v>1467</v>
      </c>
      <c r="O196" s="8" t="s">
        <v>607</v>
      </c>
      <c r="P196" s="12" t="str">
        <f>IFERROR(IF(VLOOKUP(J196,SOURCE_REGISTRY!$A$2:$E$246,5,FALSE)="","",VLOOKUP(J196,SOURCE_REGISTRY!$A$2:$E$246,5,FALSE)),"")</f>
        <v/>
      </c>
      <c r="Q196" s="9" t="s">
        <v>1056</v>
      </c>
    </row>
    <row r="197" spans="1:17" ht="51" hidden="1" customHeight="1" outlineLevel="1" x14ac:dyDescent="0.25">
      <c r="A197" s="8" t="s">
        <v>1468</v>
      </c>
      <c r="B197" s="8" t="s">
        <v>1469</v>
      </c>
      <c r="C197" s="12" t="str">
        <f>IFERROR(VLOOKUP(B197,ENTITY_MASTER!$A$2:$B$266,2,FALSE),"")</f>
        <v>Phenobio Biopharmaceutical Technology (Hangzhou) Co Ltd</v>
      </c>
      <c r="D197" s="8" t="s">
        <v>344</v>
      </c>
      <c r="E197" s="8" t="s">
        <v>1470</v>
      </c>
      <c r="F197" s="13" t="s">
        <v>372</v>
      </c>
      <c r="G197" s="13" t="s">
        <v>372</v>
      </c>
      <c r="H197" s="13" t="s">
        <v>372</v>
      </c>
      <c r="I197" s="8" t="s">
        <v>1471</v>
      </c>
      <c r="J197" s="8" t="s">
        <v>1053</v>
      </c>
      <c r="K197" s="9" t="s">
        <v>954</v>
      </c>
      <c r="L197" s="9" t="s">
        <v>352</v>
      </c>
      <c r="M197" s="8" t="s">
        <v>1054</v>
      </c>
      <c r="N197" s="8" t="s">
        <v>1472</v>
      </c>
      <c r="O197" s="8" t="s">
        <v>607</v>
      </c>
      <c r="P197" s="12" t="str">
        <f>IFERROR(IF(VLOOKUP(J197,SOURCE_REGISTRY!$A$2:$E$246,5,FALSE)="","",VLOOKUP(J197,SOURCE_REGISTRY!$A$2:$E$246,5,FALSE)),"")</f>
        <v/>
      </c>
      <c r="Q197" s="9" t="s">
        <v>1056</v>
      </c>
    </row>
    <row r="198" spans="1:17" ht="51" hidden="1" customHeight="1" outlineLevel="1" x14ac:dyDescent="0.25">
      <c r="A198" s="8" t="s">
        <v>1473</v>
      </c>
      <c r="B198" s="8" t="s">
        <v>1474</v>
      </c>
      <c r="C198" s="12" t="str">
        <f>IFERROR(VLOOKUP(B198,ENTITY_MASTER!$A$2:$B$266,2,FALSE),"")</f>
        <v>Biocidium Biopharmaceuticals Inc</v>
      </c>
      <c r="D198" s="8" t="s">
        <v>344</v>
      </c>
      <c r="E198" s="8" t="s">
        <v>371</v>
      </c>
      <c r="F198" s="13" t="s">
        <v>372</v>
      </c>
      <c r="G198" s="13" t="s">
        <v>372</v>
      </c>
      <c r="H198" s="13" t="s">
        <v>372</v>
      </c>
      <c r="I198" s="8" t="s">
        <v>1475</v>
      </c>
      <c r="J198" s="8" t="s">
        <v>1053</v>
      </c>
      <c r="K198" s="9" t="s">
        <v>954</v>
      </c>
      <c r="L198" s="9" t="s">
        <v>352</v>
      </c>
      <c r="M198" s="8" t="s">
        <v>1054</v>
      </c>
      <c r="N198" s="8" t="s">
        <v>1476</v>
      </c>
      <c r="O198" s="8" t="s">
        <v>607</v>
      </c>
      <c r="P198" s="12" t="str">
        <f>IFERROR(IF(VLOOKUP(J198,SOURCE_REGISTRY!$A$2:$E$246,5,FALSE)="","",VLOOKUP(J198,SOURCE_REGISTRY!$A$2:$E$246,5,FALSE)),"")</f>
        <v/>
      </c>
      <c r="Q198" s="9" t="s">
        <v>1056</v>
      </c>
    </row>
    <row r="199" spans="1:17" ht="51" hidden="1" customHeight="1" outlineLevel="1" x14ac:dyDescent="0.25">
      <c r="A199" s="8" t="s">
        <v>1477</v>
      </c>
      <c r="B199" s="8" t="s">
        <v>1478</v>
      </c>
      <c r="C199" s="12" t="str">
        <f>IFERROR(VLOOKUP(B199,ENTITY_MASTER!$A$2:$B$266,2,FALSE),"")</f>
        <v>Archivel Farma SL</v>
      </c>
      <c r="D199" s="8" t="s">
        <v>344</v>
      </c>
      <c r="E199" s="8" t="s">
        <v>1012</v>
      </c>
      <c r="F199" s="13" t="s">
        <v>372</v>
      </c>
      <c r="G199" s="13" t="s">
        <v>372</v>
      </c>
      <c r="H199" s="13" t="s">
        <v>372</v>
      </c>
      <c r="I199" s="8" t="s">
        <v>1479</v>
      </c>
      <c r="J199" s="8" t="s">
        <v>1053</v>
      </c>
      <c r="K199" s="9" t="s">
        <v>954</v>
      </c>
      <c r="L199" s="9" t="s">
        <v>352</v>
      </c>
      <c r="M199" s="8" t="s">
        <v>1054</v>
      </c>
      <c r="N199" s="8" t="s">
        <v>1480</v>
      </c>
      <c r="O199" s="8" t="s">
        <v>607</v>
      </c>
      <c r="P199" s="12" t="str">
        <f>IFERROR(IF(VLOOKUP(J199,SOURCE_REGISTRY!$A$2:$E$246,5,FALSE)="","",VLOOKUP(J199,SOURCE_REGISTRY!$A$2:$E$246,5,FALSE)),"")</f>
        <v/>
      </c>
      <c r="Q199" s="9" t="s">
        <v>1056</v>
      </c>
    </row>
    <row r="200" spans="1:17" ht="51" hidden="1" customHeight="1" outlineLevel="1" x14ac:dyDescent="0.25">
      <c r="A200" s="8" t="s">
        <v>1481</v>
      </c>
      <c r="B200" s="8" t="s">
        <v>1482</v>
      </c>
      <c r="C200" s="12" t="str">
        <f>IFERROR(VLOOKUP(B200,ENTITY_MASTER!$A$2:$B$266,2,FALSE),"")</f>
        <v>Emergent BioSolutions Inc</v>
      </c>
      <c r="D200" s="8" t="s">
        <v>344</v>
      </c>
      <c r="E200" s="8" t="s">
        <v>950</v>
      </c>
      <c r="F200" s="13" t="s">
        <v>372</v>
      </c>
      <c r="G200" s="13" t="s">
        <v>372</v>
      </c>
      <c r="H200" s="13" t="s">
        <v>372</v>
      </c>
      <c r="I200" s="8" t="s">
        <v>1483</v>
      </c>
      <c r="J200" s="8" t="s">
        <v>1053</v>
      </c>
      <c r="K200" s="9" t="s">
        <v>954</v>
      </c>
      <c r="L200" s="9" t="s">
        <v>352</v>
      </c>
      <c r="M200" s="8" t="s">
        <v>1054</v>
      </c>
      <c r="N200" s="8" t="s">
        <v>1484</v>
      </c>
      <c r="O200" s="8" t="s">
        <v>607</v>
      </c>
      <c r="P200" s="12" t="str">
        <f>IFERROR(IF(VLOOKUP(J200,SOURCE_REGISTRY!$A$2:$E$246,5,FALSE)="","",VLOOKUP(J200,SOURCE_REGISTRY!$A$2:$E$246,5,FALSE)),"")</f>
        <v/>
      </c>
      <c r="Q200" s="9" t="s">
        <v>1056</v>
      </c>
    </row>
    <row r="201" spans="1:17" ht="51" hidden="1" customHeight="1" outlineLevel="1" x14ac:dyDescent="0.25">
      <c r="A201" s="8" t="s">
        <v>1485</v>
      </c>
      <c r="B201" s="8" t="s">
        <v>1486</v>
      </c>
      <c r="C201" s="12" t="str">
        <f>IFERROR(VLOOKUP(B201,ENTITY_MASTER!$A$2:$B$266,2,FALSE),"")</f>
        <v>Adimmune Corp</v>
      </c>
      <c r="D201" s="8" t="s">
        <v>344</v>
      </c>
      <c r="E201" s="8" t="s">
        <v>950</v>
      </c>
      <c r="F201" s="13" t="s">
        <v>372</v>
      </c>
      <c r="G201" s="13" t="s">
        <v>372</v>
      </c>
      <c r="H201" s="8" t="s">
        <v>409</v>
      </c>
      <c r="I201" s="8" t="s">
        <v>1487</v>
      </c>
      <c r="J201" s="8" t="s">
        <v>1053</v>
      </c>
      <c r="K201" s="9" t="s">
        <v>954</v>
      </c>
      <c r="L201" s="9" t="s">
        <v>352</v>
      </c>
      <c r="M201" s="8" t="s">
        <v>1054</v>
      </c>
      <c r="N201" s="8" t="s">
        <v>1488</v>
      </c>
      <c r="O201" s="8" t="s">
        <v>607</v>
      </c>
      <c r="P201" s="12" t="str">
        <f>IFERROR(IF(VLOOKUP(J201,SOURCE_REGISTRY!$A$2:$E$246,5,FALSE)="","",VLOOKUP(J201,SOURCE_REGISTRY!$A$2:$E$246,5,FALSE)),"")</f>
        <v/>
      </c>
      <c r="Q201" s="9" t="s">
        <v>1056</v>
      </c>
    </row>
    <row r="202" spans="1:17" ht="51" hidden="1" customHeight="1" outlineLevel="1" x14ac:dyDescent="0.25">
      <c r="A202" s="8" t="s">
        <v>1489</v>
      </c>
      <c r="B202" s="8" t="s">
        <v>1490</v>
      </c>
      <c r="C202" s="12" t="str">
        <f>IFERROR(VLOOKUP(B202,ENTITY_MASTER!$A$2:$B$266,2,FALSE),"")</f>
        <v>Merck KGaA</v>
      </c>
      <c r="D202" s="8" t="s">
        <v>344</v>
      </c>
      <c r="E202" s="8" t="s">
        <v>1344</v>
      </c>
      <c r="F202" s="13" t="s">
        <v>372</v>
      </c>
      <c r="G202" s="13" t="s">
        <v>372</v>
      </c>
      <c r="H202" s="13" t="s">
        <v>372</v>
      </c>
      <c r="I202" s="8" t="s">
        <v>1491</v>
      </c>
      <c r="J202" s="8" t="s">
        <v>1053</v>
      </c>
      <c r="K202" s="9" t="s">
        <v>954</v>
      </c>
      <c r="L202" s="9" t="s">
        <v>352</v>
      </c>
      <c r="M202" s="8" t="s">
        <v>1054</v>
      </c>
      <c r="N202" s="8" t="s">
        <v>1492</v>
      </c>
      <c r="O202" s="8" t="s">
        <v>607</v>
      </c>
      <c r="P202" s="12" t="str">
        <f>IFERROR(IF(VLOOKUP(J202,SOURCE_REGISTRY!$A$2:$E$246,5,FALSE)="","",VLOOKUP(J202,SOURCE_REGISTRY!$A$2:$E$246,5,FALSE)),"")</f>
        <v/>
      </c>
      <c r="Q202" s="9" t="s">
        <v>1056</v>
      </c>
    </row>
    <row r="203" spans="1:17" ht="51" hidden="1" customHeight="1" outlineLevel="1" x14ac:dyDescent="0.25">
      <c r="A203" s="8" t="s">
        <v>1493</v>
      </c>
      <c r="B203" s="8" t="s">
        <v>1494</v>
      </c>
      <c r="C203" s="12" t="str">
        <f>IFERROR(VLOOKUP(B203,ENTITY_MASTER!$A$2:$B$266,2,FALSE),"")</f>
        <v>Shanghai Bao Pharmaceuticals Co Ltd</v>
      </c>
      <c r="D203" s="8" t="s">
        <v>344</v>
      </c>
      <c r="E203" s="8" t="s">
        <v>371</v>
      </c>
      <c r="F203" s="13" t="s">
        <v>372</v>
      </c>
      <c r="G203" s="13" t="s">
        <v>372</v>
      </c>
      <c r="H203" s="13" t="s">
        <v>372</v>
      </c>
      <c r="I203" s="8" t="s">
        <v>1495</v>
      </c>
      <c r="J203" s="8" t="s">
        <v>1053</v>
      </c>
      <c r="K203" s="9" t="s">
        <v>954</v>
      </c>
      <c r="L203" s="9" t="s">
        <v>352</v>
      </c>
      <c r="M203" s="8" t="s">
        <v>1054</v>
      </c>
      <c r="N203" s="8" t="s">
        <v>1496</v>
      </c>
      <c r="O203" s="8" t="s">
        <v>607</v>
      </c>
      <c r="P203" s="12" t="str">
        <f>IFERROR(IF(VLOOKUP(J203,SOURCE_REGISTRY!$A$2:$E$246,5,FALSE)="","",VLOOKUP(J203,SOURCE_REGISTRY!$A$2:$E$246,5,FALSE)),"")</f>
        <v/>
      </c>
      <c r="Q203" s="9" t="s">
        <v>1056</v>
      </c>
    </row>
    <row r="204" spans="1:17" ht="51" hidden="1" customHeight="1" outlineLevel="1" x14ac:dyDescent="0.25">
      <c r="A204" s="8" t="s">
        <v>1497</v>
      </c>
      <c r="B204" s="8" t="s">
        <v>1498</v>
      </c>
      <c r="C204" s="12" t="str">
        <f>IFERROR(VLOOKUP(B204,ENTITY_MASTER!$A$2:$B$266,2,FALSE),"")</f>
        <v>Imperial College London</v>
      </c>
      <c r="D204" s="8" t="s">
        <v>344</v>
      </c>
      <c r="E204" s="8" t="s">
        <v>1064</v>
      </c>
      <c r="F204" s="13" t="s">
        <v>372</v>
      </c>
      <c r="G204" s="13" t="s">
        <v>372</v>
      </c>
      <c r="H204" s="8" t="s">
        <v>409</v>
      </c>
      <c r="I204" s="8" t="s">
        <v>1499</v>
      </c>
      <c r="J204" s="8" t="s">
        <v>1053</v>
      </c>
      <c r="K204" s="9" t="s">
        <v>954</v>
      </c>
      <c r="L204" s="9" t="s">
        <v>352</v>
      </c>
      <c r="M204" s="8" t="s">
        <v>1054</v>
      </c>
      <c r="N204" s="8" t="s">
        <v>1500</v>
      </c>
      <c r="O204" s="8" t="s">
        <v>607</v>
      </c>
      <c r="P204" s="12" t="str">
        <f>IFERROR(IF(VLOOKUP(J204,SOURCE_REGISTRY!$A$2:$E$246,5,FALSE)="","",VLOOKUP(J204,SOURCE_REGISTRY!$A$2:$E$246,5,FALSE)),"")</f>
        <v/>
      </c>
      <c r="Q204" s="9" t="s">
        <v>1056</v>
      </c>
    </row>
    <row r="205" spans="1:17" ht="51" hidden="1" customHeight="1" outlineLevel="1" x14ac:dyDescent="0.25">
      <c r="A205" s="8" t="s">
        <v>1501</v>
      </c>
      <c r="B205" s="8" t="s">
        <v>1502</v>
      </c>
      <c r="C205" s="12" t="str">
        <f>IFERROR(VLOOKUP(B205,ENTITY_MASTER!$A$2:$B$266,2,FALSE),"")</f>
        <v>VLP Therapeutics LLC</v>
      </c>
      <c r="D205" s="8" t="s">
        <v>344</v>
      </c>
      <c r="E205" s="8" t="s">
        <v>1344</v>
      </c>
      <c r="F205" s="13" t="s">
        <v>372</v>
      </c>
      <c r="G205" s="13" t="s">
        <v>372</v>
      </c>
      <c r="H205" s="13" t="s">
        <v>372</v>
      </c>
      <c r="I205" s="8" t="s">
        <v>1503</v>
      </c>
      <c r="J205" s="8" t="s">
        <v>1053</v>
      </c>
      <c r="K205" s="9" t="s">
        <v>954</v>
      </c>
      <c r="L205" s="9" t="s">
        <v>352</v>
      </c>
      <c r="M205" s="8" t="s">
        <v>1054</v>
      </c>
      <c r="N205" s="8" t="s">
        <v>1504</v>
      </c>
      <c r="O205" s="8" t="s">
        <v>607</v>
      </c>
      <c r="P205" s="12" t="str">
        <f>IFERROR(IF(VLOOKUP(J205,SOURCE_REGISTRY!$A$2:$E$246,5,FALSE)="","",VLOOKUP(J205,SOURCE_REGISTRY!$A$2:$E$246,5,FALSE)),"")</f>
        <v/>
      </c>
      <c r="Q205" s="9" t="s">
        <v>1056</v>
      </c>
    </row>
    <row r="206" spans="1:17" ht="51" hidden="1" customHeight="1" outlineLevel="1" x14ac:dyDescent="0.25">
      <c r="A206" s="8" t="s">
        <v>1505</v>
      </c>
      <c r="B206" s="8" t="s">
        <v>1506</v>
      </c>
      <c r="C206" s="12" t="str">
        <f>IFERROR(VLOOKUP(B206,ENTITY_MASTER!$A$2:$B$266,2,FALSE),"")</f>
        <v>Sanaria Inc</v>
      </c>
      <c r="D206" s="8" t="s">
        <v>344</v>
      </c>
      <c r="E206" s="8" t="s">
        <v>1507</v>
      </c>
      <c r="F206" s="13" t="s">
        <v>372</v>
      </c>
      <c r="G206" s="13" t="s">
        <v>372</v>
      </c>
      <c r="H206" s="8" t="s">
        <v>409</v>
      </c>
      <c r="I206" s="8" t="s">
        <v>1508</v>
      </c>
      <c r="J206" s="8" t="s">
        <v>1053</v>
      </c>
      <c r="K206" s="9" t="s">
        <v>954</v>
      </c>
      <c r="L206" s="9" t="s">
        <v>352</v>
      </c>
      <c r="M206" s="8" t="s">
        <v>1054</v>
      </c>
      <c r="N206" s="8" t="s">
        <v>1509</v>
      </c>
      <c r="O206" s="8" t="s">
        <v>607</v>
      </c>
      <c r="P206" s="12" t="str">
        <f>IFERROR(IF(VLOOKUP(J206,SOURCE_REGISTRY!$A$2:$E$246,5,FALSE)="","",VLOOKUP(J206,SOURCE_REGISTRY!$A$2:$E$246,5,FALSE)),"")</f>
        <v/>
      </c>
      <c r="Q206" s="9" t="s">
        <v>1056</v>
      </c>
    </row>
    <row r="207" spans="1:17" ht="51" hidden="1" customHeight="1" outlineLevel="1" x14ac:dyDescent="0.25">
      <c r="A207" s="8" t="s">
        <v>1510</v>
      </c>
      <c r="B207" s="8" t="s">
        <v>1511</v>
      </c>
      <c r="C207" s="12" t="str">
        <f>IFERROR(VLOOKUP(B207,ENTITY_MASTER!$A$2:$B$266,2,FALSE),"")</f>
        <v>Collaborations Pharmaceuticals Inc</v>
      </c>
      <c r="D207" s="8" t="s">
        <v>344</v>
      </c>
      <c r="E207" s="8" t="s">
        <v>1032</v>
      </c>
      <c r="F207" s="13" t="s">
        <v>372</v>
      </c>
      <c r="G207" s="13" t="s">
        <v>372</v>
      </c>
      <c r="H207" s="13" t="s">
        <v>372</v>
      </c>
      <c r="I207" s="8" t="s">
        <v>1512</v>
      </c>
      <c r="J207" s="8" t="s">
        <v>1053</v>
      </c>
      <c r="K207" s="9" t="s">
        <v>954</v>
      </c>
      <c r="L207" s="9" t="s">
        <v>352</v>
      </c>
      <c r="M207" s="8" t="s">
        <v>1054</v>
      </c>
      <c r="N207" s="8" t="s">
        <v>1513</v>
      </c>
      <c r="O207" s="8" t="s">
        <v>607</v>
      </c>
      <c r="P207" s="12" t="str">
        <f>IFERROR(IF(VLOOKUP(J207,SOURCE_REGISTRY!$A$2:$E$246,5,FALSE)="","",VLOOKUP(J207,SOURCE_REGISTRY!$A$2:$E$246,5,FALSE)),"")</f>
        <v/>
      </c>
      <c r="Q207" s="9" t="s">
        <v>1056</v>
      </c>
    </row>
    <row r="208" spans="1:17" ht="51" hidden="1" customHeight="1" outlineLevel="1" x14ac:dyDescent="0.25">
      <c r="A208" s="8" t="s">
        <v>1514</v>
      </c>
      <c r="B208" s="8" t="s">
        <v>1515</v>
      </c>
      <c r="C208" s="12" t="str">
        <f>IFERROR(VLOOKUP(B208,ENTITY_MASTER!$A$2:$B$266,2,FALSE),"")</f>
        <v>Beijing Sinovac Biotech Co Ltd</v>
      </c>
      <c r="D208" s="8" t="s">
        <v>344</v>
      </c>
      <c r="E208" s="8" t="s">
        <v>1470</v>
      </c>
      <c r="F208" s="13" t="s">
        <v>372</v>
      </c>
      <c r="G208" s="13" t="s">
        <v>372</v>
      </c>
      <c r="H208" s="8" t="s">
        <v>409</v>
      </c>
      <c r="I208" s="8" t="s">
        <v>1516</v>
      </c>
      <c r="J208" s="8" t="s">
        <v>1053</v>
      </c>
      <c r="K208" s="9" t="s">
        <v>954</v>
      </c>
      <c r="L208" s="9" t="s">
        <v>352</v>
      </c>
      <c r="M208" s="8" t="s">
        <v>1054</v>
      </c>
      <c r="N208" s="8" t="s">
        <v>1517</v>
      </c>
      <c r="O208" s="8" t="s">
        <v>607</v>
      </c>
      <c r="P208" s="12" t="str">
        <f>IFERROR(IF(VLOOKUP(J208,SOURCE_REGISTRY!$A$2:$E$246,5,FALSE)="","",VLOOKUP(J208,SOURCE_REGISTRY!$A$2:$E$246,5,FALSE)),"")</f>
        <v/>
      </c>
      <c r="Q208" s="9" t="s">
        <v>1056</v>
      </c>
    </row>
    <row r="209" spans="1:17" ht="51" hidden="1" customHeight="1" outlineLevel="1" x14ac:dyDescent="0.25">
      <c r="A209" s="8" t="s">
        <v>1518</v>
      </c>
      <c r="B209" s="8" t="s">
        <v>1519</v>
      </c>
      <c r="C209" s="12" t="str">
        <f>IFERROR(VLOOKUP(B209,ENTITY_MASTER!$A$2:$B$266,2,FALSE),"")</f>
        <v>Panacea Biotec Ltd</v>
      </c>
      <c r="D209" s="8" t="s">
        <v>344</v>
      </c>
      <c r="E209" s="8" t="s">
        <v>1344</v>
      </c>
      <c r="F209" s="13" t="s">
        <v>372</v>
      </c>
      <c r="G209" s="13" t="s">
        <v>372</v>
      </c>
      <c r="H209" s="8" t="s">
        <v>425</v>
      </c>
      <c r="I209" s="8" t="s">
        <v>1520</v>
      </c>
      <c r="J209" s="8" t="s">
        <v>1053</v>
      </c>
      <c r="K209" s="9" t="s">
        <v>954</v>
      </c>
      <c r="L209" s="9" t="s">
        <v>352</v>
      </c>
      <c r="M209" s="8" t="s">
        <v>1054</v>
      </c>
      <c r="N209" s="8" t="s">
        <v>1521</v>
      </c>
      <c r="O209" s="8" t="s">
        <v>607</v>
      </c>
      <c r="P209" s="12" t="str">
        <f>IFERROR(IF(VLOOKUP(J209,SOURCE_REGISTRY!$A$2:$E$246,5,FALSE)="","",VLOOKUP(J209,SOURCE_REGISTRY!$A$2:$E$246,5,FALSE)),"")</f>
        <v/>
      </c>
      <c r="Q209" s="9" t="s">
        <v>1056</v>
      </c>
    </row>
    <row r="210" spans="1:17" ht="51" hidden="1" customHeight="1" outlineLevel="1" x14ac:dyDescent="0.25">
      <c r="A210" s="8" t="s">
        <v>1522</v>
      </c>
      <c r="B210" s="8" t="s">
        <v>1523</v>
      </c>
      <c r="C210" s="12" t="str">
        <f>IFERROR(VLOOKUP(B210,ENTITY_MASTER!$A$2:$B$266,2,FALSE),"")</f>
        <v>United BioPharma Inc</v>
      </c>
      <c r="D210" s="8" t="s">
        <v>344</v>
      </c>
      <c r="E210" s="8" t="s">
        <v>1524</v>
      </c>
      <c r="F210" s="13" t="s">
        <v>372</v>
      </c>
      <c r="G210" s="13" t="s">
        <v>372</v>
      </c>
      <c r="H210" s="13" t="s">
        <v>372</v>
      </c>
      <c r="I210" s="8" t="s">
        <v>1525</v>
      </c>
      <c r="J210" s="8" t="s">
        <v>1053</v>
      </c>
      <c r="K210" s="9" t="s">
        <v>954</v>
      </c>
      <c r="L210" s="9" t="s">
        <v>352</v>
      </c>
      <c r="M210" s="8" t="s">
        <v>1054</v>
      </c>
      <c r="N210" s="8" t="s">
        <v>1526</v>
      </c>
      <c r="O210" s="8" t="s">
        <v>607</v>
      </c>
      <c r="P210" s="12" t="str">
        <f>IFERROR(IF(VLOOKUP(J210,SOURCE_REGISTRY!$A$2:$E$246,5,FALSE)="","",VLOOKUP(J210,SOURCE_REGISTRY!$A$2:$E$246,5,FALSE)),"")</f>
        <v/>
      </c>
      <c r="Q210" s="9" t="s">
        <v>1056</v>
      </c>
    </row>
    <row r="211" spans="1:17" ht="51" hidden="1" customHeight="1" outlineLevel="1" x14ac:dyDescent="0.25">
      <c r="A211" s="8" t="s">
        <v>1527</v>
      </c>
      <c r="B211" s="8" t="s">
        <v>1528</v>
      </c>
      <c r="C211" s="12" t="str">
        <f>IFERROR(VLOOKUP(B211,ENTITY_MASTER!$A$2:$B$266,2,FALSE),"")</f>
        <v>Wuhan Institute of Biological Products Co Ltd</v>
      </c>
      <c r="D211" s="8" t="s">
        <v>344</v>
      </c>
      <c r="E211" s="8" t="s">
        <v>950</v>
      </c>
      <c r="F211" s="13" t="s">
        <v>372</v>
      </c>
      <c r="G211" s="13" t="s">
        <v>372</v>
      </c>
      <c r="H211" s="8" t="s">
        <v>409</v>
      </c>
      <c r="I211" s="8" t="s">
        <v>1529</v>
      </c>
      <c r="J211" s="8" t="s">
        <v>1053</v>
      </c>
      <c r="K211" s="9" t="s">
        <v>954</v>
      </c>
      <c r="L211" s="9" t="s">
        <v>352</v>
      </c>
      <c r="M211" s="8" t="s">
        <v>1054</v>
      </c>
      <c r="N211" s="8" t="s">
        <v>1530</v>
      </c>
      <c r="O211" s="8" t="s">
        <v>607</v>
      </c>
      <c r="P211" s="12" t="str">
        <f>IFERROR(IF(VLOOKUP(J211,SOURCE_REGISTRY!$A$2:$E$246,5,FALSE)="","",VLOOKUP(J211,SOURCE_REGISTRY!$A$2:$E$246,5,FALSE)),"")</f>
        <v/>
      </c>
      <c r="Q211" s="9" t="s">
        <v>1056</v>
      </c>
    </row>
    <row r="212" spans="1:17" ht="51" hidden="1" customHeight="1" outlineLevel="1" x14ac:dyDescent="0.25">
      <c r="A212" s="8" t="s">
        <v>1531</v>
      </c>
      <c r="B212" s="8" t="s">
        <v>1532</v>
      </c>
      <c r="C212" s="12" t="str">
        <f>IFERROR(VLOOKUP(B212,ENTITY_MASTER!$A$2:$B$266,2,FALSE),"")</f>
        <v>Swedish Orphan Biovitrum AB</v>
      </c>
      <c r="D212" s="8" t="s">
        <v>344</v>
      </c>
      <c r="E212" s="8" t="s">
        <v>1176</v>
      </c>
      <c r="F212" s="13" t="s">
        <v>372</v>
      </c>
      <c r="G212" s="13" t="s">
        <v>372</v>
      </c>
      <c r="H212" s="13" t="s">
        <v>372</v>
      </c>
      <c r="I212" s="8" t="s">
        <v>1533</v>
      </c>
      <c r="J212" s="8" t="s">
        <v>1053</v>
      </c>
      <c r="K212" s="9" t="s">
        <v>954</v>
      </c>
      <c r="L212" s="9" t="s">
        <v>352</v>
      </c>
      <c r="M212" s="8" t="s">
        <v>1054</v>
      </c>
      <c r="N212" s="8" t="s">
        <v>1534</v>
      </c>
      <c r="O212" s="8" t="s">
        <v>607</v>
      </c>
      <c r="P212" s="12" t="str">
        <f>IFERROR(IF(VLOOKUP(J212,SOURCE_REGISTRY!$A$2:$E$246,5,FALSE)="","",VLOOKUP(J212,SOURCE_REGISTRY!$A$2:$E$246,5,FALSE)),"")</f>
        <v/>
      </c>
      <c r="Q212" s="9" t="s">
        <v>1056</v>
      </c>
    </row>
    <row r="213" spans="1:17" ht="51" hidden="1" customHeight="1" outlineLevel="1" x14ac:dyDescent="0.25">
      <c r="A213" s="8" t="s">
        <v>1535</v>
      </c>
      <c r="B213" s="8" t="s">
        <v>1536</v>
      </c>
      <c r="C213" s="12" t="str">
        <f>IFERROR(VLOOKUP(B213,ENTITY_MASTER!$A$2:$B$266,2,FALSE),"")</f>
        <v>Biotron Ltd</v>
      </c>
      <c r="D213" s="8" t="s">
        <v>344</v>
      </c>
      <c r="E213" s="8" t="s">
        <v>600</v>
      </c>
      <c r="F213" s="13" t="s">
        <v>372</v>
      </c>
      <c r="G213" s="13" t="s">
        <v>372</v>
      </c>
      <c r="H213" s="13" t="s">
        <v>372</v>
      </c>
      <c r="I213" s="8" t="s">
        <v>1537</v>
      </c>
      <c r="J213" s="8" t="s">
        <v>1053</v>
      </c>
      <c r="K213" s="9" t="s">
        <v>954</v>
      </c>
      <c r="L213" s="9" t="s">
        <v>352</v>
      </c>
      <c r="M213" s="8" t="s">
        <v>1054</v>
      </c>
      <c r="N213" s="8" t="s">
        <v>1538</v>
      </c>
      <c r="O213" s="8" t="s">
        <v>607</v>
      </c>
      <c r="P213" s="12" t="str">
        <f>IFERROR(IF(VLOOKUP(J213,SOURCE_REGISTRY!$A$2:$E$246,5,FALSE)="","",VLOOKUP(J213,SOURCE_REGISTRY!$A$2:$E$246,5,FALSE)),"")</f>
        <v/>
      </c>
      <c r="Q213" s="9" t="s">
        <v>1056</v>
      </c>
    </row>
    <row r="214" spans="1:17" ht="51" hidden="1" customHeight="1" outlineLevel="1" x14ac:dyDescent="0.25">
      <c r="A214" s="8" t="s">
        <v>1539</v>
      </c>
      <c r="B214" s="8" t="s">
        <v>1540</v>
      </c>
      <c r="C214" s="12" t="str">
        <f>IFERROR(VLOOKUP(B214,ENTITY_MASTER!$A$2:$B$266,2,FALSE),"")</f>
        <v>Hefei Afana Biotechnology Co Ltd</v>
      </c>
      <c r="D214" s="8" t="s">
        <v>344</v>
      </c>
      <c r="E214" s="8" t="s">
        <v>1254</v>
      </c>
      <c r="F214" s="13" t="s">
        <v>372</v>
      </c>
      <c r="G214" s="13" t="s">
        <v>372</v>
      </c>
      <c r="H214" s="13" t="s">
        <v>372</v>
      </c>
      <c r="I214" s="8" t="s">
        <v>1541</v>
      </c>
      <c r="J214" s="8" t="s">
        <v>1053</v>
      </c>
      <c r="K214" s="9" t="s">
        <v>954</v>
      </c>
      <c r="L214" s="9" t="s">
        <v>352</v>
      </c>
      <c r="M214" s="8" t="s">
        <v>1054</v>
      </c>
      <c r="N214" s="8" t="s">
        <v>1542</v>
      </c>
      <c r="O214" s="8" t="s">
        <v>607</v>
      </c>
      <c r="P214" s="12" t="str">
        <f>IFERROR(IF(VLOOKUP(J214,SOURCE_REGISTRY!$A$2:$E$246,5,FALSE)="","",VLOOKUP(J214,SOURCE_REGISTRY!$A$2:$E$246,5,FALSE)),"")</f>
        <v/>
      </c>
      <c r="Q214" s="9" t="s">
        <v>1056</v>
      </c>
    </row>
    <row r="215" spans="1:17" ht="51" hidden="1" customHeight="1" outlineLevel="1" x14ac:dyDescent="0.25">
      <c r="A215" s="8" t="s">
        <v>1543</v>
      </c>
      <c r="B215" s="8" t="s">
        <v>1544</v>
      </c>
      <c r="C215" s="12" t="str">
        <f>IFERROR(VLOOKUP(B215,ENTITY_MASTER!$A$2:$B$266,2,FALSE),"")</f>
        <v>Promomed LLC</v>
      </c>
      <c r="D215" s="8" t="s">
        <v>344</v>
      </c>
      <c r="E215" s="8" t="s">
        <v>614</v>
      </c>
      <c r="F215" s="13" t="s">
        <v>372</v>
      </c>
      <c r="G215" s="13" t="s">
        <v>372</v>
      </c>
      <c r="H215" s="13" t="s">
        <v>372</v>
      </c>
      <c r="I215" s="8" t="s">
        <v>1545</v>
      </c>
      <c r="J215" s="8" t="s">
        <v>1053</v>
      </c>
      <c r="K215" s="9" t="s">
        <v>954</v>
      </c>
      <c r="L215" s="9" t="s">
        <v>352</v>
      </c>
      <c r="M215" s="8" t="s">
        <v>1054</v>
      </c>
      <c r="N215" s="8" t="s">
        <v>1546</v>
      </c>
      <c r="O215" s="8" t="s">
        <v>607</v>
      </c>
      <c r="P215" s="12" t="str">
        <f>IFERROR(IF(VLOOKUP(J215,SOURCE_REGISTRY!$A$2:$E$246,5,FALSE)="","",VLOOKUP(J215,SOURCE_REGISTRY!$A$2:$E$246,5,FALSE)),"")</f>
        <v/>
      </c>
      <c r="Q215" s="9" t="s">
        <v>1056</v>
      </c>
    </row>
    <row r="216" spans="1:17" ht="51" hidden="1" customHeight="1" outlineLevel="1" x14ac:dyDescent="0.25">
      <c r="A216" s="8" t="s">
        <v>1547</v>
      </c>
      <c r="B216" s="8" t="s">
        <v>1548</v>
      </c>
      <c r="C216" s="12" t="str">
        <f>IFERROR(VLOOKUP(B216,ENTITY_MASTER!$A$2:$B$266,2,FALSE),"")</f>
        <v>Brandenburg Antiinfektiva GmbH</v>
      </c>
      <c r="D216" s="8" t="s">
        <v>344</v>
      </c>
      <c r="E216" s="8" t="s">
        <v>1549</v>
      </c>
      <c r="F216" s="13" t="s">
        <v>372</v>
      </c>
      <c r="G216" s="13" t="s">
        <v>372</v>
      </c>
      <c r="H216" s="13" t="s">
        <v>372</v>
      </c>
      <c r="I216" s="8" t="s">
        <v>1550</v>
      </c>
      <c r="J216" s="8" t="s">
        <v>1053</v>
      </c>
      <c r="K216" s="9" t="s">
        <v>954</v>
      </c>
      <c r="L216" s="9" t="s">
        <v>352</v>
      </c>
      <c r="M216" s="8" t="s">
        <v>1054</v>
      </c>
      <c r="N216" s="8" t="s">
        <v>1551</v>
      </c>
      <c r="O216" s="8" t="s">
        <v>607</v>
      </c>
      <c r="P216" s="12" t="str">
        <f>IFERROR(IF(VLOOKUP(J216,SOURCE_REGISTRY!$A$2:$E$246,5,FALSE)="","",VLOOKUP(J216,SOURCE_REGISTRY!$A$2:$E$246,5,FALSE)),"")</f>
        <v/>
      </c>
      <c r="Q216" s="9" t="s">
        <v>1056</v>
      </c>
    </row>
    <row r="217" spans="1:17" ht="51" hidden="1" customHeight="1" outlineLevel="1" x14ac:dyDescent="0.25">
      <c r="A217" s="8" t="s">
        <v>1552</v>
      </c>
      <c r="B217" s="8" t="s">
        <v>1553</v>
      </c>
      <c r="C217" s="12" t="str">
        <f>IFERROR(VLOOKUP(B217,ENTITY_MASTER!$A$2:$B$266,2,FALSE),"")</f>
        <v>Theravectys SA</v>
      </c>
      <c r="D217" s="8" t="s">
        <v>344</v>
      </c>
      <c r="E217" s="8" t="s">
        <v>1064</v>
      </c>
      <c r="F217" s="13" t="s">
        <v>372</v>
      </c>
      <c r="G217" s="13" t="s">
        <v>372</v>
      </c>
      <c r="H217" s="8" t="s">
        <v>409</v>
      </c>
      <c r="I217" s="8" t="s">
        <v>1554</v>
      </c>
      <c r="J217" s="8" t="s">
        <v>1053</v>
      </c>
      <c r="K217" s="9" t="s">
        <v>954</v>
      </c>
      <c r="L217" s="9" t="s">
        <v>352</v>
      </c>
      <c r="M217" s="8" t="s">
        <v>1054</v>
      </c>
      <c r="N217" s="8" t="s">
        <v>1555</v>
      </c>
      <c r="O217" s="8" t="s">
        <v>607</v>
      </c>
      <c r="P217" s="12" t="str">
        <f>IFERROR(IF(VLOOKUP(J217,SOURCE_REGISTRY!$A$2:$E$246,5,FALSE)="","",VLOOKUP(J217,SOURCE_REGISTRY!$A$2:$E$246,5,FALSE)),"")</f>
        <v/>
      </c>
      <c r="Q217" s="9" t="s">
        <v>1056</v>
      </c>
    </row>
    <row r="218" spans="1:17" ht="51" hidden="1" customHeight="1" outlineLevel="1" x14ac:dyDescent="0.25">
      <c r="A218" s="8" t="s">
        <v>1556</v>
      </c>
      <c r="B218" s="8" t="s">
        <v>1557</v>
      </c>
      <c r="C218" s="12" t="str">
        <f>IFERROR(VLOOKUP(B218,ENTITY_MASTER!$A$2:$B$266,2,FALSE),"")</f>
        <v>RinuaGene Biotechnology Co Ltd</v>
      </c>
      <c r="D218" s="8" t="s">
        <v>344</v>
      </c>
      <c r="E218" s="8" t="s">
        <v>950</v>
      </c>
      <c r="F218" s="13" t="s">
        <v>372</v>
      </c>
      <c r="G218" s="13" t="s">
        <v>372</v>
      </c>
      <c r="H218" s="13" t="s">
        <v>372</v>
      </c>
      <c r="I218" s="8" t="s">
        <v>1558</v>
      </c>
      <c r="J218" s="8" t="s">
        <v>1053</v>
      </c>
      <c r="K218" s="9" t="s">
        <v>954</v>
      </c>
      <c r="L218" s="9" t="s">
        <v>352</v>
      </c>
      <c r="M218" s="8" t="s">
        <v>1054</v>
      </c>
      <c r="N218" s="8" t="s">
        <v>1559</v>
      </c>
      <c r="O218" s="8" t="s">
        <v>607</v>
      </c>
      <c r="P218" s="12" t="str">
        <f>IFERROR(IF(VLOOKUP(J218,SOURCE_REGISTRY!$A$2:$E$246,5,FALSE)="","",VLOOKUP(J218,SOURCE_REGISTRY!$A$2:$E$246,5,FALSE)),"")</f>
        <v/>
      </c>
      <c r="Q218" s="9" t="s">
        <v>1056</v>
      </c>
    </row>
    <row r="219" spans="1:17" ht="51" hidden="1" customHeight="1" outlineLevel="1" x14ac:dyDescent="0.25">
      <c r="A219" s="8" t="s">
        <v>1560</v>
      </c>
      <c r="B219" s="8" t="s">
        <v>1561</v>
      </c>
      <c r="C219" s="12" t="str">
        <f>IFERROR(VLOOKUP(B219,ENTITY_MASTER!$A$2:$B$266,2,FALSE),"")</f>
        <v>Beijing Sanroad Biological Products Co Ltd</v>
      </c>
      <c r="D219" s="8" t="s">
        <v>344</v>
      </c>
      <c r="E219" s="8" t="s">
        <v>1440</v>
      </c>
      <c r="F219" s="13" t="s">
        <v>372</v>
      </c>
      <c r="G219" s="13" t="s">
        <v>372</v>
      </c>
      <c r="H219" s="8" t="s">
        <v>409</v>
      </c>
      <c r="I219" s="8" t="s">
        <v>1562</v>
      </c>
      <c r="J219" s="8" t="s">
        <v>1053</v>
      </c>
      <c r="K219" s="9" t="s">
        <v>954</v>
      </c>
      <c r="L219" s="9" t="s">
        <v>352</v>
      </c>
      <c r="M219" s="8" t="s">
        <v>1054</v>
      </c>
      <c r="N219" s="8" t="s">
        <v>1563</v>
      </c>
      <c r="O219" s="8" t="s">
        <v>607</v>
      </c>
      <c r="P219" s="12" t="str">
        <f>IFERROR(IF(VLOOKUP(J219,SOURCE_REGISTRY!$A$2:$E$246,5,FALSE)="","",VLOOKUP(J219,SOURCE_REGISTRY!$A$2:$E$246,5,FALSE)),"")</f>
        <v/>
      </c>
      <c r="Q219" s="9" t="s">
        <v>1056</v>
      </c>
    </row>
    <row r="220" spans="1:17" ht="51" hidden="1" customHeight="1" outlineLevel="1" x14ac:dyDescent="0.25">
      <c r="A220" s="8" t="s">
        <v>1564</v>
      </c>
      <c r="B220" s="8" t="s">
        <v>1565</v>
      </c>
      <c r="C220" s="12" t="str">
        <f>IFERROR(VLOOKUP(B220,ENTITY_MASTER!$A$2:$B$266,2,FALSE),"")</f>
        <v>Helocyte Inc</v>
      </c>
      <c r="D220" s="8" t="s">
        <v>344</v>
      </c>
      <c r="E220" s="8" t="s">
        <v>1524</v>
      </c>
      <c r="F220" s="13" t="s">
        <v>372</v>
      </c>
      <c r="G220" s="13" t="s">
        <v>372</v>
      </c>
      <c r="H220" s="8" t="s">
        <v>409</v>
      </c>
      <c r="I220" s="8" t="s">
        <v>1566</v>
      </c>
      <c r="J220" s="8" t="s">
        <v>1053</v>
      </c>
      <c r="K220" s="9" t="s">
        <v>954</v>
      </c>
      <c r="L220" s="9" t="s">
        <v>352</v>
      </c>
      <c r="M220" s="8" t="s">
        <v>1054</v>
      </c>
      <c r="N220" s="8" t="s">
        <v>1567</v>
      </c>
      <c r="O220" s="8" t="s">
        <v>607</v>
      </c>
      <c r="P220" s="12" t="str">
        <f>IFERROR(IF(VLOOKUP(J220,SOURCE_REGISTRY!$A$2:$E$246,5,FALSE)="","",VLOOKUP(J220,SOURCE_REGISTRY!$A$2:$E$246,5,FALSE)),"")</f>
        <v/>
      </c>
      <c r="Q220" s="9" t="s">
        <v>1056</v>
      </c>
    </row>
    <row r="221" spans="1:17" ht="51" hidden="1" customHeight="1" outlineLevel="1" x14ac:dyDescent="0.25">
      <c r="A221" s="8" t="s">
        <v>1568</v>
      </c>
      <c r="B221" s="8" t="s">
        <v>1569</v>
      </c>
      <c r="C221" s="12" t="str">
        <f>IFERROR(VLOOKUP(B221,ENTITY_MASTER!$A$2:$B$266,2,FALSE),"")</f>
        <v>Asia Scientific Global</v>
      </c>
      <c r="D221" s="8" t="s">
        <v>344</v>
      </c>
      <c r="E221" s="8" t="s">
        <v>1012</v>
      </c>
      <c r="F221" s="13" t="s">
        <v>372</v>
      </c>
      <c r="G221" s="13" t="s">
        <v>372</v>
      </c>
      <c r="H221" s="13" t="s">
        <v>372</v>
      </c>
      <c r="I221" s="8" t="s">
        <v>1570</v>
      </c>
      <c r="J221" s="8" t="s">
        <v>1053</v>
      </c>
      <c r="K221" s="9" t="s">
        <v>954</v>
      </c>
      <c r="L221" s="9" t="s">
        <v>352</v>
      </c>
      <c r="M221" s="8" t="s">
        <v>1054</v>
      </c>
      <c r="N221" s="8" t="s">
        <v>1571</v>
      </c>
      <c r="O221" s="8" t="s">
        <v>607</v>
      </c>
      <c r="P221" s="12" t="str">
        <f>IFERROR(IF(VLOOKUP(J221,SOURCE_REGISTRY!$A$2:$E$246,5,FALSE)="","",VLOOKUP(J221,SOURCE_REGISTRY!$A$2:$E$246,5,FALSE)),"")</f>
        <v/>
      </c>
      <c r="Q221" s="9" t="s">
        <v>1056</v>
      </c>
    </row>
    <row r="222" spans="1:17" ht="51" hidden="1" customHeight="1" outlineLevel="1" x14ac:dyDescent="0.25">
      <c r="A222" s="8" t="s">
        <v>1572</v>
      </c>
      <c r="B222" s="8" t="s">
        <v>1573</v>
      </c>
      <c r="C222" s="12" t="str">
        <f>IFERROR(VLOOKUP(B222,ENTITY_MASTER!$A$2:$B$266,2,FALSE),"")</f>
        <v>Arrowsmith Inc</v>
      </c>
      <c r="D222" s="8" t="s">
        <v>344</v>
      </c>
      <c r="E222" s="8" t="s">
        <v>1163</v>
      </c>
      <c r="F222" s="13" t="s">
        <v>372</v>
      </c>
      <c r="G222" s="13" t="s">
        <v>372</v>
      </c>
      <c r="H222" s="13" t="s">
        <v>372</v>
      </c>
      <c r="I222" s="8" t="s">
        <v>1574</v>
      </c>
      <c r="J222" s="8" t="s">
        <v>1053</v>
      </c>
      <c r="K222" s="9" t="s">
        <v>954</v>
      </c>
      <c r="L222" s="9" t="s">
        <v>352</v>
      </c>
      <c r="M222" s="8" t="s">
        <v>1054</v>
      </c>
      <c r="N222" s="8" t="s">
        <v>1575</v>
      </c>
      <c r="O222" s="8" t="s">
        <v>607</v>
      </c>
      <c r="P222" s="12" t="str">
        <f>IFERROR(IF(VLOOKUP(J222,SOURCE_REGISTRY!$A$2:$E$246,5,FALSE)="","",VLOOKUP(J222,SOURCE_REGISTRY!$A$2:$E$246,5,FALSE)),"")</f>
        <v/>
      </c>
      <c r="Q222" s="9" t="s">
        <v>1056</v>
      </c>
    </row>
    <row r="223" spans="1:17" ht="51" hidden="1" customHeight="1" outlineLevel="1" x14ac:dyDescent="0.25">
      <c r="A223" s="8" t="s">
        <v>1576</v>
      </c>
      <c r="B223" s="8" t="s">
        <v>1577</v>
      </c>
      <c r="C223" s="12" t="str">
        <f>IFERROR(VLOOKUP(B223,ENTITY_MASTER!$A$2:$B$266,2,FALSE),"")</f>
        <v>Xiamen Amoytop Biotech Co Ltd</v>
      </c>
      <c r="D223" s="8" t="s">
        <v>344</v>
      </c>
      <c r="E223" s="8" t="s">
        <v>614</v>
      </c>
      <c r="F223" s="13" t="s">
        <v>372</v>
      </c>
      <c r="G223" s="13" t="s">
        <v>372</v>
      </c>
      <c r="H223" s="13" t="s">
        <v>372</v>
      </c>
      <c r="I223" s="8" t="s">
        <v>1578</v>
      </c>
      <c r="J223" s="8" t="s">
        <v>1053</v>
      </c>
      <c r="K223" s="9" t="s">
        <v>954</v>
      </c>
      <c r="L223" s="9" t="s">
        <v>352</v>
      </c>
      <c r="M223" s="8" t="s">
        <v>1054</v>
      </c>
      <c r="N223" s="8" t="s">
        <v>1579</v>
      </c>
      <c r="O223" s="8" t="s">
        <v>607</v>
      </c>
      <c r="P223" s="12" t="str">
        <f>IFERROR(IF(VLOOKUP(J223,SOURCE_REGISTRY!$A$2:$E$246,5,FALSE)="","",VLOOKUP(J223,SOURCE_REGISTRY!$A$2:$E$246,5,FALSE)),"")</f>
        <v/>
      </c>
      <c r="Q223" s="9" t="s">
        <v>1056</v>
      </c>
    </row>
    <row r="224" spans="1:17" ht="51" hidden="1" customHeight="1" outlineLevel="1" x14ac:dyDescent="0.25">
      <c r="A224" s="8" t="s">
        <v>1580</v>
      </c>
      <c r="B224" s="8" t="s">
        <v>1581</v>
      </c>
      <c r="C224" s="12" t="str">
        <f>IFERROR(VLOOKUP(B224,ENTITY_MASTER!$A$2:$B$266,2,FALSE),"")</f>
        <v>Intravacc BV</v>
      </c>
      <c r="D224" s="8" t="s">
        <v>344</v>
      </c>
      <c r="E224" s="8" t="s">
        <v>1244</v>
      </c>
      <c r="F224" s="13" t="s">
        <v>372</v>
      </c>
      <c r="G224" s="13" t="s">
        <v>372</v>
      </c>
      <c r="H224" s="8" t="s">
        <v>409</v>
      </c>
      <c r="I224" s="8" t="s">
        <v>1582</v>
      </c>
      <c r="J224" s="8" t="s">
        <v>1053</v>
      </c>
      <c r="K224" s="9" t="s">
        <v>954</v>
      </c>
      <c r="L224" s="9" t="s">
        <v>352</v>
      </c>
      <c r="M224" s="8" t="s">
        <v>1054</v>
      </c>
      <c r="N224" s="8" t="s">
        <v>1583</v>
      </c>
      <c r="O224" s="8" t="s">
        <v>607</v>
      </c>
      <c r="P224" s="12" t="str">
        <f>IFERROR(IF(VLOOKUP(J224,SOURCE_REGISTRY!$A$2:$E$246,5,FALSE)="","",VLOOKUP(J224,SOURCE_REGISTRY!$A$2:$E$246,5,FALSE)),"")</f>
        <v/>
      </c>
      <c r="Q224" s="9" t="s">
        <v>1056</v>
      </c>
    </row>
    <row r="225" spans="1:17" ht="51" hidden="1" customHeight="1" outlineLevel="1" x14ac:dyDescent="0.25">
      <c r="A225" s="8" t="s">
        <v>1584</v>
      </c>
      <c r="B225" s="8" t="s">
        <v>1585</v>
      </c>
      <c r="C225" s="12" t="str">
        <f>IFERROR(VLOOKUP(B225,ENTITY_MASTER!$A$2:$B$266,2,FALSE),"")</f>
        <v>Chengdu Anyong Dingye Biotechnology Co Ltd</v>
      </c>
      <c r="D225" s="8" t="s">
        <v>344</v>
      </c>
      <c r="E225" s="8" t="s">
        <v>1012</v>
      </c>
      <c r="F225" s="13" t="s">
        <v>372</v>
      </c>
      <c r="G225" s="13" t="s">
        <v>372</v>
      </c>
      <c r="H225" s="13" t="s">
        <v>372</v>
      </c>
      <c r="I225" s="8" t="s">
        <v>1586</v>
      </c>
      <c r="J225" s="8" t="s">
        <v>1053</v>
      </c>
      <c r="K225" s="9" t="s">
        <v>954</v>
      </c>
      <c r="L225" s="9" t="s">
        <v>352</v>
      </c>
      <c r="M225" s="8" t="s">
        <v>1054</v>
      </c>
      <c r="N225" s="8" t="s">
        <v>1587</v>
      </c>
      <c r="O225" s="8" t="s">
        <v>607</v>
      </c>
      <c r="P225" s="12" t="str">
        <f>IFERROR(IF(VLOOKUP(J225,SOURCE_REGISTRY!$A$2:$E$246,5,FALSE)="","",VLOOKUP(J225,SOURCE_REGISTRY!$A$2:$E$246,5,FALSE)),"")</f>
        <v/>
      </c>
      <c r="Q225" s="9" t="s">
        <v>1056</v>
      </c>
    </row>
    <row r="226" spans="1:17" ht="51" hidden="1" customHeight="1" outlineLevel="1" x14ac:dyDescent="0.25">
      <c r="A226" s="8" t="s">
        <v>1588</v>
      </c>
      <c r="B226" s="8" t="s">
        <v>1589</v>
      </c>
      <c r="C226" s="12" t="str">
        <f>IFERROR(VLOOKUP(B226,ENTITY_MASTER!$A$2:$B$266,2,FALSE),"")</f>
        <v>Beijing Kawin Technology Share-Holding Co Ltd</v>
      </c>
      <c r="D226" s="8" t="s">
        <v>344</v>
      </c>
      <c r="E226" s="8" t="s">
        <v>1590</v>
      </c>
      <c r="F226" s="13" t="s">
        <v>372</v>
      </c>
      <c r="G226" s="13" t="s">
        <v>372</v>
      </c>
      <c r="H226" s="13" t="s">
        <v>372</v>
      </c>
      <c r="I226" s="8" t="s">
        <v>1591</v>
      </c>
      <c r="J226" s="8" t="s">
        <v>1053</v>
      </c>
      <c r="K226" s="9" t="s">
        <v>954</v>
      </c>
      <c r="L226" s="9" t="s">
        <v>352</v>
      </c>
      <c r="M226" s="8" t="s">
        <v>1054</v>
      </c>
      <c r="N226" s="8" t="s">
        <v>1592</v>
      </c>
      <c r="O226" s="8" t="s">
        <v>607</v>
      </c>
      <c r="P226" s="12" t="str">
        <f>IFERROR(IF(VLOOKUP(J226,SOURCE_REGISTRY!$A$2:$E$246,5,FALSE)="","",VLOOKUP(J226,SOURCE_REGISTRY!$A$2:$E$246,5,FALSE)),"")</f>
        <v/>
      </c>
      <c r="Q226" s="9" t="s">
        <v>1056</v>
      </c>
    </row>
    <row r="227" spans="1:17" ht="51" hidden="1" customHeight="1" outlineLevel="1" x14ac:dyDescent="0.25">
      <c r="A227" s="8" t="s">
        <v>1593</v>
      </c>
      <c r="B227" s="8" t="s">
        <v>1594</v>
      </c>
      <c r="C227" s="12" t="str">
        <f>IFERROR(VLOOKUP(B227,ENTITY_MASTER!$A$2:$B$266,2,FALSE),"")</f>
        <v>Autonomous Therapeutics Inc</v>
      </c>
      <c r="D227" s="8" t="s">
        <v>344</v>
      </c>
      <c r="E227" s="8" t="s">
        <v>1064</v>
      </c>
      <c r="F227" s="13" t="s">
        <v>372</v>
      </c>
      <c r="G227" s="13" t="s">
        <v>372</v>
      </c>
      <c r="H227" s="13" t="s">
        <v>372</v>
      </c>
      <c r="I227" s="8" t="s">
        <v>1595</v>
      </c>
      <c r="J227" s="8" t="s">
        <v>1053</v>
      </c>
      <c r="K227" s="9" t="s">
        <v>954</v>
      </c>
      <c r="L227" s="9" t="s">
        <v>352</v>
      </c>
      <c r="M227" s="8" t="s">
        <v>1054</v>
      </c>
      <c r="N227" s="8" t="s">
        <v>1596</v>
      </c>
      <c r="O227" s="8" t="s">
        <v>607</v>
      </c>
      <c r="P227" s="12" t="str">
        <f>IFERROR(IF(VLOOKUP(J227,SOURCE_REGISTRY!$A$2:$E$246,5,FALSE)="","",VLOOKUP(J227,SOURCE_REGISTRY!$A$2:$E$246,5,FALSE)),"")</f>
        <v/>
      </c>
      <c r="Q227" s="9" t="s">
        <v>1056</v>
      </c>
    </row>
    <row r="228" spans="1:17" ht="51" hidden="1" customHeight="1" outlineLevel="1" x14ac:dyDescent="0.25">
      <c r="A228" s="8" t="s">
        <v>1597</v>
      </c>
      <c r="B228" s="8" t="s">
        <v>1598</v>
      </c>
      <c r="C228" s="12" t="str">
        <f>IFERROR(VLOOKUP(B228,ENTITY_MASTER!$A$2:$B$266,2,FALSE),"")</f>
        <v>Yaso Therapeutics Inc</v>
      </c>
      <c r="D228" s="8" t="s">
        <v>344</v>
      </c>
      <c r="E228" s="8" t="s">
        <v>1599</v>
      </c>
      <c r="F228" s="13" t="s">
        <v>372</v>
      </c>
      <c r="G228" s="13" t="s">
        <v>372</v>
      </c>
      <c r="H228" s="13" t="s">
        <v>372</v>
      </c>
      <c r="I228" s="8" t="s">
        <v>1600</v>
      </c>
      <c r="J228" s="8" t="s">
        <v>1053</v>
      </c>
      <c r="K228" s="9" t="s">
        <v>954</v>
      </c>
      <c r="L228" s="9" t="s">
        <v>352</v>
      </c>
      <c r="M228" s="8" t="s">
        <v>1054</v>
      </c>
      <c r="N228" s="8" t="s">
        <v>1601</v>
      </c>
      <c r="O228" s="8" t="s">
        <v>607</v>
      </c>
      <c r="P228" s="12" t="str">
        <f>IFERROR(IF(VLOOKUP(J228,SOURCE_REGISTRY!$A$2:$E$246,5,FALSE)="","",VLOOKUP(J228,SOURCE_REGISTRY!$A$2:$E$246,5,FALSE)),"")</f>
        <v/>
      </c>
      <c r="Q228" s="9" t="s">
        <v>1056</v>
      </c>
    </row>
    <row r="229" spans="1:17" ht="51" hidden="1" customHeight="1" outlineLevel="1" x14ac:dyDescent="0.25">
      <c r="A229" s="8" t="s">
        <v>1602</v>
      </c>
      <c r="B229" s="8" t="s">
        <v>1603</v>
      </c>
      <c r="C229" s="12" t="str">
        <f>IFERROR(VLOOKUP(B229,ENTITY_MASTER!$A$2:$B$266,2,FALSE),"")</f>
        <v>Yicura Biomed Ltd</v>
      </c>
      <c r="D229" s="8" t="s">
        <v>344</v>
      </c>
      <c r="E229" s="8" t="s">
        <v>1064</v>
      </c>
      <c r="F229" s="13" t="s">
        <v>372</v>
      </c>
      <c r="G229" s="13" t="s">
        <v>372</v>
      </c>
      <c r="H229" s="8" t="s">
        <v>409</v>
      </c>
      <c r="I229" s="8" t="s">
        <v>1604</v>
      </c>
      <c r="J229" s="8" t="s">
        <v>1053</v>
      </c>
      <c r="K229" s="9" t="s">
        <v>954</v>
      </c>
      <c r="L229" s="9" t="s">
        <v>352</v>
      </c>
      <c r="M229" s="8" t="s">
        <v>1054</v>
      </c>
      <c r="N229" s="8" t="s">
        <v>1605</v>
      </c>
      <c r="O229" s="8" t="s">
        <v>607</v>
      </c>
      <c r="P229" s="12" t="str">
        <f>IFERROR(IF(VLOOKUP(J229,SOURCE_REGISTRY!$A$2:$E$246,5,FALSE)="","",VLOOKUP(J229,SOURCE_REGISTRY!$A$2:$E$246,5,FALSE)),"")</f>
        <v/>
      </c>
      <c r="Q229" s="9" t="s">
        <v>1056</v>
      </c>
    </row>
    <row r="230" spans="1:17" ht="51" hidden="1" customHeight="1" outlineLevel="1" x14ac:dyDescent="0.25">
      <c r="A230" s="8" t="s">
        <v>1606</v>
      </c>
      <c r="B230" s="8" t="s">
        <v>1607</v>
      </c>
      <c r="C230" s="12" t="str">
        <f>IFERROR(VLOOKUP(B230,ENTITY_MASTER!$A$2:$B$266,2,FALSE),"")</f>
        <v>Changzhou Yinsheng Pharmaceutical Co Ltd</v>
      </c>
      <c r="D230" s="8" t="s">
        <v>344</v>
      </c>
      <c r="E230" s="8" t="s">
        <v>1012</v>
      </c>
      <c r="F230" s="13" t="s">
        <v>372</v>
      </c>
      <c r="G230" s="13" t="s">
        <v>372</v>
      </c>
      <c r="H230" s="13" t="s">
        <v>372</v>
      </c>
      <c r="I230" s="8" t="s">
        <v>1608</v>
      </c>
      <c r="J230" s="8" t="s">
        <v>1053</v>
      </c>
      <c r="K230" s="9" t="s">
        <v>954</v>
      </c>
      <c r="L230" s="9" t="s">
        <v>352</v>
      </c>
      <c r="M230" s="8" t="s">
        <v>1054</v>
      </c>
      <c r="N230" s="8" t="s">
        <v>1609</v>
      </c>
      <c r="O230" s="8" t="s">
        <v>607</v>
      </c>
      <c r="P230" s="12" t="str">
        <f>IFERROR(IF(VLOOKUP(J230,SOURCE_REGISTRY!$A$2:$E$246,5,FALSE)="","",VLOOKUP(J230,SOURCE_REGISTRY!$A$2:$E$246,5,FALSE)),"")</f>
        <v/>
      </c>
      <c r="Q230" s="9" t="s">
        <v>1056</v>
      </c>
    </row>
    <row r="231" spans="1:17" ht="51" hidden="1" customHeight="1" outlineLevel="1" x14ac:dyDescent="0.25">
      <c r="A231" s="8" t="s">
        <v>1610</v>
      </c>
      <c r="B231" s="8" t="s">
        <v>1611</v>
      </c>
      <c r="C231" s="12" t="str">
        <f>IFERROR(VLOOKUP(B231,ENTITY_MASTER!$A$2:$B$266,2,FALSE),"")</f>
        <v>Jiangsu Kunli Biopharmaceutical Co Ltd</v>
      </c>
      <c r="D231" s="8" t="s">
        <v>344</v>
      </c>
      <c r="E231" s="8" t="s">
        <v>371</v>
      </c>
      <c r="F231" s="13" t="s">
        <v>372</v>
      </c>
      <c r="G231" s="13" t="s">
        <v>372</v>
      </c>
      <c r="H231" s="8" t="s">
        <v>409</v>
      </c>
      <c r="I231" s="8" t="s">
        <v>1612</v>
      </c>
      <c r="J231" s="8" t="s">
        <v>1053</v>
      </c>
      <c r="K231" s="9" t="s">
        <v>954</v>
      </c>
      <c r="L231" s="9" t="s">
        <v>352</v>
      </c>
      <c r="M231" s="8" t="s">
        <v>1054</v>
      </c>
      <c r="N231" s="8" t="s">
        <v>1613</v>
      </c>
      <c r="O231" s="8" t="s">
        <v>607</v>
      </c>
      <c r="P231" s="12" t="str">
        <f>IFERROR(IF(VLOOKUP(J231,SOURCE_REGISTRY!$A$2:$E$246,5,FALSE)="","",VLOOKUP(J231,SOURCE_REGISTRY!$A$2:$E$246,5,FALSE)),"")</f>
        <v/>
      </c>
      <c r="Q231" s="9" t="s">
        <v>1056</v>
      </c>
    </row>
    <row r="232" spans="1:17" ht="51" hidden="1" customHeight="1" outlineLevel="1" x14ac:dyDescent="0.25">
      <c r="A232" s="8" t="s">
        <v>1614</v>
      </c>
      <c r="B232" s="8" t="s">
        <v>1615</v>
      </c>
      <c r="C232" s="12" t="str">
        <f>IFERROR(VLOOKUP(B232,ENTITY_MASTER!$A$2:$B$266,2,FALSE),"")</f>
        <v>Walvax Biotechnology Co Ltd</v>
      </c>
      <c r="D232" s="8" t="s">
        <v>344</v>
      </c>
      <c r="E232" s="8" t="s">
        <v>1254</v>
      </c>
      <c r="F232" s="13" t="s">
        <v>372</v>
      </c>
      <c r="G232" s="13" t="s">
        <v>372</v>
      </c>
      <c r="H232" s="8" t="s">
        <v>409</v>
      </c>
      <c r="I232" s="8" t="s">
        <v>1616</v>
      </c>
      <c r="J232" s="8" t="s">
        <v>1053</v>
      </c>
      <c r="K232" s="9" t="s">
        <v>954</v>
      </c>
      <c r="L232" s="9" t="s">
        <v>352</v>
      </c>
      <c r="M232" s="8" t="s">
        <v>1054</v>
      </c>
      <c r="N232" s="8" t="s">
        <v>1617</v>
      </c>
      <c r="O232" s="8" t="s">
        <v>607</v>
      </c>
      <c r="P232" s="12" t="str">
        <f>IFERROR(IF(VLOOKUP(J232,SOURCE_REGISTRY!$A$2:$E$246,5,FALSE)="","",VLOOKUP(J232,SOURCE_REGISTRY!$A$2:$E$246,5,FALSE)),"")</f>
        <v/>
      </c>
      <c r="Q232" s="9" t="s">
        <v>1056</v>
      </c>
    </row>
    <row r="233" spans="1:17" ht="51" hidden="1" customHeight="1" outlineLevel="1" x14ac:dyDescent="0.25">
      <c r="A233" s="8" t="s">
        <v>1618</v>
      </c>
      <c r="B233" s="8" t="s">
        <v>1619</v>
      </c>
      <c r="C233" s="12" t="str">
        <f>IFERROR(VLOOKUP(B233,ENTITY_MASTER!$A$2:$B$266,2,FALSE),"")</f>
        <v>WestVac Biopharma Co Ltd</v>
      </c>
      <c r="D233" s="8" t="s">
        <v>344</v>
      </c>
      <c r="E233" s="8" t="s">
        <v>950</v>
      </c>
      <c r="F233" s="13" t="s">
        <v>372</v>
      </c>
      <c r="G233" s="13" t="s">
        <v>372</v>
      </c>
      <c r="H233" s="8" t="s">
        <v>409</v>
      </c>
      <c r="I233" s="8" t="s">
        <v>1620</v>
      </c>
      <c r="J233" s="8" t="s">
        <v>1053</v>
      </c>
      <c r="K233" s="9" t="s">
        <v>954</v>
      </c>
      <c r="L233" s="9" t="s">
        <v>352</v>
      </c>
      <c r="M233" s="8" t="s">
        <v>1054</v>
      </c>
      <c r="N233" s="8" t="s">
        <v>1621</v>
      </c>
      <c r="O233" s="8" t="s">
        <v>607</v>
      </c>
      <c r="P233" s="12" t="str">
        <f>IFERROR(IF(VLOOKUP(J233,SOURCE_REGISTRY!$A$2:$E$246,5,FALSE)="","",VLOOKUP(J233,SOURCE_REGISTRY!$A$2:$E$246,5,FALSE)),"")</f>
        <v/>
      </c>
      <c r="Q233" s="9" t="s">
        <v>1056</v>
      </c>
    </row>
    <row r="234" spans="1:17" ht="51" hidden="1" customHeight="1" outlineLevel="1" x14ac:dyDescent="0.25">
      <c r="A234" s="8" t="s">
        <v>1622</v>
      </c>
      <c r="B234" s="8" t="s">
        <v>1623</v>
      </c>
      <c r="C234" s="12" t="str">
        <f>IFERROR(VLOOKUP(B234,ENTITY_MASTER!$A$2:$B$266,2,FALSE),"")</f>
        <v>ImmunityBio Inc</v>
      </c>
      <c r="D234" s="8" t="s">
        <v>344</v>
      </c>
      <c r="E234" s="8" t="s">
        <v>1624</v>
      </c>
      <c r="F234" s="13" t="s">
        <v>372</v>
      </c>
      <c r="G234" s="13" t="s">
        <v>372</v>
      </c>
      <c r="H234" s="13" t="s">
        <v>372</v>
      </c>
      <c r="I234" s="8" t="s">
        <v>1625</v>
      </c>
      <c r="J234" s="8" t="s">
        <v>1053</v>
      </c>
      <c r="K234" s="9" t="s">
        <v>954</v>
      </c>
      <c r="L234" s="9" t="s">
        <v>352</v>
      </c>
      <c r="M234" s="8" t="s">
        <v>1054</v>
      </c>
      <c r="N234" s="8" t="s">
        <v>1626</v>
      </c>
      <c r="O234" s="8" t="s">
        <v>607</v>
      </c>
      <c r="P234" s="12" t="str">
        <f>IFERROR(IF(VLOOKUP(J234,SOURCE_REGISTRY!$A$2:$E$246,5,FALSE)="","",VLOOKUP(J234,SOURCE_REGISTRY!$A$2:$E$246,5,FALSE)),"")</f>
        <v/>
      </c>
      <c r="Q234" s="9" t="s">
        <v>1056</v>
      </c>
    </row>
    <row r="235" spans="1:17" ht="51" hidden="1" customHeight="1" outlineLevel="1" x14ac:dyDescent="0.25">
      <c r="A235" s="8" t="s">
        <v>1627</v>
      </c>
      <c r="B235" s="8" t="s">
        <v>1628</v>
      </c>
      <c r="C235" s="12" t="str">
        <f>IFERROR(VLOOKUP(B235,ENTITY_MASTER!$A$2:$B$266,2,FALSE),"")</f>
        <v>Grand Theravac Life Sciences (Nanjing) Co Ltd</v>
      </c>
      <c r="D235" s="8" t="s">
        <v>344</v>
      </c>
      <c r="E235" s="8" t="s">
        <v>1629</v>
      </c>
      <c r="F235" s="13" t="s">
        <v>372</v>
      </c>
      <c r="G235" s="13" t="s">
        <v>372</v>
      </c>
      <c r="H235" s="8" t="s">
        <v>409</v>
      </c>
      <c r="I235" s="8" t="s">
        <v>1630</v>
      </c>
      <c r="J235" s="8" t="s">
        <v>1053</v>
      </c>
      <c r="K235" s="9" t="s">
        <v>954</v>
      </c>
      <c r="L235" s="9" t="s">
        <v>352</v>
      </c>
      <c r="M235" s="8" t="s">
        <v>1054</v>
      </c>
      <c r="N235" s="8" t="s">
        <v>1631</v>
      </c>
      <c r="O235" s="8" t="s">
        <v>607</v>
      </c>
      <c r="P235" s="12" t="str">
        <f>IFERROR(IF(VLOOKUP(J235,SOURCE_REGISTRY!$A$2:$E$246,5,FALSE)="","",VLOOKUP(J235,SOURCE_REGISTRY!$A$2:$E$246,5,FALSE)),"")</f>
        <v/>
      </c>
      <c r="Q235" s="9" t="s">
        <v>1056</v>
      </c>
    </row>
    <row r="236" spans="1:17" ht="51" hidden="1" customHeight="1" outlineLevel="1" x14ac:dyDescent="0.25">
      <c r="A236" s="8" t="s">
        <v>1632</v>
      </c>
      <c r="B236" s="8" t="s">
        <v>1633</v>
      </c>
      <c r="C236" s="12" t="str">
        <f>IFERROR(VLOOKUP(B236,ENTITY_MASTER!$A$2:$B$266,2,FALSE),"")</f>
        <v>KARE Biosciences Inc</v>
      </c>
      <c r="D236" s="8" t="s">
        <v>344</v>
      </c>
      <c r="E236" s="8" t="s">
        <v>1634</v>
      </c>
      <c r="F236" s="13" t="s">
        <v>372</v>
      </c>
      <c r="G236" s="13" t="s">
        <v>372</v>
      </c>
      <c r="H236" s="13" t="s">
        <v>372</v>
      </c>
      <c r="I236" s="8" t="s">
        <v>1635</v>
      </c>
      <c r="J236" s="8" t="s">
        <v>1053</v>
      </c>
      <c r="K236" s="9" t="s">
        <v>954</v>
      </c>
      <c r="L236" s="9" t="s">
        <v>352</v>
      </c>
      <c r="M236" s="8" t="s">
        <v>1054</v>
      </c>
      <c r="N236" s="8" t="s">
        <v>1636</v>
      </c>
      <c r="O236" s="8" t="s">
        <v>607</v>
      </c>
      <c r="P236" s="12" t="str">
        <f>IFERROR(IF(VLOOKUP(J236,SOURCE_REGISTRY!$A$2:$E$246,5,FALSE)="","",VLOOKUP(J236,SOURCE_REGISTRY!$A$2:$E$246,5,FALSE)),"")</f>
        <v/>
      </c>
      <c r="Q236" s="9" t="s">
        <v>1056</v>
      </c>
    </row>
    <row r="237" spans="1:17" ht="51" hidden="1" customHeight="1" outlineLevel="1" x14ac:dyDescent="0.25">
      <c r="A237" s="8" t="s">
        <v>1637</v>
      </c>
      <c r="B237" s="8" t="s">
        <v>1638</v>
      </c>
      <c r="C237" s="12" t="str">
        <f>IFERROR(VLOOKUP(B237,ENTITY_MASTER!$A$2:$B$266,2,FALSE),"")</f>
        <v>Thirty Respiratory Ltd</v>
      </c>
      <c r="D237" s="8" t="s">
        <v>344</v>
      </c>
      <c r="E237" s="8" t="s">
        <v>1012</v>
      </c>
      <c r="F237" s="13" t="s">
        <v>372</v>
      </c>
      <c r="G237" s="13" t="s">
        <v>372</v>
      </c>
      <c r="H237" s="13" t="s">
        <v>372</v>
      </c>
      <c r="I237" s="8" t="s">
        <v>1639</v>
      </c>
      <c r="J237" s="8" t="s">
        <v>1053</v>
      </c>
      <c r="K237" s="9" t="s">
        <v>954</v>
      </c>
      <c r="L237" s="9" t="s">
        <v>352</v>
      </c>
      <c r="M237" s="8" t="s">
        <v>1054</v>
      </c>
      <c r="N237" s="8" t="s">
        <v>1640</v>
      </c>
      <c r="O237" s="8" t="s">
        <v>607</v>
      </c>
      <c r="P237" s="12" t="str">
        <f>IFERROR(IF(VLOOKUP(J237,SOURCE_REGISTRY!$A$2:$E$246,5,FALSE)="","",VLOOKUP(J237,SOURCE_REGISTRY!$A$2:$E$246,5,FALSE)),"")</f>
        <v/>
      </c>
      <c r="Q237" s="9" t="s">
        <v>1056</v>
      </c>
    </row>
    <row r="238" spans="1:17" ht="51" hidden="1" customHeight="1" outlineLevel="1" x14ac:dyDescent="0.25">
      <c r="A238" s="8" t="s">
        <v>1641</v>
      </c>
      <c r="B238" s="8" t="s">
        <v>1642</v>
      </c>
      <c r="C238" s="12" t="str">
        <f>IFERROR(VLOOKUP(B238,ENTITY_MASTER!$A$2:$B$266,2,FALSE),"")</f>
        <v>Yisheng Biopharma Co Ltd</v>
      </c>
      <c r="D238" s="8" t="s">
        <v>344</v>
      </c>
      <c r="E238" s="8" t="s">
        <v>614</v>
      </c>
      <c r="F238" s="13" t="s">
        <v>372</v>
      </c>
      <c r="G238" s="13" t="s">
        <v>372</v>
      </c>
      <c r="H238" s="8" t="s">
        <v>409</v>
      </c>
      <c r="I238" s="8" t="s">
        <v>1643</v>
      </c>
      <c r="J238" s="8" t="s">
        <v>1053</v>
      </c>
      <c r="K238" s="9" t="s">
        <v>954</v>
      </c>
      <c r="L238" s="9" t="s">
        <v>352</v>
      </c>
      <c r="M238" s="8" t="s">
        <v>1054</v>
      </c>
      <c r="N238" s="8" t="s">
        <v>1644</v>
      </c>
      <c r="O238" s="8" t="s">
        <v>607</v>
      </c>
      <c r="P238" s="12" t="str">
        <f>IFERROR(IF(VLOOKUP(J238,SOURCE_REGISTRY!$A$2:$E$246,5,FALSE)="","",VLOOKUP(J238,SOURCE_REGISTRY!$A$2:$E$246,5,FALSE)),"")</f>
        <v/>
      </c>
      <c r="Q238" s="9" t="s">
        <v>1056</v>
      </c>
    </row>
    <row r="239" spans="1:17" ht="51" hidden="1" customHeight="1" outlineLevel="1" x14ac:dyDescent="0.25">
      <c r="A239" s="8" t="s">
        <v>1645</v>
      </c>
      <c r="B239" s="8" t="s">
        <v>1646</v>
      </c>
      <c r="C239" s="12" t="str">
        <f>IFERROR(VLOOKUP(B239,ENTITY_MASTER!$A$2:$B$266,2,FALSE),"")</f>
        <v>A&amp;J Science</v>
      </c>
      <c r="D239" s="8" t="s">
        <v>344</v>
      </c>
      <c r="E239" s="8" t="s">
        <v>1012</v>
      </c>
      <c r="F239" s="13" t="s">
        <v>372</v>
      </c>
      <c r="G239" s="13" t="s">
        <v>372</v>
      </c>
      <c r="H239" s="13" t="s">
        <v>372</v>
      </c>
      <c r="I239" s="8" t="s">
        <v>1647</v>
      </c>
      <c r="J239" s="8" t="s">
        <v>1053</v>
      </c>
      <c r="K239" s="9" t="s">
        <v>954</v>
      </c>
      <c r="L239" s="9" t="s">
        <v>352</v>
      </c>
      <c r="M239" s="8" t="s">
        <v>1054</v>
      </c>
      <c r="N239" s="8" t="s">
        <v>1648</v>
      </c>
      <c r="O239" s="8" t="s">
        <v>607</v>
      </c>
      <c r="P239" s="12" t="str">
        <f>IFERROR(IF(VLOOKUP(J239,SOURCE_REGISTRY!$A$2:$E$246,5,FALSE)="","",VLOOKUP(J239,SOURCE_REGISTRY!$A$2:$E$246,5,FALSE)),"")</f>
        <v/>
      </c>
      <c r="Q239" s="9" t="s">
        <v>1056</v>
      </c>
    </row>
    <row r="240" spans="1:17" ht="51" hidden="1" customHeight="1" outlineLevel="1" x14ac:dyDescent="0.25">
      <c r="A240" s="8" t="s">
        <v>1649</v>
      </c>
      <c r="B240" s="8" t="s">
        <v>1650</v>
      </c>
      <c r="C240" s="12" t="str">
        <f>IFERROR(VLOOKUP(B240,ENTITY_MASTER!$A$2:$B$266,2,FALSE),"")</f>
        <v>Qurient Co Ltd</v>
      </c>
      <c r="D240" s="8" t="s">
        <v>344</v>
      </c>
      <c r="E240" s="8" t="s">
        <v>1087</v>
      </c>
      <c r="F240" s="13" t="s">
        <v>372</v>
      </c>
      <c r="G240" s="13" t="s">
        <v>372</v>
      </c>
      <c r="H240" s="13" t="s">
        <v>372</v>
      </c>
      <c r="I240" s="8" t="s">
        <v>1651</v>
      </c>
      <c r="J240" s="8" t="s">
        <v>1053</v>
      </c>
      <c r="K240" s="9" t="s">
        <v>954</v>
      </c>
      <c r="L240" s="9" t="s">
        <v>352</v>
      </c>
      <c r="M240" s="8" t="s">
        <v>1054</v>
      </c>
      <c r="N240" s="8" t="s">
        <v>1652</v>
      </c>
      <c r="O240" s="8" t="s">
        <v>607</v>
      </c>
      <c r="P240" s="12" t="str">
        <f>IFERROR(IF(VLOOKUP(J240,SOURCE_REGISTRY!$A$2:$E$246,5,FALSE)="","",VLOOKUP(J240,SOURCE_REGISTRY!$A$2:$E$246,5,FALSE)),"")</f>
        <v/>
      </c>
      <c r="Q240" s="9" t="s">
        <v>1056</v>
      </c>
    </row>
    <row r="241" spans="1:17" ht="51" hidden="1" customHeight="1" outlineLevel="1" x14ac:dyDescent="0.25">
      <c r="A241" s="8" t="s">
        <v>1653</v>
      </c>
      <c r="B241" s="8" t="s">
        <v>1654</v>
      </c>
      <c r="C241" s="12" t="str">
        <f>IFERROR(VLOOKUP(B241,ENTITY_MASTER!$A$2:$B$266,2,FALSE),"")</f>
        <v>Livzon Pharmaceutical Group Inc</v>
      </c>
      <c r="D241" s="8" t="s">
        <v>344</v>
      </c>
      <c r="E241" s="8" t="s">
        <v>1244</v>
      </c>
      <c r="F241" s="13" t="s">
        <v>372</v>
      </c>
      <c r="G241" s="13" t="s">
        <v>372</v>
      </c>
      <c r="H241" s="8" t="s">
        <v>409</v>
      </c>
      <c r="I241" s="8" t="s">
        <v>1655</v>
      </c>
      <c r="J241" s="8" t="s">
        <v>1053</v>
      </c>
      <c r="K241" s="9" t="s">
        <v>954</v>
      </c>
      <c r="L241" s="9" t="s">
        <v>352</v>
      </c>
      <c r="M241" s="8" t="s">
        <v>1054</v>
      </c>
      <c r="N241" s="8" t="s">
        <v>1656</v>
      </c>
      <c r="O241" s="8" t="s">
        <v>607</v>
      </c>
      <c r="P241" s="12" t="str">
        <f>IFERROR(IF(VLOOKUP(J241,SOURCE_REGISTRY!$A$2:$E$246,5,FALSE)="","",VLOOKUP(J241,SOURCE_REGISTRY!$A$2:$E$246,5,FALSE)),"")</f>
        <v/>
      </c>
      <c r="Q241" s="9" t="s">
        <v>1056</v>
      </c>
    </row>
    <row r="242" spans="1:17" ht="51" hidden="1" customHeight="1" outlineLevel="1" x14ac:dyDescent="0.25">
      <c r="A242" s="8" t="s">
        <v>1657</v>
      </c>
      <c r="B242" s="8" t="s">
        <v>1658</v>
      </c>
      <c r="C242" s="12" t="str">
        <f>IFERROR(VLOOKUP(B242,ENTITY_MASTER!$A$2:$B$266,2,FALSE),"")</f>
        <v>MedinCell SA</v>
      </c>
      <c r="D242" s="8" t="s">
        <v>344</v>
      </c>
      <c r="E242" s="8" t="s">
        <v>1012</v>
      </c>
      <c r="F242" s="13" t="s">
        <v>372</v>
      </c>
      <c r="G242" s="13" t="s">
        <v>372</v>
      </c>
      <c r="H242" s="13" t="s">
        <v>372</v>
      </c>
      <c r="I242" s="8" t="s">
        <v>1659</v>
      </c>
      <c r="J242" s="8" t="s">
        <v>1053</v>
      </c>
      <c r="K242" s="9" t="s">
        <v>954</v>
      </c>
      <c r="L242" s="9" t="s">
        <v>352</v>
      </c>
      <c r="M242" s="8" t="s">
        <v>1054</v>
      </c>
      <c r="N242" s="8" t="s">
        <v>1660</v>
      </c>
      <c r="O242" s="8" t="s">
        <v>607</v>
      </c>
      <c r="P242" s="12" t="str">
        <f>IFERROR(IF(VLOOKUP(J242,SOURCE_REGISTRY!$A$2:$E$246,5,FALSE)="","",VLOOKUP(J242,SOURCE_REGISTRY!$A$2:$E$246,5,FALSE)),"")</f>
        <v/>
      </c>
      <c r="Q242" s="9" t="s">
        <v>1056</v>
      </c>
    </row>
    <row r="243" spans="1:17" ht="51" hidden="1" customHeight="1" outlineLevel="1" x14ac:dyDescent="0.25">
      <c r="A243" s="8" t="s">
        <v>1661</v>
      </c>
      <c r="B243" s="8" t="s">
        <v>1662</v>
      </c>
      <c r="C243" s="12" t="str">
        <f>IFERROR(VLOOKUP(B243,ENTITY_MASTER!$A$2:$B$266,2,FALSE),"")</f>
        <v>YouCare Pharmaceutical Group Co Ltd</v>
      </c>
      <c r="D243" s="8" t="s">
        <v>344</v>
      </c>
      <c r="E243" s="8" t="s">
        <v>1189</v>
      </c>
      <c r="F243" s="13" t="s">
        <v>372</v>
      </c>
      <c r="G243" s="13" t="s">
        <v>372</v>
      </c>
      <c r="H243" s="13" t="s">
        <v>372</v>
      </c>
      <c r="I243" s="8" t="s">
        <v>1663</v>
      </c>
      <c r="J243" s="8" t="s">
        <v>1053</v>
      </c>
      <c r="K243" s="9" t="s">
        <v>954</v>
      </c>
      <c r="L243" s="9" t="s">
        <v>352</v>
      </c>
      <c r="M243" s="8" t="s">
        <v>1054</v>
      </c>
      <c r="N243" s="8" t="s">
        <v>1664</v>
      </c>
      <c r="O243" s="8" t="s">
        <v>607</v>
      </c>
      <c r="P243" s="12" t="str">
        <f>IFERROR(IF(VLOOKUP(J243,SOURCE_REGISTRY!$A$2:$E$246,5,FALSE)="","",VLOOKUP(J243,SOURCE_REGISTRY!$A$2:$E$246,5,FALSE)),"")</f>
        <v/>
      </c>
      <c r="Q243" s="9" t="s">
        <v>1056</v>
      </c>
    </row>
    <row r="244" spans="1:17" ht="51" hidden="1" customHeight="1" outlineLevel="1" x14ac:dyDescent="0.25">
      <c r="A244" s="8" t="s">
        <v>1665</v>
      </c>
      <c r="B244" s="8" t="s">
        <v>1666</v>
      </c>
      <c r="C244" s="12" t="str">
        <f>IFERROR(VLOOKUP(B244,ENTITY_MASTER!$A$2:$B$266,2,FALSE),"")</f>
        <v>VaxForm LLC</v>
      </c>
      <c r="D244" s="8" t="s">
        <v>344</v>
      </c>
      <c r="E244" s="8" t="s">
        <v>950</v>
      </c>
      <c r="F244" s="13" t="s">
        <v>372</v>
      </c>
      <c r="G244" s="13" t="s">
        <v>372</v>
      </c>
      <c r="H244" s="8" t="s">
        <v>409</v>
      </c>
      <c r="I244" s="8" t="s">
        <v>1667</v>
      </c>
      <c r="J244" s="8" t="s">
        <v>1053</v>
      </c>
      <c r="K244" s="9" t="s">
        <v>954</v>
      </c>
      <c r="L244" s="9" t="s">
        <v>352</v>
      </c>
      <c r="M244" s="8" t="s">
        <v>1054</v>
      </c>
      <c r="N244" s="8" t="s">
        <v>1668</v>
      </c>
      <c r="O244" s="8" t="s">
        <v>607</v>
      </c>
      <c r="P244" s="12" t="str">
        <f>IFERROR(IF(VLOOKUP(J244,SOURCE_REGISTRY!$A$2:$E$246,5,FALSE)="","",VLOOKUP(J244,SOURCE_REGISTRY!$A$2:$E$246,5,FALSE)),"")</f>
        <v/>
      </c>
      <c r="Q244" s="9" t="s">
        <v>1056</v>
      </c>
    </row>
    <row r="245" spans="1:17" ht="51" hidden="1" customHeight="1" outlineLevel="1" x14ac:dyDescent="0.25">
      <c r="A245" s="8" t="s">
        <v>1669</v>
      </c>
      <c r="B245" s="8" t="s">
        <v>1670</v>
      </c>
      <c r="C245" s="12" t="str">
        <f>IFERROR(VLOOKUP(B245,ENTITY_MASTER!$A$2:$B$266,2,FALSE),"")</f>
        <v>Immorna Hangzhou Biotechnology Co Ltd</v>
      </c>
      <c r="D245" s="8" t="s">
        <v>344</v>
      </c>
      <c r="E245" s="8" t="s">
        <v>1254</v>
      </c>
      <c r="F245" s="13" t="s">
        <v>372</v>
      </c>
      <c r="G245" s="13" t="s">
        <v>372</v>
      </c>
      <c r="H245" s="13" t="s">
        <v>372</v>
      </c>
      <c r="I245" s="8" t="s">
        <v>1671</v>
      </c>
      <c r="J245" s="8" t="s">
        <v>1053</v>
      </c>
      <c r="K245" s="9" t="s">
        <v>954</v>
      </c>
      <c r="L245" s="9" t="s">
        <v>352</v>
      </c>
      <c r="M245" s="8" t="s">
        <v>1054</v>
      </c>
      <c r="N245" s="8" t="s">
        <v>1672</v>
      </c>
      <c r="O245" s="8" t="s">
        <v>607</v>
      </c>
      <c r="P245" s="12" t="str">
        <f>IFERROR(IF(VLOOKUP(J245,SOURCE_REGISTRY!$A$2:$E$246,5,FALSE)="","",VLOOKUP(J245,SOURCE_REGISTRY!$A$2:$E$246,5,FALSE)),"")</f>
        <v/>
      </c>
      <c r="Q245" s="9" t="s">
        <v>1056</v>
      </c>
    </row>
  </sheetData>
  <dataValidations count="3">
    <dataValidation type="list" showErrorMessage="1" errorTitle="Controlled value required" error="Select a defined value; do not invent a tag." sqref="K2:K500" xr:uid="{00000000-0002-0000-0400-000000000000}">
      <formula1>"P0,P1,P2,P3"</formula1>
    </dataValidation>
    <dataValidation type="list" showErrorMessage="1" errorTitle="Controlled value required" error="Select a defined value; do not invent a tag." sqref="Q2:Q500" xr:uid="{00000000-0002-0000-0400-000001000000}">
      <formula1>"CORE,CONDITIONAL,DISCOVERY,PAUSED"</formula1>
    </dataValidation>
    <dataValidation type="list" showErrorMessage="1" errorTitle="Controlled value required" error="Select a defined value; do not invent a tag." sqref="L2:L500" xr:uid="{00000000-0002-0000-04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E8B"/>
    <outlinePr summaryBelow="0" summaryRight="0"/>
    <pageSetUpPr fitToPage="1"/>
  </sheetPr>
  <dimension ref="A1:P6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1678</v>
      </c>
      <c r="B2" s="8" t="s">
        <v>1679</v>
      </c>
      <c r="C2" s="8" t="s">
        <v>1680</v>
      </c>
      <c r="D2" s="8" t="s">
        <v>1681</v>
      </c>
      <c r="E2" s="8" t="s">
        <v>438</v>
      </c>
      <c r="F2" s="8" t="s">
        <v>438</v>
      </c>
      <c r="G2" s="8" t="s">
        <v>438</v>
      </c>
      <c r="H2" s="8" t="s">
        <v>1682</v>
      </c>
      <c r="I2" s="8" t="s">
        <v>84</v>
      </c>
      <c r="J2" s="8" t="s">
        <v>1683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https://clinicaltrials.gov/data-api/api</v>
      </c>
      <c r="P2" s="8" t="s">
        <v>1686</v>
      </c>
    </row>
    <row r="3" spans="1:16" ht="36.950000000000003" customHeight="1" x14ac:dyDescent="0.25">
      <c r="A3" s="8" t="s">
        <v>1687</v>
      </c>
      <c r="B3" s="8" t="s">
        <v>1688</v>
      </c>
      <c r="C3" s="8" t="s">
        <v>1680</v>
      </c>
      <c r="D3" s="8" t="s">
        <v>1689</v>
      </c>
      <c r="E3" s="8" t="s">
        <v>438</v>
      </c>
      <c r="F3" s="8" t="s">
        <v>438</v>
      </c>
      <c r="G3" s="8" t="s">
        <v>438</v>
      </c>
      <c r="H3" s="8" t="s">
        <v>1690</v>
      </c>
      <c r="I3" s="8" t="s">
        <v>84</v>
      </c>
      <c r="J3" s="8" t="s">
        <v>1691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https://euclinicaltrials.eu/</v>
      </c>
      <c r="P3" s="8" t="s">
        <v>1692</v>
      </c>
    </row>
    <row r="4" spans="1:16" ht="36.950000000000003" customHeight="1" x14ac:dyDescent="0.25">
      <c r="A4" s="8" t="s">
        <v>1693</v>
      </c>
      <c r="B4" s="8" t="s">
        <v>1694</v>
      </c>
      <c r="C4" s="8" t="s">
        <v>1680</v>
      </c>
      <c r="D4" s="8" t="s">
        <v>1695</v>
      </c>
      <c r="E4" s="8" t="s">
        <v>438</v>
      </c>
      <c r="F4" s="8" t="s">
        <v>438</v>
      </c>
      <c r="G4" s="8" t="s">
        <v>438</v>
      </c>
      <c r="H4" s="8" t="s">
        <v>1682</v>
      </c>
      <c r="I4" s="8" t="s">
        <v>84</v>
      </c>
      <c r="J4" s="8" t="s">
        <v>1696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https://trialsearch.who.int/</v>
      </c>
      <c r="P4" s="8" t="s">
        <v>1697</v>
      </c>
    </row>
    <row r="5" spans="1:16" ht="36.950000000000003" customHeight="1" x14ac:dyDescent="0.25">
      <c r="A5" s="8" t="s">
        <v>1698</v>
      </c>
      <c r="B5" s="8" t="s">
        <v>1699</v>
      </c>
      <c r="C5" s="8" t="s">
        <v>1700</v>
      </c>
      <c r="D5" s="8" t="s">
        <v>1701</v>
      </c>
      <c r="E5" s="8" t="s">
        <v>438</v>
      </c>
      <c r="F5" s="8" t="s">
        <v>438</v>
      </c>
      <c r="G5" s="8" t="s">
        <v>438</v>
      </c>
      <c r="H5" s="8" t="s">
        <v>438</v>
      </c>
      <c r="I5" s="8" t="s">
        <v>84</v>
      </c>
      <c r="J5" s="8" t="s">
        <v>1702</v>
      </c>
      <c r="K5" s="9" t="s">
        <v>1703</v>
      </c>
      <c r="L5" s="9" t="s">
        <v>356</v>
      </c>
      <c r="M5" s="9" t="s">
        <v>352</v>
      </c>
      <c r="N5" s="15" t="s">
        <v>1685</v>
      </c>
      <c r="O5" s="12" t="str">
        <f>IFERROR(IF(VLOOKUP(J5,SOURCE_REGISTRY!$A$2:$E$246,5,FALSE)="","",VLOOKUP(J5,SOURCE_REGISTRY!$A$2:$E$246,5,FALSE)),"")</f>
        <v>https://drks.de/search/de</v>
      </c>
      <c r="P5" s="8" t="s">
        <v>1704</v>
      </c>
    </row>
    <row r="6" spans="1:16" ht="36.950000000000003" customHeight="1" x14ac:dyDescent="0.25">
      <c r="A6" s="8" t="s">
        <v>1705</v>
      </c>
      <c r="B6" s="8" t="s">
        <v>1706</v>
      </c>
      <c r="C6" s="8" t="s">
        <v>1700</v>
      </c>
      <c r="D6" s="8" t="s">
        <v>1707</v>
      </c>
      <c r="E6" s="8" t="s">
        <v>438</v>
      </c>
      <c r="F6" s="8" t="s">
        <v>438</v>
      </c>
      <c r="G6" s="8" t="s">
        <v>438</v>
      </c>
      <c r="H6" s="8" t="s">
        <v>438</v>
      </c>
      <c r="I6" s="8" t="s">
        <v>84</v>
      </c>
      <c r="J6" s="8" t="s">
        <v>1708</v>
      </c>
      <c r="K6" s="9" t="s">
        <v>351</v>
      </c>
      <c r="L6" s="9" t="s">
        <v>356</v>
      </c>
      <c r="M6" s="9" t="s">
        <v>352</v>
      </c>
      <c r="N6" s="15" t="s">
        <v>1685</v>
      </c>
      <c r="O6" s="12" t="str">
        <f>IFERROR(IF(VLOOKUP(J6,SOURCE_REGISTRY!$A$2:$E$246,5,FALSE)="","",VLOOKUP(J6,SOURCE_REGISTRY!$A$2:$E$246,5,FALSE)),"")</f>
        <v>https://dt-hub.dzif.de/anwendungsfaelle</v>
      </c>
      <c r="P6" s="8" t="s">
        <v>1709</v>
      </c>
    </row>
  </sheetData>
  <dataValidations count="3">
    <dataValidation type="list" showErrorMessage="1" errorTitle="Controlled value required" error="Select a defined value; do not invent a tag." sqref="K2:K500" xr:uid="{00000000-0002-0000-0500-000000000000}">
      <formula1>"P0,P1,P2,P3"</formula1>
    </dataValidation>
    <dataValidation type="list" showErrorMessage="1" errorTitle="Controlled value required" error="Select a defined value; do not invent a tag." sqref="L2:L500" xr:uid="{00000000-0002-0000-05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5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7E8B"/>
    <outlinePr summaryBelow="0" summaryRight="0"/>
    <pageSetUpPr fitToPage="1"/>
  </sheetPr>
  <dimension ref="A1:P4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1710</v>
      </c>
      <c r="B2" s="8" t="s">
        <v>1711</v>
      </c>
      <c r="C2" s="8" t="s">
        <v>1680</v>
      </c>
      <c r="D2" s="8" t="s">
        <v>1712</v>
      </c>
      <c r="E2" s="8" t="s">
        <v>438</v>
      </c>
      <c r="F2" s="8" t="s">
        <v>438</v>
      </c>
      <c r="G2" s="8" t="s">
        <v>438</v>
      </c>
      <c r="H2" s="8" t="s">
        <v>1682</v>
      </c>
      <c r="I2" s="8" t="s">
        <v>90</v>
      </c>
      <c r="J2" s="8" t="s">
        <v>1713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https://pubmed.ncbi.nlm.nih.gov/</v>
      </c>
      <c r="P2" s="8" t="s">
        <v>1714</v>
      </c>
    </row>
    <row r="3" spans="1:16" ht="51" customHeight="1" x14ac:dyDescent="0.25">
      <c r="A3" s="8" t="s">
        <v>1715</v>
      </c>
      <c r="B3" s="8" t="s">
        <v>1716</v>
      </c>
      <c r="C3" s="8" t="s">
        <v>1680</v>
      </c>
      <c r="D3" s="8" t="s">
        <v>1712</v>
      </c>
      <c r="E3" s="8" t="s">
        <v>438</v>
      </c>
      <c r="F3" s="8" t="s">
        <v>438</v>
      </c>
      <c r="G3" s="8" t="s">
        <v>438</v>
      </c>
      <c r="H3" s="8" t="s">
        <v>1682</v>
      </c>
      <c r="I3" s="8" t="s">
        <v>90</v>
      </c>
      <c r="J3" s="8" t="s">
        <v>1717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https://europepmc.org/RestfulWebService</v>
      </c>
      <c r="P3" s="8" t="s">
        <v>1718</v>
      </c>
    </row>
    <row r="4" spans="1:16" ht="36.950000000000003" customHeight="1" x14ac:dyDescent="0.25">
      <c r="A4" s="8" t="s">
        <v>1719</v>
      </c>
      <c r="B4" s="8" t="s">
        <v>1720</v>
      </c>
      <c r="C4" s="8" t="s">
        <v>1700</v>
      </c>
      <c r="D4" s="8" t="s">
        <v>1721</v>
      </c>
      <c r="E4" s="8" t="s">
        <v>438</v>
      </c>
      <c r="F4" s="8" t="s">
        <v>438</v>
      </c>
      <c r="G4" s="8" t="s">
        <v>438</v>
      </c>
      <c r="H4" s="8" t="s">
        <v>438</v>
      </c>
      <c r="I4" s="8" t="s">
        <v>90</v>
      </c>
      <c r="J4" s="8" t="s">
        <v>1722</v>
      </c>
      <c r="K4" s="9" t="s">
        <v>351</v>
      </c>
      <c r="L4" s="9" t="s">
        <v>356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https://cordis.europa.eu/projects</v>
      </c>
      <c r="P4" s="8" t="s">
        <v>1704</v>
      </c>
    </row>
  </sheetData>
  <dataValidations count="3">
    <dataValidation type="list" showErrorMessage="1" errorTitle="Controlled value required" error="Select a defined value; do not invent a tag." sqref="K2:K500" xr:uid="{00000000-0002-0000-0600-000000000000}">
      <formula1>"P0,P1,P2,P3"</formula1>
    </dataValidation>
    <dataValidation type="list" showErrorMessage="1" errorTitle="Controlled value required" error="Select a defined value; do not invent a tag." sqref="L2:L500" xr:uid="{00000000-0002-0000-06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6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7E8B"/>
    <outlinePr summaryBelow="0" summaryRight="0"/>
    <pageSetUpPr fitToPage="1"/>
  </sheetPr>
  <dimension ref="A1:P11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51" customHeight="1" x14ac:dyDescent="0.25">
      <c r="A2" s="8" t="s">
        <v>1723</v>
      </c>
      <c r="B2" s="8" t="s">
        <v>1724</v>
      </c>
      <c r="C2" s="8" t="s">
        <v>1680</v>
      </c>
      <c r="D2" s="8" t="s">
        <v>1725</v>
      </c>
      <c r="E2" s="8" t="s">
        <v>438</v>
      </c>
      <c r="F2" s="8" t="s">
        <v>438</v>
      </c>
      <c r="G2" s="8" t="s">
        <v>438</v>
      </c>
      <c r="H2" s="8" t="s">
        <v>1690</v>
      </c>
      <c r="I2" s="8" t="s">
        <v>95</v>
      </c>
      <c r="J2" s="8" t="s">
        <v>1726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https://www.ema.europa.eu/en/human-regulatory-overview/research-development/scientific-guidelines-human-medicines</v>
      </c>
      <c r="P2" s="8" t="s">
        <v>1727</v>
      </c>
    </row>
    <row r="3" spans="1:16" ht="36.950000000000003" customHeight="1" x14ac:dyDescent="0.25">
      <c r="A3" s="8" t="s">
        <v>1728</v>
      </c>
      <c r="B3" s="8" t="s">
        <v>1729</v>
      </c>
      <c r="C3" s="8" t="s">
        <v>1680</v>
      </c>
      <c r="D3" s="8" t="s">
        <v>1730</v>
      </c>
      <c r="E3" s="8" t="s">
        <v>438</v>
      </c>
      <c r="F3" s="8" t="s">
        <v>438</v>
      </c>
      <c r="G3" s="8" t="s">
        <v>438</v>
      </c>
      <c r="H3" s="8" t="s">
        <v>1731</v>
      </c>
      <c r="I3" s="8" t="s">
        <v>95</v>
      </c>
      <c r="J3" s="8" t="s">
        <v>1732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https://www.fda.gov/regulatory-information/search-fda-guidance-documents</v>
      </c>
      <c r="P3" s="8" t="s">
        <v>1733</v>
      </c>
    </row>
    <row r="4" spans="1:16" ht="36.950000000000003" customHeight="1" x14ac:dyDescent="0.25">
      <c r="A4" s="8" t="s">
        <v>1734</v>
      </c>
      <c r="B4" s="8" t="s">
        <v>1735</v>
      </c>
      <c r="C4" s="8" t="s">
        <v>1680</v>
      </c>
      <c r="D4" s="8" t="s">
        <v>1736</v>
      </c>
      <c r="E4" s="8" t="s">
        <v>438</v>
      </c>
      <c r="F4" s="8" t="s">
        <v>438</v>
      </c>
      <c r="G4" s="8" t="s">
        <v>438</v>
      </c>
      <c r="H4" s="8" t="s">
        <v>1690</v>
      </c>
      <c r="I4" s="8" t="s">
        <v>95</v>
      </c>
      <c r="J4" s="8" t="s">
        <v>1737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https://www.ema.europa.eu/en/medicines</v>
      </c>
      <c r="P4" s="8" t="s">
        <v>1738</v>
      </c>
    </row>
    <row r="5" spans="1:16" ht="65.099999999999994" customHeight="1" x14ac:dyDescent="0.25">
      <c r="A5" s="8" t="s">
        <v>1739</v>
      </c>
      <c r="B5" s="8" t="s">
        <v>1740</v>
      </c>
      <c r="C5" s="8" t="s">
        <v>1680</v>
      </c>
      <c r="D5" s="8" t="s">
        <v>1741</v>
      </c>
      <c r="E5" s="8" t="s">
        <v>438</v>
      </c>
      <c r="F5" s="8" t="s">
        <v>438</v>
      </c>
      <c r="G5" s="8" t="s">
        <v>1742</v>
      </c>
      <c r="H5" s="8" t="s">
        <v>1690</v>
      </c>
      <c r="I5" s="8" t="s">
        <v>95</v>
      </c>
      <c r="J5" s="8" t="s">
        <v>1743</v>
      </c>
      <c r="K5" s="9" t="s">
        <v>351</v>
      </c>
      <c r="L5" s="9" t="s">
        <v>356</v>
      </c>
      <c r="M5" s="9" t="s">
        <v>352</v>
      </c>
      <c r="N5" s="15" t="s">
        <v>1685</v>
      </c>
      <c r="O5" s="12" t="str">
        <f>IFERROR(IF(VLOOKUP(J5,SOURCE_REGISTRY!$A$2:$E$246,5,FALSE)="","",VLOOKUP(J5,SOURCE_REGISTRY!$A$2:$E$246,5,FALSE)),"")</f>
        <v>https://www.ema.europa.eu/en/scientific-guidelines/guideline-quality-non-clinical-clinical-requirements-investigational-advanced-therapy-medicinal-products-clinical-trials</v>
      </c>
      <c r="P5" s="8" t="s">
        <v>1744</v>
      </c>
    </row>
    <row r="6" spans="1:16" ht="36.950000000000003" customHeight="1" x14ac:dyDescent="0.25">
      <c r="A6" s="8" t="s">
        <v>1745</v>
      </c>
      <c r="B6" s="8" t="s">
        <v>1746</v>
      </c>
      <c r="C6" s="8" t="s">
        <v>1680</v>
      </c>
      <c r="D6" s="8" t="s">
        <v>1747</v>
      </c>
      <c r="E6" s="8" t="s">
        <v>438</v>
      </c>
      <c r="F6" s="8" t="s">
        <v>438</v>
      </c>
      <c r="G6" s="8" t="s">
        <v>1742</v>
      </c>
      <c r="H6" s="8" t="s">
        <v>1731</v>
      </c>
      <c r="I6" s="8" t="s">
        <v>95</v>
      </c>
      <c r="J6" s="8" t="s">
        <v>1748</v>
      </c>
      <c r="K6" s="9" t="s">
        <v>351</v>
      </c>
      <c r="L6" s="9" t="s">
        <v>356</v>
      </c>
      <c r="M6" s="9" t="s">
        <v>352</v>
      </c>
      <c r="N6" s="15" t="s">
        <v>1685</v>
      </c>
      <c r="O6" s="12" t="str">
        <f>IFERROR(IF(VLOOKUP(J6,SOURCE_REGISTRY!$A$2:$E$246,5,FALSE)="","",VLOOKUP(J6,SOURCE_REGISTRY!$A$2:$E$246,5,FALSE)),"")</f>
        <v>https://www.fda.gov/vaccines-blood-biologics/biologics-guidances/cellular-gene-therapy-guidances</v>
      </c>
      <c r="P6" s="8" t="s">
        <v>1749</v>
      </c>
    </row>
    <row r="7" spans="1:16" ht="51" customHeight="1" x14ac:dyDescent="0.25">
      <c r="A7" s="8" t="s">
        <v>1750</v>
      </c>
      <c r="B7" s="8" t="s">
        <v>1751</v>
      </c>
      <c r="C7" s="8" t="s">
        <v>1680</v>
      </c>
      <c r="D7" s="8" t="s">
        <v>1752</v>
      </c>
      <c r="E7" s="8" t="s">
        <v>438</v>
      </c>
      <c r="F7" s="8" t="s">
        <v>438</v>
      </c>
      <c r="G7" s="8" t="s">
        <v>1753</v>
      </c>
      <c r="H7" s="8" t="s">
        <v>1754</v>
      </c>
      <c r="I7" s="8" t="s">
        <v>95</v>
      </c>
      <c r="J7" s="8" t="s">
        <v>1755</v>
      </c>
      <c r="K7" s="9" t="s">
        <v>351</v>
      </c>
      <c r="L7" s="9" t="s">
        <v>356</v>
      </c>
      <c r="M7" s="9" t="s">
        <v>352</v>
      </c>
      <c r="N7" s="15" t="s">
        <v>1685</v>
      </c>
      <c r="O7" s="12" t="str">
        <f>IFERROR(IF(VLOOKUP(J7,SOURCE_REGISTRY!$A$2:$E$246,5,FALSE)="","",VLOOKUP(J7,SOURCE_REGISTRY!$A$2:$E$246,5,FALSE)),"")</f>
        <v>https://www.pei.de/EN/regulation/regulation-node.html</v>
      </c>
      <c r="P7" s="8" t="s">
        <v>1756</v>
      </c>
    </row>
    <row r="8" spans="1:16" ht="36.950000000000003" customHeight="1" x14ac:dyDescent="0.25">
      <c r="A8" s="8" t="s">
        <v>1757</v>
      </c>
      <c r="B8" s="8" t="s">
        <v>1758</v>
      </c>
      <c r="C8" s="8" t="s">
        <v>1680</v>
      </c>
      <c r="D8" s="8" t="s">
        <v>1759</v>
      </c>
      <c r="E8" s="8" t="s">
        <v>438</v>
      </c>
      <c r="F8" s="8" t="s">
        <v>438</v>
      </c>
      <c r="G8" s="8" t="s">
        <v>382</v>
      </c>
      <c r="H8" s="8" t="s">
        <v>1690</v>
      </c>
      <c r="I8" s="8" t="s">
        <v>95</v>
      </c>
      <c r="J8" s="8" t="s">
        <v>1760</v>
      </c>
      <c r="K8" s="9" t="s">
        <v>351</v>
      </c>
      <c r="L8" s="9" t="s">
        <v>356</v>
      </c>
      <c r="M8" s="9" t="s">
        <v>352</v>
      </c>
      <c r="N8" s="15" t="s">
        <v>1685</v>
      </c>
      <c r="O8" s="12" t="str">
        <f>IFERROR(IF(VLOOKUP(J8,SOURCE_REGISTRY!$A$2:$E$246,5,FALSE)="","",VLOOKUP(J8,SOURCE_REGISTRY!$A$2:$E$246,5,FALSE)),"")</f>
        <v>https://health.ec.europa.eu/medical-devices-new-regulations_en</v>
      </c>
      <c r="P8" s="8" t="s">
        <v>1761</v>
      </c>
    </row>
    <row r="9" spans="1:16" ht="36.950000000000003" customHeight="1" x14ac:dyDescent="0.25">
      <c r="A9" s="8" t="s">
        <v>1762</v>
      </c>
      <c r="B9" s="8" t="s">
        <v>1763</v>
      </c>
      <c r="C9" s="8" t="s">
        <v>1680</v>
      </c>
      <c r="D9" s="8" t="s">
        <v>1764</v>
      </c>
      <c r="E9" s="8" t="s">
        <v>438</v>
      </c>
      <c r="F9" s="8" t="s">
        <v>438</v>
      </c>
      <c r="G9" s="8" t="s">
        <v>478</v>
      </c>
      <c r="H9" s="8" t="s">
        <v>1690</v>
      </c>
      <c r="I9" s="8" t="s">
        <v>95</v>
      </c>
      <c r="J9" s="8" t="s">
        <v>1765</v>
      </c>
      <c r="K9" s="9" t="s">
        <v>351</v>
      </c>
      <c r="L9" s="9" t="s">
        <v>356</v>
      </c>
      <c r="M9" s="9" t="s">
        <v>352</v>
      </c>
      <c r="N9" s="15" t="s">
        <v>1685</v>
      </c>
      <c r="O9" s="12" t="str">
        <f>IFERROR(IF(VLOOKUP(J9,SOURCE_REGISTRY!$A$2:$E$246,5,FALSE)="","",VLOOKUP(J9,SOURCE_REGISTRY!$A$2:$E$246,5,FALSE)),"")</f>
        <v>https://www.ema.europa.eu/en/scientific-guidelines/quality-aspects-phage-therapy-medicinal-products</v>
      </c>
      <c r="P9" s="8" t="s">
        <v>1766</v>
      </c>
    </row>
    <row r="10" spans="1:16" ht="65.099999999999994" customHeight="1" x14ac:dyDescent="0.25">
      <c r="A10" s="8" t="s">
        <v>1767</v>
      </c>
      <c r="B10" s="8" t="s">
        <v>1768</v>
      </c>
      <c r="C10" s="8" t="s">
        <v>1680</v>
      </c>
      <c r="D10" s="8" t="s">
        <v>1769</v>
      </c>
      <c r="E10" s="8" t="s">
        <v>438</v>
      </c>
      <c r="F10" s="8" t="s">
        <v>438</v>
      </c>
      <c r="G10" s="8" t="s">
        <v>373</v>
      </c>
      <c r="H10" s="8" t="s">
        <v>1731</v>
      </c>
      <c r="I10" s="8" t="s">
        <v>95</v>
      </c>
      <c r="J10" s="8" t="s">
        <v>1770</v>
      </c>
      <c r="K10" s="9" t="s">
        <v>351</v>
      </c>
      <c r="L10" s="9" t="s">
        <v>356</v>
      </c>
      <c r="M10" s="9" t="s">
        <v>352</v>
      </c>
      <c r="N10" s="15" t="s">
        <v>1685</v>
      </c>
      <c r="O10" s="12" t="str">
        <f>IFERROR(IF(VLOOKUP(J10,SOURCE_REGISTRY!$A$2:$E$246,5,FALSE)="","",VLOOKUP(J10,SOURCE_REGISTRY!$A$2:$E$246,5,FALSE)),"")</f>
        <v>https://www.fda.gov/regulatory-information/search-fda-guidance-documents/early-clinical-trials-live-biotherapeutic-products-chemistry-manufacturing-and-control-information</v>
      </c>
      <c r="P10" s="8" t="s">
        <v>1771</v>
      </c>
    </row>
    <row r="11" spans="1:16" ht="51" customHeight="1" x14ac:dyDescent="0.25">
      <c r="A11" s="8" t="s">
        <v>1772</v>
      </c>
      <c r="B11" s="8" t="s">
        <v>1773</v>
      </c>
      <c r="C11" s="8" t="s">
        <v>1680</v>
      </c>
      <c r="D11" s="8" t="s">
        <v>1774</v>
      </c>
      <c r="E11" s="8" t="s">
        <v>438</v>
      </c>
      <c r="F11" s="8" t="s">
        <v>438</v>
      </c>
      <c r="G11" s="8" t="s">
        <v>1775</v>
      </c>
      <c r="H11" s="8" t="s">
        <v>1754</v>
      </c>
      <c r="I11" s="8" t="s">
        <v>95</v>
      </c>
      <c r="J11" s="8" t="s">
        <v>1776</v>
      </c>
      <c r="K11" s="9" t="s">
        <v>351</v>
      </c>
      <c r="L11" s="9" t="s">
        <v>356</v>
      </c>
      <c r="M11" s="9" t="s">
        <v>352</v>
      </c>
      <c r="N11" s="15" t="s">
        <v>1685</v>
      </c>
      <c r="O11" s="12" t="str">
        <f>IFERROR(IF(VLOOKUP(J11,SOURCE_REGISTRY!$A$2:$E$246,5,FALSE)="","",VLOOKUP(J11,SOURCE_REGISTRY!$A$2:$E$246,5,FALSE)),"")</f>
        <v>https://www.bfarm.de/DE/Arzneimittel/Klinische-Pruefung/_node.html</v>
      </c>
      <c r="P11" s="8" t="s">
        <v>1777</v>
      </c>
    </row>
  </sheetData>
  <dataValidations count="3">
    <dataValidation type="list" showErrorMessage="1" errorTitle="Controlled value required" error="Select a defined value; do not invent a tag." sqref="K2:K500" xr:uid="{00000000-0002-0000-0700-000000000000}">
      <formula1>"P0,P1,P2,P3"</formula1>
    </dataValidation>
    <dataValidation type="list" showErrorMessage="1" errorTitle="Controlled value required" error="Select a defined value; do not invent a tag." sqref="L2:L500" xr:uid="{00000000-0002-0000-07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7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7E8B"/>
    <outlinePr summaryBelow="0" summaryRight="0"/>
    <pageSetUpPr fitToPage="1"/>
  </sheetPr>
  <dimension ref="A1:T68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6" width="27" customWidth="1"/>
    <col min="7" max="8" width="32" customWidth="1"/>
    <col min="9" max="9" width="27" customWidth="1"/>
    <col min="10" max="10" width="32" customWidth="1"/>
    <col min="11" max="11" width="27" customWidth="1"/>
    <col min="12" max="12" width="29" customWidth="1"/>
    <col min="13" max="14" width="20" customWidth="1"/>
    <col min="15" max="15" width="61" customWidth="1"/>
    <col min="16" max="16" width="29" customWidth="1"/>
    <col min="17" max="17" width="52" customWidth="1"/>
    <col min="18" max="18" width="29" customWidth="1"/>
    <col min="19" max="19" width="27" customWidth="1"/>
    <col min="20" max="20" width="20" customWidth="1"/>
  </cols>
  <sheetData>
    <row r="1" spans="1:20" ht="42.95" customHeight="1" x14ac:dyDescent="0.25">
      <c r="A1" s="7" t="s">
        <v>326</v>
      </c>
      <c r="B1" s="7" t="s">
        <v>1673</v>
      </c>
      <c r="C1" s="7" t="s">
        <v>329</v>
      </c>
      <c r="D1" s="7" t="s">
        <v>1778</v>
      </c>
      <c r="E1" s="7" t="s">
        <v>1779</v>
      </c>
      <c r="F1" s="7" t="s">
        <v>1780</v>
      </c>
      <c r="G1" s="7" t="s">
        <v>1781</v>
      </c>
      <c r="H1" s="7" t="s">
        <v>1782</v>
      </c>
      <c r="I1" s="7" t="s">
        <v>1783</v>
      </c>
      <c r="J1" s="7" t="s">
        <v>1784</v>
      </c>
      <c r="K1" s="7" t="s">
        <v>1785</v>
      </c>
      <c r="L1" s="7" t="s">
        <v>335</v>
      </c>
      <c r="M1" s="7" t="s">
        <v>336</v>
      </c>
      <c r="N1" s="7" t="s">
        <v>238</v>
      </c>
      <c r="O1" s="7" t="s">
        <v>1786</v>
      </c>
      <c r="P1" s="7" t="s">
        <v>338</v>
      </c>
      <c r="Q1" s="7" t="s">
        <v>340</v>
      </c>
      <c r="R1" s="7" t="s">
        <v>1787</v>
      </c>
      <c r="S1" s="7" t="s">
        <v>1788</v>
      </c>
      <c r="T1" s="7" t="s">
        <v>341</v>
      </c>
    </row>
    <row r="2" spans="1:20" ht="36.950000000000003" customHeight="1" x14ac:dyDescent="0.25">
      <c r="A2" s="8" t="s">
        <v>1789</v>
      </c>
      <c r="B2" s="8" t="s">
        <v>1790</v>
      </c>
      <c r="C2" s="8" t="s">
        <v>1791</v>
      </c>
      <c r="D2" s="8" t="s">
        <v>438</v>
      </c>
      <c r="E2" s="8" t="s">
        <v>1754</v>
      </c>
      <c r="F2" s="8" t="s">
        <v>438</v>
      </c>
      <c r="G2" s="8" t="s">
        <v>438</v>
      </c>
      <c r="H2" s="8" t="s">
        <v>438</v>
      </c>
      <c r="I2" s="8" t="s">
        <v>438</v>
      </c>
      <c r="J2" s="8" t="s">
        <v>438</v>
      </c>
      <c r="K2" s="8" t="s">
        <v>1792</v>
      </c>
      <c r="L2" s="8" t="s">
        <v>1793</v>
      </c>
      <c r="M2" s="9" t="s">
        <v>351</v>
      </c>
      <c r="N2" s="9" t="s">
        <v>352</v>
      </c>
      <c r="O2" s="8" t="s">
        <v>1794</v>
      </c>
      <c r="P2" s="8" t="s">
        <v>1795</v>
      </c>
      <c r="Q2" s="12" t="str">
        <f>IFERROR(IF(VLOOKUP(L2,SOURCE_REGISTRY!$A$2:$E$246,5,FALSE)="","",VLOOKUP(L2,SOURCE_REGISTRY!$A$2:$E$246,5,FALSE)),"")</f>
        <v>https://www.foerderdatenbank.de/FDB/DE/Foerderprogramme/foerderprogramme.html</v>
      </c>
      <c r="R2" s="8"/>
      <c r="S2" s="8" t="s">
        <v>438</v>
      </c>
      <c r="T2" s="9" t="s">
        <v>1684</v>
      </c>
    </row>
    <row r="3" spans="1:20" ht="36.950000000000003" customHeight="1" x14ac:dyDescent="0.25">
      <c r="A3" s="8" t="s">
        <v>1796</v>
      </c>
      <c r="B3" s="8" t="s">
        <v>1797</v>
      </c>
      <c r="C3" s="8" t="s">
        <v>1791</v>
      </c>
      <c r="D3" s="8" t="s">
        <v>1798</v>
      </c>
      <c r="E3" s="8" t="s">
        <v>1754</v>
      </c>
      <c r="F3" s="8" t="s">
        <v>438</v>
      </c>
      <c r="G3" s="8" t="s">
        <v>438</v>
      </c>
      <c r="H3" s="8" t="s">
        <v>438</v>
      </c>
      <c r="I3" s="8" t="s">
        <v>438</v>
      </c>
      <c r="J3" s="8" t="s">
        <v>438</v>
      </c>
      <c r="K3" s="8" t="s">
        <v>1792</v>
      </c>
      <c r="L3" s="8" t="s">
        <v>1799</v>
      </c>
      <c r="M3" s="9" t="s">
        <v>351</v>
      </c>
      <c r="N3" s="9" t="s">
        <v>352</v>
      </c>
      <c r="O3" s="8" t="s">
        <v>1800</v>
      </c>
      <c r="P3" s="8" t="s">
        <v>1801</v>
      </c>
      <c r="Q3" s="12" t="str">
        <f>IFERROR(IF(VLOOKUP(L3,SOURCE_REGISTRY!$A$2:$E$246,5,FALSE)="","",VLOOKUP(L3,SOURCE_REGISTRY!$A$2:$E$246,5,FALSE)),"")</f>
        <v>https://www.gesundheitsforschung-bmftr.de/de/bekanntmachungen-5786.php</v>
      </c>
      <c r="R3" s="8"/>
      <c r="S3" s="8" t="s">
        <v>438</v>
      </c>
      <c r="T3" s="9" t="s">
        <v>1684</v>
      </c>
    </row>
    <row r="4" spans="1:20" ht="36.950000000000003" customHeight="1" x14ac:dyDescent="0.25">
      <c r="A4" s="8" t="s">
        <v>1802</v>
      </c>
      <c r="B4" s="8" t="s">
        <v>1803</v>
      </c>
      <c r="C4" s="8" t="s">
        <v>1791</v>
      </c>
      <c r="D4" s="8" t="s">
        <v>1804</v>
      </c>
      <c r="E4" s="8" t="s">
        <v>1754</v>
      </c>
      <c r="F4" s="8" t="s">
        <v>438</v>
      </c>
      <c r="G4" s="8" t="s">
        <v>1805</v>
      </c>
      <c r="H4" s="8" t="s">
        <v>438</v>
      </c>
      <c r="I4" s="8" t="s">
        <v>1806</v>
      </c>
      <c r="J4" s="8" t="s">
        <v>1807</v>
      </c>
      <c r="K4" s="8" t="s">
        <v>1808</v>
      </c>
      <c r="L4" s="8" t="s">
        <v>1809</v>
      </c>
      <c r="M4" s="9" t="s">
        <v>954</v>
      </c>
      <c r="N4" s="9" t="s">
        <v>352</v>
      </c>
      <c r="O4" s="8" t="s">
        <v>1800</v>
      </c>
      <c r="P4" s="8" t="s">
        <v>1810</v>
      </c>
      <c r="Q4" s="12" t="str">
        <f>IFERROR(IF(VLOOKUP(L4,SOURCE_REGISTRY!$A$2:$E$246,5,FALSE)="","",VLOOKUP(L4,SOURCE_REGISTRY!$A$2:$E$246,5,FALSE)),"")</f>
        <v>https://www.dfg.de/de/foerderung/foerdermoeglichkeiten/programme</v>
      </c>
      <c r="R4" s="8"/>
      <c r="S4" s="8" t="s">
        <v>438</v>
      </c>
      <c r="T4" s="9" t="s">
        <v>356</v>
      </c>
    </row>
    <row r="5" spans="1:20" ht="36.950000000000003" customHeight="1" x14ac:dyDescent="0.25">
      <c r="A5" s="8" t="s">
        <v>1811</v>
      </c>
      <c r="B5" s="8" t="s">
        <v>1812</v>
      </c>
      <c r="C5" s="8" t="s">
        <v>1813</v>
      </c>
      <c r="D5" s="8" t="s">
        <v>1804</v>
      </c>
      <c r="E5" s="8" t="s">
        <v>1754</v>
      </c>
      <c r="F5" s="8" t="s">
        <v>438</v>
      </c>
      <c r="G5" s="8" t="s">
        <v>1807</v>
      </c>
      <c r="H5" s="8" t="s">
        <v>438</v>
      </c>
      <c r="I5" s="8" t="s">
        <v>1814</v>
      </c>
      <c r="J5" s="8" t="s">
        <v>1807</v>
      </c>
      <c r="K5" s="8" t="s">
        <v>1808</v>
      </c>
      <c r="L5" s="8" t="s">
        <v>1815</v>
      </c>
      <c r="M5" s="9" t="s">
        <v>954</v>
      </c>
      <c r="N5" s="9" t="s">
        <v>352</v>
      </c>
      <c r="O5" s="8" t="s">
        <v>1800</v>
      </c>
      <c r="P5" s="8" t="s">
        <v>1816</v>
      </c>
      <c r="Q5" s="12" t="str">
        <f>IFERROR(IF(VLOOKUP(L5,SOURCE_REGISTRY!$A$2:$E$246,5,FALSE)="","",VLOOKUP(L5,SOURCE_REGISTRY!$A$2:$E$246,5,FALSE)),"")</f>
        <v>https://www.dfg.de/de/foerderung/foerdermoeglichkeiten/programme/einzelfoerderung/klinische-studien</v>
      </c>
      <c r="R5" s="8"/>
      <c r="S5" s="8" t="s">
        <v>438</v>
      </c>
      <c r="T5" s="9" t="s">
        <v>356</v>
      </c>
    </row>
    <row r="6" spans="1:20" ht="36.950000000000003" customHeight="1" x14ac:dyDescent="0.25">
      <c r="A6" s="8" t="s">
        <v>1817</v>
      </c>
      <c r="B6" s="8" t="s">
        <v>1818</v>
      </c>
      <c r="C6" s="8" t="s">
        <v>1813</v>
      </c>
      <c r="D6" s="8" t="s">
        <v>1819</v>
      </c>
      <c r="E6" s="8" t="s">
        <v>1754</v>
      </c>
      <c r="F6" s="8" t="s">
        <v>438</v>
      </c>
      <c r="G6" s="8" t="s">
        <v>1820</v>
      </c>
      <c r="H6" s="8" t="s">
        <v>438</v>
      </c>
      <c r="I6" s="8" t="s">
        <v>1821</v>
      </c>
      <c r="J6" s="8" t="s">
        <v>1822</v>
      </c>
      <c r="K6" s="8" t="s">
        <v>1808</v>
      </c>
      <c r="L6" s="8" t="s">
        <v>1823</v>
      </c>
      <c r="M6" s="9" t="s">
        <v>351</v>
      </c>
      <c r="N6" s="9" t="s">
        <v>352</v>
      </c>
      <c r="O6" s="8" t="s">
        <v>1824</v>
      </c>
      <c r="P6" s="8" t="s">
        <v>1825</v>
      </c>
      <c r="Q6" s="12" t="str">
        <f>IFERROR(IF(VLOOKUP(L6,SOURCE_REGISTRY!$A$2:$E$246,5,FALSE)="","",VLOOKUP(L6,SOURCE_REGISTRY!$A$2:$E$246,5,FALSE)),"")</f>
        <v>https://ekfs.de/wissenschaftliche-foerderung/Translatorik-ForTra/Foerderverfahren</v>
      </c>
      <c r="R6" s="8"/>
      <c r="S6" s="8" t="s">
        <v>438</v>
      </c>
      <c r="T6" s="9" t="s">
        <v>356</v>
      </c>
    </row>
    <row r="7" spans="1:20" ht="36.950000000000003" customHeight="1" x14ac:dyDescent="0.25">
      <c r="A7" s="8" t="s">
        <v>1826</v>
      </c>
      <c r="B7" s="8" t="s">
        <v>1827</v>
      </c>
      <c r="C7" s="8" t="s">
        <v>1791</v>
      </c>
      <c r="D7" s="8" t="s">
        <v>1819</v>
      </c>
      <c r="E7" s="8" t="s">
        <v>1754</v>
      </c>
      <c r="F7" s="8" t="s">
        <v>438</v>
      </c>
      <c r="G7" s="8" t="s">
        <v>1828</v>
      </c>
      <c r="H7" s="8" t="s">
        <v>438</v>
      </c>
      <c r="I7" s="8" t="s">
        <v>438</v>
      </c>
      <c r="J7" s="8" t="s">
        <v>438</v>
      </c>
      <c r="K7" s="8" t="s">
        <v>1808</v>
      </c>
      <c r="L7" s="8" t="s">
        <v>1829</v>
      </c>
      <c r="M7" s="9" t="s">
        <v>954</v>
      </c>
      <c r="N7" s="9" t="s">
        <v>352</v>
      </c>
      <c r="O7" s="8" t="s">
        <v>1800</v>
      </c>
      <c r="P7" s="8" t="s">
        <v>1830</v>
      </c>
      <c r="Q7" s="12" t="str">
        <f>IFERROR(IF(VLOOKUP(L7,SOURCE_REGISTRY!$A$2:$E$246,5,FALSE)="","",VLOOKUP(L7,SOURCE_REGISTRY!$A$2:$E$246,5,FALSE)),"")</f>
        <v>https://ekfs.de/en/current-topics/funding-application-calender</v>
      </c>
      <c r="R7" s="8"/>
      <c r="S7" s="8" t="s">
        <v>438</v>
      </c>
      <c r="T7" s="9" t="s">
        <v>356</v>
      </c>
    </row>
    <row r="8" spans="1:20" ht="36.950000000000003" customHeight="1" x14ac:dyDescent="0.25">
      <c r="A8" s="8" t="s">
        <v>1831</v>
      </c>
      <c r="B8" s="8" t="s">
        <v>1832</v>
      </c>
      <c r="C8" s="8" t="s">
        <v>1813</v>
      </c>
      <c r="D8" s="8" t="s">
        <v>1833</v>
      </c>
      <c r="E8" s="8" t="s">
        <v>1754</v>
      </c>
      <c r="F8" s="8" t="s">
        <v>438</v>
      </c>
      <c r="G8" s="8" t="s">
        <v>1834</v>
      </c>
      <c r="H8" s="8" t="s">
        <v>438</v>
      </c>
      <c r="I8" s="8" t="s">
        <v>1835</v>
      </c>
      <c r="J8" s="8" t="s">
        <v>1822</v>
      </c>
      <c r="K8" s="8" t="s">
        <v>1808</v>
      </c>
      <c r="L8" s="8" t="s">
        <v>1836</v>
      </c>
      <c r="M8" s="9" t="s">
        <v>954</v>
      </c>
      <c r="N8" s="9" t="s">
        <v>352</v>
      </c>
      <c r="O8" s="8" t="s">
        <v>1800</v>
      </c>
      <c r="P8" s="8" t="s">
        <v>1837</v>
      </c>
      <c r="Q8" s="12" t="str">
        <f>IFERROR(IF(VLOOKUP(L8,SOURCE_REGISTRY!$A$2:$E$246,5,FALSE)="","",VLOOKUP(L8,SOURCE_REGISTRY!$A$2:$E$246,5,FALSE)),"")</f>
        <v>https://www.foerderdatenbank.de/FDB/Content/DE/Foerderprogramm/Bund/BMBF/go-bio-next.html</v>
      </c>
      <c r="R8" s="8"/>
      <c r="S8" s="8" t="s">
        <v>438</v>
      </c>
      <c r="T8" s="9" t="s">
        <v>356</v>
      </c>
    </row>
    <row r="9" spans="1:20" ht="36.950000000000003" customHeight="1" x14ac:dyDescent="0.25">
      <c r="A9" s="8" t="s">
        <v>1838</v>
      </c>
      <c r="B9" s="8" t="s">
        <v>1839</v>
      </c>
      <c r="C9" s="8" t="s">
        <v>1813</v>
      </c>
      <c r="D9" s="8" t="s">
        <v>1840</v>
      </c>
      <c r="E9" s="8" t="s">
        <v>1754</v>
      </c>
      <c r="F9" s="8" t="s">
        <v>438</v>
      </c>
      <c r="G9" s="8" t="s">
        <v>1841</v>
      </c>
      <c r="H9" s="8" t="s">
        <v>438</v>
      </c>
      <c r="I9" s="8" t="s">
        <v>1842</v>
      </c>
      <c r="J9" s="8" t="s">
        <v>1843</v>
      </c>
      <c r="K9" s="8" t="s">
        <v>1808</v>
      </c>
      <c r="L9" s="8" t="s">
        <v>1844</v>
      </c>
      <c r="M9" s="9" t="s">
        <v>954</v>
      </c>
      <c r="N9" s="9" t="s">
        <v>352</v>
      </c>
      <c r="O9" s="8" t="s">
        <v>1800</v>
      </c>
      <c r="P9" s="8" t="s">
        <v>1845</v>
      </c>
      <c r="Q9" s="12" t="str">
        <f>IFERROR(IF(VLOOKUP(L9,SOURCE_REGISTRY!$A$2:$E$246,5,FALSE)="","",VLOOKUP(L9,SOURCE_REGISTRY!$A$2:$E$246,5,FALSE)),"")</f>
        <v>https://www.foerderdatenbank.de/FDB/Content/DE/Foerderprogramm/Bund/BMBF/biomedizin.html</v>
      </c>
      <c r="R9" s="8"/>
      <c r="S9" s="8" t="s">
        <v>438</v>
      </c>
      <c r="T9" s="9" t="s">
        <v>356</v>
      </c>
    </row>
    <row r="10" spans="1:20" ht="36.950000000000003" customHeight="1" x14ac:dyDescent="0.25">
      <c r="A10" s="8" t="s">
        <v>1846</v>
      </c>
      <c r="B10" s="8" t="s">
        <v>1847</v>
      </c>
      <c r="C10" s="8" t="s">
        <v>1813</v>
      </c>
      <c r="D10" s="8" t="s">
        <v>1840</v>
      </c>
      <c r="E10" s="8" t="s">
        <v>1754</v>
      </c>
      <c r="F10" s="8" t="s">
        <v>438</v>
      </c>
      <c r="G10" s="8" t="s">
        <v>1848</v>
      </c>
      <c r="H10" s="8" t="s">
        <v>438</v>
      </c>
      <c r="I10" s="8" t="s">
        <v>1849</v>
      </c>
      <c r="J10" s="8" t="s">
        <v>1822</v>
      </c>
      <c r="K10" s="8" t="s">
        <v>1808</v>
      </c>
      <c r="L10" s="8" t="s">
        <v>1850</v>
      </c>
      <c r="M10" s="9" t="s">
        <v>954</v>
      </c>
      <c r="N10" s="9" t="s">
        <v>352</v>
      </c>
      <c r="O10" s="8" t="s">
        <v>1800</v>
      </c>
      <c r="P10" s="8" t="s">
        <v>1851</v>
      </c>
      <c r="Q10" s="12" t="str">
        <f>IFERROR(IF(VLOOKUP(L10,SOURCE_REGISTRY!$A$2:$E$246,5,FALSE)="","",VLOOKUP(L10,SOURCE_REGISTRY!$A$2:$E$246,5,FALSE)),"")</f>
        <v>https://www.zim.de/</v>
      </c>
      <c r="R10" s="8"/>
      <c r="S10" s="8" t="s">
        <v>438</v>
      </c>
      <c r="T10" s="9" t="s">
        <v>356</v>
      </c>
    </row>
    <row r="11" spans="1:20" ht="36.950000000000003" customHeight="1" x14ac:dyDescent="0.25">
      <c r="A11" s="8" t="s">
        <v>1852</v>
      </c>
      <c r="B11" s="8" t="s">
        <v>1853</v>
      </c>
      <c r="C11" s="8" t="s">
        <v>1813</v>
      </c>
      <c r="D11" s="8" t="s">
        <v>1833</v>
      </c>
      <c r="E11" s="8" t="s">
        <v>1754</v>
      </c>
      <c r="F11" s="8" t="s">
        <v>438</v>
      </c>
      <c r="G11" s="8" t="s">
        <v>1854</v>
      </c>
      <c r="H11" s="8" t="s">
        <v>438</v>
      </c>
      <c r="I11" s="8" t="s">
        <v>1849</v>
      </c>
      <c r="J11" s="8" t="s">
        <v>438</v>
      </c>
      <c r="K11" s="8" t="s">
        <v>1808</v>
      </c>
      <c r="L11" s="8" t="s">
        <v>1855</v>
      </c>
      <c r="M11" s="9" t="s">
        <v>954</v>
      </c>
      <c r="N11" s="14" t="s">
        <v>944</v>
      </c>
      <c r="O11" s="8" t="s">
        <v>1800</v>
      </c>
      <c r="P11" s="8" t="s">
        <v>1856</v>
      </c>
      <c r="Q11" s="12" t="str">
        <f>IFERROR(IF(VLOOKUP(L11,SOURCE_REGISTRY!$A$2:$E$246,5,FALSE)="","",VLOOKUP(L11,SOURCE_REGISTRY!$A$2:$E$246,5,FALSE)),"")</f>
        <v>https://www.exist.de/</v>
      </c>
      <c r="R11" s="8"/>
      <c r="S11" s="8" t="s">
        <v>438</v>
      </c>
      <c r="T11" s="9" t="s">
        <v>356</v>
      </c>
    </row>
    <row r="12" spans="1:20" ht="36.950000000000003" customHeight="1" x14ac:dyDescent="0.25">
      <c r="A12" s="8" t="s">
        <v>1857</v>
      </c>
      <c r="B12" s="8" t="s">
        <v>1858</v>
      </c>
      <c r="C12" s="8" t="s">
        <v>1859</v>
      </c>
      <c r="D12" s="8" t="s">
        <v>1804</v>
      </c>
      <c r="E12" s="8" t="s">
        <v>1754</v>
      </c>
      <c r="F12" s="8" t="s">
        <v>438</v>
      </c>
      <c r="G12" s="8" t="s">
        <v>1860</v>
      </c>
      <c r="H12" s="8" t="s">
        <v>438</v>
      </c>
      <c r="I12" s="8" t="s">
        <v>1861</v>
      </c>
      <c r="J12" s="8" t="s">
        <v>438</v>
      </c>
      <c r="K12" s="8" t="s">
        <v>1808</v>
      </c>
      <c r="L12" s="8" t="s">
        <v>1862</v>
      </c>
      <c r="M12" s="9" t="s">
        <v>954</v>
      </c>
      <c r="N12" s="14" t="s">
        <v>944</v>
      </c>
      <c r="O12" s="8" t="s">
        <v>1800</v>
      </c>
      <c r="P12" s="8" t="s">
        <v>1863</v>
      </c>
      <c r="Q12" s="12" t="str">
        <f>IFERROR(IF(VLOOKUP(L12,SOURCE_REGISTRY!$A$2:$E$246,5,FALSE)="","",VLOOKUP(L12,SOURCE_REGISTRY!$A$2:$E$246,5,FALSE)),"")</f>
        <v>https://www.volkswagenstiftung.de/de/foerderung</v>
      </c>
      <c r="R12" s="8"/>
      <c r="S12" s="8" t="s">
        <v>438</v>
      </c>
      <c r="T12" s="9" t="s">
        <v>356</v>
      </c>
    </row>
    <row r="13" spans="1:20" ht="65.099999999999994" customHeight="1" x14ac:dyDescent="0.25">
      <c r="A13" s="8" t="s">
        <v>1864</v>
      </c>
      <c r="B13" s="8" t="s">
        <v>1865</v>
      </c>
      <c r="C13" s="8" t="s">
        <v>1866</v>
      </c>
      <c r="D13" s="8" t="s">
        <v>1819</v>
      </c>
      <c r="E13" s="8" t="s">
        <v>1754</v>
      </c>
      <c r="F13" s="8" t="s">
        <v>1867</v>
      </c>
      <c r="G13" s="8" t="s">
        <v>1868</v>
      </c>
      <c r="H13" s="8" t="s">
        <v>438</v>
      </c>
      <c r="I13" s="8" t="s">
        <v>438</v>
      </c>
      <c r="J13" s="8" t="s">
        <v>438</v>
      </c>
      <c r="K13" s="8" t="s">
        <v>1866</v>
      </c>
      <c r="L13" s="8" t="s">
        <v>1869</v>
      </c>
      <c r="M13" s="9" t="s">
        <v>351</v>
      </c>
      <c r="N13" s="14" t="s">
        <v>944</v>
      </c>
      <c r="O13" s="8" t="s">
        <v>1870</v>
      </c>
      <c r="P13" s="8" t="s">
        <v>1871</v>
      </c>
      <c r="Q13" s="12" t="str">
        <f>IFERROR(IF(VLOOKUP(L13,SOURCE_REGISTRY!$A$2:$E$246,5,FALSE)="","",VLOOKUP(L13,SOURCE_REGISTRY!$A$2:$E$246,5,FALSE)),"")</f>
        <v>https://www.dzif.de/</v>
      </c>
      <c r="R13" s="8"/>
      <c r="S13" s="8" t="s">
        <v>438</v>
      </c>
      <c r="T13" s="9" t="s">
        <v>356</v>
      </c>
    </row>
    <row r="14" spans="1:20" ht="36.950000000000003" customHeight="1" x14ac:dyDescent="0.25">
      <c r="A14" s="8" t="s">
        <v>1872</v>
      </c>
      <c r="B14" s="8" t="s">
        <v>1873</v>
      </c>
      <c r="C14" s="8" t="s">
        <v>1813</v>
      </c>
      <c r="D14" s="8" t="s">
        <v>1874</v>
      </c>
      <c r="E14" s="8" t="s">
        <v>1754</v>
      </c>
      <c r="F14" s="8" t="s">
        <v>1875</v>
      </c>
      <c r="G14" s="8" t="s">
        <v>1854</v>
      </c>
      <c r="H14" s="8" t="s">
        <v>1854</v>
      </c>
      <c r="I14" s="8" t="s">
        <v>1861</v>
      </c>
      <c r="J14" s="8" t="s">
        <v>438</v>
      </c>
      <c r="K14" s="8" t="s">
        <v>1866</v>
      </c>
      <c r="L14" s="8" t="s">
        <v>1876</v>
      </c>
      <c r="M14" s="9" t="s">
        <v>954</v>
      </c>
      <c r="N14" s="9" t="s">
        <v>352</v>
      </c>
      <c r="O14" s="8" t="s">
        <v>1877</v>
      </c>
      <c r="P14" s="8" t="s">
        <v>1878</v>
      </c>
      <c r="Q14" s="12" t="str">
        <f>IFERROR(IF(VLOOKUP(L14,SOURCE_REGISTRY!$A$2:$E$246,5,FALSE)="","",VLOOKUP(L14,SOURCE_REGISTRY!$A$2:$E$246,5,FALSE)),"")</f>
        <v>https://www.helmholtz.de/transfer/innovations-und-foerderprogramme/helmholtz-enterprise/</v>
      </c>
      <c r="R14" s="8"/>
      <c r="S14" s="8" t="s">
        <v>438</v>
      </c>
      <c r="T14" s="9" t="s">
        <v>356</v>
      </c>
    </row>
    <row r="15" spans="1:20" ht="36.950000000000003" customHeight="1" x14ac:dyDescent="0.25">
      <c r="A15" s="8" t="s">
        <v>1879</v>
      </c>
      <c r="B15" s="8" t="s">
        <v>1880</v>
      </c>
      <c r="C15" s="8" t="s">
        <v>1791</v>
      </c>
      <c r="D15" s="8" t="s">
        <v>1874</v>
      </c>
      <c r="E15" s="8" t="s">
        <v>1754</v>
      </c>
      <c r="F15" s="8" t="s">
        <v>1875</v>
      </c>
      <c r="G15" s="8" t="s">
        <v>1834</v>
      </c>
      <c r="H15" s="8" t="s">
        <v>438</v>
      </c>
      <c r="I15" s="8" t="s">
        <v>438</v>
      </c>
      <c r="J15" s="8" t="s">
        <v>438</v>
      </c>
      <c r="K15" s="8" t="s">
        <v>1866</v>
      </c>
      <c r="L15" s="8" t="s">
        <v>1881</v>
      </c>
      <c r="M15" s="9" t="s">
        <v>351</v>
      </c>
      <c r="N15" s="9" t="s">
        <v>352</v>
      </c>
      <c r="O15" s="8" t="s">
        <v>1800</v>
      </c>
      <c r="P15" s="8" t="s">
        <v>1882</v>
      </c>
      <c r="Q15" s="12" t="str">
        <f>IFERROR(IF(VLOOKUP(L15,SOURCE_REGISTRY!$A$2:$E$246,5,FALSE)="","",VLOOKUP(L15,SOURCE_REGISTRY!$A$2:$E$246,5,FALSE)),"")</f>
        <v>https://www.helmholtz.de/transfer/innovations-und-foerderprogramme</v>
      </c>
      <c r="R15" s="8"/>
      <c r="S15" s="8" t="s">
        <v>438</v>
      </c>
      <c r="T15" s="9" t="s">
        <v>356</v>
      </c>
    </row>
    <row r="16" spans="1:20" ht="36.950000000000003" customHeight="1" x14ac:dyDescent="0.25">
      <c r="A16" s="8" t="s">
        <v>1883</v>
      </c>
      <c r="B16" s="8" t="s">
        <v>1884</v>
      </c>
      <c r="C16" s="8" t="s">
        <v>1791</v>
      </c>
      <c r="D16" s="8" t="s">
        <v>438</v>
      </c>
      <c r="E16" s="8" t="s">
        <v>1690</v>
      </c>
      <c r="F16" s="8" t="s">
        <v>438</v>
      </c>
      <c r="G16" s="8" t="s">
        <v>438</v>
      </c>
      <c r="H16" s="8" t="s">
        <v>438</v>
      </c>
      <c r="I16" s="8" t="s">
        <v>438</v>
      </c>
      <c r="J16" s="8" t="s">
        <v>438</v>
      </c>
      <c r="K16" s="8" t="s">
        <v>1792</v>
      </c>
      <c r="L16" s="8" t="s">
        <v>1885</v>
      </c>
      <c r="M16" s="9" t="s">
        <v>351</v>
      </c>
      <c r="N16" s="9" t="s">
        <v>352</v>
      </c>
      <c r="O16" s="8" t="s">
        <v>1886</v>
      </c>
      <c r="P16" s="8" t="s">
        <v>1887</v>
      </c>
      <c r="Q16" s="12" t="str">
        <f>IFERROR(IF(VLOOKUP(L16,SOURCE_REGISTRY!$A$2:$E$246,5,FALSE)="","",VLOOKUP(L16,SOURCE_REGISTRY!$A$2:$E$246,5,FALSE)),"")</f>
        <v>https://ec.europa.eu/info/funding-tenders/opportunities/portal/screen/opportunities/calls-for-proposals</v>
      </c>
      <c r="R16" s="8"/>
      <c r="S16" s="8" t="s">
        <v>438</v>
      </c>
      <c r="T16" s="9" t="s">
        <v>1684</v>
      </c>
    </row>
    <row r="17" spans="1:20" ht="36.950000000000003" customHeight="1" x14ac:dyDescent="0.25">
      <c r="A17" s="8" t="s">
        <v>1888</v>
      </c>
      <c r="B17" s="8" t="s">
        <v>1889</v>
      </c>
      <c r="C17" s="8" t="s">
        <v>1791</v>
      </c>
      <c r="D17" s="8" t="s">
        <v>1890</v>
      </c>
      <c r="E17" s="8" t="s">
        <v>1690</v>
      </c>
      <c r="F17" s="8" t="s">
        <v>438</v>
      </c>
      <c r="G17" s="8" t="s">
        <v>1891</v>
      </c>
      <c r="H17" s="8" t="s">
        <v>438</v>
      </c>
      <c r="I17" s="8" t="s">
        <v>1842</v>
      </c>
      <c r="J17" s="8" t="s">
        <v>1843</v>
      </c>
      <c r="K17" s="8" t="s">
        <v>1808</v>
      </c>
      <c r="L17" s="8" t="s">
        <v>1892</v>
      </c>
      <c r="M17" s="9" t="s">
        <v>954</v>
      </c>
      <c r="N17" s="9" t="s">
        <v>352</v>
      </c>
      <c r="O17" s="8" t="s">
        <v>1800</v>
      </c>
      <c r="P17" s="8" t="s">
        <v>1893</v>
      </c>
      <c r="Q17" s="12" t="str">
        <f>IFERROR(IF(VLOOKUP(L17,SOURCE_REGISTRY!$A$2:$E$246,5,FALSE)="","",VLOOKUP(L17,SOURCE_REGISTRY!$A$2:$E$246,5,FALSE)),"")</f>
        <v>https://www.ihi.europa.eu/apply-funding/call-documents</v>
      </c>
      <c r="R17" s="8"/>
      <c r="S17" s="8" t="s">
        <v>438</v>
      </c>
      <c r="T17" s="9" t="s">
        <v>356</v>
      </c>
    </row>
    <row r="18" spans="1:20" ht="65.099999999999994" customHeight="1" x14ac:dyDescent="0.25">
      <c r="A18" s="8" t="s">
        <v>1894</v>
      </c>
      <c r="B18" s="8" t="s">
        <v>1895</v>
      </c>
      <c r="C18" s="8" t="s">
        <v>1791</v>
      </c>
      <c r="D18" s="8" t="s">
        <v>1896</v>
      </c>
      <c r="E18" s="8" t="s">
        <v>1690</v>
      </c>
      <c r="F18" s="8" t="s">
        <v>438</v>
      </c>
      <c r="G18" s="8" t="s">
        <v>1897</v>
      </c>
      <c r="H18" s="8" t="s">
        <v>438</v>
      </c>
      <c r="I18" s="8" t="s">
        <v>1898</v>
      </c>
      <c r="J18" s="8" t="s">
        <v>1843</v>
      </c>
      <c r="K18" s="8" t="s">
        <v>1808</v>
      </c>
      <c r="L18" s="8" t="s">
        <v>1899</v>
      </c>
      <c r="M18" s="9" t="s">
        <v>954</v>
      </c>
      <c r="N18" s="9" t="s">
        <v>352</v>
      </c>
      <c r="O18" s="8" t="s">
        <v>1900</v>
      </c>
      <c r="P18" s="8" t="s">
        <v>1901</v>
      </c>
      <c r="Q18" s="12" t="str">
        <f>IFERROR(IF(VLOOKUP(L18,SOURCE_REGISTRY!$A$2:$E$246,5,FALSE)="","",VLOOKUP(L18,SOURCE_REGISTRY!$A$2:$E$246,5,FALSE)),"")</f>
        <v>https://eic.ec.europa.eu/eic-funding-opportunities_en</v>
      </c>
      <c r="R18" s="8"/>
      <c r="S18" s="8" t="s">
        <v>438</v>
      </c>
      <c r="T18" s="9" t="s">
        <v>1056</v>
      </c>
    </row>
    <row r="19" spans="1:20" ht="36.950000000000003" customHeight="1" x14ac:dyDescent="0.25">
      <c r="A19" s="8" t="s">
        <v>1902</v>
      </c>
      <c r="B19" s="8" t="s">
        <v>1903</v>
      </c>
      <c r="C19" s="8" t="s">
        <v>1791</v>
      </c>
      <c r="D19" s="8" t="s">
        <v>1904</v>
      </c>
      <c r="E19" s="8" t="s">
        <v>1690</v>
      </c>
      <c r="F19" s="8" t="s">
        <v>438</v>
      </c>
      <c r="G19" s="8" t="s">
        <v>1905</v>
      </c>
      <c r="H19" s="8" t="s">
        <v>438</v>
      </c>
      <c r="I19" s="8" t="s">
        <v>1806</v>
      </c>
      <c r="J19" s="8" t="s">
        <v>1807</v>
      </c>
      <c r="K19" s="8" t="s">
        <v>1808</v>
      </c>
      <c r="L19" s="8" t="s">
        <v>1906</v>
      </c>
      <c r="M19" s="9" t="s">
        <v>351</v>
      </c>
      <c r="N19" s="14" t="s">
        <v>944</v>
      </c>
      <c r="O19" s="8" t="s">
        <v>1800</v>
      </c>
      <c r="P19" s="8" t="s">
        <v>1907</v>
      </c>
      <c r="Q19" s="12" t="str">
        <f>IFERROR(IF(VLOOKUP(L19,SOURCE_REGISTRY!$A$2:$E$246,5,FALSE)="","",VLOOKUP(L19,SOURCE_REGISTRY!$A$2:$E$246,5,FALSE)),"")</f>
        <v>https://ohamr.eu/</v>
      </c>
      <c r="R19" s="8"/>
      <c r="S19" s="8" t="s">
        <v>438</v>
      </c>
      <c r="T19" s="9" t="s">
        <v>356</v>
      </c>
    </row>
    <row r="20" spans="1:20" ht="36.950000000000003" customHeight="1" x14ac:dyDescent="0.25">
      <c r="A20" s="8" t="s">
        <v>1908</v>
      </c>
      <c r="B20" s="8" t="s">
        <v>1909</v>
      </c>
      <c r="C20" s="8" t="s">
        <v>1813</v>
      </c>
      <c r="D20" s="8" t="s">
        <v>1840</v>
      </c>
      <c r="E20" s="8" t="s">
        <v>1690</v>
      </c>
      <c r="F20" s="8" t="s">
        <v>438</v>
      </c>
      <c r="G20" s="8" t="s">
        <v>1848</v>
      </c>
      <c r="H20" s="8" t="s">
        <v>438</v>
      </c>
      <c r="I20" s="8" t="s">
        <v>1842</v>
      </c>
      <c r="J20" s="8" t="s">
        <v>1843</v>
      </c>
      <c r="K20" s="8" t="s">
        <v>1808</v>
      </c>
      <c r="L20" s="8" t="s">
        <v>1910</v>
      </c>
      <c r="M20" s="9" t="s">
        <v>954</v>
      </c>
      <c r="N20" s="9" t="s">
        <v>352</v>
      </c>
      <c r="O20" s="8" t="s">
        <v>1800</v>
      </c>
      <c r="P20" s="8" t="s">
        <v>1911</v>
      </c>
      <c r="Q20" s="12" t="str">
        <f>IFERROR(IF(VLOOKUP(L20,SOURCE_REGISTRY!$A$2:$E$246,5,FALSE)="","",VLOOKUP(L20,SOURCE_REGISTRY!$A$2:$E$246,5,FALSE)),"")</f>
        <v>https://www.eurekanetwork.org/programmes-and-calls/eurostars/</v>
      </c>
      <c r="R20" s="8"/>
      <c r="S20" s="8" t="s">
        <v>438</v>
      </c>
      <c r="T20" s="9" t="s">
        <v>356</v>
      </c>
    </row>
    <row r="21" spans="1:20" ht="65.099999999999994" customHeight="1" x14ac:dyDescent="0.25">
      <c r="A21" s="8" t="s">
        <v>1912</v>
      </c>
      <c r="B21" s="8" t="s">
        <v>1913</v>
      </c>
      <c r="C21" s="8" t="s">
        <v>1791</v>
      </c>
      <c r="D21" s="8" t="s">
        <v>1904</v>
      </c>
      <c r="E21" s="8" t="s">
        <v>1690</v>
      </c>
      <c r="F21" s="8" t="s">
        <v>438</v>
      </c>
      <c r="G21" s="8" t="s">
        <v>1914</v>
      </c>
      <c r="H21" s="8" t="s">
        <v>1915</v>
      </c>
      <c r="I21" s="8" t="s">
        <v>1842</v>
      </c>
      <c r="J21" s="8" t="s">
        <v>1807</v>
      </c>
      <c r="K21" s="8" t="s">
        <v>1808</v>
      </c>
      <c r="L21" s="8" t="s">
        <v>1916</v>
      </c>
      <c r="M21" s="9" t="s">
        <v>954</v>
      </c>
      <c r="N21" s="9" t="s">
        <v>352</v>
      </c>
      <c r="O21" s="8" t="s">
        <v>1917</v>
      </c>
      <c r="P21" s="8" t="s">
        <v>1918</v>
      </c>
      <c r="Q21" s="12" t="str">
        <f>IFERROR(IF(VLOOKUP(L21,SOURCE_REGISTRY!$A$2:$E$246,5,FALSE)="","",VLOOKUP(L21,SOURCE_REGISTRY!$A$2:$E$246,5,FALSE)),"")</f>
        <v>https://www.global-health-edctp3.europa.eu/</v>
      </c>
      <c r="R21" s="8"/>
      <c r="S21" s="8" t="s">
        <v>438</v>
      </c>
      <c r="T21" s="9" t="s">
        <v>356</v>
      </c>
    </row>
    <row r="22" spans="1:20" ht="36.950000000000003" customHeight="1" x14ac:dyDescent="0.25">
      <c r="A22" s="8" t="s">
        <v>1919</v>
      </c>
      <c r="B22" s="8" t="s">
        <v>1920</v>
      </c>
      <c r="C22" s="8" t="s">
        <v>1791</v>
      </c>
      <c r="D22" s="8" t="s">
        <v>1921</v>
      </c>
      <c r="E22" s="8" t="s">
        <v>1690</v>
      </c>
      <c r="F22" s="8" t="s">
        <v>438</v>
      </c>
      <c r="G22" s="8" t="s">
        <v>1922</v>
      </c>
      <c r="H22" s="8" t="s">
        <v>438</v>
      </c>
      <c r="I22" s="8" t="s">
        <v>438</v>
      </c>
      <c r="J22" s="8" t="s">
        <v>438</v>
      </c>
      <c r="K22" s="8" t="s">
        <v>1808</v>
      </c>
      <c r="L22" s="8" t="s">
        <v>1923</v>
      </c>
      <c r="M22" s="9" t="s">
        <v>954</v>
      </c>
      <c r="N22" s="9" t="s">
        <v>352</v>
      </c>
      <c r="O22" s="8" t="s">
        <v>1800</v>
      </c>
      <c r="P22" s="8" t="s">
        <v>1924</v>
      </c>
      <c r="Q22" s="12" t="str">
        <f>IFERROR(IF(VLOOKUP(L22,SOURCE_REGISTRY!$A$2:$E$246,5,FALSE)="","",VLOOKUP(L22,SOURCE_REGISTRY!$A$2:$E$246,5,FALSE)),"")</f>
        <v>https://hadea.ec.europa.eu/programmes/eu4health_en</v>
      </c>
      <c r="R22" s="8"/>
      <c r="S22" s="8" t="s">
        <v>438</v>
      </c>
      <c r="T22" s="9" t="s">
        <v>356</v>
      </c>
    </row>
    <row r="23" spans="1:20" ht="36.950000000000003" customHeight="1" x14ac:dyDescent="0.25">
      <c r="A23" s="8" t="s">
        <v>1925</v>
      </c>
      <c r="B23" s="8" t="s">
        <v>1926</v>
      </c>
      <c r="C23" s="8" t="s">
        <v>1791</v>
      </c>
      <c r="D23" s="8" t="s">
        <v>1927</v>
      </c>
      <c r="E23" s="8" t="s">
        <v>1690</v>
      </c>
      <c r="F23" s="8" t="s">
        <v>438</v>
      </c>
      <c r="G23" s="8" t="s">
        <v>1928</v>
      </c>
      <c r="H23" s="8" t="s">
        <v>438</v>
      </c>
      <c r="I23" s="8" t="s">
        <v>1898</v>
      </c>
      <c r="J23" s="8" t="s">
        <v>1807</v>
      </c>
      <c r="K23" s="8" t="s">
        <v>1808</v>
      </c>
      <c r="L23" s="8" t="s">
        <v>1929</v>
      </c>
      <c r="M23" s="9" t="s">
        <v>954</v>
      </c>
      <c r="N23" s="9" t="s">
        <v>352</v>
      </c>
      <c r="O23" s="8" t="s">
        <v>1800</v>
      </c>
      <c r="P23" s="8" t="s">
        <v>1930</v>
      </c>
      <c r="Q23" s="12" t="str">
        <f>IFERROR(IF(VLOOKUP(L23,SOURCE_REGISTRY!$A$2:$E$246,5,FALSE)="","",VLOOKUP(L23,SOURCE_REGISTRY!$A$2:$E$246,5,FALSE)),"")</f>
        <v>https://eithealth.eu/get-involved/new-call-opportunities/</v>
      </c>
      <c r="R23" s="8"/>
      <c r="S23" s="8" t="s">
        <v>438</v>
      </c>
      <c r="T23" s="9" t="s">
        <v>356</v>
      </c>
    </row>
    <row r="24" spans="1:20" ht="36.950000000000003" customHeight="1" x14ac:dyDescent="0.25">
      <c r="A24" s="8" t="s">
        <v>1931</v>
      </c>
      <c r="B24" s="8" t="s">
        <v>1932</v>
      </c>
      <c r="C24" s="8" t="s">
        <v>1791</v>
      </c>
      <c r="D24" s="8" t="s">
        <v>1933</v>
      </c>
      <c r="E24" s="8" t="s">
        <v>1690</v>
      </c>
      <c r="F24" s="8" t="s">
        <v>438</v>
      </c>
      <c r="G24" s="8" t="s">
        <v>1934</v>
      </c>
      <c r="H24" s="8" t="s">
        <v>438</v>
      </c>
      <c r="I24" s="8" t="s">
        <v>438</v>
      </c>
      <c r="J24" s="8" t="s">
        <v>438</v>
      </c>
      <c r="K24" s="8" t="s">
        <v>1808</v>
      </c>
      <c r="L24" s="8" t="s">
        <v>1935</v>
      </c>
      <c r="M24" s="9" t="s">
        <v>954</v>
      </c>
      <c r="N24" s="9" t="s">
        <v>352</v>
      </c>
      <c r="O24" s="8" t="s">
        <v>1800</v>
      </c>
      <c r="P24" s="8" t="s">
        <v>1936</v>
      </c>
      <c r="Q24" s="12" t="str">
        <f>IFERROR(IF(VLOOKUP(L24,SOURCE_REGISTRY!$A$2:$E$246,5,FALSE)="","",VLOOKUP(L24,SOURCE_REGISTRY!$A$2:$E$246,5,FALSE)),"")</f>
        <v>https://www.cost.eu/funding/</v>
      </c>
      <c r="R24" s="8"/>
      <c r="S24" s="8" t="s">
        <v>438</v>
      </c>
      <c r="T24" s="9" t="s">
        <v>356</v>
      </c>
    </row>
    <row r="25" spans="1:20" ht="36.950000000000003" customHeight="1" x14ac:dyDescent="0.25">
      <c r="A25" s="8" t="s">
        <v>1937</v>
      </c>
      <c r="B25" s="8" t="s">
        <v>1938</v>
      </c>
      <c r="C25" s="8" t="s">
        <v>1813</v>
      </c>
      <c r="D25" s="8" t="s">
        <v>1939</v>
      </c>
      <c r="E25" s="8" t="s">
        <v>1682</v>
      </c>
      <c r="F25" s="8" t="s">
        <v>438</v>
      </c>
      <c r="G25" s="8" t="s">
        <v>1940</v>
      </c>
      <c r="H25" s="8" t="s">
        <v>438</v>
      </c>
      <c r="I25" s="8" t="s">
        <v>1821</v>
      </c>
      <c r="J25" s="8" t="s">
        <v>1822</v>
      </c>
      <c r="K25" s="8" t="s">
        <v>1808</v>
      </c>
      <c r="L25" s="8" t="s">
        <v>1941</v>
      </c>
      <c r="M25" s="9" t="s">
        <v>351</v>
      </c>
      <c r="N25" s="9" t="s">
        <v>352</v>
      </c>
      <c r="O25" s="8" t="s">
        <v>1942</v>
      </c>
      <c r="P25" s="8" t="s">
        <v>1943</v>
      </c>
      <c r="Q25" s="12" t="str">
        <f>IFERROR(IF(VLOOKUP(L25,SOURCE_REGISTRY!$A$2:$E$246,5,FALSE)="","",VLOOKUP(L25,SOURCE_REGISTRY!$A$2:$E$246,5,FALSE)),"")</f>
        <v>https://carb-x.org/apply/funding-themes/</v>
      </c>
      <c r="R25" s="8"/>
      <c r="S25" s="8" t="s">
        <v>438</v>
      </c>
      <c r="T25" s="9" t="s">
        <v>356</v>
      </c>
    </row>
    <row r="26" spans="1:20" ht="36.950000000000003" customHeight="1" x14ac:dyDescent="0.25">
      <c r="A26" s="8" t="s">
        <v>1944</v>
      </c>
      <c r="B26" s="8" t="s">
        <v>1945</v>
      </c>
      <c r="C26" s="8" t="s">
        <v>1791</v>
      </c>
      <c r="D26" s="8" t="s">
        <v>1946</v>
      </c>
      <c r="E26" s="8" t="s">
        <v>1682</v>
      </c>
      <c r="F26" s="8" t="s">
        <v>438</v>
      </c>
      <c r="G26" s="8" t="s">
        <v>1947</v>
      </c>
      <c r="H26" s="8" t="s">
        <v>1948</v>
      </c>
      <c r="I26" s="8" t="s">
        <v>1842</v>
      </c>
      <c r="J26" s="8" t="s">
        <v>1822</v>
      </c>
      <c r="K26" s="8" t="s">
        <v>1808</v>
      </c>
      <c r="L26" s="8" t="s">
        <v>1949</v>
      </c>
      <c r="M26" s="9" t="s">
        <v>351</v>
      </c>
      <c r="N26" s="9" t="s">
        <v>352</v>
      </c>
      <c r="O26" s="8" t="s">
        <v>1950</v>
      </c>
      <c r="P26" s="8" t="s">
        <v>1951</v>
      </c>
      <c r="Q26" s="12" t="str">
        <f>IFERROR(IF(VLOOKUP(L26,SOURCE_REGISTRY!$A$2:$E$246,5,FALSE)="","",VLOOKUP(L26,SOURCE_REGISTRY!$A$2:$E$246,5,FALSE)),"")</f>
        <v>https://cepi.net/calls-for-proposals</v>
      </c>
      <c r="R26" s="8"/>
      <c r="S26" s="8" t="s">
        <v>438</v>
      </c>
      <c r="T26" s="9" t="s">
        <v>356</v>
      </c>
    </row>
    <row r="27" spans="1:20" ht="36.950000000000003" customHeight="1" x14ac:dyDescent="0.25">
      <c r="A27" s="8" t="s">
        <v>1952</v>
      </c>
      <c r="B27" s="8" t="s">
        <v>1953</v>
      </c>
      <c r="C27" s="8" t="s">
        <v>1859</v>
      </c>
      <c r="D27" s="8" t="s">
        <v>1933</v>
      </c>
      <c r="E27" s="8" t="s">
        <v>1682</v>
      </c>
      <c r="F27" s="8" t="s">
        <v>438</v>
      </c>
      <c r="G27" s="8" t="s">
        <v>1954</v>
      </c>
      <c r="H27" s="8" t="s">
        <v>438</v>
      </c>
      <c r="I27" s="8" t="s">
        <v>1806</v>
      </c>
      <c r="J27" s="8" t="s">
        <v>1807</v>
      </c>
      <c r="K27" s="8" t="s">
        <v>1808</v>
      </c>
      <c r="L27" s="8" t="s">
        <v>1955</v>
      </c>
      <c r="M27" s="9" t="s">
        <v>954</v>
      </c>
      <c r="N27" s="9" t="s">
        <v>352</v>
      </c>
      <c r="O27" s="8" t="s">
        <v>1800</v>
      </c>
      <c r="P27" s="8" t="s">
        <v>1956</v>
      </c>
      <c r="Q27" s="12" t="str">
        <f>IFERROR(IF(VLOOKUP(L27,SOURCE_REGISTRY!$A$2:$E$246,5,FALSE)="","",VLOOKUP(L27,SOURCE_REGISTRY!$A$2:$E$246,5,FALSE)),"")</f>
        <v>https://wellcome.org/research-funding/schemes</v>
      </c>
      <c r="R27" s="8"/>
      <c r="S27" s="8" t="s">
        <v>438</v>
      </c>
      <c r="T27" s="9" t="s">
        <v>356</v>
      </c>
    </row>
    <row r="28" spans="1:20" ht="65.099999999999994" customHeight="1" x14ac:dyDescent="0.25">
      <c r="A28" s="8" t="s">
        <v>1957</v>
      </c>
      <c r="B28" s="8" t="s">
        <v>1958</v>
      </c>
      <c r="C28" s="8" t="s">
        <v>1859</v>
      </c>
      <c r="D28" s="8" t="s">
        <v>1959</v>
      </c>
      <c r="E28" s="8" t="s">
        <v>1682</v>
      </c>
      <c r="F28" s="8" t="s">
        <v>438</v>
      </c>
      <c r="G28" s="8" t="s">
        <v>1960</v>
      </c>
      <c r="H28" s="8" t="s">
        <v>1961</v>
      </c>
      <c r="I28" s="8" t="s">
        <v>1806</v>
      </c>
      <c r="J28" s="8" t="s">
        <v>1807</v>
      </c>
      <c r="K28" s="8" t="s">
        <v>1808</v>
      </c>
      <c r="L28" s="8" t="s">
        <v>1962</v>
      </c>
      <c r="M28" s="9" t="s">
        <v>954</v>
      </c>
      <c r="N28" s="9" t="s">
        <v>352</v>
      </c>
      <c r="O28" s="8" t="s">
        <v>1963</v>
      </c>
      <c r="P28" s="8" t="s">
        <v>1964</v>
      </c>
      <c r="Q28" s="12" t="str">
        <f>IFERROR(IF(VLOOKUP(L28,SOURCE_REGISTRY!$A$2:$E$246,5,FALSE)="","",VLOOKUP(L28,SOURCE_REGISTRY!$A$2:$E$246,5,FALSE)),"")</f>
        <v>https://www.ghitfund.org/applyforfunding/opportunities</v>
      </c>
      <c r="R28" s="8"/>
      <c r="S28" s="8" t="s">
        <v>438</v>
      </c>
      <c r="T28" s="9" t="s">
        <v>356</v>
      </c>
    </row>
    <row r="29" spans="1:20" ht="36.950000000000003" customHeight="1" x14ac:dyDescent="0.25">
      <c r="A29" s="8" t="s">
        <v>1965</v>
      </c>
      <c r="B29" s="8" t="s">
        <v>1966</v>
      </c>
      <c r="C29" s="8" t="s">
        <v>1791</v>
      </c>
      <c r="D29" s="8" t="s">
        <v>1967</v>
      </c>
      <c r="E29" s="8" t="s">
        <v>1682</v>
      </c>
      <c r="F29" s="8" t="s">
        <v>438</v>
      </c>
      <c r="G29" s="8" t="s">
        <v>1968</v>
      </c>
      <c r="H29" s="8" t="s">
        <v>438</v>
      </c>
      <c r="I29" s="8" t="s">
        <v>438</v>
      </c>
      <c r="J29" s="8" t="s">
        <v>438</v>
      </c>
      <c r="K29" s="8" t="s">
        <v>1808</v>
      </c>
      <c r="L29" s="8" t="s">
        <v>1969</v>
      </c>
      <c r="M29" s="9" t="s">
        <v>954</v>
      </c>
      <c r="N29" s="9" t="s">
        <v>352</v>
      </c>
      <c r="O29" s="8" t="s">
        <v>1800</v>
      </c>
      <c r="P29" s="8" t="s">
        <v>1970</v>
      </c>
      <c r="Q29" s="12" t="str">
        <f>IFERROR(IF(VLOOKUP(L29,SOURCE_REGISTRY!$A$2:$E$246,5,FALSE)="","",VLOOKUP(L29,SOURCE_REGISTRY!$A$2:$E$246,5,FALSE)),"")</f>
        <v>https://gcgh.grandchallenges.org/</v>
      </c>
      <c r="R29" s="8"/>
      <c r="S29" s="8" t="s">
        <v>438</v>
      </c>
      <c r="T29" s="9" t="s">
        <v>356</v>
      </c>
    </row>
    <row r="30" spans="1:20" ht="36.950000000000003" customHeight="1" x14ac:dyDescent="0.25">
      <c r="A30" s="8" t="s">
        <v>1971</v>
      </c>
      <c r="B30" s="8" t="s">
        <v>1972</v>
      </c>
      <c r="C30" s="8" t="s">
        <v>1813</v>
      </c>
      <c r="D30" s="8" t="s">
        <v>1973</v>
      </c>
      <c r="E30" s="8" t="s">
        <v>1682</v>
      </c>
      <c r="F30" s="8" t="s">
        <v>438</v>
      </c>
      <c r="G30" s="8" t="s">
        <v>1974</v>
      </c>
      <c r="H30" s="8" t="s">
        <v>438</v>
      </c>
      <c r="I30" s="8" t="s">
        <v>1861</v>
      </c>
      <c r="J30" s="8" t="s">
        <v>438</v>
      </c>
      <c r="K30" s="8" t="s">
        <v>1808</v>
      </c>
      <c r="L30" s="8" t="s">
        <v>1975</v>
      </c>
      <c r="M30" s="9" t="s">
        <v>351</v>
      </c>
      <c r="N30" s="9" t="s">
        <v>352</v>
      </c>
      <c r="O30" s="8" t="s">
        <v>1800</v>
      </c>
      <c r="P30" s="8" t="s">
        <v>1976</v>
      </c>
      <c r="Q30" s="12" t="str">
        <f>IFERROR(IF(VLOOKUP(L30,SOURCE_REGISTRY!$A$2:$E$246,5,FALSE)="","",VLOOKUP(L30,SOURCE_REGISTRY!$A$2:$E$246,5,FALSE)),"")</f>
        <v>https://www.incate.net/how-we-help/</v>
      </c>
      <c r="R30" s="8"/>
      <c r="S30" s="8" t="s">
        <v>438</v>
      </c>
      <c r="T30" s="9" t="s">
        <v>356</v>
      </c>
    </row>
    <row r="31" spans="1:20" ht="36.950000000000003" customHeight="1" x14ac:dyDescent="0.25">
      <c r="A31" s="8" t="s">
        <v>1977</v>
      </c>
      <c r="B31" s="8" t="s">
        <v>1978</v>
      </c>
      <c r="C31" s="8" t="s">
        <v>1859</v>
      </c>
      <c r="D31" s="8" t="s">
        <v>1933</v>
      </c>
      <c r="E31" s="8" t="s">
        <v>1682</v>
      </c>
      <c r="F31" s="8" t="s">
        <v>438</v>
      </c>
      <c r="G31" s="8" t="s">
        <v>1979</v>
      </c>
      <c r="H31" s="8" t="s">
        <v>438</v>
      </c>
      <c r="I31" s="8" t="s">
        <v>1806</v>
      </c>
      <c r="J31" s="8" t="s">
        <v>1807</v>
      </c>
      <c r="K31" s="8" t="s">
        <v>1808</v>
      </c>
      <c r="L31" s="8" t="s">
        <v>1980</v>
      </c>
      <c r="M31" s="9" t="s">
        <v>954</v>
      </c>
      <c r="N31" s="9" t="s">
        <v>352</v>
      </c>
      <c r="O31" s="8" t="s">
        <v>1800</v>
      </c>
      <c r="P31" s="8" t="s">
        <v>1981</v>
      </c>
      <c r="Q31" s="12" t="str">
        <f>IFERROR(IF(VLOOKUP(L31,SOURCE_REGISTRY!$A$2:$E$246,5,FALSE)="","",VLOOKUP(L31,SOURCE_REGISTRY!$A$2:$E$246,5,FALSE)),"")</f>
        <v>https://novonordiskfonden.dk/en/grant/</v>
      </c>
      <c r="R31" s="8"/>
      <c r="S31" s="8" t="s">
        <v>438</v>
      </c>
      <c r="T31" s="9" t="s">
        <v>356</v>
      </c>
    </row>
    <row r="32" spans="1:20" ht="65.099999999999994" customHeight="1" x14ac:dyDescent="0.25">
      <c r="A32" s="8" t="s">
        <v>1982</v>
      </c>
      <c r="B32" s="8" t="s">
        <v>1983</v>
      </c>
      <c r="C32" s="8" t="s">
        <v>1791</v>
      </c>
      <c r="D32" s="8" t="s">
        <v>1819</v>
      </c>
      <c r="E32" s="8" t="s">
        <v>1682</v>
      </c>
      <c r="F32" s="8" t="s">
        <v>438</v>
      </c>
      <c r="G32" s="8" t="s">
        <v>1984</v>
      </c>
      <c r="H32" s="8" t="s">
        <v>438</v>
      </c>
      <c r="I32" s="8" t="s">
        <v>1806</v>
      </c>
      <c r="J32" s="8" t="s">
        <v>1807</v>
      </c>
      <c r="K32" s="8" t="s">
        <v>1808</v>
      </c>
      <c r="L32" s="8" t="s">
        <v>1985</v>
      </c>
      <c r="M32" s="9" t="s">
        <v>954</v>
      </c>
      <c r="N32" s="9" t="s">
        <v>352</v>
      </c>
      <c r="O32" s="8" t="s">
        <v>1986</v>
      </c>
      <c r="P32" s="8" t="s">
        <v>1987</v>
      </c>
      <c r="Q32" s="12" t="str">
        <f>IFERROR(IF(VLOOKUP(L32,SOURCE_REGISTRY!$A$2:$E$246,5,FALSE)="","",VLOOKUP(L32,SOURCE_REGISTRY!$A$2:$E$246,5,FALSE)),"")</f>
        <v>https://grants.nih.gov/new-to-nih/information-for/foreign-grants</v>
      </c>
      <c r="R32" s="8"/>
      <c r="S32" s="8" t="s">
        <v>438</v>
      </c>
      <c r="T32" s="9" t="s">
        <v>356</v>
      </c>
    </row>
    <row r="33" spans="1:20" ht="36.950000000000003" customHeight="1" x14ac:dyDescent="0.25">
      <c r="A33" s="8" t="s">
        <v>1988</v>
      </c>
      <c r="B33" s="8" t="s">
        <v>1989</v>
      </c>
      <c r="C33" s="8" t="s">
        <v>1791</v>
      </c>
      <c r="D33" s="8" t="s">
        <v>438</v>
      </c>
      <c r="E33" s="8" t="s">
        <v>1990</v>
      </c>
      <c r="F33" s="8" t="s">
        <v>438</v>
      </c>
      <c r="G33" s="8" t="s">
        <v>1991</v>
      </c>
      <c r="H33" s="8" t="s">
        <v>438</v>
      </c>
      <c r="I33" s="8" t="s">
        <v>438</v>
      </c>
      <c r="J33" s="8" t="s">
        <v>438</v>
      </c>
      <c r="K33" s="8" t="s">
        <v>1992</v>
      </c>
      <c r="L33" s="8" t="s">
        <v>1993</v>
      </c>
      <c r="M33" s="9" t="s">
        <v>954</v>
      </c>
      <c r="N33" s="9" t="s">
        <v>352</v>
      </c>
      <c r="O33" s="8" t="s">
        <v>1800</v>
      </c>
      <c r="P33" s="8" t="s">
        <v>1994</v>
      </c>
      <c r="Q33" s="12" t="str">
        <f>IFERROR(IF(VLOOKUP(L33,SOURCE_REGISTRY!$A$2:$E$246,5,FALSE)="","",VLOOKUP(L33,SOURCE_REGISTRY!$A$2:$E$246,5,FALSE)),"")</f>
        <v>https://www.l-bank.de/</v>
      </c>
      <c r="R33" s="8"/>
      <c r="S33" s="8" t="s">
        <v>438</v>
      </c>
      <c r="T33" s="9" t="s">
        <v>356</v>
      </c>
    </row>
    <row r="34" spans="1:20" ht="36.950000000000003" customHeight="1" x14ac:dyDescent="0.25">
      <c r="A34" s="8" t="s">
        <v>1995</v>
      </c>
      <c r="B34" s="8" t="s">
        <v>1996</v>
      </c>
      <c r="C34" s="8" t="s">
        <v>1791</v>
      </c>
      <c r="D34" s="8" t="s">
        <v>438</v>
      </c>
      <c r="E34" s="8" t="s">
        <v>1997</v>
      </c>
      <c r="F34" s="8" t="s">
        <v>438</v>
      </c>
      <c r="G34" s="8" t="s">
        <v>1991</v>
      </c>
      <c r="H34" s="8" t="s">
        <v>438</v>
      </c>
      <c r="I34" s="8" t="s">
        <v>438</v>
      </c>
      <c r="J34" s="8" t="s">
        <v>438</v>
      </c>
      <c r="K34" s="8" t="s">
        <v>1992</v>
      </c>
      <c r="L34" s="8" t="s">
        <v>1998</v>
      </c>
      <c r="M34" s="9" t="s">
        <v>954</v>
      </c>
      <c r="N34" s="9" t="s">
        <v>352</v>
      </c>
      <c r="O34" s="8" t="s">
        <v>1800</v>
      </c>
      <c r="P34" s="8" t="s">
        <v>1999</v>
      </c>
      <c r="Q34" s="12" t="str">
        <f>IFERROR(IF(VLOOKUP(L34,SOURCE_REGISTRY!$A$2:$E$246,5,FALSE)="","",VLOOKUP(L34,SOURCE_REGISTRY!$A$2:$E$246,5,FALSE)),"")</f>
        <v>https://www.forschung-innovation-bayern.de/service/foerderung-von-forschung-und-innovation/</v>
      </c>
      <c r="R34" s="8"/>
      <c r="S34" s="8" t="s">
        <v>438</v>
      </c>
      <c r="T34" s="9" t="s">
        <v>356</v>
      </c>
    </row>
    <row r="35" spans="1:20" ht="36.950000000000003" customHeight="1" x14ac:dyDescent="0.25">
      <c r="A35" s="8" t="s">
        <v>2000</v>
      </c>
      <c r="B35" s="8" t="s">
        <v>2001</v>
      </c>
      <c r="C35" s="8" t="s">
        <v>1791</v>
      </c>
      <c r="D35" s="8" t="s">
        <v>438</v>
      </c>
      <c r="E35" s="8" t="s">
        <v>2002</v>
      </c>
      <c r="F35" s="8" t="s">
        <v>438</v>
      </c>
      <c r="G35" s="8" t="s">
        <v>1991</v>
      </c>
      <c r="H35" s="8" t="s">
        <v>438</v>
      </c>
      <c r="I35" s="8" t="s">
        <v>438</v>
      </c>
      <c r="J35" s="8" t="s">
        <v>438</v>
      </c>
      <c r="K35" s="8" t="s">
        <v>1992</v>
      </c>
      <c r="L35" s="8" t="s">
        <v>2003</v>
      </c>
      <c r="M35" s="9" t="s">
        <v>954</v>
      </c>
      <c r="N35" s="9" t="s">
        <v>352</v>
      </c>
      <c r="O35" s="8" t="s">
        <v>1800</v>
      </c>
      <c r="P35" s="8" t="s">
        <v>2004</v>
      </c>
      <c r="Q35" s="12" t="str">
        <f>IFERROR(IF(VLOOKUP(L35,SOURCE_REGISTRY!$A$2:$E$246,5,FALSE)="","",VLOOKUP(L35,SOURCE_REGISTRY!$A$2:$E$246,5,FALSE)),"")</f>
        <v>https://www.ibb.de/de/foerderungen/foerderungen.html</v>
      </c>
      <c r="R35" s="8"/>
      <c r="S35" s="8" t="s">
        <v>438</v>
      </c>
      <c r="T35" s="9" t="s">
        <v>356</v>
      </c>
    </row>
    <row r="36" spans="1:20" ht="51" customHeight="1" x14ac:dyDescent="0.25">
      <c r="A36" s="8" t="s">
        <v>2005</v>
      </c>
      <c r="B36" s="8" t="s">
        <v>2006</v>
      </c>
      <c r="C36" s="8" t="s">
        <v>1791</v>
      </c>
      <c r="D36" s="8" t="s">
        <v>438</v>
      </c>
      <c r="E36" s="8" t="s">
        <v>2007</v>
      </c>
      <c r="F36" s="8" t="s">
        <v>438</v>
      </c>
      <c r="G36" s="8" t="s">
        <v>1991</v>
      </c>
      <c r="H36" s="8" t="s">
        <v>438</v>
      </c>
      <c r="I36" s="8" t="s">
        <v>438</v>
      </c>
      <c r="J36" s="8" t="s">
        <v>438</v>
      </c>
      <c r="K36" s="8" t="s">
        <v>1992</v>
      </c>
      <c r="L36" s="8" t="s">
        <v>2008</v>
      </c>
      <c r="M36" s="9" t="s">
        <v>954</v>
      </c>
      <c r="N36" s="9" t="s">
        <v>352</v>
      </c>
      <c r="O36" s="8" t="s">
        <v>1800</v>
      </c>
      <c r="P36" s="8" t="s">
        <v>2009</v>
      </c>
      <c r="Q36" s="12" t="str">
        <f>IFERROR(IF(VLOOKUP(L36,SOURCE_REGISTRY!$A$2:$E$246,5,FALSE)="","",VLOOKUP(L36,SOURCE_REGISTRY!$A$2:$E$246,5,FALSE)),"")</f>
        <v>https://www.ilb.de/de/existenzgruendung/existenzgruendung-foerderangebote-nach-foerderthemen/innovationen-forschung-entwicklung/</v>
      </c>
      <c r="R36" s="8"/>
      <c r="S36" s="8" t="s">
        <v>438</v>
      </c>
      <c r="T36" s="9" t="s">
        <v>356</v>
      </c>
    </row>
    <row r="37" spans="1:20" ht="36.950000000000003" customHeight="1" x14ac:dyDescent="0.25">
      <c r="A37" s="8" t="s">
        <v>2010</v>
      </c>
      <c r="B37" s="8" t="s">
        <v>2011</v>
      </c>
      <c r="C37" s="8" t="s">
        <v>1791</v>
      </c>
      <c r="D37" s="8" t="s">
        <v>438</v>
      </c>
      <c r="E37" s="8" t="s">
        <v>2012</v>
      </c>
      <c r="F37" s="8" t="s">
        <v>438</v>
      </c>
      <c r="G37" s="8" t="s">
        <v>1991</v>
      </c>
      <c r="H37" s="8" t="s">
        <v>438</v>
      </c>
      <c r="I37" s="8" t="s">
        <v>438</v>
      </c>
      <c r="J37" s="8" t="s">
        <v>438</v>
      </c>
      <c r="K37" s="8" t="s">
        <v>1992</v>
      </c>
      <c r="L37" s="8" t="s">
        <v>2013</v>
      </c>
      <c r="M37" s="9" t="s">
        <v>954</v>
      </c>
      <c r="N37" s="9" t="s">
        <v>352</v>
      </c>
      <c r="O37" s="8" t="s">
        <v>1800</v>
      </c>
      <c r="P37" s="8" t="s">
        <v>2014</v>
      </c>
      <c r="Q37" s="12" t="str">
        <f>IFERROR(IF(VLOOKUP(L37,SOURCE_REGISTRY!$A$2:$E$246,5,FALSE)="","",VLOOKUP(L37,SOURCE_REGISTRY!$A$2:$E$246,5,FALSE)),"")</f>
        <v>https://www.bab-bremen.de/</v>
      </c>
      <c r="R37" s="8"/>
      <c r="S37" s="8" t="s">
        <v>438</v>
      </c>
      <c r="T37" s="9" t="s">
        <v>356</v>
      </c>
    </row>
    <row r="38" spans="1:20" ht="36.950000000000003" customHeight="1" x14ac:dyDescent="0.25">
      <c r="A38" s="8" t="s">
        <v>2015</v>
      </c>
      <c r="B38" s="8" t="s">
        <v>2016</v>
      </c>
      <c r="C38" s="8" t="s">
        <v>1791</v>
      </c>
      <c r="D38" s="8" t="s">
        <v>438</v>
      </c>
      <c r="E38" s="8" t="s">
        <v>2017</v>
      </c>
      <c r="F38" s="8" t="s">
        <v>438</v>
      </c>
      <c r="G38" s="8" t="s">
        <v>1991</v>
      </c>
      <c r="H38" s="8" t="s">
        <v>438</v>
      </c>
      <c r="I38" s="8" t="s">
        <v>438</v>
      </c>
      <c r="J38" s="8" t="s">
        <v>438</v>
      </c>
      <c r="K38" s="8" t="s">
        <v>1992</v>
      </c>
      <c r="L38" s="8" t="s">
        <v>2018</v>
      </c>
      <c r="M38" s="9" t="s">
        <v>954</v>
      </c>
      <c r="N38" s="9" t="s">
        <v>352</v>
      </c>
      <c r="O38" s="8" t="s">
        <v>1800</v>
      </c>
      <c r="P38" s="8" t="s">
        <v>2019</v>
      </c>
      <c r="Q38" s="12" t="str">
        <f>IFERROR(IF(VLOOKUP(L38,SOURCE_REGISTRY!$A$2:$E$246,5,FALSE)="","",VLOOKUP(L38,SOURCE_REGISTRY!$A$2:$E$246,5,FALSE)),"")</f>
        <v>https://www.ifbhh.de/</v>
      </c>
      <c r="R38" s="8"/>
      <c r="S38" s="8" t="s">
        <v>438</v>
      </c>
      <c r="T38" s="9" t="s">
        <v>356</v>
      </c>
    </row>
    <row r="39" spans="1:20" ht="36.950000000000003" customHeight="1" x14ac:dyDescent="0.25">
      <c r="A39" s="8" t="s">
        <v>2020</v>
      </c>
      <c r="B39" s="8" t="s">
        <v>2021</v>
      </c>
      <c r="C39" s="8" t="s">
        <v>1791</v>
      </c>
      <c r="D39" s="8" t="s">
        <v>438</v>
      </c>
      <c r="E39" s="8" t="s">
        <v>2022</v>
      </c>
      <c r="F39" s="8" t="s">
        <v>438</v>
      </c>
      <c r="G39" s="8" t="s">
        <v>1991</v>
      </c>
      <c r="H39" s="8" t="s">
        <v>438</v>
      </c>
      <c r="I39" s="8" t="s">
        <v>438</v>
      </c>
      <c r="J39" s="8" t="s">
        <v>438</v>
      </c>
      <c r="K39" s="8" t="s">
        <v>1992</v>
      </c>
      <c r="L39" s="8" t="s">
        <v>2023</v>
      </c>
      <c r="M39" s="9" t="s">
        <v>954</v>
      </c>
      <c r="N39" s="9" t="s">
        <v>352</v>
      </c>
      <c r="O39" s="8" t="s">
        <v>1800</v>
      </c>
      <c r="P39" s="8" t="s">
        <v>2024</v>
      </c>
      <c r="Q39" s="12" t="str">
        <f>IFERROR(IF(VLOOKUP(L39,SOURCE_REGISTRY!$A$2:$E$246,5,FALSE)="","",VLOOKUP(L39,SOURCE_REGISTRY!$A$2:$E$246,5,FALSE)),"")</f>
        <v>https://www.wibank.de/wibank/gruender-unternehmen/foerderprogramme</v>
      </c>
      <c r="R39" s="8"/>
      <c r="S39" s="8" t="s">
        <v>438</v>
      </c>
      <c r="T39" s="9" t="s">
        <v>356</v>
      </c>
    </row>
    <row r="40" spans="1:20" ht="36.950000000000003" customHeight="1" x14ac:dyDescent="0.25">
      <c r="A40" s="8" t="s">
        <v>2025</v>
      </c>
      <c r="B40" s="8" t="s">
        <v>2026</v>
      </c>
      <c r="C40" s="8" t="s">
        <v>1791</v>
      </c>
      <c r="D40" s="8" t="s">
        <v>438</v>
      </c>
      <c r="E40" s="8" t="s">
        <v>2027</v>
      </c>
      <c r="F40" s="8" t="s">
        <v>438</v>
      </c>
      <c r="G40" s="8" t="s">
        <v>1991</v>
      </c>
      <c r="H40" s="8" t="s">
        <v>438</v>
      </c>
      <c r="I40" s="8" t="s">
        <v>438</v>
      </c>
      <c r="J40" s="8" t="s">
        <v>438</v>
      </c>
      <c r="K40" s="8" t="s">
        <v>1992</v>
      </c>
      <c r="L40" s="8" t="s">
        <v>2028</v>
      </c>
      <c r="M40" s="9" t="s">
        <v>954</v>
      </c>
      <c r="N40" s="9" t="s">
        <v>352</v>
      </c>
      <c r="O40" s="8" t="s">
        <v>1800</v>
      </c>
      <c r="P40" s="8" t="s">
        <v>2029</v>
      </c>
      <c r="Q40" s="12" t="str">
        <f>IFERROR(IF(VLOOKUP(L40,SOURCE_REGISTRY!$A$2:$E$246,5,FALSE)="","",VLOOKUP(L40,SOURCE_REGISTRY!$A$2:$E$246,5,FALSE)),"")</f>
        <v>https://www.lfi-mv.de/foerderfinder</v>
      </c>
      <c r="R40" s="8"/>
      <c r="S40" s="8" t="s">
        <v>438</v>
      </c>
      <c r="T40" s="9" t="s">
        <v>356</v>
      </c>
    </row>
    <row r="41" spans="1:20" ht="36.950000000000003" customHeight="1" x14ac:dyDescent="0.25">
      <c r="A41" s="8" t="s">
        <v>2030</v>
      </c>
      <c r="B41" s="8" t="s">
        <v>2031</v>
      </c>
      <c r="C41" s="8" t="s">
        <v>1791</v>
      </c>
      <c r="D41" s="8" t="s">
        <v>438</v>
      </c>
      <c r="E41" s="8" t="s">
        <v>2032</v>
      </c>
      <c r="F41" s="8" t="s">
        <v>438</v>
      </c>
      <c r="G41" s="8" t="s">
        <v>1991</v>
      </c>
      <c r="H41" s="8" t="s">
        <v>438</v>
      </c>
      <c r="I41" s="8" t="s">
        <v>438</v>
      </c>
      <c r="J41" s="8" t="s">
        <v>438</v>
      </c>
      <c r="K41" s="8" t="s">
        <v>1992</v>
      </c>
      <c r="L41" s="8" t="s">
        <v>2033</v>
      </c>
      <c r="M41" s="9" t="s">
        <v>954</v>
      </c>
      <c r="N41" s="9" t="s">
        <v>352</v>
      </c>
      <c r="O41" s="8" t="s">
        <v>1800</v>
      </c>
      <c r="P41" s="8" t="s">
        <v>2034</v>
      </c>
      <c r="Q41" s="12" t="str">
        <f>IFERROR(IF(VLOOKUP(L41,SOURCE_REGISTRY!$A$2:$E$246,5,FALSE)="","",VLOOKUP(L41,SOURCE_REGISTRY!$A$2:$E$246,5,FALSE)),"")</f>
        <v>https://www.nbank.de/F%C3%B6rderprogramme/%C3%9Cbersicht/</v>
      </c>
      <c r="R41" s="8"/>
      <c r="S41" s="8" t="s">
        <v>438</v>
      </c>
      <c r="T41" s="9" t="s">
        <v>356</v>
      </c>
    </row>
    <row r="42" spans="1:20" ht="36.950000000000003" customHeight="1" x14ac:dyDescent="0.25">
      <c r="A42" s="8" t="s">
        <v>2035</v>
      </c>
      <c r="B42" s="8" t="s">
        <v>2036</v>
      </c>
      <c r="C42" s="8" t="s">
        <v>1791</v>
      </c>
      <c r="D42" s="8" t="s">
        <v>438</v>
      </c>
      <c r="E42" s="8" t="s">
        <v>2037</v>
      </c>
      <c r="F42" s="8" t="s">
        <v>438</v>
      </c>
      <c r="G42" s="8" t="s">
        <v>1991</v>
      </c>
      <c r="H42" s="8" t="s">
        <v>438</v>
      </c>
      <c r="I42" s="8" t="s">
        <v>438</v>
      </c>
      <c r="J42" s="8" t="s">
        <v>438</v>
      </c>
      <c r="K42" s="8" t="s">
        <v>1992</v>
      </c>
      <c r="L42" s="8" t="s">
        <v>2038</v>
      </c>
      <c r="M42" s="9" t="s">
        <v>954</v>
      </c>
      <c r="N42" s="9" t="s">
        <v>352</v>
      </c>
      <c r="O42" s="8" t="s">
        <v>2039</v>
      </c>
      <c r="P42" s="8" t="s">
        <v>2040</v>
      </c>
      <c r="Q42" s="12" t="str">
        <f>IFERROR(IF(VLOOKUP(L42,SOURCE_REGISTRY!$A$2:$E$246,5,FALSE)="","",VLOOKUP(L42,SOURCE_REGISTRY!$A$2:$E$246,5,FALSE)),"")</f>
        <v>https://www.in.nrw/massnahmen</v>
      </c>
      <c r="R42" s="8"/>
      <c r="S42" s="8" t="s">
        <v>438</v>
      </c>
      <c r="T42" s="9" t="s">
        <v>356</v>
      </c>
    </row>
    <row r="43" spans="1:20" ht="36.950000000000003" customHeight="1" x14ac:dyDescent="0.25">
      <c r="A43" s="8" t="s">
        <v>2041</v>
      </c>
      <c r="B43" s="8" t="s">
        <v>2042</v>
      </c>
      <c r="C43" s="8" t="s">
        <v>1791</v>
      </c>
      <c r="D43" s="8" t="s">
        <v>438</v>
      </c>
      <c r="E43" s="8" t="s">
        <v>2043</v>
      </c>
      <c r="F43" s="8" t="s">
        <v>438</v>
      </c>
      <c r="G43" s="8" t="s">
        <v>1991</v>
      </c>
      <c r="H43" s="8" t="s">
        <v>438</v>
      </c>
      <c r="I43" s="8" t="s">
        <v>438</v>
      </c>
      <c r="J43" s="8" t="s">
        <v>438</v>
      </c>
      <c r="K43" s="8" t="s">
        <v>1992</v>
      </c>
      <c r="L43" s="8" t="s">
        <v>2044</v>
      </c>
      <c r="M43" s="9" t="s">
        <v>954</v>
      </c>
      <c r="N43" s="9" t="s">
        <v>352</v>
      </c>
      <c r="O43" s="8" t="s">
        <v>1800</v>
      </c>
      <c r="P43" s="8" t="s">
        <v>2045</v>
      </c>
      <c r="Q43" s="12" t="str">
        <f>IFERROR(IF(VLOOKUP(L43,SOURCE_REGISTRY!$A$2:$E$246,5,FALSE)="","",VLOOKUP(L43,SOURCE_REGISTRY!$A$2:$E$246,5,FALSE)),"")</f>
        <v>https://isb.rlp.de/</v>
      </c>
      <c r="R43" s="8"/>
      <c r="S43" s="8" t="s">
        <v>438</v>
      </c>
      <c r="T43" s="9" t="s">
        <v>356</v>
      </c>
    </row>
    <row r="44" spans="1:20" ht="36.950000000000003" customHeight="1" x14ac:dyDescent="0.25">
      <c r="A44" s="8" t="s">
        <v>2046</v>
      </c>
      <c r="B44" s="8" t="s">
        <v>2047</v>
      </c>
      <c r="C44" s="8" t="s">
        <v>1791</v>
      </c>
      <c r="D44" s="8" t="s">
        <v>438</v>
      </c>
      <c r="E44" s="8" t="s">
        <v>2048</v>
      </c>
      <c r="F44" s="8" t="s">
        <v>438</v>
      </c>
      <c r="G44" s="8" t="s">
        <v>1991</v>
      </c>
      <c r="H44" s="8" t="s">
        <v>438</v>
      </c>
      <c r="I44" s="8" t="s">
        <v>438</v>
      </c>
      <c r="J44" s="8" t="s">
        <v>438</v>
      </c>
      <c r="K44" s="8" t="s">
        <v>1992</v>
      </c>
      <c r="L44" s="8" t="s">
        <v>2049</v>
      </c>
      <c r="M44" s="9" t="s">
        <v>954</v>
      </c>
      <c r="N44" s="9" t="s">
        <v>352</v>
      </c>
      <c r="O44" s="8" t="s">
        <v>1800</v>
      </c>
      <c r="P44" s="8" t="s">
        <v>2050</v>
      </c>
      <c r="Q44" s="12" t="str">
        <f>IFERROR(IF(VLOOKUP(L44,SOURCE_REGISTRY!$A$2:$E$246,5,FALSE)="","",VLOOKUP(L44,SOURCE_REGISTRY!$A$2:$E$246,5,FALSE)),"")</f>
        <v>https://www.sikb.de/</v>
      </c>
      <c r="R44" s="8"/>
      <c r="S44" s="8" t="s">
        <v>438</v>
      </c>
      <c r="T44" s="9" t="s">
        <v>356</v>
      </c>
    </row>
    <row r="45" spans="1:20" ht="36.950000000000003" customHeight="1" x14ac:dyDescent="0.25">
      <c r="A45" s="8" t="s">
        <v>2051</v>
      </c>
      <c r="B45" s="8" t="s">
        <v>2052</v>
      </c>
      <c r="C45" s="8" t="s">
        <v>1791</v>
      </c>
      <c r="D45" s="8" t="s">
        <v>438</v>
      </c>
      <c r="E45" s="8" t="s">
        <v>2053</v>
      </c>
      <c r="F45" s="8" t="s">
        <v>438</v>
      </c>
      <c r="G45" s="8" t="s">
        <v>1991</v>
      </c>
      <c r="H45" s="8" t="s">
        <v>438</v>
      </c>
      <c r="I45" s="8" t="s">
        <v>438</v>
      </c>
      <c r="J45" s="8" t="s">
        <v>438</v>
      </c>
      <c r="K45" s="8" t="s">
        <v>1992</v>
      </c>
      <c r="L45" s="8" t="s">
        <v>2054</v>
      </c>
      <c r="M45" s="9" t="s">
        <v>954</v>
      </c>
      <c r="N45" s="9" t="s">
        <v>352</v>
      </c>
      <c r="O45" s="8" t="s">
        <v>1800</v>
      </c>
      <c r="P45" s="8" t="s">
        <v>2055</v>
      </c>
      <c r="Q45" s="12" t="str">
        <f>IFERROR(IF(VLOOKUP(L45,SOURCE_REGISTRY!$A$2:$E$246,5,FALSE)="","",VLOOKUP(L45,SOURCE_REGISTRY!$A$2:$E$246,5,FALSE)),"")</f>
        <v>https://www.sab.sachsen.de/start</v>
      </c>
      <c r="R45" s="8"/>
      <c r="S45" s="8" t="s">
        <v>438</v>
      </c>
      <c r="T45" s="9" t="s">
        <v>356</v>
      </c>
    </row>
    <row r="46" spans="1:20" ht="36.950000000000003" customHeight="1" x14ac:dyDescent="0.25">
      <c r="A46" s="8" t="s">
        <v>2056</v>
      </c>
      <c r="B46" s="8" t="s">
        <v>2057</v>
      </c>
      <c r="C46" s="8" t="s">
        <v>1791</v>
      </c>
      <c r="D46" s="8" t="s">
        <v>438</v>
      </c>
      <c r="E46" s="8" t="s">
        <v>2058</v>
      </c>
      <c r="F46" s="8" t="s">
        <v>438</v>
      </c>
      <c r="G46" s="8" t="s">
        <v>1991</v>
      </c>
      <c r="H46" s="8" t="s">
        <v>438</v>
      </c>
      <c r="I46" s="8" t="s">
        <v>438</v>
      </c>
      <c r="J46" s="8" t="s">
        <v>438</v>
      </c>
      <c r="K46" s="8" t="s">
        <v>1992</v>
      </c>
      <c r="L46" s="8" t="s">
        <v>2059</v>
      </c>
      <c r="M46" s="9" t="s">
        <v>954</v>
      </c>
      <c r="N46" s="9" t="s">
        <v>352</v>
      </c>
      <c r="O46" s="8" t="s">
        <v>1800</v>
      </c>
      <c r="P46" s="8" t="s">
        <v>2060</v>
      </c>
      <c r="Q46" s="12" t="str">
        <f>IFERROR(IF(VLOOKUP(L46,SOURCE_REGISTRY!$A$2:$E$246,5,FALSE)="","",VLOOKUP(L46,SOURCE_REGISTRY!$A$2:$E$246,5,FALSE)),"")</f>
        <v>https://www.ib-sachsen-anhalt.de/</v>
      </c>
      <c r="R46" s="8"/>
      <c r="S46" s="8" t="s">
        <v>438</v>
      </c>
      <c r="T46" s="9" t="s">
        <v>356</v>
      </c>
    </row>
    <row r="47" spans="1:20" ht="36.950000000000003" customHeight="1" x14ac:dyDescent="0.25">
      <c r="A47" s="8" t="s">
        <v>2061</v>
      </c>
      <c r="B47" s="8" t="s">
        <v>2062</v>
      </c>
      <c r="C47" s="8" t="s">
        <v>1791</v>
      </c>
      <c r="D47" s="8" t="s">
        <v>438</v>
      </c>
      <c r="E47" s="8" t="s">
        <v>2063</v>
      </c>
      <c r="F47" s="8" t="s">
        <v>438</v>
      </c>
      <c r="G47" s="8" t="s">
        <v>1991</v>
      </c>
      <c r="H47" s="8" t="s">
        <v>438</v>
      </c>
      <c r="I47" s="8" t="s">
        <v>438</v>
      </c>
      <c r="J47" s="8" t="s">
        <v>438</v>
      </c>
      <c r="K47" s="8" t="s">
        <v>1992</v>
      </c>
      <c r="L47" s="8" t="s">
        <v>2064</v>
      </c>
      <c r="M47" s="9" t="s">
        <v>954</v>
      </c>
      <c r="N47" s="9" t="s">
        <v>352</v>
      </c>
      <c r="O47" s="8" t="s">
        <v>1800</v>
      </c>
      <c r="P47" s="8" t="s">
        <v>2065</v>
      </c>
      <c r="Q47" s="12" t="str">
        <f>IFERROR(IF(VLOOKUP(L47,SOURCE_REGISTRY!$A$2:$E$246,5,FALSE)="","",VLOOKUP(L47,SOURCE_REGISTRY!$A$2:$E$246,5,FALSE)),"")</f>
        <v>https://www.ib-sh.de/</v>
      </c>
      <c r="R47" s="8"/>
      <c r="S47" s="8" t="s">
        <v>438</v>
      </c>
      <c r="T47" s="9" t="s">
        <v>356</v>
      </c>
    </row>
    <row r="48" spans="1:20" ht="36.950000000000003" customHeight="1" x14ac:dyDescent="0.25">
      <c r="A48" s="8" t="s">
        <v>2066</v>
      </c>
      <c r="B48" s="8" t="s">
        <v>2067</v>
      </c>
      <c r="C48" s="8" t="s">
        <v>1791</v>
      </c>
      <c r="D48" s="8" t="s">
        <v>438</v>
      </c>
      <c r="E48" s="8" t="s">
        <v>2068</v>
      </c>
      <c r="F48" s="8" t="s">
        <v>438</v>
      </c>
      <c r="G48" s="8" t="s">
        <v>1991</v>
      </c>
      <c r="H48" s="8" t="s">
        <v>438</v>
      </c>
      <c r="I48" s="8" t="s">
        <v>438</v>
      </c>
      <c r="J48" s="8" t="s">
        <v>438</v>
      </c>
      <c r="K48" s="8" t="s">
        <v>1992</v>
      </c>
      <c r="L48" s="8" t="s">
        <v>2069</v>
      </c>
      <c r="M48" s="9" t="s">
        <v>954</v>
      </c>
      <c r="N48" s="9" t="s">
        <v>352</v>
      </c>
      <c r="O48" s="8" t="s">
        <v>1800</v>
      </c>
      <c r="P48" s="8" t="s">
        <v>2070</v>
      </c>
      <c r="Q48" s="12" t="str">
        <f>IFERROR(IF(VLOOKUP(L48,SOURCE_REGISTRY!$A$2:$E$246,5,FALSE)="","",VLOOKUP(L48,SOURCE_REGISTRY!$A$2:$E$246,5,FALSE)),"")</f>
        <v>https://www.aufbaubank.de/</v>
      </c>
      <c r="R48" s="8"/>
      <c r="S48" s="8" t="s">
        <v>438</v>
      </c>
      <c r="T48" s="9" t="s">
        <v>356</v>
      </c>
    </row>
    <row r="49" spans="1:20" ht="36.950000000000003" customHeight="1" x14ac:dyDescent="0.25">
      <c r="A49" s="8" t="s">
        <v>2071</v>
      </c>
      <c r="B49" s="8" t="s">
        <v>2072</v>
      </c>
      <c r="C49" s="8" t="s">
        <v>1791</v>
      </c>
      <c r="D49" s="8" t="s">
        <v>2073</v>
      </c>
      <c r="E49" s="8" t="s">
        <v>2037</v>
      </c>
      <c r="F49" s="8" t="s">
        <v>438</v>
      </c>
      <c r="G49" s="8" t="s">
        <v>2074</v>
      </c>
      <c r="H49" s="8" t="s">
        <v>438</v>
      </c>
      <c r="I49" s="8" t="s">
        <v>438</v>
      </c>
      <c r="J49" s="8" t="s">
        <v>438</v>
      </c>
      <c r="K49" s="8" t="s">
        <v>1992</v>
      </c>
      <c r="L49" s="8" t="s">
        <v>2075</v>
      </c>
      <c r="M49" s="9" t="s">
        <v>954</v>
      </c>
      <c r="N49" s="14" t="s">
        <v>944</v>
      </c>
      <c r="O49" s="8" t="s">
        <v>1800</v>
      </c>
      <c r="P49" s="8" t="s">
        <v>2076</v>
      </c>
      <c r="Q49" s="12" t="str">
        <f>IFERROR(IF(VLOOKUP(L49,SOURCE_REGISTRY!$A$2:$E$246,5,FALSE)="","",VLOOKUP(L49,SOURCE_REGISTRY!$A$2:$E$246,5,FALSE)),"")</f>
        <v>https://www.nrwbank.de/de/foerderung/</v>
      </c>
      <c r="R49" s="8"/>
      <c r="S49" s="8" t="s">
        <v>438</v>
      </c>
      <c r="T49" s="9" t="s">
        <v>356</v>
      </c>
    </row>
    <row r="50" spans="1:20" ht="51" customHeight="1" x14ac:dyDescent="0.25">
      <c r="A50" s="8" t="s">
        <v>2077</v>
      </c>
      <c r="B50" s="8" t="s">
        <v>2078</v>
      </c>
      <c r="C50" s="8" t="s">
        <v>1813</v>
      </c>
      <c r="D50" s="8" t="s">
        <v>2079</v>
      </c>
      <c r="E50" s="8" t="s">
        <v>1997</v>
      </c>
      <c r="F50" s="8" t="s">
        <v>438</v>
      </c>
      <c r="G50" s="8" t="s">
        <v>2080</v>
      </c>
      <c r="H50" s="8" t="s">
        <v>438</v>
      </c>
      <c r="I50" s="8" t="s">
        <v>2081</v>
      </c>
      <c r="J50" s="8" t="s">
        <v>1822</v>
      </c>
      <c r="K50" s="8" t="s">
        <v>1992</v>
      </c>
      <c r="L50" s="8" t="s">
        <v>2082</v>
      </c>
      <c r="M50" s="9" t="s">
        <v>954</v>
      </c>
      <c r="N50" s="9" t="s">
        <v>352</v>
      </c>
      <c r="O50" s="8" t="s">
        <v>2083</v>
      </c>
      <c r="P50" s="8" t="s">
        <v>2084</v>
      </c>
      <c r="Q50" s="12" t="str">
        <f>IFERROR(IF(VLOOKUP(L50,SOURCE_REGISTRY!$A$2:$E$246,5,FALSE)="","",VLOOKUP(L50,SOURCE_REGISTRY!$A$2:$E$246,5,FALSE)),"")</f>
        <v>https://www.forschungsstiftung.de/foerderangebot/</v>
      </c>
      <c r="R50" s="8"/>
      <c r="S50" s="8" t="s">
        <v>438</v>
      </c>
      <c r="T50" s="9" t="s">
        <v>356</v>
      </c>
    </row>
    <row r="51" spans="1:20" ht="36.950000000000003" customHeight="1" x14ac:dyDescent="0.25">
      <c r="A51" s="8" t="s">
        <v>2085</v>
      </c>
      <c r="B51" s="8" t="s">
        <v>2086</v>
      </c>
      <c r="C51" s="8" t="s">
        <v>1866</v>
      </c>
      <c r="D51" s="8" t="s">
        <v>1804</v>
      </c>
      <c r="E51" s="8" t="s">
        <v>2037</v>
      </c>
      <c r="F51" s="8" t="s">
        <v>2087</v>
      </c>
      <c r="G51" s="8" t="s">
        <v>2088</v>
      </c>
      <c r="H51" s="8" t="s">
        <v>438</v>
      </c>
      <c r="I51" s="8" t="s">
        <v>1806</v>
      </c>
      <c r="J51" s="8" t="s">
        <v>438</v>
      </c>
      <c r="K51" s="8" t="s">
        <v>1866</v>
      </c>
      <c r="L51" s="8" t="s">
        <v>2089</v>
      </c>
      <c r="M51" s="9" t="s">
        <v>954</v>
      </c>
      <c r="N51" s="9" t="s">
        <v>352</v>
      </c>
      <c r="O51" s="8" t="s">
        <v>2090</v>
      </c>
      <c r="P51" s="8" t="s">
        <v>2091</v>
      </c>
      <c r="Q51" s="12" t="str">
        <f>IFERROR(IF(VLOOKUP(L51,SOURCE_REGISTRY!$A$2:$E$246,5,FALSE)="","",VLOOKUP(L51,SOURCE_REGISTRY!$A$2:$E$246,5,FALSE)),"")</f>
        <v>https://medfak.uni-koeln.de/forschung/service-foerderangebote/fakultaetsfoerderungen/koeln-fortune</v>
      </c>
      <c r="R51" s="8"/>
      <c r="S51" s="8" t="s">
        <v>438</v>
      </c>
      <c r="T51" s="9" t="s">
        <v>356</v>
      </c>
    </row>
    <row r="52" spans="1:20" ht="51" customHeight="1" x14ac:dyDescent="0.25">
      <c r="A52" s="8" t="s">
        <v>2092</v>
      </c>
      <c r="B52" s="8" t="s">
        <v>2093</v>
      </c>
      <c r="C52" s="8" t="s">
        <v>1813</v>
      </c>
      <c r="D52" s="8" t="s">
        <v>1819</v>
      </c>
      <c r="E52" s="8" t="s">
        <v>1754</v>
      </c>
      <c r="F52" s="8" t="s">
        <v>438</v>
      </c>
      <c r="G52" s="8" t="s">
        <v>2094</v>
      </c>
      <c r="H52" s="8" t="s">
        <v>438</v>
      </c>
      <c r="I52" s="8" t="s">
        <v>1861</v>
      </c>
      <c r="J52" s="8" t="s">
        <v>438</v>
      </c>
      <c r="K52" s="8" t="s">
        <v>1808</v>
      </c>
      <c r="L52" s="8" t="s">
        <v>2095</v>
      </c>
      <c r="M52" s="9" t="s">
        <v>351</v>
      </c>
      <c r="N52" s="9" t="s">
        <v>352</v>
      </c>
      <c r="O52" s="8" t="s">
        <v>2096</v>
      </c>
      <c r="P52" s="8" t="s">
        <v>2097</v>
      </c>
      <c r="Q52" s="12" t="str">
        <f>IFERROR(IF(VLOOKUP(L52,SOURCE_REGISTRY!$A$2:$E$246,5,FALSE)="","",VLOOKUP(L52,SOURCE_REGISTRY!$A$2:$E$246,5,FALSE)),"")</f>
        <v>https://www.foerderdatenbank.de/FDB/Content/DE/Foerderprogramm/Bund/BMBF/gesundheitsforschung-go-bio-initial2.html</v>
      </c>
      <c r="R52" s="8"/>
      <c r="S52" s="8" t="s">
        <v>2098</v>
      </c>
      <c r="T52" s="9" t="s">
        <v>356</v>
      </c>
    </row>
    <row r="53" spans="1:20" ht="36.950000000000003" customHeight="1" x14ac:dyDescent="0.25">
      <c r="A53" s="8" t="s">
        <v>2099</v>
      </c>
      <c r="B53" s="8" t="s">
        <v>2100</v>
      </c>
      <c r="C53" s="8" t="s">
        <v>1813</v>
      </c>
      <c r="D53" s="8" t="s">
        <v>2101</v>
      </c>
      <c r="E53" s="8" t="s">
        <v>1690</v>
      </c>
      <c r="F53" s="8" t="s">
        <v>438</v>
      </c>
      <c r="G53" s="8" t="s">
        <v>2102</v>
      </c>
      <c r="H53" s="8" t="s">
        <v>438</v>
      </c>
      <c r="I53" s="8" t="s">
        <v>438</v>
      </c>
      <c r="J53" s="8" t="s">
        <v>438</v>
      </c>
      <c r="K53" s="8" t="s">
        <v>1808</v>
      </c>
      <c r="L53" s="8" t="s">
        <v>1885</v>
      </c>
      <c r="M53" s="9" t="s">
        <v>351</v>
      </c>
      <c r="N53" s="9" t="s">
        <v>352</v>
      </c>
      <c r="O53" s="8" t="s">
        <v>2103</v>
      </c>
      <c r="P53" s="8" t="s">
        <v>2104</v>
      </c>
      <c r="Q53" s="12" t="str">
        <f>IFERROR(IF(VLOOKUP(L53,SOURCE_REGISTRY!$A$2:$E$246,5,FALSE)="","",VLOOKUP(L53,SOURCE_REGISTRY!$A$2:$E$246,5,FALSE)),"")</f>
        <v>https://ec.europa.eu/info/funding-tenders/opportunities/portal/screen/opportunities/calls-for-proposals</v>
      </c>
      <c r="R53" s="8" t="s">
        <v>1883</v>
      </c>
      <c r="S53" s="8" t="s">
        <v>2098</v>
      </c>
      <c r="T53" s="9" t="s">
        <v>356</v>
      </c>
    </row>
    <row r="54" spans="1:20" ht="36.950000000000003" customHeight="1" x14ac:dyDescent="0.25">
      <c r="A54" s="8" t="s">
        <v>2105</v>
      </c>
      <c r="B54" s="8" t="s">
        <v>2106</v>
      </c>
      <c r="C54" s="8" t="s">
        <v>1813</v>
      </c>
      <c r="D54" s="8" t="s">
        <v>2107</v>
      </c>
      <c r="E54" s="8" t="s">
        <v>1690</v>
      </c>
      <c r="F54" s="8" t="s">
        <v>438</v>
      </c>
      <c r="G54" s="8" t="s">
        <v>2108</v>
      </c>
      <c r="H54" s="8" t="s">
        <v>438</v>
      </c>
      <c r="I54" s="8" t="s">
        <v>1861</v>
      </c>
      <c r="J54" s="8" t="s">
        <v>438</v>
      </c>
      <c r="K54" s="8" t="s">
        <v>1808</v>
      </c>
      <c r="L54" s="8" t="s">
        <v>2109</v>
      </c>
      <c r="M54" s="9" t="s">
        <v>351</v>
      </c>
      <c r="N54" s="9" t="s">
        <v>352</v>
      </c>
      <c r="O54" s="8" t="s">
        <v>2110</v>
      </c>
      <c r="P54" s="8" t="s">
        <v>2111</v>
      </c>
      <c r="Q54" s="12" t="str">
        <f>IFERROR(IF(VLOOKUP(L54,SOURCE_REGISTRY!$A$2:$E$246,5,FALSE)="","",VLOOKUP(L54,SOURCE_REGISTRY!$A$2:$E$246,5,FALSE)),"")</f>
        <v>https://eic.ec.europa.eu/eic-funding-opportunities/eic-pathfinder_en</v>
      </c>
      <c r="R54" s="8" t="s">
        <v>1894</v>
      </c>
      <c r="S54" s="8" t="s">
        <v>2098</v>
      </c>
      <c r="T54" s="9" t="s">
        <v>356</v>
      </c>
    </row>
    <row r="55" spans="1:20" ht="36.950000000000003" customHeight="1" x14ac:dyDescent="0.25">
      <c r="A55" s="8" t="s">
        <v>2112</v>
      </c>
      <c r="B55" s="8" t="s">
        <v>2113</v>
      </c>
      <c r="C55" s="8" t="s">
        <v>1813</v>
      </c>
      <c r="D55" s="8" t="s">
        <v>1967</v>
      </c>
      <c r="E55" s="8" t="s">
        <v>1690</v>
      </c>
      <c r="F55" s="8" t="s">
        <v>438</v>
      </c>
      <c r="G55" s="8" t="s">
        <v>2114</v>
      </c>
      <c r="H55" s="8" t="s">
        <v>2115</v>
      </c>
      <c r="I55" s="8" t="s">
        <v>438</v>
      </c>
      <c r="J55" s="8" t="s">
        <v>438</v>
      </c>
      <c r="K55" s="8" t="s">
        <v>1808</v>
      </c>
      <c r="L55" s="8" t="s">
        <v>2116</v>
      </c>
      <c r="M55" s="9" t="s">
        <v>351</v>
      </c>
      <c r="N55" s="9" t="s">
        <v>352</v>
      </c>
      <c r="O55" s="8" t="s">
        <v>2117</v>
      </c>
      <c r="P55" s="8" t="s">
        <v>2118</v>
      </c>
      <c r="Q55" s="12" t="str">
        <f>IFERROR(IF(VLOOKUP(L55,SOURCE_REGISTRY!$A$2:$E$246,5,FALSE)="","",VLOOKUP(L55,SOURCE_REGISTRY!$A$2:$E$246,5,FALSE)),"")</f>
        <v>https://eic.ec.europa.eu/eic-funding-opportunities/eic-transition_en</v>
      </c>
      <c r="R55" s="8" t="s">
        <v>1894</v>
      </c>
      <c r="S55" s="8" t="s">
        <v>2098</v>
      </c>
      <c r="T55" s="9" t="s">
        <v>356</v>
      </c>
    </row>
    <row r="56" spans="1:20" ht="36.950000000000003" customHeight="1" x14ac:dyDescent="0.25">
      <c r="A56" s="8" t="s">
        <v>2119</v>
      </c>
      <c r="B56" s="8" t="s">
        <v>2120</v>
      </c>
      <c r="C56" s="8" t="s">
        <v>1813</v>
      </c>
      <c r="D56" s="8" t="s">
        <v>2121</v>
      </c>
      <c r="E56" s="8" t="s">
        <v>1690</v>
      </c>
      <c r="F56" s="8" t="s">
        <v>438</v>
      </c>
      <c r="G56" s="8" t="s">
        <v>2122</v>
      </c>
      <c r="H56" s="8" t="s">
        <v>438</v>
      </c>
      <c r="I56" s="8" t="s">
        <v>438</v>
      </c>
      <c r="J56" s="8" t="s">
        <v>438</v>
      </c>
      <c r="K56" s="8" t="s">
        <v>1808</v>
      </c>
      <c r="L56" s="8" t="s">
        <v>2123</v>
      </c>
      <c r="M56" s="9" t="s">
        <v>351</v>
      </c>
      <c r="N56" s="9" t="s">
        <v>352</v>
      </c>
      <c r="O56" s="8" t="s">
        <v>2124</v>
      </c>
      <c r="P56" s="8" t="s">
        <v>2125</v>
      </c>
      <c r="Q56" s="12" t="str">
        <f>IFERROR(IF(VLOOKUP(L56,SOURCE_REGISTRY!$A$2:$E$246,5,FALSE)="","",VLOOKUP(L56,SOURCE_REGISTRY!$A$2:$E$246,5,FALSE)),"")</f>
        <v>https://eic.ec.europa.eu/eic-funding-opportunities/eic-accelerator_en</v>
      </c>
      <c r="R56" s="8" t="s">
        <v>1894</v>
      </c>
      <c r="S56" s="8" t="s">
        <v>2098</v>
      </c>
      <c r="T56" s="9" t="s">
        <v>356</v>
      </c>
    </row>
    <row r="57" spans="1:20" ht="36.950000000000003" customHeight="1" x14ac:dyDescent="0.25">
      <c r="A57" s="8" t="s">
        <v>2126</v>
      </c>
      <c r="B57" s="8" t="s">
        <v>2127</v>
      </c>
      <c r="C57" s="8" t="s">
        <v>1813</v>
      </c>
      <c r="D57" s="8" t="s">
        <v>1804</v>
      </c>
      <c r="E57" s="8" t="s">
        <v>1690</v>
      </c>
      <c r="F57" s="8" t="s">
        <v>438</v>
      </c>
      <c r="G57" s="8" t="s">
        <v>2128</v>
      </c>
      <c r="H57" s="8" t="s">
        <v>2129</v>
      </c>
      <c r="I57" s="8" t="s">
        <v>438</v>
      </c>
      <c r="J57" s="8" t="s">
        <v>438</v>
      </c>
      <c r="K57" s="8" t="s">
        <v>1808</v>
      </c>
      <c r="L57" s="8" t="s">
        <v>2130</v>
      </c>
      <c r="M57" s="9" t="s">
        <v>351</v>
      </c>
      <c r="N57" s="9" t="s">
        <v>352</v>
      </c>
      <c r="O57" s="8" t="s">
        <v>2131</v>
      </c>
      <c r="P57" s="8" t="s">
        <v>2132</v>
      </c>
      <c r="Q57" s="12" t="str">
        <f>IFERROR(IF(VLOOKUP(L57,SOURCE_REGISTRY!$A$2:$E$246,5,FALSE)="","",VLOOKUP(L57,SOURCE_REGISTRY!$A$2:$E$246,5,FALSE)),"")</f>
        <v>https://erc.europa.eu/apply-grant/proof-concept</v>
      </c>
      <c r="R57" s="8"/>
      <c r="S57" s="8" t="s">
        <v>2098</v>
      </c>
      <c r="T57" s="9" t="s">
        <v>356</v>
      </c>
    </row>
    <row r="58" spans="1:20" ht="36.950000000000003" customHeight="1" x14ac:dyDescent="0.25">
      <c r="A58" s="8" t="s">
        <v>2133</v>
      </c>
      <c r="B58" s="8" t="s">
        <v>2134</v>
      </c>
      <c r="C58" s="8" t="s">
        <v>2135</v>
      </c>
      <c r="D58" s="8" t="s">
        <v>2107</v>
      </c>
      <c r="E58" s="8" t="s">
        <v>1682</v>
      </c>
      <c r="F58" s="8" t="s">
        <v>438</v>
      </c>
      <c r="G58" s="8" t="s">
        <v>2136</v>
      </c>
      <c r="H58" s="8" t="s">
        <v>2137</v>
      </c>
      <c r="I58" s="8" t="s">
        <v>438</v>
      </c>
      <c r="J58" s="8" t="s">
        <v>438</v>
      </c>
      <c r="K58" s="8" t="s">
        <v>1808</v>
      </c>
      <c r="L58" s="8" t="s">
        <v>2138</v>
      </c>
      <c r="M58" s="9" t="s">
        <v>351</v>
      </c>
      <c r="N58" s="9" t="s">
        <v>352</v>
      </c>
      <c r="O58" s="8" t="s">
        <v>2139</v>
      </c>
      <c r="P58" s="8" t="s">
        <v>2140</v>
      </c>
      <c r="Q58" s="12" t="str">
        <f>IFERROR(IF(VLOOKUP(L58,SOURCE_REGISTRY!$A$2:$E$246,5,FALSE)="","",VLOOKUP(L58,SOURCE_REGISTRY!$A$2:$E$246,5,FALSE)),"")</f>
        <v>https://www.medicalcountermeasures.gov/barda/barda-baa</v>
      </c>
      <c r="R58" s="8"/>
      <c r="S58" s="8" t="s">
        <v>2098</v>
      </c>
      <c r="T58" s="9" t="s">
        <v>356</v>
      </c>
    </row>
    <row r="59" spans="1:20" ht="36.950000000000003" customHeight="1" x14ac:dyDescent="0.25">
      <c r="A59" s="8" t="s">
        <v>2141</v>
      </c>
      <c r="B59" s="8" t="s">
        <v>2142</v>
      </c>
      <c r="C59" s="8" t="s">
        <v>2143</v>
      </c>
      <c r="D59" s="8" t="s">
        <v>2107</v>
      </c>
      <c r="E59" s="8" t="s">
        <v>1682</v>
      </c>
      <c r="F59" s="8" t="s">
        <v>438</v>
      </c>
      <c r="G59" s="8" t="s">
        <v>2144</v>
      </c>
      <c r="H59" s="8" t="s">
        <v>2137</v>
      </c>
      <c r="I59" s="8" t="s">
        <v>438</v>
      </c>
      <c r="J59" s="8" t="s">
        <v>438</v>
      </c>
      <c r="K59" s="8" t="s">
        <v>1808</v>
      </c>
      <c r="L59" s="8" t="s">
        <v>2145</v>
      </c>
      <c r="M59" s="9" t="s">
        <v>351</v>
      </c>
      <c r="N59" s="9" t="s">
        <v>352</v>
      </c>
      <c r="O59" s="8" t="s">
        <v>2146</v>
      </c>
      <c r="P59" s="8" t="s">
        <v>2147</v>
      </c>
      <c r="Q59" s="12" t="str">
        <f>IFERROR(IF(VLOOKUP(L59,SOURCE_REGISTRY!$A$2:$E$246,5,FALSE)="","",VLOOKUP(L59,SOURCE_REGISTRY!$A$2:$E$246,5,FALSE)),"")</f>
        <v>https://www.drive.hhs.gov/partner.html</v>
      </c>
      <c r="R59" s="8"/>
      <c r="S59" s="8" t="s">
        <v>2098</v>
      </c>
      <c r="T59" s="9" t="s">
        <v>356</v>
      </c>
    </row>
    <row r="60" spans="1:20" ht="36.950000000000003" customHeight="1" x14ac:dyDescent="0.25">
      <c r="A60" s="8" t="s">
        <v>2148</v>
      </c>
      <c r="B60" s="8" t="s">
        <v>2149</v>
      </c>
      <c r="C60" s="8" t="s">
        <v>2150</v>
      </c>
      <c r="D60" s="8" t="s">
        <v>2101</v>
      </c>
      <c r="E60" s="8" t="s">
        <v>1682</v>
      </c>
      <c r="F60" s="8" t="s">
        <v>438</v>
      </c>
      <c r="G60" s="8" t="s">
        <v>2151</v>
      </c>
      <c r="H60" s="8" t="s">
        <v>438</v>
      </c>
      <c r="I60" s="8" t="s">
        <v>438</v>
      </c>
      <c r="J60" s="8" t="s">
        <v>438</v>
      </c>
      <c r="K60" s="8" t="s">
        <v>1808</v>
      </c>
      <c r="L60" s="8" t="s">
        <v>872</v>
      </c>
      <c r="M60" s="9" t="s">
        <v>351</v>
      </c>
      <c r="N60" s="9" t="s">
        <v>352</v>
      </c>
      <c r="O60" s="8" t="s">
        <v>2152</v>
      </c>
      <c r="P60" s="8" t="s">
        <v>2153</v>
      </c>
      <c r="Q60" s="12" t="str">
        <f>IFERROR(IF(VLOOKUP(L60,SOURCE_REGISTRY!$A$2:$E$246,5,FALSE)="","",VLOOKUP(L60,SOURCE_REGISTRY!$A$2:$E$246,5,FALSE)),"")</f>
        <v>https://www.finddx.org/about-us/donors-and-partners/calls-for-partners/</v>
      </c>
      <c r="R60" s="8"/>
      <c r="S60" s="8" t="s">
        <v>2098</v>
      </c>
      <c r="T60" s="9" t="s">
        <v>356</v>
      </c>
    </row>
    <row r="61" spans="1:20" ht="36.950000000000003" customHeight="1" x14ac:dyDescent="0.25">
      <c r="A61" s="8" t="s">
        <v>2154</v>
      </c>
      <c r="B61" s="8" t="s">
        <v>2155</v>
      </c>
      <c r="C61" s="8" t="s">
        <v>2143</v>
      </c>
      <c r="D61" s="8" t="s">
        <v>2101</v>
      </c>
      <c r="E61" s="8" t="s">
        <v>1690</v>
      </c>
      <c r="F61" s="8" t="s">
        <v>438</v>
      </c>
      <c r="G61" s="8" t="s">
        <v>2136</v>
      </c>
      <c r="H61" s="8" t="s">
        <v>438</v>
      </c>
      <c r="I61" s="8" t="s">
        <v>438</v>
      </c>
      <c r="J61" s="8" t="s">
        <v>438</v>
      </c>
      <c r="K61" s="8" t="s">
        <v>1808</v>
      </c>
      <c r="L61" s="8" t="s">
        <v>2156</v>
      </c>
      <c r="M61" s="9" t="s">
        <v>351</v>
      </c>
      <c r="N61" s="9" t="s">
        <v>352</v>
      </c>
      <c r="O61" s="8" t="s">
        <v>2157</v>
      </c>
      <c r="P61" s="8" t="s">
        <v>2158</v>
      </c>
      <c r="Q61" s="12" t="str">
        <f>IFERROR(IF(VLOOKUP(L61,SOURCE_REGISTRY!$A$2:$E$246,5,FALSE)="","",VLOOKUP(L61,SOURCE_REGISTRY!$A$2:$E$246,5,FALSE)),"")</f>
        <v>https://health.ec.europa.eu/health-emergency-preparedness-and-response-hera_en</v>
      </c>
      <c r="R61" s="8" t="s">
        <v>1883</v>
      </c>
      <c r="S61" s="8" t="s">
        <v>2098</v>
      </c>
      <c r="T61" s="9" t="s">
        <v>356</v>
      </c>
    </row>
    <row r="62" spans="1:20" ht="36.950000000000003" customHeight="1" x14ac:dyDescent="0.25">
      <c r="A62" s="8" t="s">
        <v>2159</v>
      </c>
      <c r="B62" s="8" t="s">
        <v>2160</v>
      </c>
      <c r="C62" s="8" t="s">
        <v>1866</v>
      </c>
      <c r="D62" s="8" t="s">
        <v>1804</v>
      </c>
      <c r="E62" s="8" t="s">
        <v>2037</v>
      </c>
      <c r="F62" s="8" t="s">
        <v>2161</v>
      </c>
      <c r="G62" s="8" t="s">
        <v>2162</v>
      </c>
      <c r="H62" s="8" t="s">
        <v>438</v>
      </c>
      <c r="I62" s="8" t="s">
        <v>1861</v>
      </c>
      <c r="J62" s="8" t="s">
        <v>1807</v>
      </c>
      <c r="K62" s="8" t="s">
        <v>1866</v>
      </c>
      <c r="L62" s="8" t="s">
        <v>2163</v>
      </c>
      <c r="M62" s="9" t="s">
        <v>954</v>
      </c>
      <c r="N62" s="9" t="s">
        <v>352</v>
      </c>
      <c r="O62" s="8" t="s">
        <v>2164</v>
      </c>
      <c r="P62" s="8" t="s">
        <v>2165</v>
      </c>
      <c r="Q62" s="12" t="str">
        <f>IFERROR(IF(VLOOKUP(L62,SOURCE_REGISTRY!$A$2:$E$246,5,FALSE)="","",VLOOKUP(L62,SOURCE_REGISTRY!$A$2:$E$246,5,FALSE)),"")</f>
        <v>https://www.medfak.uni-bonn.de/de/forschung/forschungsfoerderung/bonfor/bonfor-forschungsfoerderprogramm</v>
      </c>
      <c r="R62" s="8"/>
      <c r="S62" s="8" t="s">
        <v>2098</v>
      </c>
      <c r="T62" s="9" t="s">
        <v>356</v>
      </c>
    </row>
    <row r="63" spans="1:20" ht="36.950000000000003" customHeight="1" x14ac:dyDescent="0.25">
      <c r="A63" s="8" t="s">
        <v>2166</v>
      </c>
      <c r="B63" s="8" t="s">
        <v>2167</v>
      </c>
      <c r="C63" s="8" t="s">
        <v>1866</v>
      </c>
      <c r="D63" s="8" t="s">
        <v>1804</v>
      </c>
      <c r="E63" s="8" t="s">
        <v>1990</v>
      </c>
      <c r="F63" s="8" t="s">
        <v>2168</v>
      </c>
      <c r="G63" s="8" t="s">
        <v>2162</v>
      </c>
      <c r="H63" s="8" t="s">
        <v>438</v>
      </c>
      <c r="I63" s="8" t="s">
        <v>1861</v>
      </c>
      <c r="J63" s="8" t="s">
        <v>2169</v>
      </c>
      <c r="K63" s="8" t="s">
        <v>1866</v>
      </c>
      <c r="L63" s="8" t="s">
        <v>2170</v>
      </c>
      <c r="M63" s="9" t="s">
        <v>954</v>
      </c>
      <c r="N63" s="9" t="s">
        <v>352</v>
      </c>
      <c r="O63" s="8" t="s">
        <v>2171</v>
      </c>
      <c r="P63" s="8" t="s">
        <v>2172</v>
      </c>
      <c r="Q63" s="12" t="str">
        <f>IFERROR(IF(VLOOKUP(L63,SOURCE_REGISTRY!$A$2:$E$246,5,FALSE)="","",VLOOKUP(L63,SOURCE_REGISTRY!$A$2:$E$246,5,FALSE)),"")</f>
        <v>https://www.medizin.uni-tuebingen.de/de/medizinische-fakultaet/forschung/forschungsfoerderung</v>
      </c>
      <c r="R63" s="8"/>
      <c r="S63" s="8" t="s">
        <v>2098</v>
      </c>
      <c r="T63" s="9" t="s">
        <v>356</v>
      </c>
    </row>
    <row r="64" spans="1:20" ht="36.950000000000003" customHeight="1" x14ac:dyDescent="0.25">
      <c r="A64" s="8" t="s">
        <v>2173</v>
      </c>
      <c r="B64" s="8" t="s">
        <v>2174</v>
      </c>
      <c r="C64" s="8" t="s">
        <v>1866</v>
      </c>
      <c r="D64" s="8" t="s">
        <v>1804</v>
      </c>
      <c r="E64" s="8" t="s">
        <v>2032</v>
      </c>
      <c r="F64" s="8" t="s">
        <v>2175</v>
      </c>
      <c r="G64" s="8" t="s">
        <v>2162</v>
      </c>
      <c r="H64" s="8" t="s">
        <v>438</v>
      </c>
      <c r="I64" s="8" t="s">
        <v>1861</v>
      </c>
      <c r="J64" s="8" t="s">
        <v>1807</v>
      </c>
      <c r="K64" s="8" t="s">
        <v>1866</v>
      </c>
      <c r="L64" s="8" t="s">
        <v>2176</v>
      </c>
      <c r="M64" s="9" t="s">
        <v>954</v>
      </c>
      <c r="N64" s="9" t="s">
        <v>352</v>
      </c>
      <c r="O64" s="8" t="s">
        <v>2177</v>
      </c>
      <c r="P64" s="8" t="s">
        <v>2178</v>
      </c>
      <c r="Q64" s="12" t="str">
        <f>IFERROR(IF(VLOOKUP(L64,SOURCE_REGISTRY!$A$2:$E$246,5,FALSE)="","",VLOOKUP(L64,SOURCE_REGISTRY!$A$2:$E$246,5,FALSE)),"")</f>
        <v>https://www.mhh.de/forschung/hochschulinterne-leistungsfoerderung</v>
      </c>
      <c r="R64" s="8"/>
      <c r="S64" s="8" t="s">
        <v>2098</v>
      </c>
      <c r="T64" s="9" t="s">
        <v>356</v>
      </c>
    </row>
    <row r="65" spans="1:20" ht="51" customHeight="1" x14ac:dyDescent="0.25">
      <c r="A65" s="8" t="s">
        <v>2179</v>
      </c>
      <c r="B65" s="8" t="s">
        <v>2180</v>
      </c>
      <c r="C65" s="8" t="s">
        <v>1866</v>
      </c>
      <c r="D65" s="8" t="s">
        <v>1804</v>
      </c>
      <c r="E65" s="8" t="s">
        <v>1990</v>
      </c>
      <c r="F65" s="8" t="s">
        <v>2181</v>
      </c>
      <c r="G65" s="8" t="s">
        <v>2162</v>
      </c>
      <c r="H65" s="8" t="s">
        <v>438</v>
      </c>
      <c r="I65" s="8" t="s">
        <v>1861</v>
      </c>
      <c r="J65" s="8" t="s">
        <v>2169</v>
      </c>
      <c r="K65" s="8" t="s">
        <v>1866</v>
      </c>
      <c r="L65" s="8" t="s">
        <v>2182</v>
      </c>
      <c r="M65" s="9" t="s">
        <v>954</v>
      </c>
      <c r="N65" s="9" t="s">
        <v>352</v>
      </c>
      <c r="O65" s="8" t="s">
        <v>2183</v>
      </c>
      <c r="P65" s="8" t="s">
        <v>2184</v>
      </c>
      <c r="Q65" s="12" t="str">
        <f>IFERROR(IF(VLOOKUP(L65,SOURCE_REGISTRY!$A$2:$E$246,5,FALSE)="","",VLOOKUP(L65,SOURCE_REGISTRY!$A$2:$E$246,5,FALSE)),"")</f>
        <v>https://www.medizinische-fakultaet-hd.uni-heidelberg.de/forschung/forschungsfoerderung/foerderprogramme-der-fakultaet/collaborative-seed-grant-funding/</v>
      </c>
      <c r="R65" s="8"/>
      <c r="S65" s="8" t="s">
        <v>2098</v>
      </c>
      <c r="T65" s="9" t="s">
        <v>356</v>
      </c>
    </row>
    <row r="66" spans="1:20" ht="36.950000000000003" customHeight="1" x14ac:dyDescent="0.25">
      <c r="A66" s="8" t="s">
        <v>2185</v>
      </c>
      <c r="B66" s="8" t="s">
        <v>2186</v>
      </c>
      <c r="C66" s="8" t="s">
        <v>1813</v>
      </c>
      <c r="D66" s="8" t="s">
        <v>2187</v>
      </c>
      <c r="E66" s="8" t="s">
        <v>2022</v>
      </c>
      <c r="F66" s="8" t="s">
        <v>438</v>
      </c>
      <c r="G66" s="8" t="s">
        <v>2188</v>
      </c>
      <c r="H66" s="8" t="s">
        <v>438</v>
      </c>
      <c r="I66" s="8" t="s">
        <v>438</v>
      </c>
      <c r="J66" s="8" t="s">
        <v>2169</v>
      </c>
      <c r="K66" s="8" t="s">
        <v>1992</v>
      </c>
      <c r="L66" s="8" t="s">
        <v>2189</v>
      </c>
      <c r="M66" s="9" t="s">
        <v>954</v>
      </c>
      <c r="N66" s="9" t="s">
        <v>352</v>
      </c>
      <c r="O66" s="8" t="s">
        <v>2190</v>
      </c>
      <c r="P66" s="8" t="s">
        <v>2191</v>
      </c>
      <c r="Q66" s="12" t="str">
        <f>IFERROR(IF(VLOOKUP(L66,SOURCE_REGISTRY!$A$2:$E$246,5,FALSE)="","",VLOOKUP(L66,SOURCE_REGISTRY!$A$2:$E$246,5,FALSE)),"")</f>
        <v>https://wissenschaft.hessen.de/forschen/forschungsfoerderprogramm-loewe</v>
      </c>
      <c r="R66" s="8"/>
      <c r="S66" s="8" t="s">
        <v>2098</v>
      </c>
      <c r="T66" s="9" t="s">
        <v>356</v>
      </c>
    </row>
    <row r="67" spans="1:20" ht="51" customHeight="1" x14ac:dyDescent="0.25">
      <c r="A67" s="8" t="s">
        <v>2192</v>
      </c>
      <c r="B67" s="8" t="s">
        <v>2193</v>
      </c>
      <c r="C67" s="8" t="s">
        <v>2143</v>
      </c>
      <c r="D67" s="8" t="s">
        <v>2194</v>
      </c>
      <c r="E67" s="8" t="s">
        <v>1682</v>
      </c>
      <c r="F67" s="8" t="s">
        <v>438</v>
      </c>
      <c r="G67" s="8" t="s">
        <v>2195</v>
      </c>
      <c r="H67" s="8" t="s">
        <v>438</v>
      </c>
      <c r="I67" s="8" t="s">
        <v>438</v>
      </c>
      <c r="J67" s="8" t="s">
        <v>438</v>
      </c>
      <c r="K67" s="8" t="s">
        <v>1808</v>
      </c>
      <c r="L67" s="8" t="s">
        <v>2196</v>
      </c>
      <c r="M67" s="9" t="s">
        <v>954</v>
      </c>
      <c r="N67" s="9" t="s">
        <v>352</v>
      </c>
      <c r="O67" s="8" t="s">
        <v>2197</v>
      </c>
      <c r="P67" s="8" t="s">
        <v>2198</v>
      </c>
      <c r="Q67" s="12" t="str">
        <f>IFERROR(IF(VLOOKUP(L67,SOURCE_REGISTRY!$A$2:$E$246,5,FALSE)="","",VLOOKUP(L67,SOURCE_REGISTRY!$A$2:$E$246,5,FALSE)),"")</f>
        <v>https://unitaid.org/projects/</v>
      </c>
      <c r="R67" s="8"/>
      <c r="S67" s="8" t="s">
        <v>2098</v>
      </c>
      <c r="T67" s="9" t="s">
        <v>356</v>
      </c>
    </row>
    <row r="68" spans="1:20" ht="51" customHeight="1" x14ac:dyDescent="0.25">
      <c r="A68" s="8" t="s">
        <v>2199</v>
      </c>
      <c r="B68" s="8" t="s">
        <v>2200</v>
      </c>
      <c r="C68" s="8" t="s">
        <v>2201</v>
      </c>
      <c r="D68" s="8" t="s">
        <v>1819</v>
      </c>
      <c r="E68" s="8" t="s">
        <v>2032</v>
      </c>
      <c r="F68" s="8" t="s">
        <v>438</v>
      </c>
      <c r="G68" s="8" t="s">
        <v>1820</v>
      </c>
      <c r="H68" s="8" t="s">
        <v>438</v>
      </c>
      <c r="I68" s="8" t="s">
        <v>1849</v>
      </c>
      <c r="J68" s="8" t="s">
        <v>1834</v>
      </c>
      <c r="K68" s="8" t="s">
        <v>1992</v>
      </c>
      <c r="L68" s="8" t="s">
        <v>2202</v>
      </c>
      <c r="M68" s="9" t="s">
        <v>351</v>
      </c>
      <c r="N68" s="9" t="s">
        <v>352</v>
      </c>
      <c r="O68" s="8" t="s">
        <v>2203</v>
      </c>
      <c r="P68" s="8" t="s">
        <v>2204</v>
      </c>
      <c r="Q68" s="12" t="str">
        <f>IFERROR(IF(VLOOKUP(L68,SOURCE_REGISTRY!$A$2:$E$246,5,FALSE)="","",VLOOKUP(L68,SOURCE_REGISTRY!$A$2:$E$246,5,FALSE)),"")</f>
        <v>https://niedersachsen-next.de/themen/life-science/ibt-lower-saxony/</v>
      </c>
      <c r="R68" s="8"/>
      <c r="S68" s="8" t="s">
        <v>438</v>
      </c>
      <c r="T68" s="9" t="s">
        <v>356</v>
      </c>
    </row>
  </sheetData>
  <dataValidations count="3">
    <dataValidation type="list" showErrorMessage="1" errorTitle="Controlled value required" error="Select a defined value; do not invent a tag." sqref="M2:M500" xr:uid="{00000000-0002-0000-0800-000000000000}">
      <formula1>"P0,P1,P2,P3"</formula1>
    </dataValidation>
    <dataValidation type="list" showErrorMessage="1" errorTitle="Controlled value required" error="Select a defined value; do not invent a tag." sqref="T2:T500" xr:uid="{00000000-0002-0000-0800-000001000000}">
      <formula1>"CORE,CONDITIONAL,DISCOVERY,PAUSED"</formula1>
    </dataValidation>
    <dataValidation type="list" showErrorMessage="1" errorTitle="Controlled value required" error="Select a defined value; do not invent a tag." sqref="N2:N500" xr:uid="{00000000-0002-0000-08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7E8B"/>
    <outlinePr summaryBelow="0" summaryRight="0"/>
    <pageSetUpPr fitToPage="1"/>
  </sheetPr>
  <dimension ref="A1:R79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29" customWidth="1"/>
    <col min="3" max="3" width="38" customWidth="1"/>
    <col min="4" max="4" width="27" customWidth="1"/>
    <col min="5" max="6" width="32" customWidth="1"/>
    <col min="7" max="10" width="27" customWidth="1"/>
    <col min="11" max="11" width="29" customWidth="1"/>
    <col min="12" max="13" width="20" customWidth="1"/>
    <col min="14" max="15" width="61" customWidth="1"/>
    <col min="16" max="16" width="29" customWidth="1"/>
    <col min="17" max="17" width="52" customWidth="1"/>
    <col min="18" max="18" width="20" customWidth="1"/>
  </cols>
  <sheetData>
    <row r="1" spans="1:18" ht="42.95" customHeight="1" x14ac:dyDescent="0.25">
      <c r="A1" s="7" t="s">
        <v>326</v>
      </c>
      <c r="B1" s="7" t="s">
        <v>327</v>
      </c>
      <c r="C1" s="7" t="s">
        <v>328</v>
      </c>
      <c r="D1" s="7" t="s">
        <v>2205</v>
      </c>
      <c r="E1" s="7" t="s">
        <v>330</v>
      </c>
      <c r="F1" s="7" t="s">
        <v>333</v>
      </c>
      <c r="G1" s="7" t="s">
        <v>1783</v>
      </c>
      <c r="H1" s="7" t="s">
        <v>2206</v>
      </c>
      <c r="I1" s="7" t="s">
        <v>2207</v>
      </c>
      <c r="J1" s="7" t="s">
        <v>2208</v>
      </c>
      <c r="K1" s="7" t="s">
        <v>335</v>
      </c>
      <c r="L1" s="7" t="s">
        <v>336</v>
      </c>
      <c r="M1" s="7" t="s">
        <v>238</v>
      </c>
      <c r="N1" s="7" t="s">
        <v>2209</v>
      </c>
      <c r="O1" s="7" t="s">
        <v>2210</v>
      </c>
      <c r="P1" s="7" t="s">
        <v>338</v>
      </c>
      <c r="Q1" s="7" t="s">
        <v>340</v>
      </c>
      <c r="R1" s="7" t="s">
        <v>341</v>
      </c>
    </row>
    <row r="2" spans="1:18" ht="36.950000000000003" customHeight="1" x14ac:dyDescent="0.25">
      <c r="A2" s="8" t="s">
        <v>2211</v>
      </c>
      <c r="B2" s="8" t="s">
        <v>566</v>
      </c>
      <c r="C2" s="12" t="str">
        <f>IFERROR(VLOOKUP(B2,ENTITY_MASTER!$A$2:$B$266,2,FALSE),"")</f>
        <v>GSK</v>
      </c>
      <c r="D2" s="8" t="s">
        <v>2212</v>
      </c>
      <c r="E2" s="8" t="s">
        <v>2213</v>
      </c>
      <c r="F2" s="8" t="s">
        <v>2214</v>
      </c>
      <c r="G2" s="8" t="s">
        <v>438</v>
      </c>
      <c r="H2" s="8" t="s">
        <v>2215</v>
      </c>
      <c r="I2" s="8" t="s">
        <v>2216</v>
      </c>
      <c r="J2" s="8" t="s">
        <v>1682</v>
      </c>
      <c r="K2" s="8" t="s">
        <v>2217</v>
      </c>
      <c r="L2" s="9" t="s">
        <v>351</v>
      </c>
      <c r="M2" s="9" t="s">
        <v>352</v>
      </c>
      <c r="N2" s="8" t="s">
        <v>2218</v>
      </c>
      <c r="O2" s="8" t="s">
        <v>2219</v>
      </c>
      <c r="P2" s="8" t="s">
        <v>2220</v>
      </c>
      <c r="Q2" s="12" t="str">
        <f>IFERROR(IF(VLOOKUP(K2,SOURCE_REGISTRY!$A$2:$E$246,5,FALSE)="","",VLOOKUP(K2,SOURCE_REGISTRY!$A$2:$E$246,5,FALSE)),"")</f>
        <v>https://www.gsk.com/en-gb/innovation/partnerships/</v>
      </c>
      <c r="R2" s="9" t="s">
        <v>356</v>
      </c>
    </row>
    <row r="3" spans="1:18" ht="36.950000000000003" customHeight="1" x14ac:dyDescent="0.25">
      <c r="A3" s="8" t="s">
        <v>2221</v>
      </c>
      <c r="B3" s="8" t="s">
        <v>490</v>
      </c>
      <c r="C3" s="12" t="str">
        <f>IFERROR(VLOOKUP(B3,ENTITY_MASTER!$A$2:$B$266,2,FALSE),"")</f>
        <v>MSD / Merck &amp; Co.</v>
      </c>
      <c r="D3" s="8" t="s">
        <v>2212</v>
      </c>
      <c r="E3" s="8" t="s">
        <v>484</v>
      </c>
      <c r="F3" s="8" t="s">
        <v>2222</v>
      </c>
      <c r="G3" s="8" t="s">
        <v>2223</v>
      </c>
      <c r="H3" s="8" t="s">
        <v>2215</v>
      </c>
      <c r="I3" s="8" t="s">
        <v>2216</v>
      </c>
      <c r="J3" s="8" t="s">
        <v>1682</v>
      </c>
      <c r="K3" s="8" t="s">
        <v>493</v>
      </c>
      <c r="L3" s="9" t="s">
        <v>351</v>
      </c>
      <c r="M3" s="9" t="s">
        <v>352</v>
      </c>
      <c r="N3" s="8" t="s">
        <v>2224</v>
      </c>
      <c r="O3" s="8" t="s">
        <v>2225</v>
      </c>
      <c r="P3" s="8" t="s">
        <v>2226</v>
      </c>
      <c r="Q3" s="12" t="str">
        <f>IFERROR(IF(VLOOKUP(K3,SOURCE_REGISTRY!$A$2:$E$246,5,FALSE)="","",VLOOKUP(K3,SOURCE_REGISTRY!$A$2:$E$246,5,FALSE)),"")</f>
        <v>https://www.msd.com/research/business-development-and-licensing/collaborate-with-us/</v>
      </c>
      <c r="R3" s="9" t="s">
        <v>356</v>
      </c>
    </row>
    <row r="4" spans="1:18" ht="51" customHeight="1" x14ac:dyDescent="0.25">
      <c r="A4" s="8" t="s">
        <v>2227</v>
      </c>
      <c r="B4" s="8" t="s">
        <v>834</v>
      </c>
      <c r="C4" s="12" t="str">
        <f>IFERROR(VLOOKUP(B4,ENTITY_MASTER!$A$2:$B$266,2,FALSE),"")</f>
        <v>Sanofi</v>
      </c>
      <c r="D4" s="8" t="s">
        <v>2212</v>
      </c>
      <c r="E4" s="8" t="s">
        <v>2228</v>
      </c>
      <c r="F4" s="8" t="s">
        <v>2229</v>
      </c>
      <c r="G4" s="8" t="s">
        <v>2230</v>
      </c>
      <c r="H4" s="8" t="s">
        <v>2215</v>
      </c>
      <c r="I4" s="8" t="s">
        <v>2216</v>
      </c>
      <c r="J4" s="8" t="s">
        <v>1682</v>
      </c>
      <c r="K4" s="8" t="s">
        <v>837</v>
      </c>
      <c r="L4" s="9" t="s">
        <v>351</v>
      </c>
      <c r="M4" s="9" t="s">
        <v>352</v>
      </c>
      <c r="N4" s="8" t="s">
        <v>2231</v>
      </c>
      <c r="O4" s="8" t="s">
        <v>2232</v>
      </c>
      <c r="P4" s="8" t="s">
        <v>2233</v>
      </c>
      <c r="Q4" s="12" t="str">
        <f>IFERROR(IF(VLOOKUP(K4,SOURCE_REGISTRY!$A$2:$E$246,5,FALSE)="","",VLOOKUP(K4,SOURCE_REGISTRY!$A$2:$E$246,5,FALSE)),"")</f>
        <v>https://www.sanofi.com/en/partnering/partnering-focus-areas/vaccines</v>
      </c>
      <c r="R4" s="9" t="s">
        <v>356</v>
      </c>
    </row>
    <row r="5" spans="1:18" ht="36.950000000000003" customHeight="1" x14ac:dyDescent="0.25">
      <c r="A5" s="8" t="s">
        <v>2234</v>
      </c>
      <c r="B5" s="8" t="s">
        <v>445</v>
      </c>
      <c r="C5" s="12" t="str">
        <f>IFERROR(VLOOKUP(B5,ENTITY_MASTER!$A$2:$B$266,2,FALSE),"")</f>
        <v>Pfizer</v>
      </c>
      <c r="D5" s="8" t="s">
        <v>2212</v>
      </c>
      <c r="E5" s="8" t="s">
        <v>2235</v>
      </c>
      <c r="F5" s="8" t="s">
        <v>2236</v>
      </c>
      <c r="G5" s="8" t="s">
        <v>438</v>
      </c>
      <c r="H5" s="8" t="s">
        <v>2215</v>
      </c>
      <c r="I5" s="8" t="s">
        <v>2216</v>
      </c>
      <c r="J5" s="8" t="s">
        <v>1682</v>
      </c>
      <c r="K5" s="8" t="s">
        <v>2237</v>
      </c>
      <c r="L5" s="9" t="s">
        <v>351</v>
      </c>
      <c r="M5" s="9" t="s">
        <v>352</v>
      </c>
      <c r="N5" s="8" t="s">
        <v>2238</v>
      </c>
      <c r="O5" s="8" t="s">
        <v>2239</v>
      </c>
      <c r="P5" s="8" t="s">
        <v>2240</v>
      </c>
      <c r="Q5" s="12" t="str">
        <f>IFERROR(IF(VLOOKUP(K5,SOURCE_REGISTRY!$A$2:$E$246,5,FALSE)="","",VLOOKUP(K5,SOURCE_REGISTRY!$A$2:$E$246,5,FALSE)),"")</f>
        <v>https://www.pfizer.com/about/partners/research-and-business-development-partnerships/</v>
      </c>
      <c r="R5" s="9" t="s">
        <v>356</v>
      </c>
    </row>
    <row r="6" spans="1:18" ht="51" customHeight="1" x14ac:dyDescent="0.25">
      <c r="A6" s="8" t="s">
        <v>2241</v>
      </c>
      <c r="B6" s="8" t="s">
        <v>971</v>
      </c>
      <c r="C6" s="12" t="str">
        <f>IFERROR(VLOOKUP(B6,ENTITY_MASTER!$A$2:$B$266,2,FALSE),"")</f>
        <v>Roche</v>
      </c>
      <c r="D6" s="8" t="s">
        <v>2212</v>
      </c>
      <c r="E6" s="8" t="s">
        <v>2242</v>
      </c>
      <c r="F6" s="8" t="s">
        <v>2243</v>
      </c>
      <c r="G6" s="8" t="s">
        <v>2230</v>
      </c>
      <c r="H6" s="8" t="s">
        <v>2215</v>
      </c>
      <c r="I6" s="8" t="s">
        <v>2216</v>
      </c>
      <c r="J6" s="8" t="s">
        <v>1682</v>
      </c>
      <c r="K6" s="8" t="s">
        <v>973</v>
      </c>
      <c r="L6" s="9" t="s">
        <v>351</v>
      </c>
      <c r="M6" s="9" t="s">
        <v>352</v>
      </c>
      <c r="N6" s="8" t="s">
        <v>2244</v>
      </c>
      <c r="O6" s="8" t="s">
        <v>2245</v>
      </c>
      <c r="P6" s="8" t="s">
        <v>2246</v>
      </c>
      <c r="Q6" s="12" t="str">
        <f>IFERROR(IF(VLOOKUP(K6,SOURCE_REGISTRY!$A$2:$E$246,5,FALSE)="","",VLOOKUP(K6,SOURCE_REGISTRY!$A$2:$E$246,5,FALSE)),"")</f>
        <v>https://www.roche.com/innovation/partnering/areas-of-interest/infectious-diseases</v>
      </c>
      <c r="R6" s="9" t="s">
        <v>356</v>
      </c>
    </row>
    <row r="7" spans="1:18" ht="36.950000000000003" customHeight="1" x14ac:dyDescent="0.25">
      <c r="A7" s="8" t="s">
        <v>2247</v>
      </c>
      <c r="B7" s="8" t="s">
        <v>814</v>
      </c>
      <c r="C7" s="12" t="str">
        <f>IFERROR(VLOOKUP(B7,ENTITY_MASTER!$A$2:$B$266,2,FALSE),"")</f>
        <v>Shionogi</v>
      </c>
      <c r="D7" s="8" t="s">
        <v>2212</v>
      </c>
      <c r="E7" s="8" t="s">
        <v>2248</v>
      </c>
      <c r="F7" s="8" t="s">
        <v>2249</v>
      </c>
      <c r="G7" s="8" t="s">
        <v>2250</v>
      </c>
      <c r="H7" s="8" t="s">
        <v>2215</v>
      </c>
      <c r="I7" s="8" t="s">
        <v>2216</v>
      </c>
      <c r="J7" s="8" t="s">
        <v>2251</v>
      </c>
      <c r="K7" s="8" t="s">
        <v>818</v>
      </c>
      <c r="L7" s="9" t="s">
        <v>351</v>
      </c>
      <c r="M7" s="9" t="s">
        <v>352</v>
      </c>
      <c r="N7" s="8" t="s">
        <v>2252</v>
      </c>
      <c r="O7" s="8" t="s">
        <v>2253</v>
      </c>
      <c r="P7" s="8" t="s">
        <v>2254</v>
      </c>
      <c r="Q7" s="12" t="str">
        <f>IFERROR(IF(VLOOKUP(K7,SOURCE_REGISTRY!$A$2:$E$246,5,FALSE)="","",VLOOKUP(K7,SOURCE_REGISTRY!$A$2:$E$246,5,FALSE)),"")</f>
        <v>https://www.shionogi.com/eu/en/innovation/strategic-partnering-in-europe/partnering-licensing-interests.html</v>
      </c>
      <c r="R7" s="9" t="s">
        <v>356</v>
      </c>
    </row>
    <row r="8" spans="1:18" ht="36.950000000000003" customHeight="1" x14ac:dyDescent="0.25">
      <c r="A8" s="8" t="s">
        <v>2255</v>
      </c>
      <c r="B8" s="8" t="s">
        <v>664</v>
      </c>
      <c r="C8" s="12" t="str">
        <f>IFERROR(VLOOKUP(B8,ENTITY_MASTER!$A$2:$B$266,2,FALSE),"")</f>
        <v>Basilea Pharmaceutica</v>
      </c>
      <c r="D8" s="8" t="s">
        <v>2212</v>
      </c>
      <c r="E8" s="8" t="s">
        <v>2256</v>
      </c>
      <c r="F8" s="8" t="s">
        <v>543</v>
      </c>
      <c r="G8" s="8" t="s">
        <v>2223</v>
      </c>
      <c r="H8" s="8" t="s">
        <v>2215</v>
      </c>
      <c r="I8" s="8" t="s">
        <v>2216</v>
      </c>
      <c r="J8" s="8" t="s">
        <v>1682</v>
      </c>
      <c r="K8" s="8" t="s">
        <v>2257</v>
      </c>
      <c r="L8" s="9" t="s">
        <v>351</v>
      </c>
      <c r="M8" s="9" t="s">
        <v>352</v>
      </c>
      <c r="N8" s="8" t="s">
        <v>2258</v>
      </c>
      <c r="O8" s="8" t="s">
        <v>2259</v>
      </c>
      <c r="P8" s="8" t="s">
        <v>2260</v>
      </c>
      <c r="Q8" s="12" t="str">
        <f>IFERROR(IF(VLOOKUP(K8,SOURCE_REGISTRY!$A$2:$E$246,5,FALSE)="","",VLOOKUP(K8,SOURCE_REGISTRY!$A$2:$E$246,5,FALSE)),"")</f>
        <v>https://www.basilea.com/news/news/basilea-informiert-ueber-stand-seines-portfolios-und-gibt-ausblick-1</v>
      </c>
      <c r="R8" s="9" t="s">
        <v>356</v>
      </c>
    </row>
    <row r="9" spans="1:18" ht="36.950000000000003" customHeight="1" x14ac:dyDescent="0.25">
      <c r="A9" s="8" t="s">
        <v>2261</v>
      </c>
      <c r="B9" s="8" t="s">
        <v>483</v>
      </c>
      <c r="C9" s="12" t="str">
        <f>IFERROR(VLOOKUP(B9,ENTITY_MASTER!$A$2:$B$266,2,FALSE),"")</f>
        <v>Eli Lilly</v>
      </c>
      <c r="D9" s="8" t="s">
        <v>2262</v>
      </c>
      <c r="E9" s="8" t="s">
        <v>484</v>
      </c>
      <c r="F9" s="8" t="s">
        <v>485</v>
      </c>
      <c r="G9" s="8" t="s">
        <v>2223</v>
      </c>
      <c r="H9" s="8" t="s">
        <v>2215</v>
      </c>
      <c r="I9" s="8" t="s">
        <v>2216</v>
      </c>
      <c r="J9" s="8" t="s">
        <v>1682</v>
      </c>
      <c r="K9" s="8" t="s">
        <v>487</v>
      </c>
      <c r="L9" s="9" t="s">
        <v>351</v>
      </c>
      <c r="M9" s="9" t="s">
        <v>352</v>
      </c>
      <c r="N9" s="8" t="s">
        <v>2263</v>
      </c>
      <c r="O9" s="8" t="s">
        <v>2264</v>
      </c>
      <c r="P9" s="8" t="s">
        <v>488</v>
      </c>
      <c r="Q9" s="12" t="str">
        <f>IFERROR(IF(VLOOKUP(K9,SOURCE_REGISTRY!$A$2:$E$246,5,FALSE)="","",VLOOKUP(K9,SOURCE_REGISTRY!$A$2:$E$246,5,FALSE)),"")</f>
        <v>https://investor.lilly.com/node/54346</v>
      </c>
      <c r="R9" s="9" t="s">
        <v>356</v>
      </c>
    </row>
    <row r="10" spans="1:18" ht="36.950000000000003" customHeight="1" x14ac:dyDescent="0.25">
      <c r="A10" s="8" t="s">
        <v>2265</v>
      </c>
      <c r="B10" s="8" t="s">
        <v>2266</v>
      </c>
      <c r="C10" s="12" t="str">
        <f>IFERROR(VLOOKUP(B10,ENTITY_MASTER!$A$2:$B$266,2,FALSE),"")</f>
        <v>Asahi Kasei Therapeutics (group route)</v>
      </c>
      <c r="D10" s="8" t="s">
        <v>2262</v>
      </c>
      <c r="E10" s="8" t="s">
        <v>2267</v>
      </c>
      <c r="F10" s="8" t="s">
        <v>543</v>
      </c>
      <c r="G10" s="8" t="s">
        <v>2250</v>
      </c>
      <c r="H10" s="8" t="s">
        <v>2215</v>
      </c>
      <c r="I10" s="8" t="s">
        <v>2216</v>
      </c>
      <c r="J10" s="8" t="s">
        <v>1682</v>
      </c>
      <c r="K10" s="8" t="s">
        <v>2268</v>
      </c>
      <c r="L10" s="9" t="s">
        <v>351</v>
      </c>
      <c r="M10" s="14" t="s">
        <v>944</v>
      </c>
      <c r="N10" s="8" t="s">
        <v>2269</v>
      </c>
      <c r="O10" s="8" t="s">
        <v>2270</v>
      </c>
      <c r="P10" s="8" t="s">
        <v>2271</v>
      </c>
      <c r="Q10" s="12" t="str">
        <f>IFERROR(IF(VLOOKUP(K10,SOURCE_REGISTRY!$A$2:$E$246,5,FALSE)="","",VLOOKUP(K10,SOURCE_REGISTRY!$A$2:$E$246,5,FALSE)),"")</f>
        <v>https://www.aktx.com/</v>
      </c>
      <c r="R10" s="9" t="s">
        <v>356</v>
      </c>
    </row>
    <row r="11" spans="1:18" ht="36.950000000000003" customHeight="1" x14ac:dyDescent="0.25">
      <c r="A11" s="8" t="s">
        <v>2272</v>
      </c>
      <c r="B11" s="8" t="s">
        <v>642</v>
      </c>
      <c r="C11" s="12" t="str">
        <f>IFERROR(VLOOKUP(B11,ENTITY_MASTER!$A$2:$B$266,2,FALSE),"")</f>
        <v>AstraZeneca</v>
      </c>
      <c r="D11" s="8" t="s">
        <v>2273</v>
      </c>
      <c r="E11" s="8" t="s">
        <v>2274</v>
      </c>
      <c r="F11" s="8" t="s">
        <v>2275</v>
      </c>
      <c r="G11" s="8" t="s">
        <v>2223</v>
      </c>
      <c r="H11" s="8" t="s">
        <v>2215</v>
      </c>
      <c r="I11" s="8" t="s">
        <v>2216</v>
      </c>
      <c r="J11" s="8" t="s">
        <v>1682</v>
      </c>
      <c r="K11" s="8" t="s">
        <v>647</v>
      </c>
      <c r="L11" s="9" t="s">
        <v>954</v>
      </c>
      <c r="M11" s="9" t="s">
        <v>352</v>
      </c>
      <c r="N11" s="8" t="s">
        <v>2276</v>
      </c>
      <c r="O11" s="8" t="s">
        <v>2277</v>
      </c>
      <c r="P11" s="8" t="s">
        <v>2278</v>
      </c>
      <c r="Q11" s="12" t="str">
        <f>IFERROR(IF(VLOOKUP(K11,SOURCE_REGISTRY!$A$2:$E$246,5,FALSE)="","",VLOOKUP(K11,SOURCE_REGISTRY!$A$2:$E$246,5,FALSE)),"")</f>
        <v>https://www.astrazeneca.com/our-therapy-areas/pipeline.html</v>
      </c>
      <c r="R11" s="9" t="s">
        <v>356</v>
      </c>
    </row>
    <row r="12" spans="1:18" ht="36.950000000000003" customHeight="1" x14ac:dyDescent="0.25">
      <c r="A12" s="8" t="s">
        <v>2279</v>
      </c>
      <c r="B12" s="8" t="s">
        <v>407</v>
      </c>
      <c r="C12" s="12" t="str">
        <f>IFERROR(VLOOKUP(B12,ENTITY_MASTER!$A$2:$B$266,2,FALSE),"")</f>
        <v>BioNTech</v>
      </c>
      <c r="D12" s="8" t="s">
        <v>2273</v>
      </c>
      <c r="E12" s="8" t="s">
        <v>2280</v>
      </c>
      <c r="F12" s="8" t="s">
        <v>2281</v>
      </c>
      <c r="G12" s="8" t="s">
        <v>2223</v>
      </c>
      <c r="H12" s="8" t="s">
        <v>2215</v>
      </c>
      <c r="I12" s="8" t="s">
        <v>2216</v>
      </c>
      <c r="J12" s="8" t="s">
        <v>1682</v>
      </c>
      <c r="K12" s="8" t="s">
        <v>411</v>
      </c>
      <c r="L12" s="9" t="s">
        <v>351</v>
      </c>
      <c r="M12" s="9" t="s">
        <v>352</v>
      </c>
      <c r="N12" s="8" t="s">
        <v>2282</v>
      </c>
      <c r="O12" s="8" t="s">
        <v>2283</v>
      </c>
      <c r="P12" s="8" t="s">
        <v>2284</v>
      </c>
      <c r="Q12" s="12" t="str">
        <f>IFERROR(IF(VLOOKUP(K12,SOURCE_REGISTRY!$A$2:$E$246,5,FALSE)="","",VLOOKUP(K12,SOURCE_REGISTRY!$A$2:$E$246,5,FALSE)),"")</f>
        <v>https://www.biontech.com/us/en/home/research-and-innovation/therapeutic-areas/infectious-diseases.html</v>
      </c>
      <c r="R12" s="9" t="s">
        <v>356</v>
      </c>
    </row>
    <row r="13" spans="1:18" ht="36.950000000000003" customHeight="1" x14ac:dyDescent="0.25">
      <c r="A13" s="8" t="s">
        <v>2285</v>
      </c>
      <c r="B13" s="8" t="s">
        <v>414</v>
      </c>
      <c r="C13" s="12" t="str">
        <f>IFERROR(VLOOKUP(B13,ENTITY_MASTER!$A$2:$B$266,2,FALSE),"")</f>
        <v>Moderna</v>
      </c>
      <c r="D13" s="8" t="s">
        <v>2273</v>
      </c>
      <c r="E13" s="8" t="s">
        <v>2286</v>
      </c>
      <c r="F13" s="8" t="s">
        <v>2287</v>
      </c>
      <c r="G13" s="8" t="s">
        <v>2223</v>
      </c>
      <c r="H13" s="8" t="s">
        <v>2215</v>
      </c>
      <c r="I13" s="8" t="s">
        <v>2216</v>
      </c>
      <c r="J13" s="8" t="s">
        <v>1682</v>
      </c>
      <c r="K13" s="8" t="s">
        <v>420</v>
      </c>
      <c r="L13" s="9" t="s">
        <v>351</v>
      </c>
      <c r="M13" s="9" t="s">
        <v>352</v>
      </c>
      <c r="N13" s="8" t="s">
        <v>2288</v>
      </c>
      <c r="O13" s="8" t="s">
        <v>2289</v>
      </c>
      <c r="P13" s="8" t="s">
        <v>2290</v>
      </c>
      <c r="Q13" s="12" t="str">
        <f>IFERROR(IF(VLOOKUP(K13,SOURCE_REGISTRY!$A$2:$E$246,5,FALSE)="","",VLOOKUP(K13,SOURCE_REGISTRY!$A$2:$E$246,5,FALSE)),"")</f>
        <v>https://www.modernatx.com/research/product-pipeline</v>
      </c>
      <c r="R13" s="9" t="s">
        <v>356</v>
      </c>
    </row>
    <row r="14" spans="1:18" ht="36.950000000000003" customHeight="1" x14ac:dyDescent="0.25">
      <c r="A14" s="8" t="s">
        <v>2291</v>
      </c>
      <c r="B14" s="8" t="s">
        <v>991</v>
      </c>
      <c r="C14" s="12" t="str">
        <f>IFERROR(VLOOKUP(B14,ENTITY_MASTER!$A$2:$B$266,2,FALSE),"")</f>
        <v>Bavarian Nordic</v>
      </c>
      <c r="D14" s="8" t="s">
        <v>2273</v>
      </c>
      <c r="E14" s="8" t="s">
        <v>1005</v>
      </c>
      <c r="F14" s="8" t="s">
        <v>2292</v>
      </c>
      <c r="G14" s="8" t="s">
        <v>2250</v>
      </c>
      <c r="H14" s="8" t="s">
        <v>2215</v>
      </c>
      <c r="I14" s="8" t="s">
        <v>2216</v>
      </c>
      <c r="J14" s="8" t="s">
        <v>1682</v>
      </c>
      <c r="K14" s="8" t="s">
        <v>993</v>
      </c>
      <c r="L14" s="9" t="s">
        <v>351</v>
      </c>
      <c r="M14" s="9" t="s">
        <v>352</v>
      </c>
      <c r="N14" s="8" t="s">
        <v>2293</v>
      </c>
      <c r="O14" s="8" t="s">
        <v>2294</v>
      </c>
      <c r="P14" s="8" t="s">
        <v>2295</v>
      </c>
      <c r="Q14" s="12" t="str">
        <f>IFERROR(IF(VLOOKUP(K14,SOURCE_REGISTRY!$A$2:$E$246,5,FALSE)="","",VLOOKUP(K14,SOURCE_REGISTRY!$A$2:$E$246,5,FALSE)),"")</f>
        <v>https://www.bavarian-nordic.com/investor/news/news.aspx?news=7444</v>
      </c>
      <c r="R14" s="9" t="s">
        <v>356</v>
      </c>
    </row>
    <row r="15" spans="1:18" ht="36.950000000000003" customHeight="1" x14ac:dyDescent="0.25">
      <c r="A15" s="8" t="s">
        <v>2296</v>
      </c>
      <c r="B15" s="8" t="s">
        <v>701</v>
      </c>
      <c r="C15" s="12" t="str">
        <f>IFERROR(VLOOKUP(B15,ENTITY_MASTER!$A$2:$B$266,2,FALSE),"")</f>
        <v>Valneva</v>
      </c>
      <c r="D15" s="8" t="s">
        <v>2273</v>
      </c>
      <c r="E15" s="8" t="s">
        <v>2235</v>
      </c>
      <c r="F15" s="8" t="s">
        <v>409</v>
      </c>
      <c r="G15" s="8" t="s">
        <v>2223</v>
      </c>
      <c r="H15" s="8" t="s">
        <v>2215</v>
      </c>
      <c r="I15" s="8" t="s">
        <v>2216</v>
      </c>
      <c r="J15" s="8" t="s">
        <v>1682</v>
      </c>
      <c r="K15" s="8" t="s">
        <v>704</v>
      </c>
      <c r="L15" s="9" t="s">
        <v>351</v>
      </c>
      <c r="M15" s="9" t="s">
        <v>352</v>
      </c>
      <c r="N15" s="8" t="s">
        <v>2297</v>
      </c>
      <c r="O15" s="8" t="s">
        <v>2298</v>
      </c>
      <c r="P15" s="8" t="s">
        <v>2299</v>
      </c>
      <c r="Q15" s="12" t="str">
        <f>IFERROR(IF(VLOOKUP(K15,SOURCE_REGISTRY!$A$2:$E$246,5,FALSE)="","",VLOOKUP(K15,SOURCE_REGISTRY!$A$2:$E$246,5,FALSE)),"")</f>
        <v>https://valneva.com/faq/</v>
      </c>
      <c r="R15" s="9" t="s">
        <v>356</v>
      </c>
    </row>
    <row r="16" spans="1:18" ht="51" customHeight="1" x14ac:dyDescent="0.25">
      <c r="A16" s="8" t="s">
        <v>2300</v>
      </c>
      <c r="B16" s="8" t="s">
        <v>466</v>
      </c>
      <c r="C16" s="12" t="str">
        <f>IFERROR(VLOOKUP(B16,ENTITY_MASTER!$A$2:$B$266,2,FALSE),"")</f>
        <v>Gilead Sciences</v>
      </c>
      <c r="D16" s="8" t="s">
        <v>2273</v>
      </c>
      <c r="E16" s="8" t="s">
        <v>2301</v>
      </c>
      <c r="F16" s="8" t="s">
        <v>2302</v>
      </c>
      <c r="G16" s="8" t="s">
        <v>2250</v>
      </c>
      <c r="H16" s="8" t="s">
        <v>2215</v>
      </c>
      <c r="I16" s="8" t="s">
        <v>2216</v>
      </c>
      <c r="J16" s="8" t="s">
        <v>1682</v>
      </c>
      <c r="K16" s="8" t="s">
        <v>472</v>
      </c>
      <c r="L16" s="9" t="s">
        <v>351</v>
      </c>
      <c r="M16" s="9" t="s">
        <v>352</v>
      </c>
      <c r="N16" s="8" t="s">
        <v>2303</v>
      </c>
      <c r="O16" s="8" t="s">
        <v>2304</v>
      </c>
      <c r="P16" s="8" t="s">
        <v>2305</v>
      </c>
      <c r="Q16" s="12" t="str">
        <f>IFERROR(IF(VLOOKUP(K16,SOURCE_REGISTRY!$A$2:$E$246,5,FALSE)="","",VLOOKUP(K16,SOURCE_REGISTRY!$A$2:$E$246,5,FALSE)),"")</f>
        <v>https://www.gilead.com/news/news-details/2026/gilead-accelerates-global-access-planning-for-investigational-once-yearly-lenacapavir-for-hiv-prevention</v>
      </c>
      <c r="R16" s="9" t="s">
        <v>356</v>
      </c>
    </row>
    <row r="17" spans="1:18" ht="36.950000000000003" customHeight="1" x14ac:dyDescent="0.25">
      <c r="A17" s="8" t="s">
        <v>2306</v>
      </c>
      <c r="B17" s="8" t="s">
        <v>587</v>
      </c>
      <c r="C17" s="12" t="str">
        <f>IFERROR(VLOOKUP(B17,ENTITY_MASTER!$A$2:$B$266,2,FALSE),"")</f>
        <v>ViiV Healthcare</v>
      </c>
      <c r="D17" s="8" t="s">
        <v>2273</v>
      </c>
      <c r="E17" s="8" t="s">
        <v>2307</v>
      </c>
      <c r="F17" s="8" t="s">
        <v>980</v>
      </c>
      <c r="G17" s="8" t="s">
        <v>2223</v>
      </c>
      <c r="H17" s="8" t="s">
        <v>2215</v>
      </c>
      <c r="I17" s="8" t="s">
        <v>2216</v>
      </c>
      <c r="J17" s="8" t="s">
        <v>1682</v>
      </c>
      <c r="K17" s="8" t="s">
        <v>2308</v>
      </c>
      <c r="L17" s="9" t="s">
        <v>351</v>
      </c>
      <c r="M17" s="9" t="s">
        <v>352</v>
      </c>
      <c r="N17" s="8" t="s">
        <v>2309</v>
      </c>
      <c r="O17" s="8" t="s">
        <v>2310</v>
      </c>
      <c r="P17" s="8" t="s">
        <v>2311</v>
      </c>
      <c r="Q17" s="12" t="str">
        <f>IFERROR(IF(VLOOKUP(K17,SOURCE_REGISTRY!$A$2:$E$246,5,FALSE)="","",VLOOKUP(K17,SOURCE_REGISTRY!$A$2:$E$246,5,FALSE)),"")</f>
        <v>https://viivhealthcare.com/de-de/hiv-forschung-und-innovation/</v>
      </c>
      <c r="R17" s="9" t="s">
        <v>356</v>
      </c>
    </row>
    <row r="18" spans="1:18" ht="51" customHeight="1" x14ac:dyDescent="0.25">
      <c r="A18" s="8" t="s">
        <v>2312</v>
      </c>
      <c r="B18" s="8" t="s">
        <v>965</v>
      </c>
      <c r="C18" s="12" t="str">
        <f>IFERROR(VLOOKUP(B18,ENTITY_MASTER!$A$2:$B$266,2,FALSE),"")</f>
        <v>Regeneron</v>
      </c>
      <c r="D18" s="8" t="s">
        <v>2273</v>
      </c>
      <c r="E18" s="8" t="s">
        <v>2313</v>
      </c>
      <c r="F18" s="8" t="s">
        <v>2314</v>
      </c>
      <c r="G18" s="8" t="s">
        <v>2223</v>
      </c>
      <c r="H18" s="8" t="s">
        <v>2215</v>
      </c>
      <c r="I18" s="8" t="s">
        <v>2216</v>
      </c>
      <c r="J18" s="8" t="s">
        <v>1682</v>
      </c>
      <c r="K18" s="8" t="s">
        <v>968</v>
      </c>
      <c r="L18" s="9" t="s">
        <v>954</v>
      </c>
      <c r="M18" s="9" t="s">
        <v>352</v>
      </c>
      <c r="N18" s="8" t="s">
        <v>2315</v>
      </c>
      <c r="O18" s="8" t="s">
        <v>2316</v>
      </c>
      <c r="P18" s="8" t="s">
        <v>2317</v>
      </c>
      <c r="Q18" s="12" t="str">
        <f>IFERROR(IF(VLOOKUP(K18,SOURCE_REGISTRY!$A$2:$E$246,5,FALSE)="","",VLOOKUP(K18,SOURCE_REGISTRY!$A$2:$E$246,5,FALSE)),"")</f>
        <v>https://newsroom.regeneron.com/news-releases/news-release-details/regeneron-extends-agreement-barda-provide-additional-supply</v>
      </c>
      <c r="R18" s="9" t="s">
        <v>356</v>
      </c>
    </row>
    <row r="19" spans="1:18" ht="51" customHeight="1" x14ac:dyDescent="0.25">
      <c r="A19" s="8" t="s">
        <v>2318</v>
      </c>
      <c r="B19" s="8" t="s">
        <v>423</v>
      </c>
      <c r="C19" s="12" t="str">
        <f>IFERROR(VLOOKUP(B19,ENTITY_MASTER!$A$2:$B$266,2,FALSE),"")</f>
        <v>Serum Institute of India</v>
      </c>
      <c r="D19" s="8" t="s">
        <v>2273</v>
      </c>
      <c r="E19" s="8" t="s">
        <v>2319</v>
      </c>
      <c r="F19" s="8" t="s">
        <v>2292</v>
      </c>
      <c r="G19" s="8" t="s">
        <v>2250</v>
      </c>
      <c r="H19" s="8" t="s">
        <v>2215</v>
      </c>
      <c r="I19" s="8" t="s">
        <v>2216</v>
      </c>
      <c r="J19" s="8" t="s">
        <v>2320</v>
      </c>
      <c r="K19" s="8" t="s">
        <v>427</v>
      </c>
      <c r="L19" s="9" t="s">
        <v>351</v>
      </c>
      <c r="M19" s="9" t="s">
        <v>352</v>
      </c>
      <c r="N19" s="8" t="s">
        <v>2321</v>
      </c>
      <c r="O19" s="8" t="s">
        <v>2322</v>
      </c>
      <c r="P19" s="8" t="s">
        <v>2323</v>
      </c>
      <c r="Q19" s="12" t="str">
        <f>IFERROR(IF(VLOOKUP(K19,SOURCE_REGISTRY!$A$2:$E$246,5,FALSE)="","",VLOOKUP(K19,SOURCE_REGISTRY!$A$2:$E$246,5,FALSE)),"")</f>
        <v>https://www.seruminstitute.com/gates-medical-research-institute-and-the-serum-institute-of-india-reach-agreement.php</v>
      </c>
      <c r="R19" s="9" t="s">
        <v>356</v>
      </c>
    </row>
    <row r="20" spans="1:18" ht="36.950000000000003" customHeight="1" x14ac:dyDescent="0.25">
      <c r="A20" s="8" t="s">
        <v>2324</v>
      </c>
      <c r="B20" s="8" t="s">
        <v>762</v>
      </c>
      <c r="C20" s="12" t="str">
        <f>IFERROR(VLOOKUP(B20,ENTITY_MASTER!$A$2:$B$266,2,FALSE),"")</f>
        <v>Novartis</v>
      </c>
      <c r="D20" s="8" t="s">
        <v>2273</v>
      </c>
      <c r="E20" s="8" t="s">
        <v>2325</v>
      </c>
      <c r="F20" s="8" t="s">
        <v>543</v>
      </c>
      <c r="G20" s="8" t="s">
        <v>2223</v>
      </c>
      <c r="H20" s="8" t="s">
        <v>2215</v>
      </c>
      <c r="I20" s="8" t="s">
        <v>2216</v>
      </c>
      <c r="J20" s="8" t="s">
        <v>2320</v>
      </c>
      <c r="K20" s="8" t="s">
        <v>765</v>
      </c>
      <c r="L20" s="9" t="s">
        <v>954</v>
      </c>
      <c r="M20" s="9" t="s">
        <v>352</v>
      </c>
      <c r="N20" s="8" t="s">
        <v>2326</v>
      </c>
      <c r="O20" s="8" t="s">
        <v>2327</v>
      </c>
      <c r="P20" s="8" t="s">
        <v>2328</v>
      </c>
      <c r="Q20" s="12" t="str">
        <f>IFERROR(IF(VLOOKUP(K20,SOURCE_REGISTRY!$A$2:$E$246,5,FALSE)="","",VLOOKUP(K20,SOURCE_REGISTRY!$A$2:$E$246,5,FALSE)),"")</f>
        <v>https://www.novartis.com/diseases/malaria</v>
      </c>
      <c r="R20" s="9" t="s">
        <v>356</v>
      </c>
    </row>
    <row r="21" spans="1:18" ht="51" customHeight="1" x14ac:dyDescent="0.25">
      <c r="A21" s="8" t="s">
        <v>2329</v>
      </c>
      <c r="B21" s="8" t="s">
        <v>949</v>
      </c>
      <c r="C21" s="12" t="str">
        <f>IFERROR(VLOOKUP(B21,ENTITY_MASTER!$A$2:$B$266,2,FALSE),"")</f>
        <v>CSL Seqirus</v>
      </c>
      <c r="D21" s="8" t="s">
        <v>2273</v>
      </c>
      <c r="E21" s="8" t="s">
        <v>2330</v>
      </c>
      <c r="F21" s="8" t="s">
        <v>2292</v>
      </c>
      <c r="G21" s="8" t="s">
        <v>2250</v>
      </c>
      <c r="H21" s="8" t="s">
        <v>2215</v>
      </c>
      <c r="I21" s="8" t="s">
        <v>2216</v>
      </c>
      <c r="J21" s="8" t="s">
        <v>1682</v>
      </c>
      <c r="K21" s="8" t="s">
        <v>953</v>
      </c>
      <c r="L21" s="9" t="s">
        <v>954</v>
      </c>
      <c r="M21" s="9" t="s">
        <v>352</v>
      </c>
      <c r="N21" s="8" t="s">
        <v>2331</v>
      </c>
      <c r="O21" s="8" t="s">
        <v>2332</v>
      </c>
      <c r="P21" s="8" t="s">
        <v>2333</v>
      </c>
      <c r="Q21" s="12" t="str">
        <f>IFERROR(IF(VLOOKUP(K21,SOURCE_REGISTRY!$A$2:$E$246,5,FALSE)="","",VLOOKUP(K21,SOURCE_REGISTRY!$A$2:$E$246,5,FALSE)),"")</f>
        <v>https://www.cslseqirus.us/partnering</v>
      </c>
      <c r="R21" s="9" t="s">
        <v>356</v>
      </c>
    </row>
    <row r="22" spans="1:18" ht="36.950000000000003" customHeight="1" x14ac:dyDescent="0.25">
      <c r="A22" s="8" t="s">
        <v>2334</v>
      </c>
      <c r="B22" s="8" t="s">
        <v>1031</v>
      </c>
      <c r="C22" s="12" t="str">
        <f>IFERROR(VLOOKUP(B22,ENTITY_MASTER!$A$2:$B$266,2,FALSE),"")</f>
        <v>Takeda</v>
      </c>
      <c r="D22" s="8" t="s">
        <v>2273</v>
      </c>
      <c r="E22" s="8" t="s">
        <v>2335</v>
      </c>
      <c r="F22" s="8" t="s">
        <v>409</v>
      </c>
      <c r="G22" s="8" t="s">
        <v>2250</v>
      </c>
      <c r="H22" s="8" t="s">
        <v>2215</v>
      </c>
      <c r="I22" s="8" t="s">
        <v>2216</v>
      </c>
      <c r="J22" s="8" t="s">
        <v>2320</v>
      </c>
      <c r="K22" s="8" t="s">
        <v>1034</v>
      </c>
      <c r="L22" s="9" t="s">
        <v>954</v>
      </c>
      <c r="M22" s="9" t="s">
        <v>352</v>
      </c>
      <c r="N22" s="8" t="s">
        <v>2336</v>
      </c>
      <c r="O22" s="8" t="s">
        <v>2337</v>
      </c>
      <c r="P22" s="8" t="s">
        <v>2338</v>
      </c>
      <c r="Q22" s="12" t="str">
        <f>IFERROR(IF(VLOOKUP(K22,SOURCE_REGISTRY!$A$2:$E$246,5,FALSE)="","",VLOOKUP(K22,SOURCE_REGISTRY!$A$2:$E$246,5,FALSE)),"")</f>
        <v>https://www.takeda.com/science/research-and-development/partnerships/iir/</v>
      </c>
      <c r="R22" s="9" t="s">
        <v>356</v>
      </c>
    </row>
    <row r="23" spans="1:18" ht="51" customHeight="1" x14ac:dyDescent="0.25">
      <c r="A23" s="8" t="s">
        <v>2339</v>
      </c>
      <c r="B23" s="8" t="s">
        <v>847</v>
      </c>
      <c r="C23" s="12" t="str">
        <f>IFERROR(VLOOKUP(B23,ENTITY_MASTER!$A$2:$B$266,2,FALSE),"")</f>
        <v>Infex Therapeutics</v>
      </c>
      <c r="D23" s="8" t="s">
        <v>2340</v>
      </c>
      <c r="E23" s="8" t="s">
        <v>2341</v>
      </c>
      <c r="F23" s="8" t="s">
        <v>506</v>
      </c>
      <c r="G23" s="8" t="s">
        <v>2342</v>
      </c>
      <c r="H23" s="8" t="s">
        <v>2215</v>
      </c>
      <c r="I23" s="13" t="s">
        <v>372</v>
      </c>
      <c r="J23" s="8" t="s">
        <v>2343</v>
      </c>
      <c r="K23" s="8" t="s">
        <v>850</v>
      </c>
      <c r="L23" s="9" t="s">
        <v>351</v>
      </c>
      <c r="M23" s="9" t="s">
        <v>352</v>
      </c>
      <c r="N23" s="8" t="s">
        <v>2344</v>
      </c>
      <c r="O23" s="8" t="s">
        <v>2345</v>
      </c>
      <c r="P23" s="8" t="s">
        <v>2346</v>
      </c>
      <c r="Q23" s="12" t="str">
        <f>IFERROR(IF(VLOOKUP(K23,SOURCE_REGISTRY!$A$2:$E$246,5,FALSE)="","",VLOOKUP(K23,SOURCE_REGISTRY!$A$2:$E$246,5,FALSE)),"")</f>
        <v>https://www.infextx.com/infex-therapeutics-secures-4-3-million-funding-to-advance-anti-infective-pipeline-targeting-drug-resistant-infections/</v>
      </c>
      <c r="R23" s="9" t="s">
        <v>356</v>
      </c>
    </row>
    <row r="24" spans="1:18" ht="36.950000000000003" customHeight="1" x14ac:dyDescent="0.25">
      <c r="A24" s="8" t="s">
        <v>2347</v>
      </c>
      <c r="B24" s="8" t="s">
        <v>511</v>
      </c>
      <c r="C24" s="12" t="str">
        <f>IFERROR(VLOOKUP(B24,ENTITY_MASTER!$A$2:$B$266,2,FALSE),"")</f>
        <v>Clarametyx Biosciences</v>
      </c>
      <c r="D24" s="8" t="s">
        <v>2340</v>
      </c>
      <c r="E24" s="8" t="s">
        <v>2341</v>
      </c>
      <c r="F24" s="8" t="s">
        <v>2275</v>
      </c>
      <c r="G24" s="8" t="s">
        <v>1814</v>
      </c>
      <c r="H24" s="8" t="s">
        <v>2215</v>
      </c>
      <c r="I24" s="8" t="s">
        <v>2216</v>
      </c>
      <c r="J24" s="8" t="s">
        <v>1731</v>
      </c>
      <c r="K24" s="8" t="s">
        <v>2348</v>
      </c>
      <c r="L24" s="9" t="s">
        <v>351</v>
      </c>
      <c r="M24" s="9" t="s">
        <v>352</v>
      </c>
      <c r="N24" s="8" t="s">
        <v>2349</v>
      </c>
      <c r="O24" s="8" t="s">
        <v>2350</v>
      </c>
      <c r="P24" s="8" t="s">
        <v>2351</v>
      </c>
      <c r="Q24" s="12" t="str">
        <f>IFERROR(IF(VLOOKUP(K24,SOURCE_REGISTRY!$A$2:$E$246,5,FALSE)="","",VLOOKUP(K24,SOURCE_REGISTRY!$A$2:$E$246,5,FALSE)),"")</f>
        <v>https://clarametyx.com/pipeline-publications/</v>
      </c>
      <c r="R24" s="9" t="s">
        <v>356</v>
      </c>
    </row>
    <row r="25" spans="1:18" ht="51" customHeight="1" x14ac:dyDescent="0.25">
      <c r="A25" s="8" t="s">
        <v>2352</v>
      </c>
      <c r="B25" s="8" t="s">
        <v>581</v>
      </c>
      <c r="C25" s="12" t="str">
        <f>IFERROR(VLOOKUP(B25,ENTITY_MASTER!$A$2:$B$266,2,FALSE),"")</f>
        <v>Trellis Bioscience</v>
      </c>
      <c r="D25" s="8" t="s">
        <v>2340</v>
      </c>
      <c r="E25" s="8" t="s">
        <v>582</v>
      </c>
      <c r="F25" s="8" t="s">
        <v>513</v>
      </c>
      <c r="G25" s="8" t="s">
        <v>1814</v>
      </c>
      <c r="H25" s="8" t="s">
        <v>2215</v>
      </c>
      <c r="I25" s="8" t="s">
        <v>2216</v>
      </c>
      <c r="J25" s="8" t="s">
        <v>1731</v>
      </c>
      <c r="K25" s="8" t="s">
        <v>584</v>
      </c>
      <c r="L25" s="9" t="s">
        <v>351</v>
      </c>
      <c r="M25" s="9" t="s">
        <v>352</v>
      </c>
      <c r="N25" s="8" t="s">
        <v>2353</v>
      </c>
      <c r="O25" s="8" t="s">
        <v>2354</v>
      </c>
      <c r="P25" s="8" t="s">
        <v>585</v>
      </c>
      <c r="Q25" s="12" t="str">
        <f>IFERROR(IF(VLOOKUP(K25,SOURCE_REGISTRY!$A$2:$E$246,5,FALSE)="","",VLOOKUP(K25,SOURCE_REGISTRY!$A$2:$E$246,5,FALSE)),"")</f>
        <v>https://www.newscienceventures.com/trellis-bioscience-raises-9-million-to-advance-clinical-development-of-calpurbatug-trl1068/</v>
      </c>
      <c r="R25" s="9" t="s">
        <v>356</v>
      </c>
    </row>
    <row r="26" spans="1:18" ht="36.950000000000003" customHeight="1" x14ac:dyDescent="0.25">
      <c r="A26" s="8" t="s">
        <v>2355</v>
      </c>
      <c r="B26" s="8" t="s">
        <v>452</v>
      </c>
      <c r="C26" s="12" t="str">
        <f>IFERROR(VLOOKUP(B26,ENTITY_MASTER!$A$2:$B$266,2,FALSE),"")</f>
        <v>Centauri Therapeutics</v>
      </c>
      <c r="D26" s="8" t="s">
        <v>2340</v>
      </c>
      <c r="E26" s="8" t="s">
        <v>2356</v>
      </c>
      <c r="F26" s="8" t="s">
        <v>2357</v>
      </c>
      <c r="G26" s="8" t="s">
        <v>1814</v>
      </c>
      <c r="H26" s="8" t="s">
        <v>2215</v>
      </c>
      <c r="I26" s="8" t="s">
        <v>2216</v>
      </c>
      <c r="J26" s="8" t="s">
        <v>2358</v>
      </c>
      <c r="K26" s="8" t="s">
        <v>1040</v>
      </c>
      <c r="L26" s="9" t="s">
        <v>954</v>
      </c>
      <c r="M26" s="9" t="s">
        <v>352</v>
      </c>
      <c r="N26" s="8" t="s">
        <v>2359</v>
      </c>
      <c r="O26" s="8" t="s">
        <v>2360</v>
      </c>
      <c r="P26" s="8" t="s">
        <v>2361</v>
      </c>
      <c r="Q26" s="12" t="str">
        <f>IFERROR(IF(VLOOKUP(K26,SOURCE_REGISTRY!$A$2:$E$246,5,FALSE)="","",VLOOKUP(K26,SOURCE_REGISTRY!$A$2:$E$246,5,FALSE)),"")</f>
        <v>https://www.amractionfund.com/investments</v>
      </c>
      <c r="R26" s="9" t="s">
        <v>356</v>
      </c>
    </row>
    <row r="27" spans="1:18" ht="65.099999999999994" customHeight="1" x14ac:dyDescent="0.25">
      <c r="A27" s="8" t="s">
        <v>2362</v>
      </c>
      <c r="B27" s="8" t="s">
        <v>733</v>
      </c>
      <c r="C27" s="12" t="str">
        <f>IFERROR(VLOOKUP(B27,ENTITY_MASTER!$A$2:$B$266,2,FALSE),"")</f>
        <v>BioVersys</v>
      </c>
      <c r="D27" s="8" t="s">
        <v>2340</v>
      </c>
      <c r="E27" s="8" t="s">
        <v>2363</v>
      </c>
      <c r="F27" s="8" t="s">
        <v>543</v>
      </c>
      <c r="G27" s="8" t="s">
        <v>1814</v>
      </c>
      <c r="H27" s="8" t="s">
        <v>2215</v>
      </c>
      <c r="I27" s="8" t="s">
        <v>2216</v>
      </c>
      <c r="J27" s="8" t="s">
        <v>2364</v>
      </c>
      <c r="K27" s="8" t="s">
        <v>2365</v>
      </c>
      <c r="L27" s="9" t="s">
        <v>351</v>
      </c>
      <c r="M27" s="9" t="s">
        <v>352</v>
      </c>
      <c r="N27" s="8" t="s">
        <v>2366</v>
      </c>
      <c r="O27" s="8" t="s">
        <v>2367</v>
      </c>
      <c r="P27" s="8" t="s">
        <v>2368</v>
      </c>
      <c r="Q27" s="12" t="str">
        <f>IFERROR(IF(VLOOKUP(K27,SOURCE_REGISTRY!$A$2:$E$246,5,FALSE)="","",VLOOKUP(K27,SOURCE_REGISTRY!$A$2:$E$246,5,FALSE)),"")</f>
        <v>https://ir.bioversys.com/news/bioversys-reports-half-year-2026-results-bv100-pivotal-riv-target-trial-actively-recruiting-alpibectir-phase-2bc-underway/b1979958-6896-4f23-aed5-0fb65e3d4b76</v>
      </c>
      <c r="R27" s="9" t="s">
        <v>356</v>
      </c>
    </row>
    <row r="28" spans="1:18" ht="36.950000000000003" customHeight="1" x14ac:dyDescent="0.25">
      <c r="A28" s="8" t="s">
        <v>2369</v>
      </c>
      <c r="B28" s="8" t="s">
        <v>542</v>
      </c>
      <c r="C28" s="12" t="str">
        <f>IFERROR(VLOOKUP(B28,ENTITY_MASTER!$A$2:$B$266,2,FALSE),"")</f>
        <v>Antabio</v>
      </c>
      <c r="D28" s="8" t="s">
        <v>2340</v>
      </c>
      <c r="E28" s="8" t="s">
        <v>1018</v>
      </c>
      <c r="F28" s="8" t="s">
        <v>543</v>
      </c>
      <c r="G28" s="8" t="s">
        <v>1814</v>
      </c>
      <c r="H28" s="8" t="s">
        <v>2215</v>
      </c>
      <c r="I28" s="8" t="s">
        <v>2216</v>
      </c>
      <c r="J28" s="8" t="s">
        <v>2370</v>
      </c>
      <c r="K28" s="8" t="s">
        <v>2371</v>
      </c>
      <c r="L28" s="9" t="s">
        <v>954</v>
      </c>
      <c r="M28" s="9" t="s">
        <v>352</v>
      </c>
      <c r="N28" s="8" t="s">
        <v>2372</v>
      </c>
      <c r="O28" s="8" t="s">
        <v>2373</v>
      </c>
      <c r="P28" s="8" t="s">
        <v>2374</v>
      </c>
      <c r="Q28" s="12" t="str">
        <f>IFERROR(IF(VLOOKUP(K28,SOURCE_REGISTRY!$A$2:$E$246,5,FALSE)="","",VLOOKUP(K28,SOURCE_REGISTRY!$A$2:$E$246,5,FALSE)),"")</f>
        <v>https://antabio.com/</v>
      </c>
      <c r="R28" s="9" t="s">
        <v>356</v>
      </c>
    </row>
    <row r="29" spans="1:18" ht="36.950000000000003" customHeight="1" x14ac:dyDescent="0.25">
      <c r="A29" s="8" t="s">
        <v>2375</v>
      </c>
      <c r="B29" s="8" t="s">
        <v>707</v>
      </c>
      <c r="C29" s="12" t="str">
        <f>IFERROR(VLOOKUP(B29,ENTITY_MASTER!$A$2:$B$266,2,FALSE),"")</f>
        <v>F2G</v>
      </c>
      <c r="D29" s="8" t="s">
        <v>2340</v>
      </c>
      <c r="E29" s="8" t="s">
        <v>1038</v>
      </c>
      <c r="F29" s="8" t="s">
        <v>543</v>
      </c>
      <c r="G29" s="8" t="s">
        <v>1814</v>
      </c>
      <c r="H29" s="8" t="s">
        <v>2215</v>
      </c>
      <c r="I29" s="8" t="s">
        <v>2216</v>
      </c>
      <c r="J29" s="8" t="s">
        <v>2376</v>
      </c>
      <c r="K29" s="8" t="s">
        <v>2377</v>
      </c>
      <c r="L29" s="9" t="s">
        <v>351</v>
      </c>
      <c r="M29" s="9" t="s">
        <v>352</v>
      </c>
      <c r="N29" s="8" t="s">
        <v>2378</v>
      </c>
      <c r="O29" s="8" t="s">
        <v>2379</v>
      </c>
      <c r="P29" s="8" t="s">
        <v>2380</v>
      </c>
      <c r="Q29" s="12" t="str">
        <f>IFERROR(IF(VLOOKUP(K29,SOURCE_REGISTRY!$A$2:$E$246,5,FALSE)="","",VLOOKUP(K29,SOURCE_REGISTRY!$A$2:$E$246,5,FALSE)),"")</f>
        <v>https://forbion.com/portfolio/f2g/</v>
      </c>
      <c r="R29" s="9" t="s">
        <v>356</v>
      </c>
    </row>
    <row r="30" spans="1:18" ht="51" customHeight="1" x14ac:dyDescent="0.25">
      <c r="A30" s="8" t="s">
        <v>2381</v>
      </c>
      <c r="B30" s="8" t="s">
        <v>619</v>
      </c>
      <c r="C30" s="12" t="str">
        <f>IFERROR(VLOOKUP(B30,ENTITY_MASTER!$A$2:$B$266,2,FALSE),"")</f>
        <v>Telum Therapeutics</v>
      </c>
      <c r="D30" s="8" t="s">
        <v>2340</v>
      </c>
      <c r="E30" s="8" t="s">
        <v>1018</v>
      </c>
      <c r="F30" s="8" t="s">
        <v>2382</v>
      </c>
      <c r="G30" s="8" t="s">
        <v>1842</v>
      </c>
      <c r="H30" s="8" t="s">
        <v>2215</v>
      </c>
      <c r="I30" s="8" t="s">
        <v>2216</v>
      </c>
      <c r="J30" s="8" t="s">
        <v>2383</v>
      </c>
      <c r="K30" s="8" t="s">
        <v>2384</v>
      </c>
      <c r="L30" s="9" t="s">
        <v>954</v>
      </c>
      <c r="M30" s="9" t="s">
        <v>352</v>
      </c>
      <c r="N30" s="8" t="s">
        <v>2385</v>
      </c>
      <c r="O30" s="8" t="s">
        <v>2386</v>
      </c>
      <c r="P30" s="8" t="s">
        <v>2387</v>
      </c>
      <c r="Q30" s="12" t="str">
        <f>IFERROR(IF(VLOOKUP(K30,SOURCE_REGISTRY!$A$2:$E$246,5,FALSE)="","",VLOOKUP(K30,SOURCE_REGISTRY!$A$2:$E$246,5,FALSE)),"")</f>
        <v>https://telumtherapeutics.com/telum-therapeutics-secures-e18-million-series-a-financing-to-advance-lead-antimicrobial-program-into-clinical-development/</v>
      </c>
      <c r="R30" s="9" t="s">
        <v>356</v>
      </c>
    </row>
    <row r="31" spans="1:18" ht="36.950000000000003" customHeight="1" x14ac:dyDescent="0.25">
      <c r="A31" s="8" t="s">
        <v>2388</v>
      </c>
      <c r="B31" s="8" t="s">
        <v>1037</v>
      </c>
      <c r="C31" s="12" t="str">
        <f>IFERROR(VLOOKUP(B31,ENTITY_MASTER!$A$2:$B$266,2,FALSE),"")</f>
        <v>Elion Therapeutics</v>
      </c>
      <c r="D31" s="8" t="s">
        <v>2340</v>
      </c>
      <c r="E31" s="8" t="s">
        <v>1038</v>
      </c>
      <c r="F31" s="8" t="s">
        <v>543</v>
      </c>
      <c r="G31" s="8" t="s">
        <v>1842</v>
      </c>
      <c r="H31" s="8" t="s">
        <v>2215</v>
      </c>
      <c r="I31" s="8" t="s">
        <v>2216</v>
      </c>
      <c r="J31" s="8" t="s">
        <v>1731</v>
      </c>
      <c r="K31" s="8" t="s">
        <v>1040</v>
      </c>
      <c r="L31" s="9" t="s">
        <v>954</v>
      </c>
      <c r="M31" s="9" t="s">
        <v>352</v>
      </c>
      <c r="N31" s="8" t="s">
        <v>2389</v>
      </c>
      <c r="O31" s="8" t="s">
        <v>2390</v>
      </c>
      <c r="P31" s="8" t="s">
        <v>1041</v>
      </c>
      <c r="Q31" s="12" t="str">
        <f>IFERROR(IF(VLOOKUP(K31,SOURCE_REGISTRY!$A$2:$E$246,5,FALSE)="","",VLOOKUP(K31,SOURCE_REGISTRY!$A$2:$E$246,5,FALSE)),"")</f>
        <v>https://www.amractionfund.com/investments</v>
      </c>
      <c r="R31" s="9" t="s">
        <v>356</v>
      </c>
    </row>
    <row r="32" spans="1:18" ht="36.950000000000003" customHeight="1" x14ac:dyDescent="0.25">
      <c r="A32" s="8" t="s">
        <v>2391</v>
      </c>
      <c r="B32" s="8" t="s">
        <v>840</v>
      </c>
      <c r="C32" s="12" t="str">
        <f>IFERROR(VLOOKUP(B32,ENTITY_MASTER!$A$2:$B$266,2,FALSE),"")</f>
        <v>Vaxcyte</v>
      </c>
      <c r="D32" s="8" t="s">
        <v>2340</v>
      </c>
      <c r="E32" s="8" t="s">
        <v>841</v>
      </c>
      <c r="F32" s="8" t="s">
        <v>842</v>
      </c>
      <c r="G32" s="8" t="s">
        <v>1814</v>
      </c>
      <c r="H32" s="8" t="s">
        <v>2215</v>
      </c>
      <c r="I32" s="8" t="s">
        <v>2216</v>
      </c>
      <c r="J32" s="8" t="s">
        <v>2392</v>
      </c>
      <c r="K32" s="8" t="s">
        <v>844</v>
      </c>
      <c r="L32" s="9" t="s">
        <v>351</v>
      </c>
      <c r="M32" s="9" t="s">
        <v>352</v>
      </c>
      <c r="N32" s="8" t="s">
        <v>2393</v>
      </c>
      <c r="O32" s="8" t="s">
        <v>2394</v>
      </c>
      <c r="P32" s="8" t="s">
        <v>845</v>
      </c>
      <c r="Q32" s="12" t="str">
        <f>IFERROR(IF(VLOOKUP(K32,SOURCE_REGISTRY!$A$2:$E$246,5,FALSE)="","",VLOOKUP(K32,SOURCE_REGISTRY!$A$2:$E$246,5,FALSE)),"")</f>
        <v>https://vaxcyte.com/pipeline/</v>
      </c>
      <c r="R32" s="9" t="s">
        <v>356</v>
      </c>
    </row>
    <row r="33" spans="1:18" ht="36.950000000000003" customHeight="1" x14ac:dyDescent="0.25">
      <c r="A33" s="8" t="s">
        <v>2395</v>
      </c>
      <c r="B33" s="8" t="s">
        <v>985</v>
      </c>
      <c r="C33" s="12" t="str">
        <f>IFERROR(VLOOKUP(B33,ENTITY_MASTER!$A$2:$B$266,2,FALSE),"")</f>
        <v>MinervaX</v>
      </c>
      <c r="D33" s="8" t="s">
        <v>2340</v>
      </c>
      <c r="E33" s="8" t="s">
        <v>841</v>
      </c>
      <c r="F33" s="8" t="s">
        <v>986</v>
      </c>
      <c r="G33" s="8" t="s">
        <v>1814</v>
      </c>
      <c r="H33" s="8" t="s">
        <v>2215</v>
      </c>
      <c r="I33" s="8" t="s">
        <v>2216</v>
      </c>
      <c r="J33" s="8" t="s">
        <v>2396</v>
      </c>
      <c r="K33" s="8" t="s">
        <v>988</v>
      </c>
      <c r="L33" s="9" t="s">
        <v>954</v>
      </c>
      <c r="M33" s="9" t="s">
        <v>352</v>
      </c>
      <c r="N33" s="8" t="s">
        <v>2397</v>
      </c>
      <c r="O33" s="8" t="s">
        <v>2398</v>
      </c>
      <c r="P33" s="8" t="s">
        <v>989</v>
      </c>
      <c r="Q33" s="12" t="str">
        <f>IFERROR(IF(VLOOKUP(K33,SOURCE_REGISTRY!$A$2:$E$246,5,FALSE)="","",VLOOKUP(K33,SOURCE_REGISTRY!$A$2:$E$246,5,FALSE)),"")</f>
        <v>https://minervax.com/innovation/clinical-trials/</v>
      </c>
      <c r="R33" s="9" t="s">
        <v>356</v>
      </c>
    </row>
    <row r="34" spans="1:18" ht="51" customHeight="1" x14ac:dyDescent="0.25">
      <c r="A34" s="8" t="s">
        <v>2399</v>
      </c>
      <c r="B34" s="8" t="s">
        <v>389</v>
      </c>
      <c r="C34" s="12" t="str">
        <f>IFERROR(VLOOKUP(B34,ENTITY_MASTER!$A$2:$B$266,2,FALSE),"")</f>
        <v>Arcturus Therapeutics</v>
      </c>
      <c r="D34" s="8" t="s">
        <v>2273</v>
      </c>
      <c r="E34" s="8" t="s">
        <v>390</v>
      </c>
      <c r="F34" s="8" t="s">
        <v>391</v>
      </c>
      <c r="G34" s="8" t="s">
        <v>2223</v>
      </c>
      <c r="H34" s="8" t="s">
        <v>2215</v>
      </c>
      <c r="I34" s="8" t="s">
        <v>2216</v>
      </c>
      <c r="J34" s="8" t="s">
        <v>2392</v>
      </c>
      <c r="K34" s="8" t="s">
        <v>393</v>
      </c>
      <c r="L34" s="9" t="s">
        <v>351</v>
      </c>
      <c r="M34" s="9" t="s">
        <v>352</v>
      </c>
      <c r="N34" s="8" t="s">
        <v>2400</v>
      </c>
      <c r="O34" s="8" t="s">
        <v>2401</v>
      </c>
      <c r="P34" s="8" t="s">
        <v>395</v>
      </c>
      <c r="Q34" s="12" t="str">
        <f>IFERROR(IF(VLOOKUP(K34,SOURCE_REGISTRY!$A$2:$E$246,5,FALSE)="","",VLOOKUP(K34,SOURCE_REGISTRY!$A$2:$E$246,5,FALSE)),"")</f>
        <v>https://ir.arcturusrx.com/news-releases/news-release-details/arcturus-therapeutics-announces-second-quarter-2026-financial</v>
      </c>
      <c r="R34" s="9" t="s">
        <v>356</v>
      </c>
    </row>
    <row r="35" spans="1:18" ht="36.950000000000003" customHeight="1" x14ac:dyDescent="0.25">
      <c r="A35" s="8" t="s">
        <v>2402</v>
      </c>
      <c r="B35" s="8" t="s">
        <v>957</v>
      </c>
      <c r="C35" s="12" t="str">
        <f>IFERROR(VLOOKUP(B35,ENTITY_MASTER!$A$2:$B$266,2,FALSE),"")</f>
        <v>Assembly Biosciences</v>
      </c>
      <c r="D35" s="8" t="s">
        <v>2340</v>
      </c>
      <c r="E35" s="8" t="s">
        <v>958</v>
      </c>
      <c r="F35" s="8" t="s">
        <v>543</v>
      </c>
      <c r="G35" s="8" t="s">
        <v>1814</v>
      </c>
      <c r="H35" s="8" t="s">
        <v>2215</v>
      </c>
      <c r="I35" s="8" t="s">
        <v>2216</v>
      </c>
      <c r="J35" s="8" t="s">
        <v>2392</v>
      </c>
      <c r="K35" s="8" t="s">
        <v>962</v>
      </c>
      <c r="L35" s="9" t="s">
        <v>954</v>
      </c>
      <c r="M35" s="9" t="s">
        <v>352</v>
      </c>
      <c r="N35" s="8" t="s">
        <v>2403</v>
      </c>
      <c r="O35" s="8" t="s">
        <v>2404</v>
      </c>
      <c r="P35" s="8" t="s">
        <v>963</v>
      </c>
      <c r="Q35" s="12" t="str">
        <f>IFERROR(IF(VLOOKUP(K35,SOURCE_REGISTRY!$A$2:$E$246,5,FALSE)="","",VLOOKUP(K35,SOURCE_REGISTRY!$A$2:$E$246,5,FALSE)),"")</f>
        <v>https://www.assemblybio.com/pipeline/</v>
      </c>
      <c r="R35" s="9" t="s">
        <v>356</v>
      </c>
    </row>
    <row r="36" spans="1:18" ht="51" customHeight="1" x14ac:dyDescent="0.25">
      <c r="A36" s="8" t="s">
        <v>2405</v>
      </c>
      <c r="B36" s="8" t="s">
        <v>1024</v>
      </c>
      <c r="C36" s="12" t="str">
        <f>IFERROR(VLOOKUP(B36,ENTITY_MASTER!$A$2:$B$266,2,FALSE),"")</f>
        <v>Precision BioSciences</v>
      </c>
      <c r="D36" s="8" t="s">
        <v>2273</v>
      </c>
      <c r="E36" s="8" t="s">
        <v>1025</v>
      </c>
      <c r="F36" s="8" t="s">
        <v>1026</v>
      </c>
      <c r="G36" s="8" t="s">
        <v>1814</v>
      </c>
      <c r="H36" s="8" t="s">
        <v>2215</v>
      </c>
      <c r="I36" s="8" t="s">
        <v>2216</v>
      </c>
      <c r="J36" s="8" t="s">
        <v>2392</v>
      </c>
      <c r="K36" s="8" t="s">
        <v>1028</v>
      </c>
      <c r="L36" s="9" t="s">
        <v>954</v>
      </c>
      <c r="M36" s="9" t="s">
        <v>352</v>
      </c>
      <c r="N36" s="8" t="s">
        <v>2406</v>
      </c>
      <c r="O36" s="8" t="s">
        <v>2407</v>
      </c>
      <c r="P36" s="8" t="s">
        <v>1029</v>
      </c>
      <c r="Q36" s="12" t="str">
        <f>IFERROR(IF(VLOOKUP(K36,SOURCE_REGISTRY!$A$2:$E$246,5,FALSE)="","",VLOOKUP(K36,SOURCE_REGISTRY!$A$2:$E$246,5,FALSE)),"")</f>
        <v>https://investor.precisionbiosciences.com/news-releases/news-release-details/precision-biosciences-reports-second-quarter-2026-financial</v>
      </c>
      <c r="R36" s="9" t="s">
        <v>356</v>
      </c>
    </row>
    <row r="37" spans="1:18" ht="36.950000000000003" customHeight="1" x14ac:dyDescent="0.25">
      <c r="A37" s="8" t="s">
        <v>2408</v>
      </c>
      <c r="B37" s="8" t="s">
        <v>1004</v>
      </c>
      <c r="C37" s="12" t="str">
        <f>IFERROR(VLOOKUP(B37,ENTITY_MASTER!$A$2:$B$266,2,FALSE),"")</f>
        <v>Vaxxas</v>
      </c>
      <c r="D37" s="8" t="s">
        <v>2273</v>
      </c>
      <c r="E37" s="8" t="s">
        <v>1005</v>
      </c>
      <c r="F37" s="8" t="s">
        <v>1006</v>
      </c>
      <c r="G37" s="8" t="s">
        <v>1842</v>
      </c>
      <c r="H37" s="8" t="s">
        <v>2215</v>
      </c>
      <c r="I37" s="8" t="s">
        <v>2216</v>
      </c>
      <c r="J37" s="8" t="s">
        <v>2409</v>
      </c>
      <c r="K37" s="8" t="s">
        <v>1008</v>
      </c>
      <c r="L37" s="9" t="s">
        <v>954</v>
      </c>
      <c r="M37" s="9" t="s">
        <v>352</v>
      </c>
      <c r="N37" s="8" t="s">
        <v>2410</v>
      </c>
      <c r="O37" s="8" t="s">
        <v>2411</v>
      </c>
      <c r="P37" s="8" t="s">
        <v>1009</v>
      </c>
      <c r="Q37" s="12" t="str">
        <f>IFERROR(IF(VLOOKUP(K37,SOURCE_REGISTRY!$A$2:$E$246,5,FALSE)="","",VLOOKUP(K37,SOURCE_REGISTRY!$A$2:$E$246,5,FALSE)),"")</f>
        <v>https://vaxxas.com/about-vaxxas/</v>
      </c>
      <c r="R37" s="9" t="s">
        <v>356</v>
      </c>
    </row>
    <row r="38" spans="1:18" ht="36.950000000000003" customHeight="1" x14ac:dyDescent="0.25">
      <c r="A38" s="8" t="s">
        <v>2412</v>
      </c>
      <c r="B38" s="8" t="s">
        <v>1017</v>
      </c>
      <c r="C38" s="12" t="str">
        <f>IFERROR(VLOOKUP(B38,ENTITY_MASTER!$A$2:$B$266,2,FALSE),"")</f>
        <v>Locus Biosciences</v>
      </c>
      <c r="D38" s="8" t="s">
        <v>2340</v>
      </c>
      <c r="E38" s="8" t="s">
        <v>1018</v>
      </c>
      <c r="F38" s="8" t="s">
        <v>1019</v>
      </c>
      <c r="G38" s="8" t="s">
        <v>1842</v>
      </c>
      <c r="H38" s="8" t="s">
        <v>2215</v>
      </c>
      <c r="I38" s="8" t="s">
        <v>2216</v>
      </c>
      <c r="J38" s="8" t="s">
        <v>2392</v>
      </c>
      <c r="K38" s="8" t="s">
        <v>1021</v>
      </c>
      <c r="L38" s="9" t="s">
        <v>954</v>
      </c>
      <c r="M38" s="9" t="s">
        <v>352</v>
      </c>
      <c r="N38" s="8" t="s">
        <v>2413</v>
      </c>
      <c r="O38" s="8" t="s">
        <v>2414</v>
      </c>
      <c r="P38" s="8" t="s">
        <v>1022</v>
      </c>
      <c r="Q38" s="12" t="str">
        <f>IFERROR(IF(VLOOKUP(K38,SOURCE_REGISTRY!$A$2:$E$246,5,FALSE)="","",VLOOKUP(K38,SOURCE_REGISTRY!$A$2:$E$246,5,FALSE)),"")</f>
        <v>https://www.locus-bio.com/pipeline/</v>
      </c>
      <c r="R38" s="9" t="s">
        <v>356</v>
      </c>
    </row>
    <row r="39" spans="1:18" ht="51" customHeight="1" x14ac:dyDescent="0.25">
      <c r="A39" s="8" t="s">
        <v>2415</v>
      </c>
      <c r="B39" s="8" t="s">
        <v>613</v>
      </c>
      <c r="C39" s="12" t="str">
        <f>IFERROR(VLOOKUP(B39,ENTITY_MASTER!$A$2:$B$266,2,FALSE),"")</f>
        <v>Atea Pharmaceuticals</v>
      </c>
      <c r="D39" s="8" t="s">
        <v>2340</v>
      </c>
      <c r="E39" s="8" t="s">
        <v>1025</v>
      </c>
      <c r="F39" s="8" t="s">
        <v>543</v>
      </c>
      <c r="G39" s="8" t="s">
        <v>1814</v>
      </c>
      <c r="H39" s="8" t="s">
        <v>2215</v>
      </c>
      <c r="I39" s="8" t="s">
        <v>2216</v>
      </c>
      <c r="J39" s="8" t="s">
        <v>2392</v>
      </c>
      <c r="K39" s="8" t="s">
        <v>616</v>
      </c>
      <c r="L39" s="9" t="s">
        <v>954</v>
      </c>
      <c r="M39" s="9" t="s">
        <v>352</v>
      </c>
      <c r="N39" s="8" t="s">
        <v>2416</v>
      </c>
      <c r="O39" s="8" t="s">
        <v>2417</v>
      </c>
      <c r="P39" s="8" t="s">
        <v>2418</v>
      </c>
      <c r="Q39" s="12" t="str">
        <f>IFERROR(IF(VLOOKUP(K39,SOURCE_REGISTRY!$A$2:$E$246,5,FALSE)="","",VLOOKUP(K39,SOURCE_REGISTRY!$A$2:$E$246,5,FALSE)),"")</f>
        <v>https://ir.ateapharma.com/news-releases/news-release-details/atea-pharmaceuticals-reports-second-quarter-2026-financial</v>
      </c>
      <c r="R39" s="9" t="s">
        <v>356</v>
      </c>
    </row>
    <row r="40" spans="1:18" ht="36.950000000000003" customHeight="1" x14ac:dyDescent="0.25">
      <c r="A40" s="8" t="s">
        <v>2419</v>
      </c>
      <c r="B40" s="8" t="s">
        <v>2420</v>
      </c>
      <c r="C40" s="12" t="str">
        <f>IFERROR(VLOOKUP(B40,ENTITY_MASTER!$A$2:$B$266,2,FALSE),"")</f>
        <v>AMR Action Fund</v>
      </c>
      <c r="D40" s="8" t="s">
        <v>2421</v>
      </c>
      <c r="E40" s="8" t="s">
        <v>2256</v>
      </c>
      <c r="F40" s="8" t="s">
        <v>2422</v>
      </c>
      <c r="G40" s="8" t="s">
        <v>1814</v>
      </c>
      <c r="H40" s="13" t="s">
        <v>372</v>
      </c>
      <c r="I40" s="8" t="s">
        <v>2423</v>
      </c>
      <c r="J40" s="8" t="s">
        <v>1682</v>
      </c>
      <c r="K40" s="8" t="s">
        <v>1040</v>
      </c>
      <c r="L40" s="9" t="s">
        <v>351</v>
      </c>
      <c r="M40" s="9" t="s">
        <v>352</v>
      </c>
      <c r="N40" s="8" t="s">
        <v>2424</v>
      </c>
      <c r="O40" s="8" t="s">
        <v>2425</v>
      </c>
      <c r="P40" s="8" t="s">
        <v>2426</v>
      </c>
      <c r="Q40" s="12" t="str">
        <f>IFERROR(IF(VLOOKUP(K40,SOURCE_REGISTRY!$A$2:$E$246,5,FALSE)="","",VLOOKUP(K40,SOURCE_REGISTRY!$A$2:$E$246,5,FALSE)),"")</f>
        <v>https://www.amractionfund.com/investments</v>
      </c>
      <c r="R40" s="9" t="s">
        <v>356</v>
      </c>
    </row>
    <row r="41" spans="1:18" ht="36.950000000000003" customHeight="1" x14ac:dyDescent="0.25">
      <c r="A41" s="8" t="s">
        <v>2427</v>
      </c>
      <c r="B41" s="8" t="s">
        <v>2428</v>
      </c>
      <c r="C41" s="12" t="str">
        <f>IFERROR(VLOOKUP(B41,ENTITY_MASTER!$A$2:$B$266,2,FALSE),"")</f>
        <v>Kineticos AMR Accelerator Fund</v>
      </c>
      <c r="D41" s="8" t="s">
        <v>2421</v>
      </c>
      <c r="E41" s="8" t="s">
        <v>2429</v>
      </c>
      <c r="F41" s="8" t="s">
        <v>2430</v>
      </c>
      <c r="G41" s="13" t="s">
        <v>372</v>
      </c>
      <c r="H41" s="8" t="s">
        <v>2431</v>
      </c>
      <c r="I41" s="8" t="s">
        <v>2423</v>
      </c>
      <c r="J41" s="8" t="s">
        <v>2432</v>
      </c>
      <c r="K41" s="8" t="s">
        <v>2433</v>
      </c>
      <c r="L41" s="9" t="s">
        <v>351</v>
      </c>
      <c r="M41" s="9" t="s">
        <v>352</v>
      </c>
      <c r="N41" s="8" t="s">
        <v>2434</v>
      </c>
      <c r="O41" s="8" t="s">
        <v>2435</v>
      </c>
      <c r="P41" s="8" t="s">
        <v>2436</v>
      </c>
      <c r="Q41" s="12" t="str">
        <f>IFERROR(IF(VLOOKUP(K41,SOURCE_REGISTRY!$A$2:$E$246,5,FALSE)="","",VLOOKUP(K41,SOURCE_REGISTRY!$A$2:$E$246,5,FALSE)),"")</f>
        <v>https://www.kineticos.com/antimicrobial-resistance-accelerator-fund/</v>
      </c>
      <c r="R41" s="9" t="s">
        <v>356</v>
      </c>
    </row>
    <row r="42" spans="1:18" ht="36.950000000000003" customHeight="1" x14ac:dyDescent="0.25">
      <c r="A42" s="8" t="s">
        <v>2437</v>
      </c>
      <c r="B42" s="8" t="s">
        <v>2438</v>
      </c>
      <c r="C42" s="12" t="str">
        <f>IFERROR(VLOOKUP(B42,ENTITY_MASTER!$A$2:$B$266,2,FALSE),"")</f>
        <v>Adjuvant Capital</v>
      </c>
      <c r="D42" s="8" t="s">
        <v>2421</v>
      </c>
      <c r="E42" s="8" t="s">
        <v>2439</v>
      </c>
      <c r="F42" s="8" t="s">
        <v>683</v>
      </c>
      <c r="G42" s="13" t="s">
        <v>372</v>
      </c>
      <c r="H42" s="8" t="s">
        <v>2440</v>
      </c>
      <c r="I42" s="8" t="s">
        <v>2423</v>
      </c>
      <c r="J42" s="8" t="s">
        <v>1682</v>
      </c>
      <c r="K42" s="8" t="s">
        <v>2441</v>
      </c>
      <c r="L42" s="9" t="s">
        <v>351</v>
      </c>
      <c r="M42" s="9" t="s">
        <v>352</v>
      </c>
      <c r="N42" s="8" t="s">
        <v>2442</v>
      </c>
      <c r="O42" s="8" t="s">
        <v>2443</v>
      </c>
      <c r="P42" s="8" t="s">
        <v>2444</v>
      </c>
      <c r="Q42" s="12" t="str">
        <f>IFERROR(IF(VLOOKUP(K42,SOURCE_REGISTRY!$A$2:$E$246,5,FALSE)="","",VLOOKUP(K42,SOURCE_REGISTRY!$A$2:$E$246,5,FALSE)),"")</f>
        <v>https://adjuvantcapital.com/</v>
      </c>
      <c r="R42" s="9" t="s">
        <v>356</v>
      </c>
    </row>
    <row r="43" spans="1:18" ht="36.950000000000003" customHeight="1" x14ac:dyDescent="0.25">
      <c r="A43" s="8" t="s">
        <v>2445</v>
      </c>
      <c r="B43" s="8" t="s">
        <v>2446</v>
      </c>
      <c r="C43" s="12" t="str">
        <f>IFERROR(VLOOKUP(B43,ENTITY_MASTER!$A$2:$B$266,2,FALSE),"")</f>
        <v>Forbion</v>
      </c>
      <c r="D43" s="8" t="s">
        <v>2421</v>
      </c>
      <c r="E43" s="8" t="s">
        <v>2447</v>
      </c>
      <c r="F43" s="8" t="s">
        <v>2448</v>
      </c>
      <c r="G43" s="13" t="s">
        <v>372</v>
      </c>
      <c r="H43" s="8" t="s">
        <v>2449</v>
      </c>
      <c r="I43" s="8" t="s">
        <v>2423</v>
      </c>
      <c r="J43" s="8" t="s">
        <v>2450</v>
      </c>
      <c r="K43" s="8" t="s">
        <v>2451</v>
      </c>
      <c r="L43" s="9" t="s">
        <v>351</v>
      </c>
      <c r="M43" s="9" t="s">
        <v>352</v>
      </c>
      <c r="N43" s="8" t="s">
        <v>2452</v>
      </c>
      <c r="O43" s="8" t="s">
        <v>2453</v>
      </c>
      <c r="P43" s="8" t="s">
        <v>2454</v>
      </c>
      <c r="Q43" s="12" t="str">
        <f>IFERROR(IF(VLOOKUP(K43,SOURCE_REGISTRY!$A$2:$E$246,5,FALSE)="","",VLOOKUP(K43,SOURCE_REGISTRY!$A$2:$E$246,5,FALSE)),"")</f>
        <v>https://forbion.com/strategies/</v>
      </c>
      <c r="R43" s="9" t="s">
        <v>356</v>
      </c>
    </row>
    <row r="44" spans="1:18" ht="51" customHeight="1" x14ac:dyDescent="0.25">
      <c r="A44" s="8" t="s">
        <v>2455</v>
      </c>
      <c r="B44" s="8" t="s">
        <v>2456</v>
      </c>
      <c r="C44" s="12" t="str">
        <f>IFERROR(VLOOKUP(B44,ENTITY_MASTER!$A$2:$B$266,2,FALSE),"")</f>
        <v>Novo Holdings</v>
      </c>
      <c r="D44" s="8" t="s">
        <v>2421</v>
      </c>
      <c r="E44" s="8" t="s">
        <v>2457</v>
      </c>
      <c r="F44" s="8" t="s">
        <v>2214</v>
      </c>
      <c r="G44" s="13" t="s">
        <v>372</v>
      </c>
      <c r="H44" s="8" t="s">
        <v>2449</v>
      </c>
      <c r="I44" s="8" t="s">
        <v>2423</v>
      </c>
      <c r="J44" s="8" t="s">
        <v>2458</v>
      </c>
      <c r="K44" s="8" t="s">
        <v>2459</v>
      </c>
      <c r="L44" s="9" t="s">
        <v>351</v>
      </c>
      <c r="M44" s="9" t="s">
        <v>352</v>
      </c>
      <c r="N44" s="8" t="s">
        <v>2460</v>
      </c>
      <c r="O44" s="8" t="s">
        <v>2461</v>
      </c>
      <c r="P44" s="8" t="s">
        <v>2462</v>
      </c>
      <c r="Q44" s="12" t="str">
        <f>IFERROR(IF(VLOOKUP(K44,SOURCE_REGISTRY!$A$2:$E$246,5,FALSE)="","",VLOOKUP(K44,SOURCE_REGISTRY!$A$2:$E$246,5,FALSE)),"")</f>
        <v>https://novoholdings.dk/news/novo-holdings-backs-bactolife-s-euro30-million-series-b-alongside-new-and-existing-investors-</v>
      </c>
      <c r="R44" s="9" t="s">
        <v>356</v>
      </c>
    </row>
    <row r="45" spans="1:18" ht="36.950000000000003" customHeight="1" x14ac:dyDescent="0.25">
      <c r="A45" s="8" t="s">
        <v>2463</v>
      </c>
      <c r="B45" s="8" t="s">
        <v>2464</v>
      </c>
      <c r="C45" s="12" t="str">
        <f>IFERROR(VLOOKUP(B45,ENTITY_MASTER!$A$2:$B$266,2,FALSE),"")</f>
        <v>Sanofi Ventures</v>
      </c>
      <c r="D45" s="8" t="s">
        <v>2421</v>
      </c>
      <c r="E45" s="8" t="s">
        <v>2465</v>
      </c>
      <c r="F45" s="8" t="s">
        <v>2466</v>
      </c>
      <c r="G45" s="13" t="s">
        <v>372</v>
      </c>
      <c r="H45" s="8" t="s">
        <v>2449</v>
      </c>
      <c r="I45" s="8" t="s">
        <v>2423</v>
      </c>
      <c r="J45" s="8" t="s">
        <v>1682</v>
      </c>
      <c r="K45" s="8" t="s">
        <v>2467</v>
      </c>
      <c r="L45" s="9" t="s">
        <v>351</v>
      </c>
      <c r="M45" s="9" t="s">
        <v>352</v>
      </c>
      <c r="N45" s="8" t="s">
        <v>2468</v>
      </c>
      <c r="O45" s="8" t="s">
        <v>2469</v>
      </c>
      <c r="P45" s="8" t="s">
        <v>2470</v>
      </c>
      <c r="Q45" s="12" t="str">
        <f>IFERROR(IF(VLOOKUP(K45,SOURCE_REGISTRY!$A$2:$E$246,5,FALSE)="","",VLOOKUP(K45,SOURCE_REGISTRY!$A$2:$E$246,5,FALSE)),"")</f>
        <v>https://www.sanofiventures.com/approach/</v>
      </c>
      <c r="R45" s="9" t="s">
        <v>356</v>
      </c>
    </row>
    <row r="46" spans="1:18" ht="51" customHeight="1" x14ac:dyDescent="0.25">
      <c r="A46" s="8" t="s">
        <v>2471</v>
      </c>
      <c r="B46" s="8" t="s">
        <v>2472</v>
      </c>
      <c r="C46" s="12" t="str">
        <f>IFERROR(VLOOKUP(B46,ENTITY_MASTER!$A$2:$B$266,2,FALSE),"")</f>
        <v>High-Tech Gruenderfonds (HTGF)</v>
      </c>
      <c r="D46" s="8" t="s">
        <v>2421</v>
      </c>
      <c r="E46" s="8" t="s">
        <v>2473</v>
      </c>
      <c r="F46" s="8" t="s">
        <v>2448</v>
      </c>
      <c r="G46" s="13" t="s">
        <v>372</v>
      </c>
      <c r="H46" s="8" t="s">
        <v>2474</v>
      </c>
      <c r="I46" s="8" t="s">
        <v>2423</v>
      </c>
      <c r="J46" s="8" t="s">
        <v>1754</v>
      </c>
      <c r="K46" s="8" t="s">
        <v>2475</v>
      </c>
      <c r="L46" s="9" t="s">
        <v>351</v>
      </c>
      <c r="M46" s="9" t="s">
        <v>352</v>
      </c>
      <c r="N46" s="8" t="s">
        <v>2476</v>
      </c>
      <c r="O46" s="8" t="s">
        <v>2477</v>
      </c>
      <c r="P46" s="8" t="s">
        <v>2478</v>
      </c>
      <c r="Q46" s="12" t="str">
        <f>IFERROR(IF(VLOOKUP(K46,SOURCE_REGISTRY!$A$2:$E$246,5,FALSE)="","",VLOOKUP(K46,SOURCE_REGISTRY!$A$2:$E$246,5,FALSE)),"")</f>
        <v>https://www.htgf.de/en/revier-therapeutics-seed/</v>
      </c>
      <c r="R46" s="9" t="s">
        <v>356</v>
      </c>
    </row>
    <row r="47" spans="1:18" ht="36.950000000000003" customHeight="1" x14ac:dyDescent="0.25">
      <c r="A47" s="8" t="s">
        <v>2479</v>
      </c>
      <c r="B47" s="8" t="s">
        <v>2480</v>
      </c>
      <c r="C47" s="12" t="str">
        <f>IFERROR(VLOOKUP(B47,ENTITY_MASTER!$A$2:$B$266,2,FALSE),"")</f>
        <v>Sofinnova Partners</v>
      </c>
      <c r="D47" s="8" t="s">
        <v>2421</v>
      </c>
      <c r="E47" s="8" t="s">
        <v>2481</v>
      </c>
      <c r="F47" s="8" t="s">
        <v>2448</v>
      </c>
      <c r="G47" s="13" t="s">
        <v>372</v>
      </c>
      <c r="H47" s="8" t="s">
        <v>2474</v>
      </c>
      <c r="I47" s="8" t="s">
        <v>2423</v>
      </c>
      <c r="J47" s="8" t="s">
        <v>1690</v>
      </c>
      <c r="K47" s="8" t="s">
        <v>2482</v>
      </c>
      <c r="L47" s="9" t="s">
        <v>351</v>
      </c>
      <c r="M47" s="9" t="s">
        <v>352</v>
      </c>
      <c r="N47" s="8" t="s">
        <v>2483</v>
      </c>
      <c r="O47" s="8" t="s">
        <v>2484</v>
      </c>
      <c r="P47" s="8" t="s">
        <v>2485</v>
      </c>
      <c r="Q47" s="12" t="str">
        <f>IFERROR(IF(VLOOKUP(K47,SOURCE_REGISTRY!$A$2:$E$246,5,FALSE)="","",VLOOKUP(K47,SOURCE_REGISTRY!$A$2:$E$246,5,FALSE)),"")</f>
        <v>https://sofinnovapartners.com/strategy/capital</v>
      </c>
      <c r="R47" s="9" t="s">
        <v>356</v>
      </c>
    </row>
    <row r="48" spans="1:18" ht="51" customHeight="1" x14ac:dyDescent="0.25">
      <c r="A48" s="8" t="s">
        <v>2486</v>
      </c>
      <c r="B48" s="8" t="s">
        <v>2487</v>
      </c>
      <c r="C48" s="12" t="str">
        <f>IFERROR(VLOOKUP(B48,ENTITY_MASTER!$A$2:$B$266,2,FALSE),"")</f>
        <v>New Science Ventures</v>
      </c>
      <c r="D48" s="8" t="s">
        <v>2421</v>
      </c>
      <c r="E48" s="8" t="s">
        <v>2488</v>
      </c>
      <c r="F48" s="8" t="s">
        <v>2314</v>
      </c>
      <c r="G48" s="13" t="s">
        <v>372</v>
      </c>
      <c r="H48" s="8" t="s">
        <v>2489</v>
      </c>
      <c r="I48" s="8" t="s">
        <v>2423</v>
      </c>
      <c r="J48" s="8" t="s">
        <v>2432</v>
      </c>
      <c r="K48" s="8" t="s">
        <v>584</v>
      </c>
      <c r="L48" s="9" t="s">
        <v>954</v>
      </c>
      <c r="M48" s="9" t="s">
        <v>352</v>
      </c>
      <c r="N48" s="8" t="s">
        <v>2490</v>
      </c>
      <c r="O48" s="8" t="s">
        <v>2491</v>
      </c>
      <c r="P48" s="8" t="s">
        <v>2492</v>
      </c>
      <c r="Q48" s="12" t="str">
        <f>IFERROR(IF(VLOOKUP(K48,SOURCE_REGISTRY!$A$2:$E$246,5,FALSE)="","",VLOOKUP(K48,SOURCE_REGISTRY!$A$2:$E$246,5,FALSE)),"")</f>
        <v>https://www.newscienceventures.com/trellis-bioscience-raises-9-million-to-advance-clinical-development-of-calpurbatug-trl1068/</v>
      </c>
      <c r="R48" s="9" t="s">
        <v>356</v>
      </c>
    </row>
    <row r="49" spans="1:18" ht="51" customHeight="1" x14ac:dyDescent="0.25">
      <c r="A49" s="8" t="s">
        <v>2493</v>
      </c>
      <c r="B49" s="8" t="s">
        <v>2494</v>
      </c>
      <c r="C49" s="12" t="str">
        <f>IFERROR(VLOOKUP(B49,ENTITY_MASTER!$A$2:$B$266,2,FALSE),"")</f>
        <v>Easton Capital</v>
      </c>
      <c r="D49" s="8" t="s">
        <v>2421</v>
      </c>
      <c r="E49" s="8" t="s">
        <v>2488</v>
      </c>
      <c r="F49" s="8" t="s">
        <v>2495</v>
      </c>
      <c r="G49" s="13" t="s">
        <v>372</v>
      </c>
      <c r="H49" s="13" t="s">
        <v>372</v>
      </c>
      <c r="I49" s="8" t="s">
        <v>2423</v>
      </c>
      <c r="J49" s="8" t="s">
        <v>2432</v>
      </c>
      <c r="K49" s="8" t="s">
        <v>584</v>
      </c>
      <c r="L49" s="9" t="s">
        <v>954</v>
      </c>
      <c r="M49" s="14" t="s">
        <v>944</v>
      </c>
      <c r="N49" s="8" t="s">
        <v>2496</v>
      </c>
      <c r="O49" s="8" t="s">
        <v>2497</v>
      </c>
      <c r="P49" s="8" t="s">
        <v>2498</v>
      </c>
      <c r="Q49" s="12" t="str">
        <f>IFERROR(IF(VLOOKUP(K49,SOURCE_REGISTRY!$A$2:$E$246,5,FALSE)="","",VLOOKUP(K49,SOURCE_REGISTRY!$A$2:$E$246,5,FALSE)),"")</f>
        <v>https://www.newscienceventures.com/trellis-bioscience-raises-9-million-to-advance-clinical-development-of-calpurbatug-trl1068/</v>
      </c>
      <c r="R49" s="9" t="s">
        <v>356</v>
      </c>
    </row>
    <row r="50" spans="1:18" ht="51" customHeight="1" x14ac:dyDescent="0.25">
      <c r="A50" s="8" t="s">
        <v>2499</v>
      </c>
      <c r="B50" s="8" t="s">
        <v>2500</v>
      </c>
      <c r="C50" s="12" t="str">
        <f>IFERROR(VLOOKUP(B50,ENTITY_MASTER!$A$2:$B$266,2,FALSE),"")</f>
        <v>Invivo Partners</v>
      </c>
      <c r="D50" s="8" t="s">
        <v>2421</v>
      </c>
      <c r="E50" s="8" t="s">
        <v>2488</v>
      </c>
      <c r="F50" s="8" t="s">
        <v>2501</v>
      </c>
      <c r="G50" s="13" t="s">
        <v>372</v>
      </c>
      <c r="H50" s="8" t="s">
        <v>2474</v>
      </c>
      <c r="I50" s="8" t="s">
        <v>2423</v>
      </c>
      <c r="J50" s="8" t="s">
        <v>2383</v>
      </c>
      <c r="K50" s="8" t="s">
        <v>2384</v>
      </c>
      <c r="L50" s="9" t="s">
        <v>954</v>
      </c>
      <c r="M50" s="9" t="s">
        <v>352</v>
      </c>
      <c r="N50" s="8" t="s">
        <v>2502</v>
      </c>
      <c r="O50" s="8" t="s">
        <v>2503</v>
      </c>
      <c r="P50" s="8" t="s">
        <v>2504</v>
      </c>
      <c r="Q50" s="12" t="str">
        <f>IFERROR(IF(VLOOKUP(K50,SOURCE_REGISTRY!$A$2:$E$246,5,FALSE)="","",VLOOKUP(K50,SOURCE_REGISTRY!$A$2:$E$246,5,FALSE)),"")</f>
        <v>https://telumtherapeutics.com/telum-therapeutics-secures-e18-million-series-a-financing-to-advance-lead-antimicrobial-program-into-clinical-development/</v>
      </c>
      <c r="R50" s="9" t="s">
        <v>356</v>
      </c>
    </row>
    <row r="51" spans="1:18" ht="51" customHeight="1" x14ac:dyDescent="0.25">
      <c r="A51" s="8" t="s">
        <v>2505</v>
      </c>
      <c r="B51" s="8" t="s">
        <v>2506</v>
      </c>
      <c r="C51" s="12" t="str">
        <f>IFERROR(VLOOKUP(B51,ENTITY_MASTER!$A$2:$B$266,2,FALSE),"")</f>
        <v>Inveready</v>
      </c>
      <c r="D51" s="8" t="s">
        <v>2421</v>
      </c>
      <c r="E51" s="8" t="s">
        <v>2488</v>
      </c>
      <c r="F51" s="8" t="s">
        <v>2507</v>
      </c>
      <c r="G51" s="13" t="s">
        <v>372</v>
      </c>
      <c r="H51" s="8" t="s">
        <v>2508</v>
      </c>
      <c r="I51" s="8" t="s">
        <v>2423</v>
      </c>
      <c r="J51" s="8" t="s">
        <v>2383</v>
      </c>
      <c r="K51" s="8" t="s">
        <v>2384</v>
      </c>
      <c r="L51" s="9" t="s">
        <v>954</v>
      </c>
      <c r="M51" s="9" t="s">
        <v>352</v>
      </c>
      <c r="N51" s="8" t="s">
        <v>2509</v>
      </c>
      <c r="O51" s="8" t="s">
        <v>2510</v>
      </c>
      <c r="P51" s="8" t="s">
        <v>2511</v>
      </c>
      <c r="Q51" s="12" t="str">
        <f>IFERROR(IF(VLOOKUP(K51,SOURCE_REGISTRY!$A$2:$E$246,5,FALSE)="","",VLOOKUP(K51,SOURCE_REGISTRY!$A$2:$E$246,5,FALSE)),"")</f>
        <v>https://telumtherapeutics.com/telum-therapeutics-secures-e18-million-series-a-financing-to-advance-lead-antimicrobial-program-into-clinical-development/</v>
      </c>
      <c r="R51" s="9" t="s">
        <v>356</v>
      </c>
    </row>
    <row r="52" spans="1:18" ht="36.950000000000003" customHeight="1" x14ac:dyDescent="0.25">
      <c r="A52" s="8" t="s">
        <v>2512</v>
      </c>
      <c r="B52" s="8" t="s">
        <v>2513</v>
      </c>
      <c r="C52" s="12" t="str">
        <f>IFERROR(VLOOKUP(B52,ENTITY_MASTER!$A$2:$B$266,2,FALSE),"")</f>
        <v>SR One</v>
      </c>
      <c r="D52" s="8" t="s">
        <v>2421</v>
      </c>
      <c r="E52" s="8" t="s">
        <v>2514</v>
      </c>
      <c r="F52" s="8" t="s">
        <v>2448</v>
      </c>
      <c r="G52" s="13" t="s">
        <v>372</v>
      </c>
      <c r="H52" s="8" t="s">
        <v>2489</v>
      </c>
      <c r="I52" s="8" t="s">
        <v>2423</v>
      </c>
      <c r="J52" s="8" t="s">
        <v>2515</v>
      </c>
      <c r="K52" s="8" t="s">
        <v>2516</v>
      </c>
      <c r="L52" s="9" t="s">
        <v>954</v>
      </c>
      <c r="M52" s="9" t="s">
        <v>352</v>
      </c>
      <c r="N52" s="8" t="s">
        <v>2517</v>
      </c>
      <c r="O52" s="8" t="s">
        <v>2518</v>
      </c>
      <c r="P52" s="8" t="s">
        <v>2519</v>
      </c>
      <c r="Q52" s="12" t="str">
        <f>IFERROR(IF(VLOOKUP(K52,SOURCE_REGISTRY!$A$2:$E$246,5,FALSE)="","",VLOOKUP(K52,SOURCE_REGISTRY!$A$2:$E$246,5,FALSE)),"")</f>
        <v>https://www.srone.com/portfolio</v>
      </c>
      <c r="R52" s="9" t="s">
        <v>356</v>
      </c>
    </row>
    <row r="53" spans="1:18" ht="36.950000000000003" customHeight="1" x14ac:dyDescent="0.25">
      <c r="A53" s="8" t="s">
        <v>2520</v>
      </c>
      <c r="B53" s="8" t="s">
        <v>2521</v>
      </c>
      <c r="C53" s="12" t="str">
        <f>IFERROR(VLOOKUP(B53,ENTITY_MASTER!$A$2:$B$266,2,FALSE),"")</f>
        <v>RA Capital Management</v>
      </c>
      <c r="D53" s="8" t="s">
        <v>2421</v>
      </c>
      <c r="E53" s="8" t="s">
        <v>2522</v>
      </c>
      <c r="F53" s="8" t="s">
        <v>2523</v>
      </c>
      <c r="G53" s="13" t="s">
        <v>372</v>
      </c>
      <c r="H53" s="8" t="s">
        <v>2524</v>
      </c>
      <c r="I53" s="8" t="s">
        <v>2423</v>
      </c>
      <c r="J53" s="8" t="s">
        <v>2432</v>
      </c>
      <c r="K53" s="8" t="s">
        <v>2525</v>
      </c>
      <c r="L53" s="9" t="s">
        <v>954</v>
      </c>
      <c r="M53" s="9" t="s">
        <v>352</v>
      </c>
      <c r="N53" s="8" t="s">
        <v>2526</v>
      </c>
      <c r="O53" s="8" t="s">
        <v>2527</v>
      </c>
      <c r="P53" s="8" t="s">
        <v>2528</v>
      </c>
      <c r="Q53" s="12" t="str">
        <f>IFERROR(IF(VLOOKUP(K53,SOURCE_REGISTRY!$A$2:$E$246,5,FALSE)="","",VLOOKUP(K53,SOURCE_REGISTRY!$A$2:$E$246,5,FALSE)),"")</f>
        <v>https://www.racap.com/portfolio</v>
      </c>
      <c r="R53" s="9" t="s">
        <v>356</v>
      </c>
    </row>
    <row r="54" spans="1:18" ht="36.950000000000003" customHeight="1" x14ac:dyDescent="0.25">
      <c r="A54" s="8" t="s">
        <v>2529</v>
      </c>
      <c r="B54" s="8" t="s">
        <v>2530</v>
      </c>
      <c r="C54" s="12" t="str">
        <f>IFERROR(VLOOKUP(B54,ENTITY_MASTER!$A$2:$B$266,2,FALSE),"")</f>
        <v>F-Prime Capital</v>
      </c>
      <c r="D54" s="8" t="s">
        <v>2421</v>
      </c>
      <c r="E54" s="8" t="s">
        <v>2531</v>
      </c>
      <c r="F54" s="8" t="s">
        <v>2532</v>
      </c>
      <c r="G54" s="13" t="s">
        <v>372</v>
      </c>
      <c r="H54" s="8" t="s">
        <v>2533</v>
      </c>
      <c r="I54" s="8" t="s">
        <v>2423</v>
      </c>
      <c r="J54" s="8" t="s">
        <v>2534</v>
      </c>
      <c r="K54" s="8" t="s">
        <v>2535</v>
      </c>
      <c r="L54" s="9" t="s">
        <v>954</v>
      </c>
      <c r="M54" s="9" t="s">
        <v>352</v>
      </c>
      <c r="N54" s="8" t="s">
        <v>2536</v>
      </c>
      <c r="O54" s="8" t="s">
        <v>2537</v>
      </c>
      <c r="P54" s="8" t="s">
        <v>2538</v>
      </c>
      <c r="Q54" s="12" t="str">
        <f>IFERROR(IF(VLOOKUP(K54,SOURCE_REGISTRY!$A$2:$E$246,5,FALSE)="","",VLOOKUP(K54,SOURCE_REGISTRY!$A$2:$E$246,5,FALSE)),"")</f>
        <v>https://www.fprimecapital.com/portfolio/life-sciences/</v>
      </c>
      <c r="R54" s="9" t="s">
        <v>356</v>
      </c>
    </row>
    <row r="55" spans="1:18" ht="36.950000000000003" customHeight="1" x14ac:dyDescent="0.25">
      <c r="A55" s="8" t="s">
        <v>2539</v>
      </c>
      <c r="B55" s="8" t="s">
        <v>2540</v>
      </c>
      <c r="C55" s="12" t="str">
        <f>IFERROR(VLOOKUP(B55,ENTITY_MASTER!$A$2:$B$266,2,FALSE),"")</f>
        <v>Boehringer Ingelheim Venture Fund</v>
      </c>
      <c r="D55" s="8" t="s">
        <v>2421</v>
      </c>
      <c r="E55" s="8" t="s">
        <v>2541</v>
      </c>
      <c r="F55" s="8" t="s">
        <v>2448</v>
      </c>
      <c r="G55" s="13" t="s">
        <v>372</v>
      </c>
      <c r="H55" s="8" t="s">
        <v>2474</v>
      </c>
      <c r="I55" s="8" t="s">
        <v>2423</v>
      </c>
      <c r="J55" s="8" t="s">
        <v>2450</v>
      </c>
      <c r="K55" s="8" t="s">
        <v>2542</v>
      </c>
      <c r="L55" s="9" t="s">
        <v>351</v>
      </c>
      <c r="M55" s="14" t="s">
        <v>944</v>
      </c>
      <c r="N55" s="8" t="s">
        <v>2543</v>
      </c>
      <c r="O55" s="8" t="s">
        <v>2544</v>
      </c>
      <c r="P55" s="8" t="s">
        <v>2545</v>
      </c>
      <c r="Q55" s="12" t="str">
        <f>IFERROR(IF(VLOOKUP(K55,SOURCE_REGISTRY!$A$2:$E$246,5,FALSE)="","",VLOOKUP(K55,SOURCE_REGISTRY!$A$2:$E$246,5,FALSE)),"")</f>
        <v>https://www.centauritherapeutics.com/centauri-therapeutics-closes-24m-series-a-investment-round/</v>
      </c>
      <c r="R55" s="9" t="s">
        <v>356</v>
      </c>
    </row>
    <row r="56" spans="1:18" ht="36.950000000000003" customHeight="1" x14ac:dyDescent="0.25">
      <c r="A56" s="8" t="s">
        <v>2546</v>
      </c>
      <c r="B56" s="8" t="s">
        <v>2547</v>
      </c>
      <c r="C56" s="12" t="str">
        <f>IFERROR(VLOOKUP(B56,ENTITY_MASTER!$A$2:$B$266,2,FALSE),"")</f>
        <v>EQT Life Sciences</v>
      </c>
      <c r="D56" s="8" t="s">
        <v>2421</v>
      </c>
      <c r="E56" s="8" t="s">
        <v>2548</v>
      </c>
      <c r="F56" s="8" t="s">
        <v>2448</v>
      </c>
      <c r="G56" s="8" t="s">
        <v>2250</v>
      </c>
      <c r="H56" s="8" t="s">
        <v>2549</v>
      </c>
      <c r="I56" s="8" t="s">
        <v>2423</v>
      </c>
      <c r="J56" s="8" t="s">
        <v>2450</v>
      </c>
      <c r="K56" s="8" t="s">
        <v>2550</v>
      </c>
      <c r="L56" s="9" t="s">
        <v>954</v>
      </c>
      <c r="M56" s="9" t="s">
        <v>352</v>
      </c>
      <c r="N56" s="8" t="s">
        <v>2551</v>
      </c>
      <c r="O56" s="8" t="s">
        <v>2552</v>
      </c>
      <c r="P56" s="8" t="s">
        <v>2553</v>
      </c>
      <c r="Q56" s="12" t="str">
        <f>IFERROR(IF(VLOOKUP(K56,SOURCE_REGISTRY!$A$2:$E$246,5,FALSE)="","",VLOOKUP(K56,SOURCE_REGISTRY!$A$2:$E$246,5,FALSE)),"")</f>
        <v>https://eqtgroup.com/private-capital/eqt-life-sciences</v>
      </c>
      <c r="R56" s="9" t="s">
        <v>356</v>
      </c>
    </row>
    <row r="57" spans="1:18" ht="36.950000000000003" customHeight="1" x14ac:dyDescent="0.25">
      <c r="A57" s="8" t="s">
        <v>2554</v>
      </c>
      <c r="B57" s="8" t="s">
        <v>2555</v>
      </c>
      <c r="C57" s="12" t="str">
        <f>IFERROR(VLOOKUP(B57,ENTITY_MASTER!$A$2:$B$266,2,FALSE),"")</f>
        <v>Pfizer Ventures</v>
      </c>
      <c r="D57" s="8" t="s">
        <v>2421</v>
      </c>
      <c r="E57" s="8" t="s">
        <v>2556</v>
      </c>
      <c r="F57" s="8" t="s">
        <v>2523</v>
      </c>
      <c r="G57" s="13" t="s">
        <v>372</v>
      </c>
      <c r="H57" s="8" t="s">
        <v>2557</v>
      </c>
      <c r="I57" s="8" t="s">
        <v>2423</v>
      </c>
      <c r="J57" s="8" t="s">
        <v>1682</v>
      </c>
      <c r="K57" s="8" t="s">
        <v>2558</v>
      </c>
      <c r="L57" s="9" t="s">
        <v>351</v>
      </c>
      <c r="M57" s="9" t="s">
        <v>352</v>
      </c>
      <c r="N57" s="8" t="s">
        <v>2559</v>
      </c>
      <c r="O57" s="8" t="s">
        <v>2560</v>
      </c>
      <c r="P57" s="8" t="s">
        <v>2561</v>
      </c>
      <c r="Q57" s="12" t="str">
        <f>IFERROR(IF(VLOOKUP(K57,SOURCE_REGISTRY!$A$2:$E$246,5,FALSE)="","",VLOOKUP(K57,SOURCE_REGISTRY!$A$2:$E$246,5,FALSE)),"")</f>
        <v>https://www.pfizer.com/about/partners/venture-investments</v>
      </c>
      <c r="R57" s="9" t="s">
        <v>356</v>
      </c>
    </row>
    <row r="58" spans="1:18" ht="36.950000000000003" customHeight="1" x14ac:dyDescent="0.25">
      <c r="A58" s="8" t="s">
        <v>2562</v>
      </c>
      <c r="B58" s="8" t="s">
        <v>2563</v>
      </c>
      <c r="C58" s="12" t="str">
        <f>IFERROR(VLOOKUP(B58,ENTITY_MASTER!$A$2:$B$266,2,FALSE),"")</f>
        <v>KHAN Technology Transfer Fund II</v>
      </c>
      <c r="D58" s="8" t="s">
        <v>2421</v>
      </c>
      <c r="E58" s="8" t="s">
        <v>2564</v>
      </c>
      <c r="F58" s="8" t="s">
        <v>2448</v>
      </c>
      <c r="G58" s="13" t="s">
        <v>372</v>
      </c>
      <c r="H58" s="8" t="s">
        <v>2565</v>
      </c>
      <c r="I58" s="8" t="s">
        <v>2566</v>
      </c>
      <c r="J58" s="8" t="s">
        <v>2567</v>
      </c>
      <c r="K58" s="8" t="s">
        <v>2568</v>
      </c>
      <c r="L58" s="9" t="s">
        <v>351</v>
      </c>
      <c r="M58" s="9" t="s">
        <v>352</v>
      </c>
      <c r="N58" s="8" t="s">
        <v>2569</v>
      </c>
      <c r="O58" s="8" t="s">
        <v>2570</v>
      </c>
      <c r="P58" s="8" t="s">
        <v>2571</v>
      </c>
      <c r="Q58" s="12" t="str">
        <f>IFERROR(IF(VLOOKUP(K58,SOURCE_REGISTRY!$A$2:$E$246,5,FALSE)="","",VLOOKUP(K58,SOURCE_REGISTRY!$A$2:$E$246,5,FALSE)),"")</f>
        <v>https://khanu.de/</v>
      </c>
      <c r="R58" s="9" t="s">
        <v>356</v>
      </c>
    </row>
    <row r="59" spans="1:18" ht="36.950000000000003" customHeight="1" x14ac:dyDescent="0.25">
      <c r="A59" s="8" t="s">
        <v>2572</v>
      </c>
      <c r="B59" s="8" t="s">
        <v>875</v>
      </c>
      <c r="C59" s="12" t="str">
        <f>IFERROR(VLOOKUP(B59,ENTITY_MASTER!$A$2:$B$266,2,FALSE),"")</f>
        <v>GARDP</v>
      </c>
      <c r="D59" s="8" t="s">
        <v>2573</v>
      </c>
      <c r="E59" s="8" t="s">
        <v>876</v>
      </c>
      <c r="F59" s="8" t="s">
        <v>543</v>
      </c>
      <c r="G59" s="8" t="s">
        <v>438</v>
      </c>
      <c r="H59" s="8" t="s">
        <v>2215</v>
      </c>
      <c r="I59" s="8" t="s">
        <v>438</v>
      </c>
      <c r="J59" s="8" t="s">
        <v>1682</v>
      </c>
      <c r="K59" s="8" t="s">
        <v>878</v>
      </c>
      <c r="L59" s="9" t="s">
        <v>351</v>
      </c>
      <c r="M59" s="9" t="s">
        <v>352</v>
      </c>
      <c r="N59" s="8" t="s">
        <v>2574</v>
      </c>
      <c r="O59" s="8" t="s">
        <v>2575</v>
      </c>
      <c r="P59" s="8" t="s">
        <v>2576</v>
      </c>
      <c r="Q59" s="12" t="str">
        <f>IFERROR(IF(VLOOKUP(K59,SOURCE_REGISTRY!$A$2:$E$246,5,FALSE)="","",VLOOKUP(K59,SOURCE_REGISTRY!$A$2:$E$246,5,FALSE)),"")</f>
        <v>https://gardp.org/gardp-treatments-and-projects/</v>
      </c>
      <c r="R59" s="9" t="s">
        <v>356</v>
      </c>
    </row>
    <row r="60" spans="1:18" ht="36.950000000000003" customHeight="1" x14ac:dyDescent="0.25">
      <c r="A60" s="8" t="s">
        <v>2577</v>
      </c>
      <c r="B60" s="8" t="s">
        <v>881</v>
      </c>
      <c r="C60" s="12" t="str">
        <f>IFERROR(VLOOKUP(B60,ENTITY_MASTER!$A$2:$B$266,2,FALSE),"")</f>
        <v>Medicines for Malaria Venture</v>
      </c>
      <c r="D60" s="8" t="s">
        <v>2573</v>
      </c>
      <c r="E60" s="8" t="s">
        <v>882</v>
      </c>
      <c r="F60" s="8" t="s">
        <v>543</v>
      </c>
      <c r="G60" s="8" t="s">
        <v>438</v>
      </c>
      <c r="H60" s="8" t="s">
        <v>2215</v>
      </c>
      <c r="I60" s="8" t="s">
        <v>438</v>
      </c>
      <c r="J60" s="8" t="s">
        <v>1682</v>
      </c>
      <c r="K60" s="8" t="s">
        <v>886</v>
      </c>
      <c r="L60" s="9" t="s">
        <v>351</v>
      </c>
      <c r="M60" s="9" t="s">
        <v>352</v>
      </c>
      <c r="N60" s="8" t="s">
        <v>2574</v>
      </c>
      <c r="O60" s="8" t="s">
        <v>2575</v>
      </c>
      <c r="P60" s="8" t="s">
        <v>2578</v>
      </c>
      <c r="Q60" s="12" t="str">
        <f>IFERROR(IF(VLOOKUP(K60,SOURCE_REGISTRY!$A$2:$E$246,5,FALSE)="","",VLOOKUP(K60,SOURCE_REGISTRY!$A$2:$E$246,5,FALSE)),"")</f>
        <v>https://www.mmv.org/</v>
      </c>
      <c r="R60" s="9" t="s">
        <v>356</v>
      </c>
    </row>
    <row r="61" spans="1:18" ht="36.950000000000003" customHeight="1" x14ac:dyDescent="0.25">
      <c r="A61" s="8" t="s">
        <v>2579</v>
      </c>
      <c r="B61" s="8" t="s">
        <v>898</v>
      </c>
      <c r="C61" s="12" t="str">
        <f>IFERROR(VLOOKUP(B61,ENTITY_MASTER!$A$2:$B$266,2,FALSE),"")</f>
        <v>TB Alliance</v>
      </c>
      <c r="D61" s="8" t="s">
        <v>2573</v>
      </c>
      <c r="E61" s="8" t="s">
        <v>899</v>
      </c>
      <c r="F61" s="8" t="s">
        <v>543</v>
      </c>
      <c r="G61" s="8" t="s">
        <v>438</v>
      </c>
      <c r="H61" s="8" t="s">
        <v>2215</v>
      </c>
      <c r="I61" s="8" t="s">
        <v>438</v>
      </c>
      <c r="J61" s="8" t="s">
        <v>1682</v>
      </c>
      <c r="K61" s="8" t="s">
        <v>903</v>
      </c>
      <c r="L61" s="9" t="s">
        <v>351</v>
      </c>
      <c r="M61" s="9" t="s">
        <v>352</v>
      </c>
      <c r="N61" s="8" t="s">
        <v>2574</v>
      </c>
      <c r="O61" s="8" t="s">
        <v>2575</v>
      </c>
      <c r="P61" s="8" t="s">
        <v>2580</v>
      </c>
      <c r="Q61" s="12" t="str">
        <f>IFERROR(IF(VLOOKUP(K61,SOURCE_REGISTRY!$A$2:$E$246,5,FALSE)="","",VLOOKUP(K61,SOURCE_REGISTRY!$A$2:$E$246,5,FALSE)),"")</f>
        <v>https://www.tballiance.org/our-pipeline-portfolio/</v>
      </c>
      <c r="R61" s="9" t="s">
        <v>356</v>
      </c>
    </row>
    <row r="62" spans="1:18" ht="36.950000000000003" customHeight="1" x14ac:dyDescent="0.25">
      <c r="A62" s="8" t="s">
        <v>2581</v>
      </c>
      <c r="B62" s="8" t="s">
        <v>869</v>
      </c>
      <c r="C62" s="12" t="str">
        <f>IFERROR(VLOOKUP(B62,ENTITY_MASTER!$A$2:$B$266,2,FALSE),"")</f>
        <v>FIND</v>
      </c>
      <c r="D62" s="8" t="s">
        <v>2573</v>
      </c>
      <c r="E62" s="8" t="s">
        <v>870</v>
      </c>
      <c r="F62" s="8" t="s">
        <v>382</v>
      </c>
      <c r="G62" s="8" t="s">
        <v>438</v>
      </c>
      <c r="H62" s="8" t="s">
        <v>2215</v>
      </c>
      <c r="I62" s="8" t="s">
        <v>438</v>
      </c>
      <c r="J62" s="8" t="s">
        <v>1682</v>
      </c>
      <c r="K62" s="8" t="s">
        <v>872</v>
      </c>
      <c r="L62" s="9" t="s">
        <v>351</v>
      </c>
      <c r="M62" s="9" t="s">
        <v>352</v>
      </c>
      <c r="N62" s="8" t="s">
        <v>2574</v>
      </c>
      <c r="O62" s="8" t="s">
        <v>2575</v>
      </c>
      <c r="P62" s="8" t="s">
        <v>2582</v>
      </c>
      <c r="Q62" s="12" t="str">
        <f>IFERROR(IF(VLOOKUP(K62,SOURCE_REGISTRY!$A$2:$E$246,5,FALSE)="","",VLOOKUP(K62,SOURCE_REGISTRY!$A$2:$E$246,5,FALSE)),"")</f>
        <v>https://www.finddx.org/about-us/donors-and-partners/calls-for-partners/</v>
      </c>
      <c r="R62" s="9" t="s">
        <v>356</v>
      </c>
    </row>
    <row r="63" spans="1:18" ht="36.950000000000003" customHeight="1" x14ac:dyDescent="0.25">
      <c r="A63" s="8" t="s">
        <v>2583</v>
      </c>
      <c r="B63" s="8" t="s">
        <v>680</v>
      </c>
      <c r="C63" s="12" t="str">
        <f>IFERROR(VLOOKUP(B63,ENTITY_MASTER!$A$2:$B$266,2,FALSE),"")</f>
        <v>Gates Medical Research Institute</v>
      </c>
      <c r="D63" s="8" t="s">
        <v>2573</v>
      </c>
      <c r="E63" s="8" t="s">
        <v>681</v>
      </c>
      <c r="F63" s="8" t="s">
        <v>683</v>
      </c>
      <c r="G63" s="8" t="s">
        <v>438</v>
      </c>
      <c r="H63" s="8" t="s">
        <v>2215</v>
      </c>
      <c r="I63" s="8" t="s">
        <v>438</v>
      </c>
      <c r="J63" s="8" t="s">
        <v>1682</v>
      </c>
      <c r="K63" s="8" t="s">
        <v>685</v>
      </c>
      <c r="L63" s="9" t="s">
        <v>351</v>
      </c>
      <c r="M63" s="9" t="s">
        <v>352</v>
      </c>
      <c r="N63" s="8" t="s">
        <v>2574</v>
      </c>
      <c r="O63" s="8" t="s">
        <v>2575</v>
      </c>
      <c r="P63" s="8" t="s">
        <v>2584</v>
      </c>
      <c r="Q63" s="12" t="str">
        <f>IFERROR(IF(VLOOKUP(K63,SOURCE_REGISTRY!$A$2:$E$246,5,FALSE)="","",VLOOKUP(K63,SOURCE_REGISTRY!$A$2:$E$246,5,FALSE)),"")</f>
        <v>https://www.gatesmri.org/research-priorities/</v>
      </c>
      <c r="R63" s="9" t="s">
        <v>356</v>
      </c>
    </row>
    <row r="64" spans="1:18" ht="36.950000000000003" customHeight="1" x14ac:dyDescent="0.25">
      <c r="A64" s="8" t="s">
        <v>2585</v>
      </c>
      <c r="B64" s="8" t="s">
        <v>436</v>
      </c>
      <c r="C64" s="12" t="str">
        <f>IFERROR(VLOOKUP(B64,ENTITY_MASTER!$A$2:$B$266,2,FALSE),"")</f>
        <v>PATH</v>
      </c>
      <c r="D64" s="8" t="s">
        <v>2573</v>
      </c>
      <c r="E64" s="8" t="s">
        <v>437</v>
      </c>
      <c r="F64" s="8" t="s">
        <v>439</v>
      </c>
      <c r="G64" s="8" t="s">
        <v>438</v>
      </c>
      <c r="H64" s="8" t="s">
        <v>2215</v>
      </c>
      <c r="I64" s="8" t="s">
        <v>438</v>
      </c>
      <c r="J64" s="8" t="s">
        <v>1682</v>
      </c>
      <c r="K64" s="8" t="s">
        <v>441</v>
      </c>
      <c r="L64" s="9" t="s">
        <v>351</v>
      </c>
      <c r="M64" s="9" t="s">
        <v>352</v>
      </c>
      <c r="N64" s="8" t="s">
        <v>2574</v>
      </c>
      <c r="O64" s="8" t="s">
        <v>2575</v>
      </c>
      <c r="P64" s="8" t="s">
        <v>2586</v>
      </c>
      <c r="Q64" s="12" t="str">
        <f>IFERROR(IF(VLOOKUP(K64,SOURCE_REGISTRY!$A$2:$E$246,5,FALSE)="","",VLOOKUP(K64,SOURCE_REGISTRY!$A$2:$E$246,5,FALSE)),"")</f>
        <v>https://www.path.org/who-we-are/programs/center-for-vaccine-innovation-and-access/</v>
      </c>
      <c r="R64" s="9" t="s">
        <v>356</v>
      </c>
    </row>
    <row r="65" spans="1:18" ht="36.950000000000003" customHeight="1" x14ac:dyDescent="0.25">
      <c r="A65" s="8" t="s">
        <v>2587</v>
      </c>
      <c r="B65" s="8" t="s">
        <v>785</v>
      </c>
      <c r="C65" s="12" t="str">
        <f>IFERROR(VLOOKUP(B65,ENTITY_MASTER!$A$2:$B$266,2,FALSE),"")</f>
        <v>International Vaccine Institute</v>
      </c>
      <c r="D65" s="8" t="s">
        <v>2573</v>
      </c>
      <c r="E65" s="8" t="s">
        <v>786</v>
      </c>
      <c r="F65" s="8" t="s">
        <v>409</v>
      </c>
      <c r="G65" s="8" t="s">
        <v>438</v>
      </c>
      <c r="H65" s="8" t="s">
        <v>2215</v>
      </c>
      <c r="I65" s="8" t="s">
        <v>438</v>
      </c>
      <c r="J65" s="8" t="s">
        <v>1682</v>
      </c>
      <c r="K65" s="8" t="s">
        <v>788</v>
      </c>
      <c r="L65" s="9" t="s">
        <v>351</v>
      </c>
      <c r="M65" s="9" t="s">
        <v>352</v>
      </c>
      <c r="N65" s="8" t="s">
        <v>2574</v>
      </c>
      <c r="O65" s="8" t="s">
        <v>2575</v>
      </c>
      <c r="P65" s="8" t="s">
        <v>2588</v>
      </c>
      <c r="Q65" s="12" t="str">
        <f>IFERROR(IF(VLOOKUP(K65,SOURCE_REGISTRY!$A$2:$E$246,5,FALSE)="","",VLOOKUP(K65,SOURCE_REGISTRY!$A$2:$E$246,5,FALSE)),"")</f>
        <v>https://www.ivi.int/</v>
      </c>
      <c r="R65" s="9" t="s">
        <v>356</v>
      </c>
    </row>
    <row r="66" spans="1:18" ht="36.950000000000003" customHeight="1" x14ac:dyDescent="0.25">
      <c r="A66" s="8" t="s">
        <v>2589</v>
      </c>
      <c r="B66" s="8" t="s">
        <v>976</v>
      </c>
      <c r="C66" s="12" t="str">
        <f>IFERROR(VLOOKUP(B66,ENTITY_MASTER!$A$2:$B$266,2,FALSE),"")</f>
        <v>Drugs for Neglected Diseases initiative</v>
      </c>
      <c r="D66" s="8" t="s">
        <v>2573</v>
      </c>
      <c r="E66" s="8" t="s">
        <v>2590</v>
      </c>
      <c r="F66" s="8" t="s">
        <v>980</v>
      </c>
      <c r="G66" s="8" t="s">
        <v>438</v>
      </c>
      <c r="H66" s="8" t="s">
        <v>2215</v>
      </c>
      <c r="I66" s="8" t="s">
        <v>438</v>
      </c>
      <c r="J66" s="8" t="s">
        <v>1682</v>
      </c>
      <c r="K66" s="8" t="s">
        <v>982</v>
      </c>
      <c r="L66" s="9" t="s">
        <v>351</v>
      </c>
      <c r="M66" s="9" t="s">
        <v>352</v>
      </c>
      <c r="N66" s="8" t="s">
        <v>2574</v>
      </c>
      <c r="O66" s="8" t="s">
        <v>2575</v>
      </c>
      <c r="P66" s="8" t="s">
        <v>2591</v>
      </c>
      <c r="Q66" s="12" t="str">
        <f>IFERROR(IF(VLOOKUP(K66,SOURCE_REGISTRY!$A$2:$E$246,5,FALSE)="","",VLOOKUP(K66,SOURCE_REGISTRY!$A$2:$E$246,5,FALSE)),"")</f>
        <v>https://dndi.org/partnerships/partnering-with-us/</v>
      </c>
      <c r="R66" s="9" t="s">
        <v>356</v>
      </c>
    </row>
    <row r="67" spans="1:18" ht="36.950000000000003" customHeight="1" x14ac:dyDescent="0.25">
      <c r="A67" s="8" t="s">
        <v>2592</v>
      </c>
      <c r="B67" s="8" t="s">
        <v>656</v>
      </c>
      <c r="C67" s="12" t="str">
        <f>IFERROR(VLOOKUP(B67,ENTITY_MASTER!$A$2:$B$266,2,FALSE),"")</f>
        <v>International AIDS Vaccine Initiative Inc</v>
      </c>
      <c r="D67" s="8" t="s">
        <v>2573</v>
      </c>
      <c r="E67" s="8" t="s">
        <v>2593</v>
      </c>
      <c r="F67" s="8" t="s">
        <v>425</v>
      </c>
      <c r="G67" s="8" t="s">
        <v>438</v>
      </c>
      <c r="H67" s="8" t="s">
        <v>2215</v>
      </c>
      <c r="I67" s="8" t="s">
        <v>438</v>
      </c>
      <c r="J67" s="8" t="s">
        <v>1682</v>
      </c>
      <c r="K67" s="8" t="s">
        <v>660</v>
      </c>
      <c r="L67" s="9" t="s">
        <v>351</v>
      </c>
      <c r="M67" s="9" t="s">
        <v>352</v>
      </c>
      <c r="N67" s="8" t="s">
        <v>2574</v>
      </c>
      <c r="O67" s="8" t="s">
        <v>2575</v>
      </c>
      <c r="P67" s="8" t="s">
        <v>2594</v>
      </c>
      <c r="Q67" s="12" t="str">
        <f>IFERROR(IF(VLOOKUP(K67,SOURCE_REGISTRY!$A$2:$E$246,5,FALSE)="","",VLOOKUP(K67,SOURCE_REGISTRY!$A$2:$E$246,5,FALSE)),"")</f>
        <v>https://www.iavi.org/</v>
      </c>
      <c r="R67" s="9" t="s">
        <v>356</v>
      </c>
    </row>
    <row r="68" spans="1:18" ht="36.950000000000003" customHeight="1" x14ac:dyDescent="0.25">
      <c r="A68" s="8" t="s">
        <v>2595</v>
      </c>
      <c r="B68" s="8" t="s">
        <v>358</v>
      </c>
      <c r="C68" s="12" t="str">
        <f>IFERROR(VLOOKUP(B68,ENTITY_MASTER!$A$2:$B$266,2,FALSE),"")</f>
        <v>AiCuris Anti-infective Cures AG</v>
      </c>
      <c r="D68" s="8" t="s">
        <v>2596</v>
      </c>
      <c r="E68" s="8" t="s">
        <v>360</v>
      </c>
      <c r="F68" s="8" t="s">
        <v>363</v>
      </c>
      <c r="G68" s="8" t="s">
        <v>438</v>
      </c>
      <c r="H68" s="8" t="s">
        <v>2215</v>
      </c>
      <c r="I68" s="8" t="s">
        <v>438</v>
      </c>
      <c r="J68" s="8" t="s">
        <v>1682</v>
      </c>
      <c r="K68" s="8" t="s">
        <v>365</v>
      </c>
      <c r="L68" s="9" t="s">
        <v>351</v>
      </c>
      <c r="M68" s="9" t="s">
        <v>352</v>
      </c>
      <c r="N68" s="8" t="s">
        <v>2574</v>
      </c>
      <c r="O68" s="8" t="s">
        <v>2575</v>
      </c>
      <c r="P68" s="8" t="s">
        <v>2597</v>
      </c>
      <c r="Q68" s="12" t="str">
        <f>IFERROR(IF(VLOOKUP(K68,SOURCE_REGISTRY!$A$2:$E$246,5,FALSE)="","",VLOOKUP(K68,SOURCE_REGISTRY!$A$2:$E$246,5,FALSE)),"")</f>
        <v>https://www.aicuris.com/pipeline-products/</v>
      </c>
      <c r="R68" s="9" t="s">
        <v>356</v>
      </c>
    </row>
    <row r="69" spans="1:18" ht="36.950000000000003" customHeight="1" x14ac:dyDescent="0.25">
      <c r="A69" s="8" t="s">
        <v>2598</v>
      </c>
      <c r="B69" s="8" t="s">
        <v>650</v>
      </c>
      <c r="C69" s="12" t="str">
        <f>IFERROR(VLOOKUP(B69,ENTITY_MASTER!$A$2:$B$266,2,FALSE),"")</f>
        <v>Bugworks Research Inc</v>
      </c>
      <c r="D69" s="8" t="s">
        <v>2596</v>
      </c>
      <c r="E69" s="8" t="s">
        <v>651</v>
      </c>
      <c r="F69" s="8" t="s">
        <v>543</v>
      </c>
      <c r="G69" s="8" t="s">
        <v>438</v>
      </c>
      <c r="H69" s="8" t="s">
        <v>2215</v>
      </c>
      <c r="I69" s="8" t="s">
        <v>438</v>
      </c>
      <c r="J69" s="8" t="s">
        <v>1682</v>
      </c>
      <c r="K69" s="8" t="s">
        <v>653</v>
      </c>
      <c r="L69" s="9" t="s">
        <v>351</v>
      </c>
      <c r="M69" s="9" t="s">
        <v>352</v>
      </c>
      <c r="N69" s="8" t="s">
        <v>2574</v>
      </c>
      <c r="O69" s="8" t="s">
        <v>2575</v>
      </c>
      <c r="P69" s="8" t="s">
        <v>2599</v>
      </c>
      <c r="Q69" s="12" t="str">
        <f>IFERROR(IF(VLOOKUP(K69,SOURCE_REGISTRY!$A$2:$E$246,5,FALSE)="","",VLOOKUP(K69,SOURCE_REGISTRY!$A$2:$E$246,5,FALSE)),"")</f>
        <v>https://bugworksresearch.com/</v>
      </c>
      <c r="R69" s="9" t="s">
        <v>356</v>
      </c>
    </row>
    <row r="70" spans="1:18" ht="36.950000000000003" customHeight="1" x14ac:dyDescent="0.25">
      <c r="A70" s="8" t="s">
        <v>2600</v>
      </c>
      <c r="B70" s="8" t="s">
        <v>862</v>
      </c>
      <c r="C70" s="12" t="str">
        <f>IFERROR(VLOOKUP(B70,ENTITY_MASTER!$A$2:$B$266,2,FALSE),"")</f>
        <v>Abbott</v>
      </c>
      <c r="D70" s="8" t="s">
        <v>2601</v>
      </c>
      <c r="E70" s="8" t="s">
        <v>863</v>
      </c>
      <c r="F70" s="8" t="s">
        <v>382</v>
      </c>
      <c r="G70" s="8" t="s">
        <v>438</v>
      </c>
      <c r="H70" s="8" t="s">
        <v>2215</v>
      </c>
      <c r="I70" s="8" t="s">
        <v>438</v>
      </c>
      <c r="J70" s="8" t="s">
        <v>1682</v>
      </c>
      <c r="K70" s="8" t="s">
        <v>866</v>
      </c>
      <c r="L70" s="9" t="s">
        <v>351</v>
      </c>
      <c r="M70" s="9" t="s">
        <v>352</v>
      </c>
      <c r="N70" s="8" t="s">
        <v>2574</v>
      </c>
      <c r="O70" s="8" t="s">
        <v>2575</v>
      </c>
      <c r="P70" s="8" t="s">
        <v>2602</v>
      </c>
      <c r="Q70" s="12" t="str">
        <f>IFERROR(IF(VLOOKUP(K70,SOURCE_REGISTRY!$A$2:$E$246,5,FALSE)="","",VLOOKUP(K70,SOURCE_REGISTRY!$A$2:$E$246,5,FALSE)),"")</f>
        <v>https://www.molecular.abbott/us/en/offerings/products/infectious-disease</v>
      </c>
      <c r="R70" s="9" t="s">
        <v>356</v>
      </c>
    </row>
    <row r="71" spans="1:18" ht="36.950000000000003" customHeight="1" x14ac:dyDescent="0.25">
      <c r="A71" s="8" t="s">
        <v>2603</v>
      </c>
      <c r="B71" s="8" t="s">
        <v>889</v>
      </c>
      <c r="C71" s="12" t="str">
        <f>IFERROR(VLOOKUP(B71,ENTITY_MASTER!$A$2:$B$266,2,FALSE),"")</f>
        <v>Pierre Fabre</v>
      </c>
      <c r="D71" s="8" t="s">
        <v>2596</v>
      </c>
      <c r="E71" s="8" t="s">
        <v>890</v>
      </c>
      <c r="F71" s="8" t="s">
        <v>892</v>
      </c>
      <c r="G71" s="8" t="s">
        <v>438</v>
      </c>
      <c r="H71" s="8" t="s">
        <v>2215</v>
      </c>
      <c r="I71" s="8" t="s">
        <v>438</v>
      </c>
      <c r="J71" s="8" t="s">
        <v>1682</v>
      </c>
      <c r="K71" s="8" t="s">
        <v>894</v>
      </c>
      <c r="L71" s="9" t="s">
        <v>351</v>
      </c>
      <c r="M71" s="9" t="s">
        <v>352</v>
      </c>
      <c r="N71" s="8" t="s">
        <v>896</v>
      </c>
      <c r="O71" s="8" t="s">
        <v>2575</v>
      </c>
      <c r="P71" s="8" t="s">
        <v>2604</v>
      </c>
      <c r="Q71" s="12" t="str">
        <f>IFERROR(IF(VLOOKUP(K71,SOURCE_REGISTRY!$A$2:$E$246,5,FALSE)="","",VLOOKUP(K71,SOURCE_REGISTRY!$A$2:$E$246,5,FALSE)),"")</f>
        <v>https://www.ema.europa.eu/en/medicines/human/EPAR/ebvallo</v>
      </c>
      <c r="R71" s="9" t="s">
        <v>356</v>
      </c>
    </row>
    <row r="72" spans="1:18" ht="36.950000000000003" customHeight="1" x14ac:dyDescent="0.25">
      <c r="A72" s="8" t="s">
        <v>2605</v>
      </c>
      <c r="B72" s="8" t="s">
        <v>720</v>
      </c>
      <c r="C72" s="12" t="str">
        <f>IFERROR(VLOOKUP(B72,ENTITY_MASTER!$A$2:$B$266,2,FALSE),"")</f>
        <v>QIAGEN</v>
      </c>
      <c r="D72" s="8" t="s">
        <v>2601</v>
      </c>
      <c r="E72" s="8" t="s">
        <v>2606</v>
      </c>
      <c r="F72" s="8" t="s">
        <v>382</v>
      </c>
      <c r="G72" s="8" t="s">
        <v>438</v>
      </c>
      <c r="H72" s="8" t="s">
        <v>2215</v>
      </c>
      <c r="I72" s="8" t="s">
        <v>2423</v>
      </c>
      <c r="J72" s="8" t="s">
        <v>1682</v>
      </c>
      <c r="K72" s="8" t="s">
        <v>2607</v>
      </c>
      <c r="L72" s="9" t="s">
        <v>351</v>
      </c>
      <c r="M72" s="9" t="s">
        <v>352</v>
      </c>
      <c r="N72" s="8" t="s">
        <v>2608</v>
      </c>
      <c r="O72" s="8" t="s">
        <v>2609</v>
      </c>
      <c r="P72" s="8" t="s">
        <v>2610</v>
      </c>
      <c r="Q72" s="12" t="str">
        <f>IFERROR(IF(VLOOKUP(K72,SOURCE_REGISTRY!$A$2:$E$246,5,FALSE)="","",VLOOKUP(K72,SOURCE_REGISTRY!$A$2:$E$246,5,FALSE)),"")</f>
        <v>https://www.qiagen.com/us/applications/digital-pcr-mdx/partnering</v>
      </c>
      <c r="R72" s="9" t="s">
        <v>356</v>
      </c>
    </row>
    <row r="73" spans="1:18" ht="36.950000000000003" customHeight="1" x14ac:dyDescent="0.25">
      <c r="A73" s="8" t="s">
        <v>2611</v>
      </c>
      <c r="B73" s="8" t="s">
        <v>922</v>
      </c>
      <c r="C73" s="12" t="str">
        <f>IFERROR(VLOOKUP(B73,ENTITY_MASTER!$A$2:$B$266,2,FALSE),"")</f>
        <v>SCYNEXIS</v>
      </c>
      <c r="D73" s="8" t="s">
        <v>2340</v>
      </c>
      <c r="E73" s="8" t="s">
        <v>923</v>
      </c>
      <c r="F73" s="8" t="s">
        <v>543</v>
      </c>
      <c r="G73" s="13" t="s">
        <v>372</v>
      </c>
      <c r="H73" s="8" t="s">
        <v>2215</v>
      </c>
      <c r="I73" s="8" t="s">
        <v>2216</v>
      </c>
      <c r="J73" s="8" t="s">
        <v>1682</v>
      </c>
      <c r="K73" s="8" t="s">
        <v>927</v>
      </c>
      <c r="L73" s="9" t="s">
        <v>954</v>
      </c>
      <c r="M73" s="9" t="s">
        <v>352</v>
      </c>
      <c r="N73" s="8" t="s">
        <v>929</v>
      </c>
      <c r="O73" s="8" t="s">
        <v>2612</v>
      </c>
      <c r="P73" s="8" t="s">
        <v>2613</v>
      </c>
      <c r="Q73" s="12" t="str">
        <f>IFERROR(IF(VLOOKUP(K73,SOURCE_REGISTRY!$A$2:$E$246,5,FALSE)="","",VLOOKUP(K73,SOURCE_REGISTRY!$A$2:$E$246,5,FALSE)),"")</f>
        <v>https://www.scynexis.com/our-pipeline/</v>
      </c>
      <c r="R73" s="9" t="s">
        <v>356</v>
      </c>
    </row>
    <row r="74" spans="1:18" ht="36.950000000000003" customHeight="1" x14ac:dyDescent="0.25">
      <c r="A74" s="8" t="s">
        <v>2614</v>
      </c>
      <c r="B74" s="8" t="s">
        <v>906</v>
      </c>
      <c r="C74" s="12" t="str">
        <f>IFERROR(VLOOKUP(B74,ENTITY_MASTER!$A$2:$B$266,2,FALSE),"")</f>
        <v>Eligo Bioscience</v>
      </c>
      <c r="D74" s="8" t="s">
        <v>2340</v>
      </c>
      <c r="E74" s="8" t="s">
        <v>907</v>
      </c>
      <c r="F74" s="8" t="s">
        <v>908</v>
      </c>
      <c r="G74" s="13" t="s">
        <v>372</v>
      </c>
      <c r="H74" s="8" t="s">
        <v>2215</v>
      </c>
      <c r="I74" s="8" t="s">
        <v>2216</v>
      </c>
      <c r="J74" s="8" t="s">
        <v>1682</v>
      </c>
      <c r="K74" s="8" t="s">
        <v>910</v>
      </c>
      <c r="L74" s="9" t="s">
        <v>954</v>
      </c>
      <c r="M74" s="9" t="s">
        <v>352</v>
      </c>
      <c r="N74" s="8" t="s">
        <v>912</v>
      </c>
      <c r="O74" s="8" t="s">
        <v>2612</v>
      </c>
      <c r="P74" s="8" t="s">
        <v>2615</v>
      </c>
      <c r="Q74" s="12" t="str">
        <f>IFERROR(IF(VLOOKUP(K74,SOURCE_REGISTRY!$A$2:$E$246,5,FALSE)="","",VLOOKUP(K74,SOURCE_REGISTRY!$A$2:$E$246,5,FALSE)),"")</f>
        <v>https://eligo.bio/platform/</v>
      </c>
      <c r="R74" s="9" t="s">
        <v>356</v>
      </c>
    </row>
    <row r="75" spans="1:18" ht="36.950000000000003" customHeight="1" x14ac:dyDescent="0.25">
      <c r="A75" s="8" t="s">
        <v>2616</v>
      </c>
      <c r="B75" s="8" t="s">
        <v>931</v>
      </c>
      <c r="C75" s="12" t="str">
        <f>IFERROR(VLOOKUP(B75,ENTITY_MASTER!$A$2:$B$266,2,FALSE),"")</f>
        <v>Seegene</v>
      </c>
      <c r="D75" s="8" t="s">
        <v>2601</v>
      </c>
      <c r="E75" s="8" t="s">
        <v>932</v>
      </c>
      <c r="F75" s="8" t="s">
        <v>382</v>
      </c>
      <c r="G75" s="13" t="s">
        <v>372</v>
      </c>
      <c r="H75" s="8" t="s">
        <v>2215</v>
      </c>
      <c r="I75" s="8" t="s">
        <v>2216</v>
      </c>
      <c r="J75" s="8" t="s">
        <v>1682</v>
      </c>
      <c r="K75" s="8" t="s">
        <v>935</v>
      </c>
      <c r="L75" s="9" t="s">
        <v>351</v>
      </c>
      <c r="M75" s="9" t="s">
        <v>352</v>
      </c>
      <c r="N75" s="8" t="s">
        <v>937</v>
      </c>
      <c r="O75" s="8" t="s">
        <v>2612</v>
      </c>
      <c r="P75" s="8" t="s">
        <v>2617</v>
      </c>
      <c r="Q75" s="12" t="str">
        <f>IFERROR(IF(VLOOKUP(K75,SOURCE_REGISTRY!$A$2:$E$246,5,FALSE)="","",VLOOKUP(K75,SOURCE_REGISTRY!$A$2:$E$246,5,FALSE)),"")</f>
        <v>https://www.seegene.com/company/technology</v>
      </c>
      <c r="R75" s="9" t="s">
        <v>356</v>
      </c>
    </row>
    <row r="76" spans="1:18" ht="36.950000000000003" customHeight="1" x14ac:dyDescent="0.25">
      <c r="A76" s="8" t="s">
        <v>2618</v>
      </c>
      <c r="B76" s="8" t="s">
        <v>1043</v>
      </c>
      <c r="C76" s="12" t="str">
        <f>IFERROR(VLOOKUP(B76,ENTITY_MASTER!$A$2:$B$266,2,FALSE),"")</f>
        <v>Hologic</v>
      </c>
      <c r="D76" s="8" t="s">
        <v>2340</v>
      </c>
      <c r="E76" s="8" t="s">
        <v>1044</v>
      </c>
      <c r="F76" s="8" t="s">
        <v>382</v>
      </c>
      <c r="G76" s="13" t="s">
        <v>372</v>
      </c>
      <c r="H76" s="8" t="s">
        <v>2215</v>
      </c>
      <c r="I76" s="8" t="s">
        <v>2216</v>
      </c>
      <c r="J76" s="8" t="s">
        <v>1682</v>
      </c>
      <c r="K76" s="8" t="s">
        <v>1046</v>
      </c>
      <c r="L76" s="9" t="s">
        <v>954</v>
      </c>
      <c r="M76" s="9" t="s">
        <v>352</v>
      </c>
      <c r="N76" s="8" t="s">
        <v>1048</v>
      </c>
      <c r="O76" s="8" t="s">
        <v>2612</v>
      </c>
      <c r="P76" s="8" t="s">
        <v>2619</v>
      </c>
      <c r="Q76" s="12" t="str">
        <f>IFERROR(IF(VLOOKUP(K76,SOURCE_REGISTRY!$A$2:$E$246,5,FALSE)="","",VLOOKUP(K76,SOURCE_REGISTRY!$A$2:$E$246,5,FALSE)),"")</f>
        <v>https://www.hologic.com/molecular-diagnostics</v>
      </c>
      <c r="R76" s="9" t="s">
        <v>356</v>
      </c>
    </row>
    <row r="77" spans="1:18" ht="36.950000000000003" customHeight="1" x14ac:dyDescent="0.25">
      <c r="A77" s="8" t="s">
        <v>2620</v>
      </c>
      <c r="B77" s="8" t="s">
        <v>914</v>
      </c>
      <c r="C77" s="12" t="str">
        <f>IFERROR(VLOOKUP(B77,ENTITY_MASTER!$A$2:$B$266,2,FALSE),"")</f>
        <v>Sabin Vaccine Institute</v>
      </c>
      <c r="D77" s="8" t="s">
        <v>2573</v>
      </c>
      <c r="E77" s="8" t="s">
        <v>915</v>
      </c>
      <c r="F77" s="8" t="s">
        <v>409</v>
      </c>
      <c r="G77" s="13" t="s">
        <v>372</v>
      </c>
      <c r="H77" s="8" t="s">
        <v>2215</v>
      </c>
      <c r="I77" s="8" t="s">
        <v>2216</v>
      </c>
      <c r="J77" s="8" t="s">
        <v>1682</v>
      </c>
      <c r="K77" s="8" t="s">
        <v>918</v>
      </c>
      <c r="L77" s="9" t="s">
        <v>351</v>
      </c>
      <c r="M77" s="9" t="s">
        <v>352</v>
      </c>
      <c r="N77" s="8" t="s">
        <v>920</v>
      </c>
      <c r="O77" s="8" t="s">
        <v>2612</v>
      </c>
      <c r="P77" s="8" t="s">
        <v>2621</v>
      </c>
      <c r="Q77" s="12" t="str">
        <f>IFERROR(IF(VLOOKUP(K77,SOURCE_REGISTRY!$A$2:$E$246,5,FALSE)="","",VLOOKUP(K77,SOURCE_REGISTRY!$A$2:$E$246,5,FALSE)),"")</f>
        <v>https://sabin.org/vaccine-research-and-development/</v>
      </c>
      <c r="R77" s="9" t="s">
        <v>356</v>
      </c>
    </row>
    <row r="78" spans="1:18" ht="36.950000000000003" customHeight="1" x14ac:dyDescent="0.25">
      <c r="A78" s="8" t="s">
        <v>2622</v>
      </c>
      <c r="B78" s="8" t="s">
        <v>939</v>
      </c>
      <c r="C78" s="12" t="str">
        <f>IFERROR(VLOOKUP(B78,ENTITY_MASTER!$A$2:$B$266,2,FALSE),"")</f>
        <v>Venatorx Pharmaceuticals</v>
      </c>
      <c r="D78" s="8" t="s">
        <v>2340</v>
      </c>
      <c r="E78" s="8" t="s">
        <v>651</v>
      </c>
      <c r="F78" s="8" t="s">
        <v>543</v>
      </c>
      <c r="G78" s="13" t="s">
        <v>372</v>
      </c>
      <c r="H78" s="8" t="s">
        <v>2215</v>
      </c>
      <c r="I78" s="8" t="s">
        <v>2216</v>
      </c>
      <c r="J78" s="8" t="s">
        <v>1682</v>
      </c>
      <c r="K78" s="8" t="s">
        <v>943</v>
      </c>
      <c r="L78" s="9" t="s">
        <v>954</v>
      </c>
      <c r="M78" s="14" t="s">
        <v>944</v>
      </c>
      <c r="N78" s="8" t="s">
        <v>947</v>
      </c>
      <c r="O78" s="8" t="s">
        <v>2612</v>
      </c>
      <c r="P78" s="8" t="s">
        <v>2623</v>
      </c>
      <c r="Q78" s="12" t="str">
        <f>IFERROR(IF(VLOOKUP(K78,SOURCE_REGISTRY!$A$2:$E$246,5,FALSE)="","",VLOOKUP(K78,SOURCE_REGISTRY!$A$2:$E$246,5,FALSE)),"")</f>
        <v>https://accesstomedicinefoundation.org/company/venatorx-pharmaceuticals-inc/amrb</v>
      </c>
      <c r="R78" s="9" t="s">
        <v>356</v>
      </c>
    </row>
    <row r="79" spans="1:18" ht="36.950000000000003" customHeight="1" x14ac:dyDescent="0.25">
      <c r="A79" s="8" t="s">
        <v>2624</v>
      </c>
      <c r="B79" s="8" t="s">
        <v>2625</v>
      </c>
      <c r="C79" s="12" t="str">
        <f>IFERROR(VLOOKUP(B79,ENTITY_MASTER!$A$2:$B$266,2,FALSE),"")</f>
        <v>Unitaid</v>
      </c>
      <c r="D79" s="8" t="s">
        <v>2273</v>
      </c>
      <c r="E79" s="8" t="s">
        <v>2195</v>
      </c>
      <c r="F79" s="8" t="s">
        <v>2448</v>
      </c>
      <c r="G79" s="13" t="s">
        <v>372</v>
      </c>
      <c r="H79" s="8" t="s">
        <v>2215</v>
      </c>
      <c r="I79" s="8" t="s">
        <v>2216</v>
      </c>
      <c r="J79" s="8" t="s">
        <v>1682</v>
      </c>
      <c r="K79" s="8" t="s">
        <v>2196</v>
      </c>
      <c r="L79" s="9" t="s">
        <v>954</v>
      </c>
      <c r="M79" s="9" t="s">
        <v>352</v>
      </c>
      <c r="N79" s="8" t="s">
        <v>2626</v>
      </c>
      <c r="O79" s="8" t="s">
        <v>2612</v>
      </c>
      <c r="P79" s="8" t="s">
        <v>2627</v>
      </c>
      <c r="Q79" s="12" t="str">
        <f>IFERROR(IF(VLOOKUP(K79,SOURCE_REGISTRY!$A$2:$E$246,5,FALSE)="","",VLOOKUP(K79,SOURCE_REGISTRY!$A$2:$E$246,5,FALSE)),"")</f>
        <v>https://unitaid.org/projects/</v>
      </c>
      <c r="R79" s="9" t="s">
        <v>356</v>
      </c>
    </row>
  </sheetData>
  <dataValidations count="3">
    <dataValidation type="list" showErrorMessage="1" errorTitle="Controlled value required" error="Select a defined value; do not invent a tag." sqref="L2:L500" xr:uid="{00000000-0002-0000-0900-000000000000}">
      <formula1>"P0,P1,P2,P3"</formula1>
    </dataValidation>
    <dataValidation type="list" showErrorMessage="1" errorTitle="Controlled value required" error="Select a defined value; do not invent a tag." sqref="R2:R500" xr:uid="{00000000-0002-0000-09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9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7E8B"/>
    <outlinePr summaryBelow="0" summaryRight="0"/>
    <pageSetUpPr fitToPage="1"/>
  </sheetPr>
  <dimension ref="A1:M58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29" customWidth="1"/>
    <col min="3" max="3" width="38" customWidth="1"/>
    <col min="4" max="4" width="27" customWidth="1"/>
    <col min="5" max="6" width="32" customWidth="1"/>
    <col min="7" max="7" width="27" customWidth="1"/>
    <col min="8" max="8" width="29" customWidth="1"/>
    <col min="9" max="10" width="20" customWidth="1"/>
    <col min="11" max="11" width="29" customWidth="1"/>
    <col min="12" max="12" width="61" customWidth="1"/>
    <col min="13" max="13" width="20" customWidth="1"/>
  </cols>
  <sheetData>
    <row r="1" spans="1:13" ht="42.95" customHeight="1" x14ac:dyDescent="0.25">
      <c r="A1" s="7" t="s">
        <v>326</v>
      </c>
      <c r="B1" s="7" t="s">
        <v>327</v>
      </c>
      <c r="C1" s="7" t="s">
        <v>328</v>
      </c>
      <c r="D1" s="7" t="s">
        <v>329</v>
      </c>
      <c r="E1" s="7" t="s">
        <v>330</v>
      </c>
      <c r="F1" s="7" t="s">
        <v>333</v>
      </c>
      <c r="G1" s="7" t="s">
        <v>2628</v>
      </c>
      <c r="H1" s="7" t="s">
        <v>335</v>
      </c>
      <c r="I1" s="7" t="s">
        <v>336</v>
      </c>
      <c r="J1" s="7" t="s">
        <v>238</v>
      </c>
      <c r="K1" s="7" t="s">
        <v>338</v>
      </c>
      <c r="L1" s="7" t="s">
        <v>339</v>
      </c>
      <c r="M1" s="7" t="s">
        <v>341</v>
      </c>
    </row>
    <row r="2" spans="1:13" ht="51" customHeight="1" x14ac:dyDescent="0.25">
      <c r="A2" s="8" t="s">
        <v>2629</v>
      </c>
      <c r="B2" s="8" t="s">
        <v>566</v>
      </c>
      <c r="C2" s="12" t="str">
        <f>IFERROR(VLOOKUP(B2,ENTITY_MASTER!$A$2:$B$266,2,FALSE),"")</f>
        <v>GSK</v>
      </c>
      <c r="D2" s="8" t="s">
        <v>2630</v>
      </c>
      <c r="E2" s="8" t="s">
        <v>2213</v>
      </c>
      <c r="F2" s="8" t="s">
        <v>2214</v>
      </c>
      <c r="G2" s="8" t="s">
        <v>2631</v>
      </c>
      <c r="H2" s="8" t="s">
        <v>2217</v>
      </c>
      <c r="I2" s="9" t="s">
        <v>351</v>
      </c>
      <c r="J2" s="9" t="s">
        <v>352</v>
      </c>
      <c r="K2" s="8" t="s">
        <v>2220</v>
      </c>
      <c r="L2" s="8" t="s">
        <v>2632</v>
      </c>
      <c r="M2" s="9" t="s">
        <v>356</v>
      </c>
    </row>
    <row r="3" spans="1:13" ht="51" customHeight="1" x14ac:dyDescent="0.25">
      <c r="A3" s="8" t="s">
        <v>2633</v>
      </c>
      <c r="B3" s="8" t="s">
        <v>490</v>
      </c>
      <c r="C3" s="12" t="str">
        <f>IFERROR(VLOOKUP(B3,ENTITY_MASTER!$A$2:$B$266,2,FALSE),"")</f>
        <v>MSD / Merck &amp; Co.</v>
      </c>
      <c r="D3" s="8" t="s">
        <v>2630</v>
      </c>
      <c r="E3" s="8" t="s">
        <v>484</v>
      </c>
      <c r="F3" s="8" t="s">
        <v>2222</v>
      </c>
      <c r="G3" s="8" t="s">
        <v>2631</v>
      </c>
      <c r="H3" s="8" t="s">
        <v>493</v>
      </c>
      <c r="I3" s="9" t="s">
        <v>351</v>
      </c>
      <c r="J3" s="9" t="s">
        <v>352</v>
      </c>
      <c r="K3" s="8" t="s">
        <v>2226</v>
      </c>
      <c r="L3" s="8" t="s">
        <v>2632</v>
      </c>
      <c r="M3" s="9" t="s">
        <v>356</v>
      </c>
    </row>
    <row r="4" spans="1:13" ht="51" customHeight="1" x14ac:dyDescent="0.25">
      <c r="A4" s="8" t="s">
        <v>2634</v>
      </c>
      <c r="B4" s="8" t="s">
        <v>834</v>
      </c>
      <c r="C4" s="12" t="str">
        <f>IFERROR(VLOOKUP(B4,ENTITY_MASTER!$A$2:$B$266,2,FALSE),"")</f>
        <v>Sanofi</v>
      </c>
      <c r="D4" s="8" t="s">
        <v>2630</v>
      </c>
      <c r="E4" s="8" t="s">
        <v>2228</v>
      </c>
      <c r="F4" s="8" t="s">
        <v>2229</v>
      </c>
      <c r="G4" s="8" t="s">
        <v>2631</v>
      </c>
      <c r="H4" s="8" t="s">
        <v>837</v>
      </c>
      <c r="I4" s="9" t="s">
        <v>351</v>
      </c>
      <c r="J4" s="9" t="s">
        <v>352</v>
      </c>
      <c r="K4" s="8" t="s">
        <v>2233</v>
      </c>
      <c r="L4" s="8" t="s">
        <v>2632</v>
      </c>
      <c r="M4" s="9" t="s">
        <v>356</v>
      </c>
    </row>
    <row r="5" spans="1:13" ht="51" customHeight="1" x14ac:dyDescent="0.25">
      <c r="A5" s="8" t="s">
        <v>2635</v>
      </c>
      <c r="B5" s="8" t="s">
        <v>445</v>
      </c>
      <c r="C5" s="12" t="str">
        <f>IFERROR(VLOOKUP(B5,ENTITY_MASTER!$A$2:$B$266,2,FALSE),"")</f>
        <v>Pfizer</v>
      </c>
      <c r="D5" s="8" t="s">
        <v>2630</v>
      </c>
      <c r="E5" s="8" t="s">
        <v>2235</v>
      </c>
      <c r="F5" s="8" t="s">
        <v>2236</v>
      </c>
      <c r="G5" s="8" t="s">
        <v>2631</v>
      </c>
      <c r="H5" s="8" t="s">
        <v>2237</v>
      </c>
      <c r="I5" s="9" t="s">
        <v>351</v>
      </c>
      <c r="J5" s="9" t="s">
        <v>352</v>
      </c>
      <c r="K5" s="8" t="s">
        <v>2240</v>
      </c>
      <c r="L5" s="8" t="s">
        <v>2632</v>
      </c>
      <c r="M5" s="9" t="s">
        <v>356</v>
      </c>
    </row>
    <row r="6" spans="1:13" ht="51" customHeight="1" x14ac:dyDescent="0.25">
      <c r="A6" s="8" t="s">
        <v>2636</v>
      </c>
      <c r="B6" s="8" t="s">
        <v>971</v>
      </c>
      <c r="C6" s="12" t="str">
        <f>IFERROR(VLOOKUP(B6,ENTITY_MASTER!$A$2:$B$266,2,FALSE),"")</f>
        <v>Roche</v>
      </c>
      <c r="D6" s="8" t="s">
        <v>2630</v>
      </c>
      <c r="E6" s="8" t="s">
        <v>2242</v>
      </c>
      <c r="F6" s="8" t="s">
        <v>2243</v>
      </c>
      <c r="G6" s="8" t="s">
        <v>2631</v>
      </c>
      <c r="H6" s="8" t="s">
        <v>973</v>
      </c>
      <c r="I6" s="9" t="s">
        <v>351</v>
      </c>
      <c r="J6" s="9" t="s">
        <v>352</v>
      </c>
      <c r="K6" s="8" t="s">
        <v>2246</v>
      </c>
      <c r="L6" s="8" t="s">
        <v>2632</v>
      </c>
      <c r="M6" s="9" t="s">
        <v>356</v>
      </c>
    </row>
    <row r="7" spans="1:13" ht="51" customHeight="1" x14ac:dyDescent="0.25">
      <c r="A7" s="8" t="s">
        <v>2637</v>
      </c>
      <c r="B7" s="8" t="s">
        <v>814</v>
      </c>
      <c r="C7" s="12" t="str">
        <f>IFERROR(VLOOKUP(B7,ENTITY_MASTER!$A$2:$B$266,2,FALSE),"")</f>
        <v>Shionogi</v>
      </c>
      <c r="D7" s="8" t="s">
        <v>2630</v>
      </c>
      <c r="E7" s="8" t="s">
        <v>2248</v>
      </c>
      <c r="F7" s="8" t="s">
        <v>2249</v>
      </c>
      <c r="G7" s="8" t="s">
        <v>2631</v>
      </c>
      <c r="H7" s="8" t="s">
        <v>818</v>
      </c>
      <c r="I7" s="9" t="s">
        <v>351</v>
      </c>
      <c r="J7" s="9" t="s">
        <v>352</v>
      </c>
      <c r="K7" s="8" t="s">
        <v>2254</v>
      </c>
      <c r="L7" s="8" t="s">
        <v>2632</v>
      </c>
      <c r="M7" s="9" t="s">
        <v>356</v>
      </c>
    </row>
    <row r="8" spans="1:13" ht="51" customHeight="1" x14ac:dyDescent="0.25">
      <c r="A8" s="8" t="s">
        <v>2638</v>
      </c>
      <c r="B8" s="8" t="s">
        <v>664</v>
      </c>
      <c r="C8" s="12" t="str">
        <f>IFERROR(VLOOKUP(B8,ENTITY_MASTER!$A$2:$B$266,2,FALSE),"")</f>
        <v>Basilea Pharmaceutica</v>
      </c>
      <c r="D8" s="8" t="s">
        <v>2630</v>
      </c>
      <c r="E8" s="8" t="s">
        <v>2256</v>
      </c>
      <c r="F8" s="8" t="s">
        <v>543</v>
      </c>
      <c r="G8" s="8" t="s">
        <v>2631</v>
      </c>
      <c r="H8" s="8" t="s">
        <v>2257</v>
      </c>
      <c r="I8" s="9" t="s">
        <v>351</v>
      </c>
      <c r="J8" s="9" t="s">
        <v>352</v>
      </c>
      <c r="K8" s="8" t="s">
        <v>2260</v>
      </c>
      <c r="L8" s="8" t="s">
        <v>2632</v>
      </c>
      <c r="M8" s="9" t="s">
        <v>356</v>
      </c>
    </row>
    <row r="9" spans="1:13" ht="51" customHeight="1" x14ac:dyDescent="0.25">
      <c r="A9" s="8" t="s">
        <v>2639</v>
      </c>
      <c r="B9" s="8" t="s">
        <v>483</v>
      </c>
      <c r="C9" s="12" t="str">
        <f>IFERROR(VLOOKUP(B9,ENTITY_MASTER!$A$2:$B$266,2,FALSE),"")</f>
        <v>Eli Lilly</v>
      </c>
      <c r="D9" s="8" t="s">
        <v>2630</v>
      </c>
      <c r="E9" s="8" t="s">
        <v>484</v>
      </c>
      <c r="F9" s="8" t="s">
        <v>485</v>
      </c>
      <c r="G9" s="8" t="s">
        <v>2631</v>
      </c>
      <c r="H9" s="8" t="s">
        <v>487</v>
      </c>
      <c r="I9" s="9" t="s">
        <v>351</v>
      </c>
      <c r="J9" s="9" t="s">
        <v>352</v>
      </c>
      <c r="K9" s="8" t="s">
        <v>488</v>
      </c>
      <c r="L9" s="8" t="s">
        <v>2632</v>
      </c>
      <c r="M9" s="9" t="s">
        <v>356</v>
      </c>
    </row>
    <row r="10" spans="1:13" ht="51" customHeight="1" x14ac:dyDescent="0.25">
      <c r="A10" s="8" t="s">
        <v>2640</v>
      </c>
      <c r="B10" s="8" t="s">
        <v>2266</v>
      </c>
      <c r="C10" s="12" t="str">
        <f>IFERROR(VLOOKUP(B10,ENTITY_MASTER!$A$2:$B$266,2,FALSE),"")</f>
        <v>Asahi Kasei Therapeutics (group route)</v>
      </c>
      <c r="D10" s="8" t="s">
        <v>2630</v>
      </c>
      <c r="E10" s="8" t="s">
        <v>2267</v>
      </c>
      <c r="F10" s="8" t="s">
        <v>543</v>
      </c>
      <c r="G10" s="8" t="s">
        <v>2631</v>
      </c>
      <c r="H10" s="8" t="s">
        <v>2268</v>
      </c>
      <c r="I10" s="9" t="s">
        <v>351</v>
      </c>
      <c r="J10" s="14" t="s">
        <v>944</v>
      </c>
      <c r="K10" s="8" t="s">
        <v>2271</v>
      </c>
      <c r="L10" s="8" t="s">
        <v>2632</v>
      </c>
      <c r="M10" s="9" t="s">
        <v>356</v>
      </c>
    </row>
    <row r="11" spans="1:13" ht="51" customHeight="1" x14ac:dyDescent="0.25">
      <c r="A11" s="8" t="s">
        <v>2641</v>
      </c>
      <c r="B11" s="8" t="s">
        <v>642</v>
      </c>
      <c r="C11" s="12" t="str">
        <f>IFERROR(VLOOKUP(B11,ENTITY_MASTER!$A$2:$B$266,2,FALSE),"")</f>
        <v>AstraZeneca</v>
      </c>
      <c r="D11" s="8" t="s">
        <v>2630</v>
      </c>
      <c r="E11" s="8" t="s">
        <v>2274</v>
      </c>
      <c r="F11" s="8" t="s">
        <v>2275</v>
      </c>
      <c r="G11" s="8" t="s">
        <v>2631</v>
      </c>
      <c r="H11" s="8" t="s">
        <v>647</v>
      </c>
      <c r="I11" s="9" t="s">
        <v>954</v>
      </c>
      <c r="J11" s="9" t="s">
        <v>352</v>
      </c>
      <c r="K11" s="8" t="s">
        <v>2278</v>
      </c>
      <c r="L11" s="8" t="s">
        <v>2632</v>
      </c>
      <c r="M11" s="9" t="s">
        <v>356</v>
      </c>
    </row>
    <row r="12" spans="1:13" ht="51" customHeight="1" x14ac:dyDescent="0.25">
      <c r="A12" s="8" t="s">
        <v>2642</v>
      </c>
      <c r="B12" s="8" t="s">
        <v>407</v>
      </c>
      <c r="C12" s="12" t="str">
        <f>IFERROR(VLOOKUP(B12,ENTITY_MASTER!$A$2:$B$266,2,FALSE),"")</f>
        <v>BioNTech</v>
      </c>
      <c r="D12" s="8" t="s">
        <v>2630</v>
      </c>
      <c r="E12" s="8" t="s">
        <v>2280</v>
      </c>
      <c r="F12" s="8" t="s">
        <v>2281</v>
      </c>
      <c r="G12" s="8" t="s">
        <v>2631</v>
      </c>
      <c r="H12" s="8" t="s">
        <v>411</v>
      </c>
      <c r="I12" s="9" t="s">
        <v>351</v>
      </c>
      <c r="J12" s="9" t="s">
        <v>352</v>
      </c>
      <c r="K12" s="8" t="s">
        <v>2284</v>
      </c>
      <c r="L12" s="8" t="s">
        <v>2632</v>
      </c>
      <c r="M12" s="9" t="s">
        <v>356</v>
      </c>
    </row>
    <row r="13" spans="1:13" ht="51" customHeight="1" x14ac:dyDescent="0.25">
      <c r="A13" s="8" t="s">
        <v>2643</v>
      </c>
      <c r="B13" s="8" t="s">
        <v>414</v>
      </c>
      <c r="C13" s="12" t="str">
        <f>IFERROR(VLOOKUP(B13,ENTITY_MASTER!$A$2:$B$266,2,FALSE),"")</f>
        <v>Moderna</v>
      </c>
      <c r="D13" s="8" t="s">
        <v>2630</v>
      </c>
      <c r="E13" s="8" t="s">
        <v>2286</v>
      </c>
      <c r="F13" s="8" t="s">
        <v>2287</v>
      </c>
      <c r="G13" s="8" t="s">
        <v>2631</v>
      </c>
      <c r="H13" s="8" t="s">
        <v>420</v>
      </c>
      <c r="I13" s="9" t="s">
        <v>351</v>
      </c>
      <c r="J13" s="9" t="s">
        <v>352</v>
      </c>
      <c r="K13" s="8" t="s">
        <v>2290</v>
      </c>
      <c r="L13" s="8" t="s">
        <v>2632</v>
      </c>
      <c r="M13" s="9" t="s">
        <v>356</v>
      </c>
    </row>
    <row r="14" spans="1:13" ht="51" customHeight="1" x14ac:dyDescent="0.25">
      <c r="A14" s="8" t="s">
        <v>2644</v>
      </c>
      <c r="B14" s="8" t="s">
        <v>991</v>
      </c>
      <c r="C14" s="12" t="str">
        <f>IFERROR(VLOOKUP(B14,ENTITY_MASTER!$A$2:$B$266,2,FALSE),"")</f>
        <v>Bavarian Nordic</v>
      </c>
      <c r="D14" s="8" t="s">
        <v>2630</v>
      </c>
      <c r="E14" s="8" t="s">
        <v>1005</v>
      </c>
      <c r="F14" s="8" t="s">
        <v>2292</v>
      </c>
      <c r="G14" s="8" t="s">
        <v>2631</v>
      </c>
      <c r="H14" s="8" t="s">
        <v>993</v>
      </c>
      <c r="I14" s="9" t="s">
        <v>351</v>
      </c>
      <c r="J14" s="9" t="s">
        <v>352</v>
      </c>
      <c r="K14" s="8" t="s">
        <v>2295</v>
      </c>
      <c r="L14" s="8" t="s">
        <v>2632</v>
      </c>
      <c r="M14" s="9" t="s">
        <v>356</v>
      </c>
    </row>
    <row r="15" spans="1:13" ht="51" customHeight="1" x14ac:dyDescent="0.25">
      <c r="A15" s="8" t="s">
        <v>2645</v>
      </c>
      <c r="B15" s="8" t="s">
        <v>701</v>
      </c>
      <c r="C15" s="12" t="str">
        <f>IFERROR(VLOOKUP(B15,ENTITY_MASTER!$A$2:$B$266,2,FALSE),"")</f>
        <v>Valneva</v>
      </c>
      <c r="D15" s="8" t="s">
        <v>2630</v>
      </c>
      <c r="E15" s="8" t="s">
        <v>2235</v>
      </c>
      <c r="F15" s="8" t="s">
        <v>409</v>
      </c>
      <c r="G15" s="8" t="s">
        <v>2631</v>
      </c>
      <c r="H15" s="8" t="s">
        <v>704</v>
      </c>
      <c r="I15" s="9" t="s">
        <v>351</v>
      </c>
      <c r="J15" s="9" t="s">
        <v>352</v>
      </c>
      <c r="K15" s="8" t="s">
        <v>2299</v>
      </c>
      <c r="L15" s="8" t="s">
        <v>2632</v>
      </c>
      <c r="M15" s="9" t="s">
        <v>356</v>
      </c>
    </row>
    <row r="16" spans="1:13" ht="51" customHeight="1" x14ac:dyDescent="0.25">
      <c r="A16" s="8" t="s">
        <v>2646</v>
      </c>
      <c r="B16" s="8" t="s">
        <v>466</v>
      </c>
      <c r="C16" s="12" t="str">
        <f>IFERROR(VLOOKUP(B16,ENTITY_MASTER!$A$2:$B$266,2,FALSE),"")</f>
        <v>Gilead Sciences</v>
      </c>
      <c r="D16" s="8" t="s">
        <v>2630</v>
      </c>
      <c r="E16" s="8" t="s">
        <v>2301</v>
      </c>
      <c r="F16" s="8" t="s">
        <v>2302</v>
      </c>
      <c r="G16" s="8" t="s">
        <v>2631</v>
      </c>
      <c r="H16" s="8" t="s">
        <v>472</v>
      </c>
      <c r="I16" s="9" t="s">
        <v>351</v>
      </c>
      <c r="J16" s="9" t="s">
        <v>352</v>
      </c>
      <c r="K16" s="8" t="s">
        <v>2305</v>
      </c>
      <c r="L16" s="8" t="s">
        <v>2632</v>
      </c>
      <c r="M16" s="9" t="s">
        <v>356</v>
      </c>
    </row>
    <row r="17" spans="1:13" ht="51" customHeight="1" x14ac:dyDescent="0.25">
      <c r="A17" s="8" t="s">
        <v>2647</v>
      </c>
      <c r="B17" s="8" t="s">
        <v>587</v>
      </c>
      <c r="C17" s="12" t="str">
        <f>IFERROR(VLOOKUP(B17,ENTITY_MASTER!$A$2:$B$266,2,FALSE),"")</f>
        <v>ViiV Healthcare</v>
      </c>
      <c r="D17" s="8" t="s">
        <v>2630</v>
      </c>
      <c r="E17" s="8" t="s">
        <v>2307</v>
      </c>
      <c r="F17" s="8" t="s">
        <v>980</v>
      </c>
      <c r="G17" s="8" t="s">
        <v>2631</v>
      </c>
      <c r="H17" s="8" t="s">
        <v>2308</v>
      </c>
      <c r="I17" s="9" t="s">
        <v>351</v>
      </c>
      <c r="J17" s="9" t="s">
        <v>352</v>
      </c>
      <c r="K17" s="8" t="s">
        <v>2311</v>
      </c>
      <c r="L17" s="8" t="s">
        <v>2632</v>
      </c>
      <c r="M17" s="9" t="s">
        <v>356</v>
      </c>
    </row>
    <row r="18" spans="1:13" ht="51" customHeight="1" x14ac:dyDescent="0.25">
      <c r="A18" s="8" t="s">
        <v>2648</v>
      </c>
      <c r="B18" s="8" t="s">
        <v>965</v>
      </c>
      <c r="C18" s="12" t="str">
        <f>IFERROR(VLOOKUP(B18,ENTITY_MASTER!$A$2:$B$266,2,FALSE),"")</f>
        <v>Regeneron</v>
      </c>
      <c r="D18" s="8" t="s">
        <v>2630</v>
      </c>
      <c r="E18" s="8" t="s">
        <v>2313</v>
      </c>
      <c r="F18" s="8" t="s">
        <v>2314</v>
      </c>
      <c r="G18" s="8" t="s">
        <v>2631</v>
      </c>
      <c r="H18" s="8" t="s">
        <v>968</v>
      </c>
      <c r="I18" s="9" t="s">
        <v>954</v>
      </c>
      <c r="J18" s="9" t="s">
        <v>352</v>
      </c>
      <c r="K18" s="8" t="s">
        <v>2317</v>
      </c>
      <c r="L18" s="8" t="s">
        <v>2632</v>
      </c>
      <c r="M18" s="9" t="s">
        <v>356</v>
      </c>
    </row>
    <row r="19" spans="1:13" ht="51" customHeight="1" x14ac:dyDescent="0.25">
      <c r="A19" s="8" t="s">
        <v>2649</v>
      </c>
      <c r="B19" s="8" t="s">
        <v>423</v>
      </c>
      <c r="C19" s="12" t="str">
        <f>IFERROR(VLOOKUP(B19,ENTITY_MASTER!$A$2:$B$266,2,FALSE),"")</f>
        <v>Serum Institute of India</v>
      </c>
      <c r="D19" s="8" t="s">
        <v>2630</v>
      </c>
      <c r="E19" s="8" t="s">
        <v>2319</v>
      </c>
      <c r="F19" s="8" t="s">
        <v>2292</v>
      </c>
      <c r="G19" s="8" t="s">
        <v>2631</v>
      </c>
      <c r="H19" s="8" t="s">
        <v>427</v>
      </c>
      <c r="I19" s="9" t="s">
        <v>351</v>
      </c>
      <c r="J19" s="9" t="s">
        <v>352</v>
      </c>
      <c r="K19" s="8" t="s">
        <v>2323</v>
      </c>
      <c r="L19" s="8" t="s">
        <v>2632</v>
      </c>
      <c r="M19" s="9" t="s">
        <v>356</v>
      </c>
    </row>
    <row r="20" spans="1:13" ht="51" customHeight="1" x14ac:dyDescent="0.25">
      <c r="A20" s="8" t="s">
        <v>2650</v>
      </c>
      <c r="B20" s="8" t="s">
        <v>762</v>
      </c>
      <c r="C20" s="12" t="str">
        <f>IFERROR(VLOOKUP(B20,ENTITY_MASTER!$A$2:$B$266,2,FALSE),"")</f>
        <v>Novartis</v>
      </c>
      <c r="D20" s="8" t="s">
        <v>2630</v>
      </c>
      <c r="E20" s="8" t="s">
        <v>2325</v>
      </c>
      <c r="F20" s="8" t="s">
        <v>543</v>
      </c>
      <c r="G20" s="8" t="s">
        <v>2631</v>
      </c>
      <c r="H20" s="8" t="s">
        <v>765</v>
      </c>
      <c r="I20" s="9" t="s">
        <v>954</v>
      </c>
      <c r="J20" s="9" t="s">
        <v>352</v>
      </c>
      <c r="K20" s="8" t="s">
        <v>2328</v>
      </c>
      <c r="L20" s="8" t="s">
        <v>2632</v>
      </c>
      <c r="M20" s="9" t="s">
        <v>356</v>
      </c>
    </row>
    <row r="21" spans="1:13" ht="51" customHeight="1" x14ac:dyDescent="0.25">
      <c r="A21" s="8" t="s">
        <v>2651</v>
      </c>
      <c r="B21" s="8" t="s">
        <v>949</v>
      </c>
      <c r="C21" s="12" t="str">
        <f>IFERROR(VLOOKUP(B21,ENTITY_MASTER!$A$2:$B$266,2,FALSE),"")</f>
        <v>CSL Seqirus</v>
      </c>
      <c r="D21" s="8" t="s">
        <v>2630</v>
      </c>
      <c r="E21" s="8" t="s">
        <v>2330</v>
      </c>
      <c r="F21" s="8" t="s">
        <v>2292</v>
      </c>
      <c r="G21" s="8" t="s">
        <v>2631</v>
      </c>
      <c r="H21" s="8" t="s">
        <v>953</v>
      </c>
      <c r="I21" s="9" t="s">
        <v>954</v>
      </c>
      <c r="J21" s="9" t="s">
        <v>352</v>
      </c>
      <c r="K21" s="8" t="s">
        <v>2333</v>
      </c>
      <c r="L21" s="8" t="s">
        <v>2632</v>
      </c>
      <c r="M21" s="9" t="s">
        <v>356</v>
      </c>
    </row>
    <row r="22" spans="1:13" ht="51" customHeight="1" x14ac:dyDescent="0.25">
      <c r="A22" s="8" t="s">
        <v>2652</v>
      </c>
      <c r="B22" s="8" t="s">
        <v>1031</v>
      </c>
      <c r="C22" s="12" t="str">
        <f>IFERROR(VLOOKUP(B22,ENTITY_MASTER!$A$2:$B$266,2,FALSE),"")</f>
        <v>Takeda</v>
      </c>
      <c r="D22" s="8" t="s">
        <v>2630</v>
      </c>
      <c r="E22" s="8" t="s">
        <v>2335</v>
      </c>
      <c r="F22" s="8" t="s">
        <v>409</v>
      </c>
      <c r="G22" s="8" t="s">
        <v>2631</v>
      </c>
      <c r="H22" s="8" t="s">
        <v>1034</v>
      </c>
      <c r="I22" s="9" t="s">
        <v>954</v>
      </c>
      <c r="J22" s="9" t="s">
        <v>352</v>
      </c>
      <c r="K22" s="8" t="s">
        <v>2338</v>
      </c>
      <c r="L22" s="8" t="s">
        <v>2632</v>
      </c>
      <c r="M22" s="9" t="s">
        <v>356</v>
      </c>
    </row>
    <row r="23" spans="1:13" ht="51" customHeight="1" x14ac:dyDescent="0.25">
      <c r="A23" s="8" t="s">
        <v>2653</v>
      </c>
      <c r="B23" s="8" t="s">
        <v>847</v>
      </c>
      <c r="C23" s="12" t="str">
        <f>IFERROR(VLOOKUP(B23,ENTITY_MASTER!$A$2:$B$266,2,FALSE),"")</f>
        <v>Infex Therapeutics</v>
      </c>
      <c r="D23" s="8" t="s">
        <v>2630</v>
      </c>
      <c r="E23" s="8" t="s">
        <v>2341</v>
      </c>
      <c r="F23" s="8" t="s">
        <v>506</v>
      </c>
      <c r="G23" s="8" t="s">
        <v>2631</v>
      </c>
      <c r="H23" s="8" t="s">
        <v>850</v>
      </c>
      <c r="I23" s="9" t="s">
        <v>351</v>
      </c>
      <c r="J23" s="9" t="s">
        <v>352</v>
      </c>
      <c r="K23" s="8" t="s">
        <v>2346</v>
      </c>
      <c r="L23" s="8" t="s">
        <v>2632</v>
      </c>
      <c r="M23" s="9" t="s">
        <v>356</v>
      </c>
    </row>
    <row r="24" spans="1:13" ht="51" customHeight="1" x14ac:dyDescent="0.25">
      <c r="A24" s="8" t="s">
        <v>2654</v>
      </c>
      <c r="B24" s="8" t="s">
        <v>511</v>
      </c>
      <c r="C24" s="12" t="str">
        <f>IFERROR(VLOOKUP(B24,ENTITY_MASTER!$A$2:$B$266,2,FALSE),"")</f>
        <v>Clarametyx Biosciences</v>
      </c>
      <c r="D24" s="8" t="s">
        <v>2630</v>
      </c>
      <c r="E24" s="8" t="s">
        <v>2341</v>
      </c>
      <c r="F24" s="8" t="s">
        <v>2275</v>
      </c>
      <c r="G24" s="8" t="s">
        <v>2631</v>
      </c>
      <c r="H24" s="8" t="s">
        <v>2348</v>
      </c>
      <c r="I24" s="9" t="s">
        <v>351</v>
      </c>
      <c r="J24" s="9" t="s">
        <v>352</v>
      </c>
      <c r="K24" s="8" t="s">
        <v>2351</v>
      </c>
      <c r="L24" s="8" t="s">
        <v>2632</v>
      </c>
      <c r="M24" s="9" t="s">
        <v>356</v>
      </c>
    </row>
    <row r="25" spans="1:13" ht="51" customHeight="1" x14ac:dyDescent="0.25">
      <c r="A25" s="8" t="s">
        <v>2655</v>
      </c>
      <c r="B25" s="8" t="s">
        <v>581</v>
      </c>
      <c r="C25" s="12" t="str">
        <f>IFERROR(VLOOKUP(B25,ENTITY_MASTER!$A$2:$B$266,2,FALSE),"")</f>
        <v>Trellis Bioscience</v>
      </c>
      <c r="D25" s="8" t="s">
        <v>2630</v>
      </c>
      <c r="E25" s="8" t="s">
        <v>582</v>
      </c>
      <c r="F25" s="8" t="s">
        <v>513</v>
      </c>
      <c r="G25" s="8" t="s">
        <v>2631</v>
      </c>
      <c r="H25" s="8" t="s">
        <v>584</v>
      </c>
      <c r="I25" s="9" t="s">
        <v>351</v>
      </c>
      <c r="J25" s="9" t="s">
        <v>352</v>
      </c>
      <c r="K25" s="8" t="s">
        <v>585</v>
      </c>
      <c r="L25" s="8" t="s">
        <v>2632</v>
      </c>
      <c r="M25" s="9" t="s">
        <v>356</v>
      </c>
    </row>
    <row r="26" spans="1:13" ht="51" customHeight="1" x14ac:dyDescent="0.25">
      <c r="A26" s="8" t="s">
        <v>2656</v>
      </c>
      <c r="B26" s="8" t="s">
        <v>452</v>
      </c>
      <c r="C26" s="12" t="str">
        <f>IFERROR(VLOOKUP(B26,ENTITY_MASTER!$A$2:$B$266,2,FALSE),"")</f>
        <v>Centauri Therapeutics</v>
      </c>
      <c r="D26" s="8" t="s">
        <v>2630</v>
      </c>
      <c r="E26" s="8" t="s">
        <v>2356</v>
      </c>
      <c r="F26" s="8" t="s">
        <v>2357</v>
      </c>
      <c r="G26" s="8" t="s">
        <v>2631</v>
      </c>
      <c r="H26" s="8" t="s">
        <v>1040</v>
      </c>
      <c r="I26" s="9" t="s">
        <v>954</v>
      </c>
      <c r="J26" s="9" t="s">
        <v>352</v>
      </c>
      <c r="K26" s="8" t="s">
        <v>2361</v>
      </c>
      <c r="L26" s="8" t="s">
        <v>2632</v>
      </c>
      <c r="M26" s="9" t="s">
        <v>356</v>
      </c>
    </row>
    <row r="27" spans="1:13" ht="51" customHeight="1" x14ac:dyDescent="0.25">
      <c r="A27" s="8" t="s">
        <v>2657</v>
      </c>
      <c r="B27" s="8" t="s">
        <v>733</v>
      </c>
      <c r="C27" s="12" t="str">
        <f>IFERROR(VLOOKUP(B27,ENTITY_MASTER!$A$2:$B$266,2,FALSE),"")</f>
        <v>BioVersys</v>
      </c>
      <c r="D27" s="8" t="s">
        <v>2630</v>
      </c>
      <c r="E27" s="8" t="s">
        <v>2363</v>
      </c>
      <c r="F27" s="8" t="s">
        <v>543</v>
      </c>
      <c r="G27" s="8" t="s">
        <v>2631</v>
      </c>
      <c r="H27" s="8" t="s">
        <v>2365</v>
      </c>
      <c r="I27" s="9" t="s">
        <v>351</v>
      </c>
      <c r="J27" s="9" t="s">
        <v>352</v>
      </c>
      <c r="K27" s="8" t="s">
        <v>2368</v>
      </c>
      <c r="L27" s="8" t="s">
        <v>2632</v>
      </c>
      <c r="M27" s="9" t="s">
        <v>356</v>
      </c>
    </row>
    <row r="28" spans="1:13" ht="51" customHeight="1" x14ac:dyDescent="0.25">
      <c r="A28" s="8" t="s">
        <v>2658</v>
      </c>
      <c r="B28" s="8" t="s">
        <v>542</v>
      </c>
      <c r="C28" s="12" t="str">
        <f>IFERROR(VLOOKUP(B28,ENTITY_MASTER!$A$2:$B$266,2,FALSE),"")</f>
        <v>Antabio</v>
      </c>
      <c r="D28" s="8" t="s">
        <v>2630</v>
      </c>
      <c r="E28" s="8" t="s">
        <v>1018</v>
      </c>
      <c r="F28" s="8" t="s">
        <v>543</v>
      </c>
      <c r="G28" s="8" t="s">
        <v>2631</v>
      </c>
      <c r="H28" s="8" t="s">
        <v>2371</v>
      </c>
      <c r="I28" s="9" t="s">
        <v>954</v>
      </c>
      <c r="J28" s="9" t="s">
        <v>352</v>
      </c>
      <c r="K28" s="8" t="s">
        <v>2374</v>
      </c>
      <c r="L28" s="8" t="s">
        <v>2632</v>
      </c>
      <c r="M28" s="9" t="s">
        <v>356</v>
      </c>
    </row>
    <row r="29" spans="1:13" ht="51" customHeight="1" x14ac:dyDescent="0.25">
      <c r="A29" s="8" t="s">
        <v>2659</v>
      </c>
      <c r="B29" s="8" t="s">
        <v>707</v>
      </c>
      <c r="C29" s="12" t="str">
        <f>IFERROR(VLOOKUP(B29,ENTITY_MASTER!$A$2:$B$266,2,FALSE),"")</f>
        <v>F2G</v>
      </c>
      <c r="D29" s="8" t="s">
        <v>2630</v>
      </c>
      <c r="E29" s="8" t="s">
        <v>1038</v>
      </c>
      <c r="F29" s="8" t="s">
        <v>543</v>
      </c>
      <c r="G29" s="8" t="s">
        <v>2631</v>
      </c>
      <c r="H29" s="8" t="s">
        <v>2377</v>
      </c>
      <c r="I29" s="9" t="s">
        <v>351</v>
      </c>
      <c r="J29" s="9" t="s">
        <v>352</v>
      </c>
      <c r="K29" s="8" t="s">
        <v>2380</v>
      </c>
      <c r="L29" s="8" t="s">
        <v>2632</v>
      </c>
      <c r="M29" s="9" t="s">
        <v>356</v>
      </c>
    </row>
    <row r="30" spans="1:13" ht="51" customHeight="1" x14ac:dyDescent="0.25">
      <c r="A30" s="8" t="s">
        <v>2660</v>
      </c>
      <c r="B30" s="8" t="s">
        <v>619</v>
      </c>
      <c r="C30" s="12" t="str">
        <f>IFERROR(VLOOKUP(B30,ENTITY_MASTER!$A$2:$B$266,2,FALSE),"")</f>
        <v>Telum Therapeutics</v>
      </c>
      <c r="D30" s="8" t="s">
        <v>2630</v>
      </c>
      <c r="E30" s="8" t="s">
        <v>1018</v>
      </c>
      <c r="F30" s="8" t="s">
        <v>2382</v>
      </c>
      <c r="G30" s="8" t="s">
        <v>2631</v>
      </c>
      <c r="H30" s="8" t="s">
        <v>2384</v>
      </c>
      <c r="I30" s="9" t="s">
        <v>954</v>
      </c>
      <c r="J30" s="9" t="s">
        <v>352</v>
      </c>
      <c r="K30" s="8" t="s">
        <v>2387</v>
      </c>
      <c r="L30" s="8" t="s">
        <v>2632</v>
      </c>
      <c r="M30" s="9" t="s">
        <v>356</v>
      </c>
    </row>
    <row r="31" spans="1:13" ht="51" customHeight="1" x14ac:dyDescent="0.25">
      <c r="A31" s="8" t="s">
        <v>2661</v>
      </c>
      <c r="B31" s="8" t="s">
        <v>1037</v>
      </c>
      <c r="C31" s="12" t="str">
        <f>IFERROR(VLOOKUP(B31,ENTITY_MASTER!$A$2:$B$266,2,FALSE),"")</f>
        <v>Elion Therapeutics</v>
      </c>
      <c r="D31" s="8" t="s">
        <v>2630</v>
      </c>
      <c r="E31" s="8" t="s">
        <v>1038</v>
      </c>
      <c r="F31" s="8" t="s">
        <v>543</v>
      </c>
      <c r="G31" s="8" t="s">
        <v>2631</v>
      </c>
      <c r="H31" s="8" t="s">
        <v>1040</v>
      </c>
      <c r="I31" s="9" t="s">
        <v>954</v>
      </c>
      <c r="J31" s="9" t="s">
        <v>352</v>
      </c>
      <c r="K31" s="8" t="s">
        <v>1041</v>
      </c>
      <c r="L31" s="8" t="s">
        <v>2632</v>
      </c>
      <c r="M31" s="9" t="s">
        <v>356</v>
      </c>
    </row>
    <row r="32" spans="1:13" ht="51" customHeight="1" x14ac:dyDescent="0.25">
      <c r="A32" s="8" t="s">
        <v>2662</v>
      </c>
      <c r="B32" s="8" t="s">
        <v>840</v>
      </c>
      <c r="C32" s="12" t="str">
        <f>IFERROR(VLOOKUP(B32,ENTITY_MASTER!$A$2:$B$266,2,FALSE),"")</f>
        <v>Vaxcyte</v>
      </c>
      <c r="D32" s="8" t="s">
        <v>2630</v>
      </c>
      <c r="E32" s="8" t="s">
        <v>841</v>
      </c>
      <c r="F32" s="8" t="s">
        <v>842</v>
      </c>
      <c r="G32" s="8" t="s">
        <v>2631</v>
      </c>
      <c r="H32" s="8" t="s">
        <v>844</v>
      </c>
      <c r="I32" s="9" t="s">
        <v>351</v>
      </c>
      <c r="J32" s="9" t="s">
        <v>352</v>
      </c>
      <c r="K32" s="8" t="s">
        <v>845</v>
      </c>
      <c r="L32" s="8" t="s">
        <v>2632</v>
      </c>
      <c r="M32" s="9" t="s">
        <v>356</v>
      </c>
    </row>
    <row r="33" spans="1:13" ht="51" customHeight="1" x14ac:dyDescent="0.25">
      <c r="A33" s="8" t="s">
        <v>2663</v>
      </c>
      <c r="B33" s="8" t="s">
        <v>985</v>
      </c>
      <c r="C33" s="12" t="str">
        <f>IFERROR(VLOOKUP(B33,ENTITY_MASTER!$A$2:$B$266,2,FALSE),"")</f>
        <v>MinervaX</v>
      </c>
      <c r="D33" s="8" t="s">
        <v>2630</v>
      </c>
      <c r="E33" s="8" t="s">
        <v>841</v>
      </c>
      <c r="F33" s="8" t="s">
        <v>986</v>
      </c>
      <c r="G33" s="8" t="s">
        <v>2631</v>
      </c>
      <c r="H33" s="8" t="s">
        <v>988</v>
      </c>
      <c r="I33" s="9" t="s">
        <v>954</v>
      </c>
      <c r="J33" s="9" t="s">
        <v>352</v>
      </c>
      <c r="K33" s="8" t="s">
        <v>989</v>
      </c>
      <c r="L33" s="8" t="s">
        <v>2632</v>
      </c>
      <c r="M33" s="9" t="s">
        <v>356</v>
      </c>
    </row>
    <row r="34" spans="1:13" ht="51" customHeight="1" x14ac:dyDescent="0.25">
      <c r="A34" s="8" t="s">
        <v>2664</v>
      </c>
      <c r="B34" s="8" t="s">
        <v>389</v>
      </c>
      <c r="C34" s="12" t="str">
        <f>IFERROR(VLOOKUP(B34,ENTITY_MASTER!$A$2:$B$266,2,FALSE),"")</f>
        <v>Arcturus Therapeutics</v>
      </c>
      <c r="D34" s="8" t="s">
        <v>2630</v>
      </c>
      <c r="E34" s="8" t="s">
        <v>390</v>
      </c>
      <c r="F34" s="8" t="s">
        <v>391</v>
      </c>
      <c r="G34" s="8" t="s">
        <v>2631</v>
      </c>
      <c r="H34" s="8" t="s">
        <v>393</v>
      </c>
      <c r="I34" s="9" t="s">
        <v>351</v>
      </c>
      <c r="J34" s="9" t="s">
        <v>352</v>
      </c>
      <c r="K34" s="8" t="s">
        <v>395</v>
      </c>
      <c r="L34" s="8" t="s">
        <v>2632</v>
      </c>
      <c r="M34" s="9" t="s">
        <v>356</v>
      </c>
    </row>
    <row r="35" spans="1:13" ht="51" customHeight="1" x14ac:dyDescent="0.25">
      <c r="A35" s="8" t="s">
        <v>2665</v>
      </c>
      <c r="B35" s="8" t="s">
        <v>957</v>
      </c>
      <c r="C35" s="12" t="str">
        <f>IFERROR(VLOOKUP(B35,ENTITY_MASTER!$A$2:$B$266,2,FALSE),"")</f>
        <v>Assembly Biosciences</v>
      </c>
      <c r="D35" s="8" t="s">
        <v>2630</v>
      </c>
      <c r="E35" s="8" t="s">
        <v>958</v>
      </c>
      <c r="F35" s="8" t="s">
        <v>543</v>
      </c>
      <c r="G35" s="8" t="s">
        <v>2631</v>
      </c>
      <c r="H35" s="8" t="s">
        <v>962</v>
      </c>
      <c r="I35" s="9" t="s">
        <v>954</v>
      </c>
      <c r="J35" s="9" t="s">
        <v>352</v>
      </c>
      <c r="K35" s="8" t="s">
        <v>963</v>
      </c>
      <c r="L35" s="8" t="s">
        <v>2632</v>
      </c>
      <c r="M35" s="9" t="s">
        <v>356</v>
      </c>
    </row>
    <row r="36" spans="1:13" ht="51" customHeight="1" x14ac:dyDescent="0.25">
      <c r="A36" s="8" t="s">
        <v>2666</v>
      </c>
      <c r="B36" s="8" t="s">
        <v>1024</v>
      </c>
      <c r="C36" s="12" t="str">
        <f>IFERROR(VLOOKUP(B36,ENTITY_MASTER!$A$2:$B$266,2,FALSE),"")</f>
        <v>Precision BioSciences</v>
      </c>
      <c r="D36" s="8" t="s">
        <v>2630</v>
      </c>
      <c r="E36" s="8" t="s">
        <v>1025</v>
      </c>
      <c r="F36" s="8" t="s">
        <v>1026</v>
      </c>
      <c r="G36" s="8" t="s">
        <v>2631</v>
      </c>
      <c r="H36" s="8" t="s">
        <v>1028</v>
      </c>
      <c r="I36" s="9" t="s">
        <v>954</v>
      </c>
      <c r="J36" s="9" t="s">
        <v>352</v>
      </c>
      <c r="K36" s="8" t="s">
        <v>1029</v>
      </c>
      <c r="L36" s="8" t="s">
        <v>2632</v>
      </c>
      <c r="M36" s="9" t="s">
        <v>356</v>
      </c>
    </row>
    <row r="37" spans="1:13" ht="51" customHeight="1" x14ac:dyDescent="0.25">
      <c r="A37" s="8" t="s">
        <v>2667</v>
      </c>
      <c r="B37" s="8" t="s">
        <v>1004</v>
      </c>
      <c r="C37" s="12" t="str">
        <f>IFERROR(VLOOKUP(B37,ENTITY_MASTER!$A$2:$B$266,2,FALSE),"")</f>
        <v>Vaxxas</v>
      </c>
      <c r="D37" s="8" t="s">
        <v>2630</v>
      </c>
      <c r="E37" s="8" t="s">
        <v>1005</v>
      </c>
      <c r="F37" s="8" t="s">
        <v>1006</v>
      </c>
      <c r="G37" s="8" t="s">
        <v>2631</v>
      </c>
      <c r="H37" s="8" t="s">
        <v>1008</v>
      </c>
      <c r="I37" s="9" t="s">
        <v>954</v>
      </c>
      <c r="J37" s="9" t="s">
        <v>352</v>
      </c>
      <c r="K37" s="8" t="s">
        <v>1009</v>
      </c>
      <c r="L37" s="8" t="s">
        <v>2632</v>
      </c>
      <c r="M37" s="9" t="s">
        <v>356</v>
      </c>
    </row>
    <row r="38" spans="1:13" ht="51" customHeight="1" x14ac:dyDescent="0.25">
      <c r="A38" s="8" t="s">
        <v>2668</v>
      </c>
      <c r="B38" s="8" t="s">
        <v>1017</v>
      </c>
      <c r="C38" s="12" t="str">
        <f>IFERROR(VLOOKUP(B38,ENTITY_MASTER!$A$2:$B$266,2,FALSE),"")</f>
        <v>Locus Biosciences</v>
      </c>
      <c r="D38" s="8" t="s">
        <v>2630</v>
      </c>
      <c r="E38" s="8" t="s">
        <v>1018</v>
      </c>
      <c r="F38" s="8" t="s">
        <v>1019</v>
      </c>
      <c r="G38" s="8" t="s">
        <v>2631</v>
      </c>
      <c r="H38" s="8" t="s">
        <v>1021</v>
      </c>
      <c r="I38" s="9" t="s">
        <v>954</v>
      </c>
      <c r="J38" s="9" t="s">
        <v>352</v>
      </c>
      <c r="K38" s="8" t="s">
        <v>1022</v>
      </c>
      <c r="L38" s="8" t="s">
        <v>2632</v>
      </c>
      <c r="M38" s="9" t="s">
        <v>356</v>
      </c>
    </row>
    <row r="39" spans="1:13" ht="51" customHeight="1" x14ac:dyDescent="0.25">
      <c r="A39" s="8" t="s">
        <v>2669</v>
      </c>
      <c r="B39" s="8" t="s">
        <v>613</v>
      </c>
      <c r="C39" s="12" t="str">
        <f>IFERROR(VLOOKUP(B39,ENTITY_MASTER!$A$2:$B$266,2,FALSE),"")</f>
        <v>Atea Pharmaceuticals</v>
      </c>
      <c r="D39" s="8" t="s">
        <v>2630</v>
      </c>
      <c r="E39" s="8" t="s">
        <v>1025</v>
      </c>
      <c r="F39" s="8" t="s">
        <v>543</v>
      </c>
      <c r="G39" s="8" t="s">
        <v>2631</v>
      </c>
      <c r="H39" s="8" t="s">
        <v>616</v>
      </c>
      <c r="I39" s="9" t="s">
        <v>954</v>
      </c>
      <c r="J39" s="9" t="s">
        <v>352</v>
      </c>
      <c r="K39" s="8" t="s">
        <v>2418</v>
      </c>
      <c r="L39" s="8" t="s">
        <v>2632</v>
      </c>
      <c r="M39" s="9" t="s">
        <v>356</v>
      </c>
    </row>
    <row r="40" spans="1:13" ht="51" customHeight="1" x14ac:dyDescent="0.25">
      <c r="A40" s="8" t="s">
        <v>2670</v>
      </c>
      <c r="B40" s="8" t="s">
        <v>2420</v>
      </c>
      <c r="C40" s="12" t="str">
        <f>IFERROR(VLOOKUP(B40,ENTITY_MASTER!$A$2:$B$266,2,FALSE),"")</f>
        <v>AMR Action Fund</v>
      </c>
      <c r="D40" s="8" t="s">
        <v>2630</v>
      </c>
      <c r="E40" s="8" t="s">
        <v>2256</v>
      </c>
      <c r="F40" s="8" t="s">
        <v>2422</v>
      </c>
      <c r="G40" s="8" t="s">
        <v>2671</v>
      </c>
      <c r="H40" s="8" t="s">
        <v>1040</v>
      </c>
      <c r="I40" s="9" t="s">
        <v>351</v>
      </c>
      <c r="J40" s="9" t="s">
        <v>352</v>
      </c>
      <c r="K40" s="8" t="s">
        <v>2426</v>
      </c>
      <c r="L40" s="8" t="s">
        <v>2632</v>
      </c>
      <c r="M40" s="9" t="s">
        <v>356</v>
      </c>
    </row>
    <row r="41" spans="1:13" ht="51" customHeight="1" x14ac:dyDescent="0.25">
      <c r="A41" s="8" t="s">
        <v>2672</v>
      </c>
      <c r="B41" s="8" t="s">
        <v>2428</v>
      </c>
      <c r="C41" s="12" t="str">
        <f>IFERROR(VLOOKUP(B41,ENTITY_MASTER!$A$2:$B$266,2,FALSE),"")</f>
        <v>Kineticos AMR Accelerator Fund</v>
      </c>
      <c r="D41" s="8" t="s">
        <v>2630</v>
      </c>
      <c r="E41" s="8" t="s">
        <v>2429</v>
      </c>
      <c r="F41" s="8" t="s">
        <v>2430</v>
      </c>
      <c r="G41" s="8" t="s">
        <v>2671</v>
      </c>
      <c r="H41" s="8" t="s">
        <v>2433</v>
      </c>
      <c r="I41" s="9" t="s">
        <v>351</v>
      </c>
      <c r="J41" s="9" t="s">
        <v>352</v>
      </c>
      <c r="K41" s="8" t="s">
        <v>2436</v>
      </c>
      <c r="L41" s="8" t="s">
        <v>2632</v>
      </c>
      <c r="M41" s="9" t="s">
        <v>356</v>
      </c>
    </row>
    <row r="42" spans="1:13" ht="51" customHeight="1" x14ac:dyDescent="0.25">
      <c r="A42" s="8" t="s">
        <v>2673</v>
      </c>
      <c r="B42" s="8" t="s">
        <v>2438</v>
      </c>
      <c r="C42" s="12" t="str">
        <f>IFERROR(VLOOKUP(B42,ENTITY_MASTER!$A$2:$B$266,2,FALSE),"")</f>
        <v>Adjuvant Capital</v>
      </c>
      <c r="D42" s="8" t="s">
        <v>2630</v>
      </c>
      <c r="E42" s="8" t="s">
        <v>2439</v>
      </c>
      <c r="F42" s="8" t="s">
        <v>683</v>
      </c>
      <c r="G42" s="8" t="s">
        <v>2671</v>
      </c>
      <c r="H42" s="8" t="s">
        <v>2441</v>
      </c>
      <c r="I42" s="9" t="s">
        <v>351</v>
      </c>
      <c r="J42" s="9" t="s">
        <v>352</v>
      </c>
      <c r="K42" s="8" t="s">
        <v>2444</v>
      </c>
      <c r="L42" s="8" t="s">
        <v>2632</v>
      </c>
      <c r="M42" s="9" t="s">
        <v>356</v>
      </c>
    </row>
    <row r="43" spans="1:13" ht="51" customHeight="1" x14ac:dyDescent="0.25">
      <c r="A43" s="8" t="s">
        <v>2674</v>
      </c>
      <c r="B43" s="8" t="s">
        <v>2446</v>
      </c>
      <c r="C43" s="12" t="str">
        <f>IFERROR(VLOOKUP(B43,ENTITY_MASTER!$A$2:$B$266,2,FALSE),"")</f>
        <v>Forbion</v>
      </c>
      <c r="D43" s="8" t="s">
        <v>2630</v>
      </c>
      <c r="E43" s="8" t="s">
        <v>2447</v>
      </c>
      <c r="F43" s="8" t="s">
        <v>2448</v>
      </c>
      <c r="G43" s="8" t="s">
        <v>2671</v>
      </c>
      <c r="H43" s="8" t="s">
        <v>2451</v>
      </c>
      <c r="I43" s="9" t="s">
        <v>351</v>
      </c>
      <c r="J43" s="9" t="s">
        <v>352</v>
      </c>
      <c r="K43" s="8" t="s">
        <v>2454</v>
      </c>
      <c r="L43" s="8" t="s">
        <v>2632</v>
      </c>
      <c r="M43" s="9" t="s">
        <v>356</v>
      </c>
    </row>
    <row r="44" spans="1:13" ht="51" customHeight="1" x14ac:dyDescent="0.25">
      <c r="A44" s="8" t="s">
        <v>2675</v>
      </c>
      <c r="B44" s="8" t="s">
        <v>2456</v>
      </c>
      <c r="C44" s="12" t="str">
        <f>IFERROR(VLOOKUP(B44,ENTITY_MASTER!$A$2:$B$266,2,FALSE),"")</f>
        <v>Novo Holdings</v>
      </c>
      <c r="D44" s="8" t="s">
        <v>2630</v>
      </c>
      <c r="E44" s="8" t="s">
        <v>2457</v>
      </c>
      <c r="F44" s="8" t="s">
        <v>2214</v>
      </c>
      <c r="G44" s="8" t="s">
        <v>2671</v>
      </c>
      <c r="H44" s="8" t="s">
        <v>2459</v>
      </c>
      <c r="I44" s="9" t="s">
        <v>351</v>
      </c>
      <c r="J44" s="9" t="s">
        <v>352</v>
      </c>
      <c r="K44" s="8" t="s">
        <v>2462</v>
      </c>
      <c r="L44" s="8" t="s">
        <v>2632</v>
      </c>
      <c r="M44" s="9" t="s">
        <v>356</v>
      </c>
    </row>
    <row r="45" spans="1:13" ht="51" customHeight="1" x14ac:dyDescent="0.25">
      <c r="A45" s="8" t="s">
        <v>2676</v>
      </c>
      <c r="B45" s="8" t="s">
        <v>2464</v>
      </c>
      <c r="C45" s="12" t="str">
        <f>IFERROR(VLOOKUP(B45,ENTITY_MASTER!$A$2:$B$266,2,FALSE),"")</f>
        <v>Sanofi Ventures</v>
      </c>
      <c r="D45" s="8" t="s">
        <v>2630</v>
      </c>
      <c r="E45" s="8" t="s">
        <v>2465</v>
      </c>
      <c r="F45" s="8" t="s">
        <v>2466</v>
      </c>
      <c r="G45" s="8" t="s">
        <v>2671</v>
      </c>
      <c r="H45" s="8" t="s">
        <v>2467</v>
      </c>
      <c r="I45" s="9" t="s">
        <v>351</v>
      </c>
      <c r="J45" s="9" t="s">
        <v>352</v>
      </c>
      <c r="K45" s="8" t="s">
        <v>2470</v>
      </c>
      <c r="L45" s="8" t="s">
        <v>2632</v>
      </c>
      <c r="M45" s="9" t="s">
        <v>356</v>
      </c>
    </row>
    <row r="46" spans="1:13" ht="51" customHeight="1" x14ac:dyDescent="0.25">
      <c r="A46" s="8" t="s">
        <v>2677</v>
      </c>
      <c r="B46" s="8" t="s">
        <v>2472</v>
      </c>
      <c r="C46" s="12" t="str">
        <f>IFERROR(VLOOKUP(B46,ENTITY_MASTER!$A$2:$B$266,2,FALSE),"")</f>
        <v>High-Tech Gruenderfonds (HTGF)</v>
      </c>
      <c r="D46" s="8" t="s">
        <v>2630</v>
      </c>
      <c r="E46" s="8" t="s">
        <v>2473</v>
      </c>
      <c r="F46" s="8" t="s">
        <v>2448</v>
      </c>
      <c r="G46" s="8" t="s">
        <v>2671</v>
      </c>
      <c r="H46" s="8" t="s">
        <v>2475</v>
      </c>
      <c r="I46" s="9" t="s">
        <v>351</v>
      </c>
      <c r="J46" s="9" t="s">
        <v>352</v>
      </c>
      <c r="K46" s="8" t="s">
        <v>2478</v>
      </c>
      <c r="L46" s="8" t="s">
        <v>2632</v>
      </c>
      <c r="M46" s="9" t="s">
        <v>356</v>
      </c>
    </row>
    <row r="47" spans="1:13" ht="51" customHeight="1" x14ac:dyDescent="0.25">
      <c r="A47" s="8" t="s">
        <v>2678</v>
      </c>
      <c r="B47" s="8" t="s">
        <v>2480</v>
      </c>
      <c r="C47" s="12" t="str">
        <f>IFERROR(VLOOKUP(B47,ENTITY_MASTER!$A$2:$B$266,2,FALSE),"")</f>
        <v>Sofinnova Partners</v>
      </c>
      <c r="D47" s="8" t="s">
        <v>2630</v>
      </c>
      <c r="E47" s="8" t="s">
        <v>2481</v>
      </c>
      <c r="F47" s="8" t="s">
        <v>2448</v>
      </c>
      <c r="G47" s="8" t="s">
        <v>2671</v>
      </c>
      <c r="H47" s="8" t="s">
        <v>2482</v>
      </c>
      <c r="I47" s="9" t="s">
        <v>351</v>
      </c>
      <c r="J47" s="9" t="s">
        <v>352</v>
      </c>
      <c r="K47" s="8" t="s">
        <v>2485</v>
      </c>
      <c r="L47" s="8" t="s">
        <v>2632</v>
      </c>
      <c r="M47" s="9" t="s">
        <v>356</v>
      </c>
    </row>
    <row r="48" spans="1:13" ht="51" customHeight="1" x14ac:dyDescent="0.25">
      <c r="A48" s="8" t="s">
        <v>2679</v>
      </c>
      <c r="B48" s="8" t="s">
        <v>2487</v>
      </c>
      <c r="C48" s="12" t="str">
        <f>IFERROR(VLOOKUP(B48,ENTITY_MASTER!$A$2:$B$266,2,FALSE),"")</f>
        <v>New Science Ventures</v>
      </c>
      <c r="D48" s="8" t="s">
        <v>2630</v>
      </c>
      <c r="E48" s="8" t="s">
        <v>2488</v>
      </c>
      <c r="F48" s="8" t="s">
        <v>2314</v>
      </c>
      <c r="G48" s="8" t="s">
        <v>2671</v>
      </c>
      <c r="H48" s="8" t="s">
        <v>584</v>
      </c>
      <c r="I48" s="9" t="s">
        <v>954</v>
      </c>
      <c r="J48" s="9" t="s">
        <v>352</v>
      </c>
      <c r="K48" s="8" t="s">
        <v>2492</v>
      </c>
      <c r="L48" s="8" t="s">
        <v>2632</v>
      </c>
      <c r="M48" s="9" t="s">
        <v>356</v>
      </c>
    </row>
    <row r="49" spans="1:13" ht="51" customHeight="1" x14ac:dyDescent="0.25">
      <c r="A49" s="8" t="s">
        <v>2680</v>
      </c>
      <c r="B49" s="8" t="s">
        <v>2494</v>
      </c>
      <c r="C49" s="12" t="str">
        <f>IFERROR(VLOOKUP(B49,ENTITY_MASTER!$A$2:$B$266,2,FALSE),"")</f>
        <v>Easton Capital</v>
      </c>
      <c r="D49" s="8" t="s">
        <v>2630</v>
      </c>
      <c r="E49" s="8" t="s">
        <v>2488</v>
      </c>
      <c r="F49" s="8" t="s">
        <v>2495</v>
      </c>
      <c r="G49" s="8" t="s">
        <v>2671</v>
      </c>
      <c r="H49" s="8" t="s">
        <v>584</v>
      </c>
      <c r="I49" s="9" t="s">
        <v>954</v>
      </c>
      <c r="J49" s="14" t="s">
        <v>944</v>
      </c>
      <c r="K49" s="8" t="s">
        <v>2498</v>
      </c>
      <c r="L49" s="8" t="s">
        <v>2632</v>
      </c>
      <c r="M49" s="9" t="s">
        <v>356</v>
      </c>
    </row>
    <row r="50" spans="1:13" ht="51" customHeight="1" x14ac:dyDescent="0.25">
      <c r="A50" s="8" t="s">
        <v>2681</v>
      </c>
      <c r="B50" s="8" t="s">
        <v>2500</v>
      </c>
      <c r="C50" s="12" t="str">
        <f>IFERROR(VLOOKUP(B50,ENTITY_MASTER!$A$2:$B$266,2,FALSE),"")</f>
        <v>Invivo Partners</v>
      </c>
      <c r="D50" s="8" t="s">
        <v>2630</v>
      </c>
      <c r="E50" s="8" t="s">
        <v>2488</v>
      </c>
      <c r="F50" s="8" t="s">
        <v>2501</v>
      </c>
      <c r="G50" s="8" t="s">
        <v>2671</v>
      </c>
      <c r="H50" s="8" t="s">
        <v>2384</v>
      </c>
      <c r="I50" s="9" t="s">
        <v>954</v>
      </c>
      <c r="J50" s="9" t="s">
        <v>352</v>
      </c>
      <c r="K50" s="8" t="s">
        <v>2504</v>
      </c>
      <c r="L50" s="8" t="s">
        <v>2632</v>
      </c>
      <c r="M50" s="9" t="s">
        <v>356</v>
      </c>
    </row>
    <row r="51" spans="1:13" ht="51" customHeight="1" x14ac:dyDescent="0.25">
      <c r="A51" s="8" t="s">
        <v>2682</v>
      </c>
      <c r="B51" s="8" t="s">
        <v>2506</v>
      </c>
      <c r="C51" s="12" t="str">
        <f>IFERROR(VLOOKUP(B51,ENTITY_MASTER!$A$2:$B$266,2,FALSE),"")</f>
        <v>Inveready</v>
      </c>
      <c r="D51" s="8" t="s">
        <v>2630</v>
      </c>
      <c r="E51" s="8" t="s">
        <v>2488</v>
      </c>
      <c r="F51" s="8" t="s">
        <v>2507</v>
      </c>
      <c r="G51" s="8" t="s">
        <v>2671</v>
      </c>
      <c r="H51" s="8" t="s">
        <v>2384</v>
      </c>
      <c r="I51" s="9" t="s">
        <v>954</v>
      </c>
      <c r="J51" s="9" t="s">
        <v>352</v>
      </c>
      <c r="K51" s="8" t="s">
        <v>2511</v>
      </c>
      <c r="L51" s="8" t="s">
        <v>2632</v>
      </c>
      <c r="M51" s="9" t="s">
        <v>356</v>
      </c>
    </row>
    <row r="52" spans="1:13" ht="51" customHeight="1" x14ac:dyDescent="0.25">
      <c r="A52" s="8" t="s">
        <v>2683</v>
      </c>
      <c r="B52" s="8" t="s">
        <v>2513</v>
      </c>
      <c r="C52" s="12" t="str">
        <f>IFERROR(VLOOKUP(B52,ENTITY_MASTER!$A$2:$B$266,2,FALSE),"")</f>
        <v>SR One</v>
      </c>
      <c r="D52" s="8" t="s">
        <v>2630</v>
      </c>
      <c r="E52" s="8" t="s">
        <v>2514</v>
      </c>
      <c r="F52" s="8" t="s">
        <v>2448</v>
      </c>
      <c r="G52" s="8" t="s">
        <v>2671</v>
      </c>
      <c r="H52" s="8" t="s">
        <v>2516</v>
      </c>
      <c r="I52" s="9" t="s">
        <v>954</v>
      </c>
      <c r="J52" s="9" t="s">
        <v>352</v>
      </c>
      <c r="K52" s="8" t="s">
        <v>2519</v>
      </c>
      <c r="L52" s="8" t="s">
        <v>2632</v>
      </c>
      <c r="M52" s="9" t="s">
        <v>356</v>
      </c>
    </row>
    <row r="53" spans="1:13" ht="51" customHeight="1" x14ac:dyDescent="0.25">
      <c r="A53" s="8" t="s">
        <v>2684</v>
      </c>
      <c r="B53" s="8" t="s">
        <v>2521</v>
      </c>
      <c r="C53" s="12" t="str">
        <f>IFERROR(VLOOKUP(B53,ENTITY_MASTER!$A$2:$B$266,2,FALSE),"")</f>
        <v>RA Capital Management</v>
      </c>
      <c r="D53" s="8" t="s">
        <v>2630</v>
      </c>
      <c r="E53" s="8" t="s">
        <v>2522</v>
      </c>
      <c r="F53" s="8" t="s">
        <v>2523</v>
      </c>
      <c r="G53" s="8" t="s">
        <v>2671</v>
      </c>
      <c r="H53" s="8" t="s">
        <v>2525</v>
      </c>
      <c r="I53" s="9" t="s">
        <v>954</v>
      </c>
      <c r="J53" s="9" t="s">
        <v>352</v>
      </c>
      <c r="K53" s="8" t="s">
        <v>2528</v>
      </c>
      <c r="L53" s="8" t="s">
        <v>2632</v>
      </c>
      <c r="M53" s="9" t="s">
        <v>356</v>
      </c>
    </row>
    <row r="54" spans="1:13" ht="51" customHeight="1" x14ac:dyDescent="0.25">
      <c r="A54" s="8" t="s">
        <v>2685</v>
      </c>
      <c r="B54" s="8" t="s">
        <v>2530</v>
      </c>
      <c r="C54" s="12" t="str">
        <f>IFERROR(VLOOKUP(B54,ENTITY_MASTER!$A$2:$B$266,2,FALSE),"")</f>
        <v>F-Prime Capital</v>
      </c>
      <c r="D54" s="8" t="s">
        <v>2630</v>
      </c>
      <c r="E54" s="8" t="s">
        <v>2531</v>
      </c>
      <c r="F54" s="8" t="s">
        <v>2532</v>
      </c>
      <c r="G54" s="8" t="s">
        <v>2671</v>
      </c>
      <c r="H54" s="8" t="s">
        <v>2535</v>
      </c>
      <c r="I54" s="9" t="s">
        <v>954</v>
      </c>
      <c r="J54" s="9" t="s">
        <v>352</v>
      </c>
      <c r="K54" s="8" t="s">
        <v>2538</v>
      </c>
      <c r="L54" s="8" t="s">
        <v>2632</v>
      </c>
      <c r="M54" s="9" t="s">
        <v>356</v>
      </c>
    </row>
    <row r="55" spans="1:13" ht="51" customHeight="1" x14ac:dyDescent="0.25">
      <c r="A55" s="8" t="s">
        <v>2686</v>
      </c>
      <c r="B55" s="8" t="s">
        <v>2540</v>
      </c>
      <c r="C55" s="12" t="str">
        <f>IFERROR(VLOOKUP(B55,ENTITY_MASTER!$A$2:$B$266,2,FALSE),"")</f>
        <v>Boehringer Ingelheim Venture Fund</v>
      </c>
      <c r="D55" s="8" t="s">
        <v>2630</v>
      </c>
      <c r="E55" s="8" t="s">
        <v>2541</v>
      </c>
      <c r="F55" s="8" t="s">
        <v>2448</v>
      </c>
      <c r="G55" s="8" t="s">
        <v>2671</v>
      </c>
      <c r="H55" s="8" t="s">
        <v>2542</v>
      </c>
      <c r="I55" s="9" t="s">
        <v>351</v>
      </c>
      <c r="J55" s="14" t="s">
        <v>944</v>
      </c>
      <c r="K55" s="8" t="s">
        <v>2545</v>
      </c>
      <c r="L55" s="8" t="s">
        <v>2632</v>
      </c>
      <c r="M55" s="9" t="s">
        <v>356</v>
      </c>
    </row>
    <row r="56" spans="1:13" ht="51" customHeight="1" x14ac:dyDescent="0.25">
      <c r="A56" s="8" t="s">
        <v>2687</v>
      </c>
      <c r="B56" s="8" t="s">
        <v>2547</v>
      </c>
      <c r="C56" s="12" t="str">
        <f>IFERROR(VLOOKUP(B56,ENTITY_MASTER!$A$2:$B$266,2,FALSE),"")</f>
        <v>EQT Life Sciences</v>
      </c>
      <c r="D56" s="8" t="s">
        <v>2630</v>
      </c>
      <c r="E56" s="8" t="s">
        <v>2548</v>
      </c>
      <c r="F56" s="8" t="s">
        <v>2448</v>
      </c>
      <c r="G56" s="8" t="s">
        <v>2671</v>
      </c>
      <c r="H56" s="8" t="s">
        <v>2550</v>
      </c>
      <c r="I56" s="9" t="s">
        <v>954</v>
      </c>
      <c r="J56" s="9" t="s">
        <v>352</v>
      </c>
      <c r="K56" s="8" t="s">
        <v>2553</v>
      </c>
      <c r="L56" s="8" t="s">
        <v>2632</v>
      </c>
      <c r="M56" s="9" t="s">
        <v>356</v>
      </c>
    </row>
    <row r="57" spans="1:13" ht="51" customHeight="1" x14ac:dyDescent="0.25">
      <c r="A57" s="8" t="s">
        <v>2688</v>
      </c>
      <c r="B57" s="8" t="s">
        <v>2555</v>
      </c>
      <c r="C57" s="12" t="str">
        <f>IFERROR(VLOOKUP(B57,ENTITY_MASTER!$A$2:$B$266,2,FALSE),"")</f>
        <v>Pfizer Ventures</v>
      </c>
      <c r="D57" s="8" t="s">
        <v>2630</v>
      </c>
      <c r="E57" s="8" t="s">
        <v>2556</v>
      </c>
      <c r="F57" s="8" t="s">
        <v>2523</v>
      </c>
      <c r="G57" s="8" t="s">
        <v>2671</v>
      </c>
      <c r="H57" s="8" t="s">
        <v>2558</v>
      </c>
      <c r="I57" s="9" t="s">
        <v>351</v>
      </c>
      <c r="J57" s="9" t="s">
        <v>352</v>
      </c>
      <c r="K57" s="8" t="s">
        <v>2561</v>
      </c>
      <c r="L57" s="8" t="s">
        <v>2632</v>
      </c>
      <c r="M57" s="9" t="s">
        <v>356</v>
      </c>
    </row>
    <row r="58" spans="1:13" ht="51" customHeight="1" x14ac:dyDescent="0.25">
      <c r="A58" s="8" t="s">
        <v>2689</v>
      </c>
      <c r="B58" s="8" t="s">
        <v>2563</v>
      </c>
      <c r="C58" s="12" t="str">
        <f>IFERROR(VLOOKUP(B58,ENTITY_MASTER!$A$2:$B$266,2,FALSE),"")</f>
        <v>KHAN Technology Transfer Fund II</v>
      </c>
      <c r="D58" s="8" t="s">
        <v>2630</v>
      </c>
      <c r="E58" s="8" t="s">
        <v>2564</v>
      </c>
      <c r="F58" s="8" t="s">
        <v>2448</v>
      </c>
      <c r="G58" s="8" t="s">
        <v>2671</v>
      </c>
      <c r="H58" s="8" t="s">
        <v>2568</v>
      </c>
      <c r="I58" s="9" t="s">
        <v>351</v>
      </c>
      <c r="J58" s="9" t="s">
        <v>352</v>
      </c>
      <c r="K58" s="8" t="s">
        <v>2571</v>
      </c>
      <c r="L58" s="8" t="s">
        <v>2632</v>
      </c>
      <c r="M58" s="9" t="s">
        <v>356</v>
      </c>
    </row>
  </sheetData>
  <dataValidations count="3">
    <dataValidation type="list" showErrorMessage="1" errorTitle="Controlled value required" error="Select a defined value; do not invent a tag." sqref="I2:I500" xr:uid="{00000000-0002-0000-0A00-000000000000}">
      <formula1>"P0,P1,P2,P3"</formula1>
    </dataValidation>
    <dataValidation type="list" showErrorMessage="1" errorTitle="Controlled value required" error="Select a defined value; do not invent a tag." sqref="M2:M500" xr:uid="{00000000-0002-0000-0A00-000001000000}">
      <formula1>"CORE,CONDITIONAL,DISCOVERY,PAUSED"</formula1>
    </dataValidation>
    <dataValidation type="list" showErrorMessage="1" errorTitle="Controlled value required" error="Select a defined value; do not invent a tag." sqref="J2:J500" xr:uid="{00000000-0002-0000-0A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87E8B"/>
    <outlinePr summaryBelow="0" summaryRight="0"/>
    <pageSetUpPr fitToPage="1"/>
  </sheetPr>
  <dimension ref="A1:P8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2690</v>
      </c>
      <c r="B2" s="8" t="s">
        <v>2691</v>
      </c>
      <c r="C2" s="8" t="s">
        <v>2692</v>
      </c>
      <c r="D2" s="8" t="s">
        <v>2692</v>
      </c>
      <c r="E2" s="8" t="s">
        <v>438</v>
      </c>
      <c r="F2" s="8" t="s">
        <v>438</v>
      </c>
      <c r="G2" s="8" t="s">
        <v>438</v>
      </c>
      <c r="H2" s="8" t="s">
        <v>1682</v>
      </c>
      <c r="I2" s="8" t="s">
        <v>120</v>
      </c>
      <c r="J2" s="8" t="s">
        <v>2693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https://www.escmid.org/congress-events/escmid-global/</v>
      </c>
      <c r="P2" s="8" t="s">
        <v>2694</v>
      </c>
    </row>
    <row r="3" spans="1:16" ht="36.950000000000003" customHeight="1" x14ac:dyDescent="0.25">
      <c r="A3" s="8" t="s">
        <v>2695</v>
      </c>
      <c r="B3" s="8" t="s">
        <v>2696</v>
      </c>
      <c r="C3" s="8" t="s">
        <v>2692</v>
      </c>
      <c r="D3" s="8" t="s">
        <v>2692</v>
      </c>
      <c r="E3" s="8" t="s">
        <v>438</v>
      </c>
      <c r="F3" s="8" t="s">
        <v>438</v>
      </c>
      <c r="G3" s="8" t="s">
        <v>438</v>
      </c>
      <c r="H3" s="8" t="s">
        <v>1682</v>
      </c>
      <c r="I3" s="8" t="s">
        <v>120</v>
      </c>
      <c r="J3" s="8" t="s">
        <v>2697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https://www.idweek.org/</v>
      </c>
      <c r="P3" s="8" t="s">
        <v>2698</v>
      </c>
    </row>
    <row r="4" spans="1:16" ht="33.950000000000003" customHeight="1" x14ac:dyDescent="0.25">
      <c r="A4" s="8" t="s">
        <v>2699</v>
      </c>
      <c r="B4" s="8" t="s">
        <v>2700</v>
      </c>
      <c r="C4" s="8" t="s">
        <v>2692</v>
      </c>
      <c r="D4" s="8" t="s">
        <v>2692</v>
      </c>
      <c r="E4" s="8" t="s">
        <v>438</v>
      </c>
      <c r="F4" s="8" t="s">
        <v>438</v>
      </c>
      <c r="G4" s="8" t="s">
        <v>438</v>
      </c>
      <c r="H4" s="8" t="s">
        <v>1682</v>
      </c>
      <c r="I4" s="8" t="s">
        <v>120</v>
      </c>
      <c r="J4" s="8" t="s">
        <v>2701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https://convention.bio.org/</v>
      </c>
      <c r="P4" s="8" t="s">
        <v>2702</v>
      </c>
    </row>
    <row r="5" spans="1:16" ht="36.950000000000003" customHeight="1" x14ac:dyDescent="0.25">
      <c r="A5" s="8" t="s">
        <v>2703</v>
      </c>
      <c r="B5" s="8" t="s">
        <v>2704</v>
      </c>
      <c r="C5" s="8" t="s">
        <v>2692</v>
      </c>
      <c r="D5" s="8" t="s">
        <v>2692</v>
      </c>
      <c r="E5" s="8" t="s">
        <v>438</v>
      </c>
      <c r="F5" s="8" t="s">
        <v>438</v>
      </c>
      <c r="G5" s="8" t="s">
        <v>438</v>
      </c>
      <c r="H5" s="8" t="s">
        <v>1682</v>
      </c>
      <c r="I5" s="8" t="s">
        <v>120</v>
      </c>
      <c r="J5" s="8" t="s">
        <v>2705</v>
      </c>
      <c r="K5" s="9" t="s">
        <v>351</v>
      </c>
      <c r="L5" s="9" t="s">
        <v>1684</v>
      </c>
      <c r="M5" s="9" t="s">
        <v>352</v>
      </c>
      <c r="N5" s="15" t="s">
        <v>1685</v>
      </c>
      <c r="O5" s="12" t="str">
        <f>IFERROR(IF(VLOOKUP(J5,SOURCE_REGISTRY!$A$2:$E$246,5,FALSE)="","",VLOOKUP(J5,SOURCE_REGISTRY!$A$2:$E$246,5,FALSE)),"")</f>
        <v>https://informaconnect.com/bioeurope/</v>
      </c>
      <c r="P5" s="8" t="s">
        <v>2706</v>
      </c>
    </row>
    <row r="6" spans="1:16" ht="36.950000000000003" customHeight="1" x14ac:dyDescent="0.25">
      <c r="A6" s="8" t="s">
        <v>2707</v>
      </c>
      <c r="B6" s="8" t="s">
        <v>2708</v>
      </c>
      <c r="C6" s="8" t="s">
        <v>2692</v>
      </c>
      <c r="D6" s="8" t="s">
        <v>2692</v>
      </c>
      <c r="E6" s="8" t="s">
        <v>438</v>
      </c>
      <c r="F6" s="8" t="s">
        <v>438</v>
      </c>
      <c r="G6" s="8" t="s">
        <v>2709</v>
      </c>
      <c r="H6" s="8" t="s">
        <v>1682</v>
      </c>
      <c r="I6" s="8" t="s">
        <v>120</v>
      </c>
      <c r="J6" s="8" t="s">
        <v>2710</v>
      </c>
      <c r="K6" s="9" t="s">
        <v>351</v>
      </c>
      <c r="L6" s="9" t="s">
        <v>356</v>
      </c>
      <c r="M6" s="9" t="s">
        <v>352</v>
      </c>
      <c r="N6" s="15" t="s">
        <v>1685</v>
      </c>
      <c r="O6" s="12" t="str">
        <f>IFERROR(IF(VLOOKUP(J6,SOURCE_REGISTRY!$A$2:$E$246,5,FALSE)="","",VLOOKUP(J6,SOURCE_REGISTRY!$A$2:$E$246,5,FALSE)),"")</f>
        <v>https://annualmeeting.asgct.org/</v>
      </c>
      <c r="P6" s="8" t="s">
        <v>2711</v>
      </c>
    </row>
    <row r="7" spans="1:16" ht="36.950000000000003" customHeight="1" x14ac:dyDescent="0.25">
      <c r="A7" s="8" t="s">
        <v>2712</v>
      </c>
      <c r="B7" s="8" t="s">
        <v>2713</v>
      </c>
      <c r="C7" s="8" t="s">
        <v>2692</v>
      </c>
      <c r="D7" s="8" t="s">
        <v>2692</v>
      </c>
      <c r="E7" s="8" t="s">
        <v>438</v>
      </c>
      <c r="F7" s="8" t="s">
        <v>438</v>
      </c>
      <c r="G7" s="8" t="s">
        <v>409</v>
      </c>
      <c r="H7" s="8" t="s">
        <v>1682</v>
      </c>
      <c r="I7" s="8" t="s">
        <v>120</v>
      </c>
      <c r="J7" s="8" t="s">
        <v>2714</v>
      </c>
      <c r="K7" s="9" t="s">
        <v>351</v>
      </c>
      <c r="L7" s="9" t="s">
        <v>356</v>
      </c>
      <c r="M7" s="9" t="s">
        <v>352</v>
      </c>
      <c r="N7" s="15" t="s">
        <v>1685</v>
      </c>
      <c r="O7" s="12" t="str">
        <f>IFERROR(IF(VLOOKUP(J7,SOURCE_REGISTRY!$A$2:$E$246,5,FALSE)="","",VLOOKUP(J7,SOURCE_REGISTRY!$A$2:$E$246,5,FALSE)),"")</f>
        <v>https://www.terrapinn.com/conference/world-vaccine-congress-europe/</v>
      </c>
      <c r="P7" s="8" t="s">
        <v>2715</v>
      </c>
    </row>
    <row r="8" spans="1:16" ht="36.950000000000003" customHeight="1" x14ac:dyDescent="0.25">
      <c r="A8" s="8" t="s">
        <v>2716</v>
      </c>
      <c r="B8" s="8" t="s">
        <v>2717</v>
      </c>
      <c r="C8" s="8" t="s">
        <v>1700</v>
      </c>
      <c r="D8" s="8" t="s">
        <v>2718</v>
      </c>
      <c r="E8" s="8" t="s">
        <v>1524</v>
      </c>
      <c r="F8" s="8" t="s">
        <v>438</v>
      </c>
      <c r="G8" s="8" t="s">
        <v>438</v>
      </c>
      <c r="H8" s="8" t="s">
        <v>438</v>
      </c>
      <c r="I8" s="8" t="s">
        <v>120</v>
      </c>
      <c r="J8" s="8" t="s">
        <v>2719</v>
      </c>
      <c r="K8" s="9" t="s">
        <v>351</v>
      </c>
      <c r="L8" s="9" t="s">
        <v>356</v>
      </c>
      <c r="M8" s="9" t="s">
        <v>352</v>
      </c>
      <c r="N8" s="15" t="s">
        <v>1685</v>
      </c>
      <c r="O8" s="12" t="str">
        <f>IFERROR(IF(VLOOKUP(J8,SOURCE_REGISTRY!$A$2:$E$246,5,FALSE)="","",VLOOKUP(J8,SOURCE_REGISTRY!$A$2:$E$246,5,FALSE)),"")</f>
        <v>https://www.croiconference.org/</v>
      </c>
      <c r="P8" s="8" t="s">
        <v>1704</v>
      </c>
    </row>
  </sheetData>
  <dataValidations count="3">
    <dataValidation type="list" showErrorMessage="1" errorTitle="Controlled value required" error="Select a defined value; do not invent a tag." sqref="K2:K500" xr:uid="{00000000-0002-0000-0B00-000000000000}">
      <formula1>"P0,P1,P2,P3"</formula1>
    </dataValidation>
    <dataValidation type="list" showErrorMessage="1" errorTitle="Controlled value required" error="Select a defined value; do not invent a tag." sqref="L2:L500" xr:uid="{00000000-0002-0000-0B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B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87E8B"/>
    <outlinePr summaryBelow="0" summaryRight="0"/>
    <pageSetUpPr fitToPage="1"/>
  </sheetPr>
  <dimension ref="A1:P7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2720</v>
      </c>
      <c r="B2" s="8" t="s">
        <v>2721</v>
      </c>
      <c r="C2" s="8" t="s">
        <v>1680</v>
      </c>
      <c r="D2" s="8" t="s">
        <v>2722</v>
      </c>
      <c r="E2" s="8" t="s">
        <v>438</v>
      </c>
      <c r="F2" s="8" t="s">
        <v>438</v>
      </c>
      <c r="G2" s="8" t="s">
        <v>438</v>
      </c>
      <c r="H2" s="8" t="s">
        <v>1682</v>
      </c>
      <c r="I2" s="8" t="s">
        <v>123</v>
      </c>
      <c r="J2" s="8" t="s">
        <v>2723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https://www.idsociety.org/practice-guideline/practice-guidelines/</v>
      </c>
      <c r="P2" s="8" t="s">
        <v>2724</v>
      </c>
    </row>
    <row r="3" spans="1:16" ht="36.950000000000003" customHeight="1" x14ac:dyDescent="0.25">
      <c r="A3" s="8" t="s">
        <v>2725</v>
      </c>
      <c r="B3" s="8" t="s">
        <v>2726</v>
      </c>
      <c r="C3" s="8" t="s">
        <v>1680</v>
      </c>
      <c r="D3" s="8" t="s">
        <v>2727</v>
      </c>
      <c r="E3" s="8" t="s">
        <v>438</v>
      </c>
      <c r="F3" s="8" t="s">
        <v>438</v>
      </c>
      <c r="G3" s="8" t="s">
        <v>438</v>
      </c>
      <c r="H3" s="8" t="s">
        <v>1682</v>
      </c>
      <c r="I3" s="8" t="s">
        <v>123</v>
      </c>
      <c r="J3" s="8" t="s">
        <v>2728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https://www.who.int/publications/who-guidelines</v>
      </c>
      <c r="P3" s="8" t="s">
        <v>2729</v>
      </c>
    </row>
    <row r="4" spans="1:16" ht="36.950000000000003" customHeight="1" x14ac:dyDescent="0.25">
      <c r="A4" s="8" t="s">
        <v>2730</v>
      </c>
      <c r="B4" s="8" t="s">
        <v>2731</v>
      </c>
      <c r="C4" s="8" t="s">
        <v>1680</v>
      </c>
      <c r="D4" s="8" t="s">
        <v>2732</v>
      </c>
      <c r="E4" s="8" t="s">
        <v>438</v>
      </c>
      <c r="F4" s="8" t="s">
        <v>438</v>
      </c>
      <c r="G4" s="8" t="s">
        <v>438</v>
      </c>
      <c r="H4" s="8" t="s">
        <v>1754</v>
      </c>
      <c r="I4" s="8" t="s">
        <v>123</v>
      </c>
      <c r="J4" s="8" t="s">
        <v>2733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https://register.awmf.org/de/leitlinien/aktuelle-leitlinien</v>
      </c>
      <c r="P4" s="8" t="s">
        <v>2734</v>
      </c>
    </row>
    <row r="5" spans="1:16" ht="36.950000000000003" customHeight="1" x14ac:dyDescent="0.25">
      <c r="A5" s="8" t="s">
        <v>2735</v>
      </c>
      <c r="B5" s="8" t="s">
        <v>2736</v>
      </c>
      <c r="C5" s="8" t="s">
        <v>1680</v>
      </c>
      <c r="D5" s="8" t="s">
        <v>2737</v>
      </c>
      <c r="E5" s="8" t="s">
        <v>438</v>
      </c>
      <c r="F5" s="8" t="s">
        <v>438</v>
      </c>
      <c r="G5" s="8" t="s">
        <v>438</v>
      </c>
      <c r="H5" s="8" t="s">
        <v>1690</v>
      </c>
      <c r="I5" s="8" t="s">
        <v>123</v>
      </c>
      <c r="J5" s="8" t="s">
        <v>2738</v>
      </c>
      <c r="K5" s="9" t="s">
        <v>351</v>
      </c>
      <c r="L5" s="9" t="s">
        <v>1684</v>
      </c>
      <c r="M5" s="9" t="s">
        <v>352</v>
      </c>
      <c r="N5" s="15" t="s">
        <v>1685</v>
      </c>
      <c r="O5" s="12" t="str">
        <f>IFERROR(IF(VLOOKUP(J5,SOURCE_REGISTRY!$A$2:$E$246,5,FALSE)="","",VLOOKUP(J5,SOURCE_REGISTRY!$A$2:$E$246,5,FALSE)),"")</f>
        <v>https://www.ecdc.europa.eu/en/data-dashboards-and-databases</v>
      </c>
      <c r="P5" s="8" t="s">
        <v>2739</v>
      </c>
    </row>
    <row r="6" spans="1:16" ht="36.950000000000003" customHeight="1" x14ac:dyDescent="0.25">
      <c r="A6" s="8" t="s">
        <v>2740</v>
      </c>
      <c r="B6" s="8" t="s">
        <v>2741</v>
      </c>
      <c r="C6" s="8" t="s">
        <v>1680</v>
      </c>
      <c r="D6" s="8" t="s">
        <v>2742</v>
      </c>
      <c r="E6" s="8" t="s">
        <v>438</v>
      </c>
      <c r="F6" s="8" t="s">
        <v>438</v>
      </c>
      <c r="G6" s="8" t="s">
        <v>478</v>
      </c>
      <c r="H6" s="8" t="s">
        <v>1682</v>
      </c>
      <c r="I6" s="8" t="s">
        <v>123</v>
      </c>
      <c r="J6" s="8" t="s">
        <v>2743</v>
      </c>
      <c r="K6" s="9" t="s">
        <v>351</v>
      </c>
      <c r="L6" s="9" t="s">
        <v>356</v>
      </c>
      <c r="M6" s="9" t="s">
        <v>352</v>
      </c>
      <c r="N6" s="15" t="s">
        <v>1685</v>
      </c>
      <c r="O6" s="12" t="str">
        <f>IFERROR(IF(VLOOKUP(J6,SOURCE_REGISTRY!$A$2:$E$246,5,FALSE)="","",VLOOKUP(J6,SOURCE_REGISTRY!$A$2:$E$246,5,FALSE)),"")</f>
        <v>https://www.idsociety.org/practice-guideline/personalized-bacteriophage-therapy/</v>
      </c>
      <c r="P6" s="8" t="s">
        <v>2744</v>
      </c>
    </row>
    <row r="7" spans="1:16" ht="36.950000000000003" customHeight="1" x14ac:dyDescent="0.25">
      <c r="A7" s="8" t="s">
        <v>2745</v>
      </c>
      <c r="B7" s="8" t="s">
        <v>2746</v>
      </c>
      <c r="C7" s="8" t="s">
        <v>1700</v>
      </c>
      <c r="D7" s="8" t="s">
        <v>2747</v>
      </c>
      <c r="E7" s="8" t="s">
        <v>438</v>
      </c>
      <c r="F7" s="8" t="s">
        <v>438</v>
      </c>
      <c r="G7" s="8" t="s">
        <v>438</v>
      </c>
      <c r="H7" s="8" t="s">
        <v>438</v>
      </c>
      <c r="I7" s="8" t="s">
        <v>123</v>
      </c>
      <c r="J7" s="8" t="s">
        <v>2748</v>
      </c>
      <c r="K7" s="9" t="s">
        <v>351</v>
      </c>
      <c r="L7" s="9" t="s">
        <v>356</v>
      </c>
      <c r="M7" s="9" t="s">
        <v>352</v>
      </c>
      <c r="N7" s="15" t="s">
        <v>1685</v>
      </c>
      <c r="O7" s="12" t="str">
        <f>IFERROR(IF(VLOOKUP(J7,SOURCE_REGISTRY!$A$2:$E$246,5,FALSE)="","",VLOOKUP(J7,SOURCE_REGISTRY!$A$2:$E$246,5,FALSE)),"")</f>
        <v>https://www.escmid.org/guidelines-journals/guidelines/published-guidelines/</v>
      </c>
      <c r="P7" s="8" t="s">
        <v>1704</v>
      </c>
    </row>
  </sheetData>
  <dataValidations count="3">
    <dataValidation type="list" showErrorMessage="1" errorTitle="Controlled value required" error="Select a defined value; do not invent a tag." sqref="K2:K500" xr:uid="{00000000-0002-0000-0C00-000000000000}">
      <formula1>"P0,P1,P2,P3"</formula1>
    </dataValidation>
    <dataValidation type="list" showErrorMessage="1" errorTitle="Controlled value required" error="Select a defined value; do not invent a tag." sqref="L2:L500" xr:uid="{00000000-0002-0000-0C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C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87E8B"/>
    <outlinePr summaryBelow="0" summaryRight="0"/>
    <pageSetUpPr fitToPage="1"/>
  </sheetPr>
  <dimension ref="A1:P4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2749</v>
      </c>
      <c r="B2" s="8" t="s">
        <v>2750</v>
      </c>
      <c r="C2" s="8" t="s">
        <v>1680</v>
      </c>
      <c r="D2" s="8" t="s">
        <v>2751</v>
      </c>
      <c r="E2" s="8" t="s">
        <v>438</v>
      </c>
      <c r="F2" s="8" t="s">
        <v>438</v>
      </c>
      <c r="G2" s="8" t="s">
        <v>438</v>
      </c>
      <c r="H2" s="8" t="s">
        <v>1682</v>
      </c>
      <c r="I2" s="8" t="s">
        <v>130</v>
      </c>
      <c r="J2" s="8" t="s">
        <v>2752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https://www.epo.org/en/searching-for-patents/technical/espacenet</v>
      </c>
      <c r="P2" s="8" t="s">
        <v>2753</v>
      </c>
    </row>
    <row r="3" spans="1:16" ht="36.950000000000003" customHeight="1" x14ac:dyDescent="0.25">
      <c r="A3" s="8" t="s">
        <v>2754</v>
      </c>
      <c r="B3" s="8" t="s">
        <v>2755</v>
      </c>
      <c r="C3" s="8" t="s">
        <v>1680</v>
      </c>
      <c r="D3" s="8" t="s">
        <v>2751</v>
      </c>
      <c r="E3" s="8" t="s">
        <v>438</v>
      </c>
      <c r="F3" s="8" t="s">
        <v>438</v>
      </c>
      <c r="G3" s="8" t="s">
        <v>438</v>
      </c>
      <c r="H3" s="8" t="s">
        <v>1682</v>
      </c>
      <c r="I3" s="8" t="s">
        <v>130</v>
      </c>
      <c r="J3" s="8" t="s">
        <v>2756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https://www.wipo.int/en/web/patentscope</v>
      </c>
      <c r="P3" s="8" t="s">
        <v>2757</v>
      </c>
    </row>
    <row r="4" spans="1:16" ht="36.950000000000003" customHeight="1" x14ac:dyDescent="0.25">
      <c r="A4" s="8" t="s">
        <v>2758</v>
      </c>
      <c r="B4" s="8" t="s">
        <v>2759</v>
      </c>
      <c r="C4" s="8" t="s">
        <v>1680</v>
      </c>
      <c r="D4" s="8" t="s">
        <v>2760</v>
      </c>
      <c r="E4" s="8" t="s">
        <v>438</v>
      </c>
      <c r="F4" s="8" t="s">
        <v>438</v>
      </c>
      <c r="G4" s="8" t="s">
        <v>438</v>
      </c>
      <c r="H4" s="8" t="s">
        <v>1754</v>
      </c>
      <c r="I4" s="8" t="s">
        <v>130</v>
      </c>
      <c r="J4" s="8" t="s">
        <v>2761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https://www.dpma.de/recherche/dpmaregister/index.html</v>
      </c>
      <c r="P4" s="8" t="s">
        <v>2762</v>
      </c>
    </row>
  </sheetData>
  <dataValidations count="3">
    <dataValidation type="list" showErrorMessage="1" errorTitle="Controlled value required" error="Select a defined value; do not invent a tag." sqref="K2:K500" xr:uid="{00000000-0002-0000-0D00-000000000000}">
      <formula1>"P0,P1,P2,P3"</formula1>
    </dataValidation>
    <dataValidation type="list" showErrorMessage="1" errorTitle="Controlled value required" error="Select a defined value; do not invent a tag." sqref="L2:L500" xr:uid="{00000000-0002-0000-0D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D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87E8B"/>
    <outlinePr summaryBelow="0" summaryRight="0"/>
    <pageSetUpPr fitToPage="1"/>
  </sheetPr>
  <dimension ref="A1:P8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2763</v>
      </c>
      <c r="B2" s="8" t="s">
        <v>2764</v>
      </c>
      <c r="C2" s="8" t="s">
        <v>1680</v>
      </c>
      <c r="D2" s="8" t="s">
        <v>2765</v>
      </c>
      <c r="E2" s="8" t="s">
        <v>438</v>
      </c>
      <c r="F2" s="8" t="s">
        <v>438</v>
      </c>
      <c r="G2" s="8" t="s">
        <v>438</v>
      </c>
      <c r="H2" s="8" t="s">
        <v>1682</v>
      </c>
      <c r="I2" s="8" t="s">
        <v>133</v>
      </c>
      <c r="J2" s="8" t="s">
        <v>2766</v>
      </c>
      <c r="K2" s="9" t="s">
        <v>351</v>
      </c>
      <c r="L2" s="9" t="s">
        <v>1684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https://health.ec.europa.eu/medicinal-products/eudralex/eudralex-volume-4_en</v>
      </c>
      <c r="P2" s="8" t="s">
        <v>2767</v>
      </c>
    </row>
    <row r="3" spans="1:16" ht="36.950000000000003" customHeight="1" x14ac:dyDescent="0.25">
      <c r="A3" s="8" t="s">
        <v>2768</v>
      </c>
      <c r="B3" s="8" t="s">
        <v>2769</v>
      </c>
      <c r="C3" s="8" t="s">
        <v>1680</v>
      </c>
      <c r="D3" s="8" t="s">
        <v>2770</v>
      </c>
      <c r="E3" s="8" t="s">
        <v>438</v>
      </c>
      <c r="F3" s="8" t="s">
        <v>438</v>
      </c>
      <c r="G3" s="8" t="s">
        <v>438</v>
      </c>
      <c r="H3" s="8" t="s">
        <v>1682</v>
      </c>
      <c r="I3" s="8" t="s">
        <v>133</v>
      </c>
      <c r="J3" s="8" t="s">
        <v>2771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https://www.ich.org/page/quality-guidelines</v>
      </c>
      <c r="P3" s="8" t="s">
        <v>2772</v>
      </c>
    </row>
    <row r="4" spans="1:16" ht="51" customHeight="1" x14ac:dyDescent="0.25">
      <c r="A4" s="8" t="s">
        <v>2773</v>
      </c>
      <c r="B4" s="8" t="s">
        <v>1724</v>
      </c>
      <c r="C4" s="8" t="s">
        <v>1680</v>
      </c>
      <c r="D4" s="8" t="s">
        <v>1725</v>
      </c>
      <c r="E4" s="8" t="s">
        <v>438</v>
      </c>
      <c r="F4" s="8" t="s">
        <v>438</v>
      </c>
      <c r="G4" s="8" t="s">
        <v>438</v>
      </c>
      <c r="H4" s="8" t="s">
        <v>1682</v>
      </c>
      <c r="I4" s="8" t="s">
        <v>133</v>
      </c>
      <c r="J4" s="8" t="s">
        <v>1726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https://www.ema.europa.eu/en/human-regulatory-overview/research-development/scientific-guidelines-human-medicines</v>
      </c>
      <c r="P4" s="8" t="s">
        <v>1727</v>
      </c>
    </row>
    <row r="5" spans="1:16" ht="36.950000000000003" customHeight="1" x14ac:dyDescent="0.25">
      <c r="A5" s="8" t="s">
        <v>2774</v>
      </c>
      <c r="B5" s="8" t="s">
        <v>1746</v>
      </c>
      <c r="C5" s="8" t="s">
        <v>1680</v>
      </c>
      <c r="D5" s="8" t="s">
        <v>1747</v>
      </c>
      <c r="E5" s="8" t="s">
        <v>438</v>
      </c>
      <c r="F5" s="8" t="s">
        <v>438</v>
      </c>
      <c r="G5" s="8" t="s">
        <v>1742</v>
      </c>
      <c r="H5" s="8" t="s">
        <v>1731</v>
      </c>
      <c r="I5" s="8" t="s">
        <v>133</v>
      </c>
      <c r="J5" s="8" t="s">
        <v>1748</v>
      </c>
      <c r="K5" s="9" t="s">
        <v>351</v>
      </c>
      <c r="L5" s="9" t="s">
        <v>356</v>
      </c>
      <c r="M5" s="9" t="s">
        <v>352</v>
      </c>
      <c r="N5" s="15" t="s">
        <v>1685</v>
      </c>
      <c r="O5" s="12" t="str">
        <f>IFERROR(IF(VLOOKUP(J5,SOURCE_REGISTRY!$A$2:$E$246,5,FALSE)="","",VLOOKUP(J5,SOURCE_REGISTRY!$A$2:$E$246,5,FALSE)),"")</f>
        <v>https://www.fda.gov/vaccines-blood-biologics/biologics-guidances/cellular-gene-therapy-guidances</v>
      </c>
      <c r="P5" s="8" t="s">
        <v>1749</v>
      </c>
    </row>
    <row r="6" spans="1:16" ht="65.099999999999994" customHeight="1" x14ac:dyDescent="0.25">
      <c r="A6" s="8" t="s">
        <v>2775</v>
      </c>
      <c r="B6" s="8" t="s">
        <v>1740</v>
      </c>
      <c r="C6" s="8" t="s">
        <v>1680</v>
      </c>
      <c r="D6" s="8" t="s">
        <v>1741</v>
      </c>
      <c r="E6" s="8" t="s">
        <v>438</v>
      </c>
      <c r="F6" s="8" t="s">
        <v>438</v>
      </c>
      <c r="G6" s="8" t="s">
        <v>1742</v>
      </c>
      <c r="H6" s="8" t="s">
        <v>1690</v>
      </c>
      <c r="I6" s="8" t="s">
        <v>133</v>
      </c>
      <c r="J6" s="8" t="s">
        <v>1743</v>
      </c>
      <c r="K6" s="9" t="s">
        <v>351</v>
      </c>
      <c r="L6" s="9" t="s">
        <v>356</v>
      </c>
      <c r="M6" s="9" t="s">
        <v>352</v>
      </c>
      <c r="N6" s="15" t="s">
        <v>1685</v>
      </c>
      <c r="O6" s="12" t="str">
        <f>IFERROR(IF(VLOOKUP(J6,SOURCE_REGISTRY!$A$2:$E$246,5,FALSE)="","",VLOOKUP(J6,SOURCE_REGISTRY!$A$2:$E$246,5,FALSE)),"")</f>
        <v>https://www.ema.europa.eu/en/scientific-guidelines/guideline-quality-non-clinical-clinical-requirements-investigational-advanced-therapy-medicinal-products-clinical-trials</v>
      </c>
      <c r="P6" s="8" t="s">
        <v>1744</v>
      </c>
    </row>
    <row r="7" spans="1:16" ht="36.950000000000003" customHeight="1" x14ac:dyDescent="0.25">
      <c r="A7" s="8" t="s">
        <v>2776</v>
      </c>
      <c r="B7" s="8" t="s">
        <v>1763</v>
      </c>
      <c r="C7" s="8" t="s">
        <v>1680</v>
      </c>
      <c r="D7" s="8" t="s">
        <v>1764</v>
      </c>
      <c r="E7" s="8" t="s">
        <v>438</v>
      </c>
      <c r="F7" s="8" t="s">
        <v>438</v>
      </c>
      <c r="G7" s="8" t="s">
        <v>478</v>
      </c>
      <c r="H7" s="8" t="s">
        <v>1682</v>
      </c>
      <c r="I7" s="8" t="s">
        <v>133</v>
      </c>
      <c r="J7" s="8" t="s">
        <v>1765</v>
      </c>
      <c r="K7" s="9" t="s">
        <v>351</v>
      </c>
      <c r="L7" s="9" t="s">
        <v>356</v>
      </c>
      <c r="M7" s="9" t="s">
        <v>352</v>
      </c>
      <c r="N7" s="15" t="s">
        <v>1685</v>
      </c>
      <c r="O7" s="12" t="str">
        <f>IFERROR(IF(VLOOKUP(J7,SOURCE_REGISTRY!$A$2:$E$246,5,FALSE)="","",VLOOKUP(J7,SOURCE_REGISTRY!$A$2:$E$246,5,FALSE)),"")</f>
        <v>https://www.ema.europa.eu/en/scientific-guidelines/quality-aspects-phage-therapy-medicinal-products</v>
      </c>
      <c r="P7" s="8" t="s">
        <v>1766</v>
      </c>
    </row>
    <row r="8" spans="1:16" ht="65.099999999999994" customHeight="1" x14ac:dyDescent="0.25">
      <c r="A8" s="8" t="s">
        <v>2777</v>
      </c>
      <c r="B8" s="8" t="s">
        <v>1768</v>
      </c>
      <c r="C8" s="8" t="s">
        <v>1680</v>
      </c>
      <c r="D8" s="8" t="s">
        <v>1769</v>
      </c>
      <c r="E8" s="8" t="s">
        <v>438</v>
      </c>
      <c r="F8" s="8" t="s">
        <v>438</v>
      </c>
      <c r="G8" s="8" t="s">
        <v>373</v>
      </c>
      <c r="H8" s="8" t="s">
        <v>1731</v>
      </c>
      <c r="I8" s="8" t="s">
        <v>133</v>
      </c>
      <c r="J8" s="8" t="s">
        <v>1770</v>
      </c>
      <c r="K8" s="9" t="s">
        <v>351</v>
      </c>
      <c r="L8" s="9" t="s">
        <v>356</v>
      </c>
      <c r="M8" s="9" t="s">
        <v>352</v>
      </c>
      <c r="N8" s="15" t="s">
        <v>1685</v>
      </c>
      <c r="O8" s="12" t="str">
        <f>IFERROR(IF(VLOOKUP(J8,SOURCE_REGISTRY!$A$2:$E$246,5,FALSE)="","",VLOOKUP(J8,SOURCE_REGISTRY!$A$2:$E$246,5,FALSE)),"")</f>
        <v>https://www.fda.gov/regulatory-information/search-fda-guidance-documents/early-clinical-trials-live-biotherapeutic-products-chemistry-manufacturing-and-control-information</v>
      </c>
      <c r="P8" s="8" t="s">
        <v>1771</v>
      </c>
    </row>
  </sheetData>
  <dataValidations count="3">
    <dataValidation type="list" showErrorMessage="1" errorTitle="Controlled value required" error="Select a defined value; do not invent a tag." sqref="K2:K500" xr:uid="{00000000-0002-0000-0E00-000000000000}">
      <formula1>"P0,P1,P2,P3"</formula1>
    </dataValidation>
    <dataValidation type="list" showErrorMessage="1" errorTitle="Controlled value required" error="Select a defined value; do not invent a tag." sqref="L2:L500" xr:uid="{00000000-0002-0000-0E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E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87E8B"/>
    <outlinePr summaryBelow="0" summaryRight="0"/>
    <pageSetUpPr fitToPage="1"/>
  </sheetPr>
  <dimension ref="A1:P8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27" customWidth="1"/>
    <col min="4" max="4" width="61" customWidth="1"/>
    <col min="5" max="8" width="32" customWidth="1"/>
    <col min="9" max="9" width="27" customWidth="1"/>
    <col min="10" max="10" width="29" customWidth="1"/>
    <col min="11" max="13" width="20" customWidth="1"/>
    <col min="14" max="14" width="27" customWidth="1"/>
    <col min="15" max="15" width="52" customWidth="1"/>
    <col min="16" max="16" width="61" customWidth="1"/>
  </cols>
  <sheetData>
    <row r="1" spans="1:16" ht="42.95" customHeight="1" x14ac:dyDescent="0.25">
      <c r="A1" s="7" t="s">
        <v>326</v>
      </c>
      <c r="B1" s="7" t="s">
        <v>1673</v>
      </c>
      <c r="C1" s="7" t="s">
        <v>329</v>
      </c>
      <c r="D1" s="7" t="s">
        <v>1674</v>
      </c>
      <c r="E1" s="7" t="s">
        <v>330</v>
      </c>
      <c r="F1" s="7" t="s">
        <v>331</v>
      </c>
      <c r="G1" s="7" t="s">
        <v>333</v>
      </c>
      <c r="H1" s="7" t="s">
        <v>1675</v>
      </c>
      <c r="I1" s="7" t="s">
        <v>1676</v>
      </c>
      <c r="J1" s="7" t="s">
        <v>335</v>
      </c>
      <c r="K1" s="7" t="s">
        <v>336</v>
      </c>
      <c r="L1" s="7" t="s">
        <v>341</v>
      </c>
      <c r="M1" s="7" t="s">
        <v>238</v>
      </c>
      <c r="N1" s="7" t="s">
        <v>1677</v>
      </c>
      <c r="O1" s="7" t="s">
        <v>340</v>
      </c>
      <c r="P1" s="7" t="s">
        <v>339</v>
      </c>
    </row>
    <row r="2" spans="1:16" ht="36.950000000000003" customHeight="1" x14ac:dyDescent="0.25">
      <c r="A2" s="8" t="s">
        <v>2778</v>
      </c>
      <c r="B2" s="8" t="s">
        <v>2779</v>
      </c>
      <c r="C2" s="8" t="s">
        <v>1680</v>
      </c>
      <c r="D2" s="8" t="s">
        <v>2780</v>
      </c>
      <c r="E2" s="8" t="s">
        <v>2136</v>
      </c>
      <c r="F2" s="8" t="s">
        <v>438</v>
      </c>
      <c r="G2" s="8" t="s">
        <v>438</v>
      </c>
      <c r="H2" s="8" t="s">
        <v>1690</v>
      </c>
      <c r="I2" s="8" t="s">
        <v>140</v>
      </c>
      <c r="J2" s="8" t="s">
        <v>2156</v>
      </c>
      <c r="K2" s="9" t="s">
        <v>351</v>
      </c>
      <c r="L2" s="9" t="s">
        <v>356</v>
      </c>
      <c r="M2" s="9" t="s">
        <v>352</v>
      </c>
      <c r="N2" s="15" t="s">
        <v>1685</v>
      </c>
      <c r="O2" s="12" t="str">
        <f>IFERROR(IF(VLOOKUP(J2,SOURCE_REGISTRY!$A$2:$E$246,5,FALSE)="","",VLOOKUP(J2,SOURCE_REGISTRY!$A$2:$E$246,5,FALSE)),"")</f>
        <v>https://health.ec.europa.eu/health-emergency-preparedness-and-response-hera_en</v>
      </c>
      <c r="P2" s="8" t="s">
        <v>2781</v>
      </c>
    </row>
    <row r="3" spans="1:16" ht="36.950000000000003" customHeight="1" x14ac:dyDescent="0.25">
      <c r="A3" s="8" t="s">
        <v>2782</v>
      </c>
      <c r="B3" s="8" t="s">
        <v>2783</v>
      </c>
      <c r="C3" s="8" t="s">
        <v>1680</v>
      </c>
      <c r="D3" s="8" t="s">
        <v>2784</v>
      </c>
      <c r="E3" s="8" t="s">
        <v>438</v>
      </c>
      <c r="F3" s="8" t="s">
        <v>438</v>
      </c>
      <c r="G3" s="8" t="s">
        <v>438</v>
      </c>
      <c r="H3" s="8" t="s">
        <v>1754</v>
      </c>
      <c r="I3" s="8" t="s">
        <v>140</v>
      </c>
      <c r="J3" s="8" t="s">
        <v>2785</v>
      </c>
      <c r="K3" s="9" t="s">
        <v>351</v>
      </c>
      <c r="L3" s="9" t="s">
        <v>1684</v>
      </c>
      <c r="M3" s="9" t="s">
        <v>352</v>
      </c>
      <c r="N3" s="15" t="s">
        <v>1685</v>
      </c>
      <c r="O3" s="12" t="str">
        <f>IFERROR(IF(VLOOKUP(J3,SOURCE_REGISTRY!$A$2:$E$246,5,FALSE)="","",VLOOKUP(J3,SOURCE_REGISTRY!$A$2:$E$246,5,FALSE)),"")</f>
        <v>https://www.g-ba.de/bewertungsverfahren/nutzenbewertung/</v>
      </c>
      <c r="P3" s="8" t="s">
        <v>2786</v>
      </c>
    </row>
    <row r="4" spans="1:16" ht="36.950000000000003" customHeight="1" x14ac:dyDescent="0.25">
      <c r="A4" s="8" t="s">
        <v>2787</v>
      </c>
      <c r="B4" s="8" t="s">
        <v>2788</v>
      </c>
      <c r="C4" s="8" t="s">
        <v>1680</v>
      </c>
      <c r="D4" s="8" t="s">
        <v>2789</v>
      </c>
      <c r="E4" s="8" t="s">
        <v>438</v>
      </c>
      <c r="F4" s="8" t="s">
        <v>438</v>
      </c>
      <c r="G4" s="8" t="s">
        <v>438</v>
      </c>
      <c r="H4" s="8" t="s">
        <v>1690</v>
      </c>
      <c r="I4" s="8" t="s">
        <v>140</v>
      </c>
      <c r="J4" s="8" t="s">
        <v>2790</v>
      </c>
      <c r="K4" s="9" t="s">
        <v>351</v>
      </c>
      <c r="L4" s="9" t="s">
        <v>1684</v>
      </c>
      <c r="M4" s="9" t="s">
        <v>352</v>
      </c>
      <c r="N4" s="15" t="s">
        <v>1685</v>
      </c>
      <c r="O4" s="12" t="str">
        <f>IFERROR(IF(VLOOKUP(J4,SOURCE_REGISTRY!$A$2:$E$246,5,FALSE)="","",VLOOKUP(J4,SOURCE_REGISTRY!$A$2:$E$246,5,FALSE)),"")</f>
        <v>https://health.ec.europa.eu/health-technology-assessment_en</v>
      </c>
      <c r="P4" s="8" t="s">
        <v>2791</v>
      </c>
    </row>
    <row r="5" spans="1:16" ht="36.950000000000003" customHeight="1" x14ac:dyDescent="0.25">
      <c r="A5" s="8" t="s">
        <v>2792</v>
      </c>
      <c r="B5" s="8" t="s">
        <v>2793</v>
      </c>
      <c r="C5" s="8" t="s">
        <v>1680</v>
      </c>
      <c r="D5" s="8" t="s">
        <v>2794</v>
      </c>
      <c r="E5" s="8" t="s">
        <v>438</v>
      </c>
      <c r="F5" s="8" t="s">
        <v>438</v>
      </c>
      <c r="G5" s="8" t="s">
        <v>409</v>
      </c>
      <c r="H5" s="8" t="s">
        <v>1682</v>
      </c>
      <c r="I5" s="8" t="s">
        <v>140</v>
      </c>
      <c r="J5" s="8" t="s">
        <v>2795</v>
      </c>
      <c r="K5" s="9" t="s">
        <v>351</v>
      </c>
      <c r="L5" s="9" t="s">
        <v>356</v>
      </c>
      <c r="M5" s="9" t="s">
        <v>352</v>
      </c>
      <c r="N5" s="15" t="s">
        <v>1685</v>
      </c>
      <c r="O5" s="12" t="str">
        <f>IFERROR(IF(VLOOKUP(J5,SOURCE_REGISTRY!$A$2:$E$246,5,FALSE)="","",VLOOKUP(J5,SOURCE_REGISTRY!$A$2:$E$246,5,FALSE)),"")</f>
        <v>https://www.unicef.org/supply/immunization-market-dashboard</v>
      </c>
      <c r="P5" s="8" t="s">
        <v>2796</v>
      </c>
    </row>
    <row r="6" spans="1:16" ht="36.950000000000003" customHeight="1" x14ac:dyDescent="0.25">
      <c r="A6" s="8" t="s">
        <v>2797</v>
      </c>
      <c r="B6" s="8" t="s">
        <v>2798</v>
      </c>
      <c r="C6" s="8" t="s">
        <v>1680</v>
      </c>
      <c r="D6" s="8" t="s">
        <v>2799</v>
      </c>
      <c r="E6" s="8" t="s">
        <v>876</v>
      </c>
      <c r="F6" s="8" t="s">
        <v>438</v>
      </c>
      <c r="G6" s="8" t="s">
        <v>438</v>
      </c>
      <c r="H6" s="8" t="s">
        <v>2358</v>
      </c>
      <c r="I6" s="8" t="s">
        <v>140</v>
      </c>
      <c r="J6" s="8" t="s">
        <v>2800</v>
      </c>
      <c r="K6" s="9" t="s">
        <v>351</v>
      </c>
      <c r="L6" s="9" t="s">
        <v>356</v>
      </c>
      <c r="M6" s="9" t="s">
        <v>352</v>
      </c>
      <c r="N6" s="15" t="s">
        <v>1685</v>
      </c>
      <c r="O6" s="12" t="str">
        <f>IFERROR(IF(VLOOKUP(J6,SOURCE_REGISTRY!$A$2:$E$246,5,FALSE)="","",VLOOKUP(J6,SOURCE_REGISTRY!$A$2:$E$246,5,FALSE)),"")</f>
        <v>https://www.england.nhs.uk/medicines-2/antimicrobial-products-subscription-model/</v>
      </c>
      <c r="P6" s="8" t="s">
        <v>2801</v>
      </c>
    </row>
    <row r="7" spans="1:16" ht="36.950000000000003" customHeight="1" x14ac:dyDescent="0.25">
      <c r="A7" s="8" t="s">
        <v>2802</v>
      </c>
      <c r="B7" s="8" t="s">
        <v>2803</v>
      </c>
      <c r="C7" s="8" t="s">
        <v>1700</v>
      </c>
      <c r="D7" s="8" t="s">
        <v>2804</v>
      </c>
      <c r="E7" s="8" t="s">
        <v>876</v>
      </c>
      <c r="F7" s="8" t="s">
        <v>438</v>
      </c>
      <c r="G7" s="8" t="s">
        <v>438</v>
      </c>
      <c r="H7" s="8" t="s">
        <v>438</v>
      </c>
      <c r="I7" s="8" t="s">
        <v>140</v>
      </c>
      <c r="J7" s="8" t="s">
        <v>2805</v>
      </c>
      <c r="K7" s="9" t="s">
        <v>351</v>
      </c>
      <c r="L7" s="9" t="s">
        <v>356</v>
      </c>
      <c r="M7" s="9" t="s">
        <v>352</v>
      </c>
      <c r="N7" s="15" t="s">
        <v>1685</v>
      </c>
      <c r="O7" s="12" t="str">
        <f>IFERROR(IF(VLOOKUP(J7,SOURCE_REGISTRY!$A$2:$E$246,5,FALSE)="","",VLOOKUP(J7,SOURCE_REGISTRY!$A$2:$E$246,5,FALSE)),"")</f>
        <v>https://www.who.int/initiatives/glass</v>
      </c>
      <c r="P7" s="8" t="s">
        <v>1704</v>
      </c>
    </row>
    <row r="8" spans="1:16" ht="36.950000000000003" customHeight="1" x14ac:dyDescent="0.25">
      <c r="A8" s="8" t="s">
        <v>2806</v>
      </c>
      <c r="B8" s="8" t="s">
        <v>2807</v>
      </c>
      <c r="C8" s="8" t="s">
        <v>1700</v>
      </c>
      <c r="D8" s="8" t="s">
        <v>2808</v>
      </c>
      <c r="E8" s="8" t="s">
        <v>876</v>
      </c>
      <c r="F8" s="8" t="s">
        <v>438</v>
      </c>
      <c r="G8" s="8" t="s">
        <v>438</v>
      </c>
      <c r="H8" s="8" t="s">
        <v>438</v>
      </c>
      <c r="I8" s="8" t="s">
        <v>140</v>
      </c>
      <c r="J8" s="8" t="s">
        <v>2809</v>
      </c>
      <c r="K8" s="9" t="s">
        <v>351</v>
      </c>
      <c r="L8" s="9" t="s">
        <v>356</v>
      </c>
      <c r="M8" s="9" t="s">
        <v>352</v>
      </c>
      <c r="N8" s="15" t="s">
        <v>1685</v>
      </c>
      <c r="O8" s="12" t="str">
        <f>IFERROR(IF(VLOOKUP(J8,SOURCE_REGISTRY!$A$2:$E$246,5,FALSE)="","",VLOOKUP(J8,SOURCE_REGISTRY!$A$2:$E$246,5,FALSE)),"")</f>
        <v>https://www.ecdc.europa.eu/en/about-us/networks/disease-networks-and-laboratory-networks/ears-net-data</v>
      </c>
      <c r="P8" s="8" t="s">
        <v>1704</v>
      </c>
    </row>
  </sheetData>
  <dataValidations count="3">
    <dataValidation type="list" showErrorMessage="1" errorTitle="Controlled value required" error="Select a defined value; do not invent a tag." sqref="K2:K500" xr:uid="{00000000-0002-0000-0F00-000000000000}">
      <formula1>"P0,P1,P2,P3"</formula1>
    </dataValidation>
    <dataValidation type="list" showErrorMessage="1" errorTitle="Controlled value required" error="Select a defined value; do not invent a tag." sqref="L2:L500" xr:uid="{00000000-0002-0000-0F00-000001000000}">
      <formula1>"CORE,CONDITIONAL,DISCOVERY,PAUSED"</formula1>
    </dataValidation>
    <dataValidation type="list" showErrorMessage="1" errorTitle="Controlled value required" error="Select a defined value; do not invent a tag." sqref="M2:M500" xr:uid="{00000000-0002-0000-0F00-000002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8354A"/>
    <outlinePr summaryBelow="0" summaryRight="0"/>
    <pageSetUpPr fitToPage="1"/>
  </sheetPr>
  <dimension ref="A1:J266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4" width="27" customWidth="1"/>
    <col min="5" max="5" width="29" customWidth="1"/>
    <col min="6" max="6" width="27" customWidth="1"/>
    <col min="7" max="7" width="52" customWidth="1"/>
    <col min="8" max="8" width="20" customWidth="1"/>
    <col min="9" max="9" width="27" customWidth="1"/>
    <col min="10" max="10" width="61" customWidth="1"/>
  </cols>
  <sheetData>
    <row r="1" spans="1:10" ht="42.95" customHeight="1" x14ac:dyDescent="0.25">
      <c r="A1" s="7" t="s">
        <v>327</v>
      </c>
      <c r="B1" s="7" t="s">
        <v>328</v>
      </c>
      <c r="C1" s="7" t="s">
        <v>2810</v>
      </c>
      <c r="D1" s="7" t="s">
        <v>2811</v>
      </c>
      <c r="E1" s="7" t="s">
        <v>2812</v>
      </c>
      <c r="F1" s="7" t="s">
        <v>2813</v>
      </c>
      <c r="G1" s="7" t="s">
        <v>2814</v>
      </c>
      <c r="H1" s="7" t="s">
        <v>238</v>
      </c>
      <c r="I1" s="7" t="s">
        <v>2815</v>
      </c>
      <c r="J1" s="7" t="s">
        <v>2816</v>
      </c>
    </row>
    <row r="2" spans="1:10" ht="36.950000000000003" customHeight="1" x14ac:dyDescent="0.25">
      <c r="A2" s="8" t="s">
        <v>1068</v>
      </c>
      <c r="B2" s="8" t="s">
        <v>1070</v>
      </c>
      <c r="C2" s="13" t="s">
        <v>2817</v>
      </c>
      <c r="D2" s="8"/>
      <c r="E2" s="8"/>
      <c r="F2" s="8"/>
      <c r="G2" s="11"/>
      <c r="H2" s="9" t="s">
        <v>352</v>
      </c>
      <c r="I2" s="8" t="s">
        <v>2818</v>
      </c>
      <c r="J2" s="8" t="s">
        <v>2819</v>
      </c>
    </row>
    <row r="3" spans="1:10" ht="36.950000000000003" customHeight="1" x14ac:dyDescent="0.25">
      <c r="A3" s="8" t="s">
        <v>1646</v>
      </c>
      <c r="B3" s="8" t="s">
        <v>1647</v>
      </c>
      <c r="C3" s="13" t="s">
        <v>2817</v>
      </c>
      <c r="D3" s="8"/>
      <c r="E3" s="8"/>
      <c r="F3" s="8"/>
      <c r="G3" s="11"/>
      <c r="H3" s="9" t="s">
        <v>352</v>
      </c>
      <c r="I3" s="8" t="s">
        <v>2820</v>
      </c>
      <c r="J3" s="8" t="s">
        <v>2819</v>
      </c>
    </row>
    <row r="4" spans="1:10" ht="36.950000000000003" customHeight="1" x14ac:dyDescent="0.25">
      <c r="A4" s="8" t="s">
        <v>1167</v>
      </c>
      <c r="B4" s="8" t="s">
        <v>1169</v>
      </c>
      <c r="C4" s="8" t="s">
        <v>2821</v>
      </c>
      <c r="D4" s="8"/>
      <c r="E4" s="8"/>
      <c r="F4" s="8"/>
      <c r="G4" s="11" t="s">
        <v>2822</v>
      </c>
      <c r="H4" s="9" t="s">
        <v>352</v>
      </c>
      <c r="I4" s="8" t="s">
        <v>2823</v>
      </c>
      <c r="J4" s="8" t="s">
        <v>2819</v>
      </c>
    </row>
    <row r="5" spans="1:10" ht="36.950000000000003" customHeight="1" x14ac:dyDescent="0.25">
      <c r="A5" s="8" t="s">
        <v>1391</v>
      </c>
      <c r="B5" s="8" t="s">
        <v>1393</v>
      </c>
      <c r="C5" s="13" t="s">
        <v>2817</v>
      </c>
      <c r="D5" s="8"/>
      <c r="E5" s="8"/>
      <c r="F5" s="8"/>
      <c r="G5" s="11"/>
      <c r="H5" s="9" t="s">
        <v>352</v>
      </c>
      <c r="I5" s="8" t="s">
        <v>2824</v>
      </c>
      <c r="J5" s="8" t="s">
        <v>2819</v>
      </c>
    </row>
    <row r="6" spans="1:10" ht="36.950000000000003" customHeight="1" x14ac:dyDescent="0.25">
      <c r="A6" s="8" t="s">
        <v>1386</v>
      </c>
      <c r="B6" s="8" t="s">
        <v>1388</v>
      </c>
      <c r="C6" s="13" t="s">
        <v>2817</v>
      </c>
      <c r="D6" s="8"/>
      <c r="E6" s="8"/>
      <c r="F6" s="8"/>
      <c r="G6" s="11"/>
      <c r="H6" s="9" t="s">
        <v>352</v>
      </c>
      <c r="I6" s="8" t="s">
        <v>2825</v>
      </c>
      <c r="J6" s="8" t="s">
        <v>2819</v>
      </c>
    </row>
    <row r="7" spans="1:10" ht="36.950000000000003" customHeight="1" x14ac:dyDescent="0.25">
      <c r="A7" s="8" t="s">
        <v>1486</v>
      </c>
      <c r="B7" s="8" t="s">
        <v>1487</v>
      </c>
      <c r="C7" s="13" t="s">
        <v>2817</v>
      </c>
      <c r="D7" s="8"/>
      <c r="E7" s="8"/>
      <c r="F7" s="8"/>
      <c r="G7" s="11"/>
      <c r="H7" s="9" t="s">
        <v>352</v>
      </c>
      <c r="I7" s="8" t="s">
        <v>2826</v>
      </c>
      <c r="J7" s="8" t="s">
        <v>2819</v>
      </c>
    </row>
    <row r="8" spans="1:10" ht="36.950000000000003" customHeight="1" x14ac:dyDescent="0.25">
      <c r="A8" s="8" t="s">
        <v>2438</v>
      </c>
      <c r="B8" s="8" t="s">
        <v>2827</v>
      </c>
      <c r="C8" s="8" t="s">
        <v>2828</v>
      </c>
      <c r="D8" s="8"/>
      <c r="E8" s="8"/>
      <c r="F8" s="8"/>
      <c r="G8" s="11"/>
      <c r="H8" s="9" t="s">
        <v>352</v>
      </c>
      <c r="I8" s="8" t="s">
        <v>2444</v>
      </c>
      <c r="J8" s="8" t="s">
        <v>2819</v>
      </c>
    </row>
    <row r="9" spans="1:10" ht="36.950000000000003" customHeight="1" x14ac:dyDescent="0.25">
      <c r="A9" s="8" t="s">
        <v>1175</v>
      </c>
      <c r="B9" s="8" t="s">
        <v>1177</v>
      </c>
      <c r="C9" s="13" t="s">
        <v>2817</v>
      </c>
      <c r="D9" s="8"/>
      <c r="E9" s="8"/>
      <c r="F9" s="8"/>
      <c r="G9" s="11"/>
      <c r="H9" s="9" t="s">
        <v>352</v>
      </c>
      <c r="I9" s="8" t="s">
        <v>2829</v>
      </c>
      <c r="J9" s="8" t="s">
        <v>2819</v>
      </c>
    </row>
    <row r="10" spans="1:10" ht="36.950000000000003" customHeight="1" x14ac:dyDescent="0.25">
      <c r="A10" s="8" t="s">
        <v>1335</v>
      </c>
      <c r="B10" s="8" t="s">
        <v>1336</v>
      </c>
      <c r="C10" s="13" t="s">
        <v>2817</v>
      </c>
      <c r="D10" s="8"/>
      <c r="E10" s="8"/>
      <c r="F10" s="8"/>
      <c r="G10" s="11"/>
      <c r="H10" s="9" t="s">
        <v>352</v>
      </c>
      <c r="I10" s="8" t="s">
        <v>2830</v>
      </c>
      <c r="J10" s="8" t="s">
        <v>2819</v>
      </c>
    </row>
    <row r="11" spans="1:10" ht="36.950000000000003" customHeight="1" x14ac:dyDescent="0.25">
      <c r="A11" s="8" t="s">
        <v>1210</v>
      </c>
      <c r="B11" s="8" t="s">
        <v>1212</v>
      </c>
      <c r="C11" s="13" t="s">
        <v>2817</v>
      </c>
      <c r="D11" s="8"/>
      <c r="E11" s="8"/>
      <c r="F11" s="8"/>
      <c r="G11" s="11"/>
      <c r="H11" s="9" t="s">
        <v>352</v>
      </c>
      <c r="I11" s="8" t="s">
        <v>2831</v>
      </c>
      <c r="J11" s="8" t="s">
        <v>2819</v>
      </c>
    </row>
    <row r="12" spans="1:10" ht="36.950000000000003" customHeight="1" x14ac:dyDescent="0.25">
      <c r="A12" s="8" t="s">
        <v>518</v>
      </c>
      <c r="B12" s="8" t="s">
        <v>522</v>
      </c>
      <c r="C12" s="8" t="s">
        <v>2832</v>
      </c>
      <c r="D12" s="8"/>
      <c r="E12" s="8"/>
      <c r="F12" s="8"/>
      <c r="G12" s="11" t="s">
        <v>2833</v>
      </c>
      <c r="H12" s="9" t="s">
        <v>352</v>
      </c>
      <c r="I12" s="8" t="s">
        <v>2834</v>
      </c>
      <c r="J12" s="8" t="s">
        <v>2819</v>
      </c>
    </row>
    <row r="13" spans="1:10" ht="36.950000000000003" customHeight="1" x14ac:dyDescent="0.25">
      <c r="A13" s="8" t="s">
        <v>1279</v>
      </c>
      <c r="B13" s="8" t="s">
        <v>1280</v>
      </c>
      <c r="C13" s="13" t="s">
        <v>2817</v>
      </c>
      <c r="D13" s="8"/>
      <c r="E13" s="8"/>
      <c r="F13" s="8"/>
      <c r="G13" s="11"/>
      <c r="H13" s="9" t="s">
        <v>352</v>
      </c>
      <c r="I13" s="8" t="s">
        <v>2835</v>
      </c>
      <c r="J13" s="8" t="s">
        <v>2819</v>
      </c>
    </row>
    <row r="14" spans="1:10" ht="33.950000000000003" customHeight="1" x14ac:dyDescent="0.25">
      <c r="A14" s="8" t="s">
        <v>2420</v>
      </c>
      <c r="B14" s="8" t="s">
        <v>2836</v>
      </c>
      <c r="C14" s="8" t="s">
        <v>2828</v>
      </c>
      <c r="D14" s="8"/>
      <c r="E14" s="8"/>
      <c r="F14" s="8"/>
      <c r="G14" s="11" t="s">
        <v>2837</v>
      </c>
      <c r="H14" s="9" t="s">
        <v>352</v>
      </c>
      <c r="I14" s="8" t="s">
        <v>2426</v>
      </c>
      <c r="J14" s="8" t="s">
        <v>2838</v>
      </c>
    </row>
    <row r="15" spans="1:10" ht="36.950000000000003" customHeight="1" x14ac:dyDescent="0.25">
      <c r="A15" s="8" t="s">
        <v>542</v>
      </c>
      <c r="B15" s="8" t="s">
        <v>2839</v>
      </c>
      <c r="C15" s="8" t="s">
        <v>2832</v>
      </c>
      <c r="D15" s="8" t="s">
        <v>2840</v>
      </c>
      <c r="E15" s="8"/>
      <c r="F15" s="8"/>
      <c r="G15" s="11"/>
      <c r="H15" s="9" t="s">
        <v>352</v>
      </c>
      <c r="I15" s="8" t="s">
        <v>2841</v>
      </c>
      <c r="J15" s="8" t="s">
        <v>2819</v>
      </c>
    </row>
    <row r="16" spans="1:10" ht="36.950000000000003" customHeight="1" x14ac:dyDescent="0.25">
      <c r="A16" s="8" t="s">
        <v>1478</v>
      </c>
      <c r="B16" s="8" t="s">
        <v>1479</v>
      </c>
      <c r="C16" s="13" t="s">
        <v>2817</v>
      </c>
      <c r="D16" s="8"/>
      <c r="E16" s="8"/>
      <c r="F16" s="8"/>
      <c r="G16" s="11"/>
      <c r="H16" s="9" t="s">
        <v>352</v>
      </c>
      <c r="I16" s="8" t="s">
        <v>2842</v>
      </c>
      <c r="J16" s="8" t="s">
        <v>2819</v>
      </c>
    </row>
    <row r="17" spans="1:10" ht="36.950000000000003" customHeight="1" x14ac:dyDescent="0.25">
      <c r="A17" s="8" t="s">
        <v>389</v>
      </c>
      <c r="B17" s="8" t="s">
        <v>392</v>
      </c>
      <c r="C17" s="8" t="s">
        <v>2832</v>
      </c>
      <c r="D17" s="8"/>
      <c r="E17" s="8"/>
      <c r="F17" s="8"/>
      <c r="G17" s="11"/>
      <c r="H17" s="9" t="s">
        <v>352</v>
      </c>
      <c r="I17" s="8" t="s">
        <v>2843</v>
      </c>
      <c r="J17" s="8" t="s">
        <v>2819</v>
      </c>
    </row>
    <row r="18" spans="1:10" ht="36.950000000000003" customHeight="1" x14ac:dyDescent="0.25">
      <c r="A18" s="8" t="s">
        <v>1206</v>
      </c>
      <c r="B18" s="8" t="s">
        <v>1207</v>
      </c>
      <c r="C18" s="13" t="s">
        <v>2817</v>
      </c>
      <c r="D18" s="8"/>
      <c r="E18" s="8"/>
      <c r="F18" s="8"/>
      <c r="G18" s="11"/>
      <c r="H18" s="9" t="s">
        <v>352</v>
      </c>
      <c r="I18" s="8" t="s">
        <v>2844</v>
      </c>
      <c r="J18" s="8" t="s">
        <v>2819</v>
      </c>
    </row>
    <row r="19" spans="1:10" ht="51" customHeight="1" x14ac:dyDescent="0.25">
      <c r="A19" s="8" t="s">
        <v>502</v>
      </c>
      <c r="B19" s="8" t="s">
        <v>2845</v>
      </c>
      <c r="C19" s="8" t="s">
        <v>2832</v>
      </c>
      <c r="D19" s="8"/>
      <c r="E19" s="8"/>
      <c r="F19" s="8"/>
      <c r="G19" s="11" t="s">
        <v>2846</v>
      </c>
      <c r="H19" s="9" t="s">
        <v>352</v>
      </c>
      <c r="I19" s="8" t="s">
        <v>2847</v>
      </c>
      <c r="J19" s="8" t="s">
        <v>2848</v>
      </c>
    </row>
    <row r="20" spans="1:10" ht="36.950000000000003" customHeight="1" x14ac:dyDescent="0.25">
      <c r="A20" s="8" t="s">
        <v>475</v>
      </c>
      <c r="B20" s="8" t="s">
        <v>2849</v>
      </c>
      <c r="C20" s="8" t="s">
        <v>2832</v>
      </c>
      <c r="D20" s="8" t="s">
        <v>2850</v>
      </c>
      <c r="E20" s="8"/>
      <c r="F20" s="8"/>
      <c r="G20" s="11" t="s">
        <v>2851</v>
      </c>
      <c r="H20" s="9" t="s">
        <v>352</v>
      </c>
      <c r="I20" s="8" t="s">
        <v>2852</v>
      </c>
      <c r="J20" s="8" t="s">
        <v>2853</v>
      </c>
    </row>
    <row r="21" spans="1:10" ht="36.950000000000003" customHeight="1" x14ac:dyDescent="0.25">
      <c r="A21" s="8" t="s">
        <v>676</v>
      </c>
      <c r="B21" s="8" t="s">
        <v>677</v>
      </c>
      <c r="C21" s="13" t="s">
        <v>2817</v>
      </c>
      <c r="D21" s="8"/>
      <c r="E21" s="8"/>
      <c r="F21" s="8"/>
      <c r="G21" s="11"/>
      <c r="H21" s="9" t="s">
        <v>352</v>
      </c>
      <c r="I21" s="8" t="s">
        <v>2854</v>
      </c>
      <c r="J21" s="8" t="s">
        <v>2819</v>
      </c>
    </row>
    <row r="22" spans="1:10" ht="36.950000000000003" customHeight="1" x14ac:dyDescent="0.25">
      <c r="A22" s="8" t="s">
        <v>1573</v>
      </c>
      <c r="B22" s="8" t="s">
        <v>1574</v>
      </c>
      <c r="C22" s="13" t="s">
        <v>2817</v>
      </c>
      <c r="D22" s="8"/>
      <c r="E22" s="8"/>
      <c r="F22" s="8"/>
      <c r="G22" s="11"/>
      <c r="H22" s="9" t="s">
        <v>352</v>
      </c>
      <c r="I22" s="8" t="s">
        <v>2855</v>
      </c>
      <c r="J22" s="8" t="s">
        <v>2819</v>
      </c>
    </row>
    <row r="23" spans="1:10" ht="78.95" customHeight="1" x14ac:dyDescent="0.25">
      <c r="A23" s="8" t="s">
        <v>2266</v>
      </c>
      <c r="B23" s="8" t="s">
        <v>2856</v>
      </c>
      <c r="C23" s="8" t="s">
        <v>2857</v>
      </c>
      <c r="D23" s="8" t="s">
        <v>2858</v>
      </c>
      <c r="E23" s="8"/>
      <c r="F23" s="8" t="s">
        <v>2859</v>
      </c>
      <c r="G23" s="11" t="s">
        <v>2860</v>
      </c>
      <c r="H23" s="14" t="s">
        <v>944</v>
      </c>
      <c r="I23" s="8" t="s">
        <v>2271</v>
      </c>
      <c r="J23" s="8" t="s">
        <v>2819</v>
      </c>
    </row>
    <row r="24" spans="1:10" ht="36.950000000000003" customHeight="1" x14ac:dyDescent="0.25">
      <c r="A24" s="8" t="s">
        <v>1569</v>
      </c>
      <c r="B24" s="8" t="s">
        <v>1570</v>
      </c>
      <c r="C24" s="13" t="s">
        <v>2817</v>
      </c>
      <c r="D24" s="8"/>
      <c r="E24" s="8"/>
      <c r="F24" s="8"/>
      <c r="G24" s="11"/>
      <c r="H24" s="9" t="s">
        <v>352</v>
      </c>
      <c r="I24" s="8" t="s">
        <v>2861</v>
      </c>
      <c r="J24" s="8" t="s">
        <v>2819</v>
      </c>
    </row>
    <row r="25" spans="1:10" ht="36.950000000000003" customHeight="1" x14ac:dyDescent="0.25">
      <c r="A25" s="8" t="s">
        <v>957</v>
      </c>
      <c r="B25" s="8" t="s">
        <v>961</v>
      </c>
      <c r="C25" s="8" t="s">
        <v>2832</v>
      </c>
      <c r="D25" s="8"/>
      <c r="E25" s="8"/>
      <c r="F25" s="8"/>
      <c r="G25" s="11"/>
      <c r="H25" s="9" t="s">
        <v>352</v>
      </c>
      <c r="I25" s="8" t="s">
        <v>2862</v>
      </c>
      <c r="J25" s="8" t="s">
        <v>2819</v>
      </c>
    </row>
    <row r="26" spans="1:10" ht="36.950000000000003" customHeight="1" x14ac:dyDescent="0.25">
      <c r="A26" s="8" t="s">
        <v>642</v>
      </c>
      <c r="B26" s="8" t="s">
        <v>2863</v>
      </c>
      <c r="C26" s="8" t="s">
        <v>2821</v>
      </c>
      <c r="D26" s="8" t="s">
        <v>2864</v>
      </c>
      <c r="E26" s="8"/>
      <c r="F26" s="8"/>
      <c r="G26" s="11"/>
      <c r="H26" s="9" t="s">
        <v>352</v>
      </c>
      <c r="I26" s="8" t="s">
        <v>2865</v>
      </c>
      <c r="J26" s="8" t="s">
        <v>2819</v>
      </c>
    </row>
    <row r="27" spans="1:10" ht="36.950000000000003" customHeight="1" x14ac:dyDescent="0.25">
      <c r="A27" s="8" t="s">
        <v>799</v>
      </c>
      <c r="B27" s="8" t="s">
        <v>802</v>
      </c>
      <c r="C27" s="13" t="s">
        <v>2817</v>
      </c>
      <c r="D27" s="8"/>
      <c r="E27" s="8"/>
      <c r="F27" s="8"/>
      <c r="G27" s="11"/>
      <c r="H27" s="9" t="s">
        <v>352</v>
      </c>
      <c r="I27" s="8" t="s">
        <v>2866</v>
      </c>
      <c r="J27" s="8" t="s">
        <v>2819</v>
      </c>
    </row>
    <row r="28" spans="1:10" ht="36.950000000000003" customHeight="1" x14ac:dyDescent="0.25">
      <c r="A28" s="8" t="s">
        <v>613</v>
      </c>
      <c r="B28" s="8" t="s">
        <v>2867</v>
      </c>
      <c r="C28" s="8" t="s">
        <v>2832</v>
      </c>
      <c r="D28" s="8" t="s">
        <v>2868</v>
      </c>
      <c r="E28" s="8"/>
      <c r="F28" s="8"/>
      <c r="G28" s="11"/>
      <c r="H28" s="9" t="s">
        <v>352</v>
      </c>
      <c r="I28" s="8" t="s">
        <v>2869</v>
      </c>
      <c r="J28" s="8" t="s">
        <v>2819</v>
      </c>
    </row>
    <row r="29" spans="1:10" ht="36.950000000000003" customHeight="1" x14ac:dyDescent="0.25">
      <c r="A29" s="8" t="s">
        <v>672</v>
      </c>
      <c r="B29" s="8" t="s">
        <v>673</v>
      </c>
      <c r="C29" s="13" t="s">
        <v>2817</v>
      </c>
      <c r="D29" s="8"/>
      <c r="E29" s="8"/>
      <c r="F29" s="8"/>
      <c r="G29" s="11"/>
      <c r="H29" s="9" t="s">
        <v>352</v>
      </c>
      <c r="I29" s="8" t="s">
        <v>2870</v>
      </c>
      <c r="J29" s="8" t="s">
        <v>2819</v>
      </c>
    </row>
    <row r="30" spans="1:10" ht="36.950000000000003" customHeight="1" x14ac:dyDescent="0.25">
      <c r="A30" s="8" t="s">
        <v>1404</v>
      </c>
      <c r="B30" s="8" t="s">
        <v>1405</v>
      </c>
      <c r="C30" s="13" t="s">
        <v>2817</v>
      </c>
      <c r="D30" s="8"/>
      <c r="E30" s="8"/>
      <c r="F30" s="8"/>
      <c r="G30" s="11"/>
      <c r="H30" s="9" t="s">
        <v>352</v>
      </c>
      <c r="I30" s="8" t="s">
        <v>2871</v>
      </c>
      <c r="J30" s="8" t="s">
        <v>2819</v>
      </c>
    </row>
    <row r="31" spans="1:10" ht="36.950000000000003" customHeight="1" x14ac:dyDescent="0.25">
      <c r="A31" s="8" t="s">
        <v>1594</v>
      </c>
      <c r="B31" s="8" t="s">
        <v>1595</v>
      </c>
      <c r="C31" s="13" t="s">
        <v>2817</v>
      </c>
      <c r="D31" s="8"/>
      <c r="E31" s="8"/>
      <c r="F31" s="8"/>
      <c r="G31" s="11"/>
      <c r="H31" s="9" t="s">
        <v>352</v>
      </c>
      <c r="I31" s="8" t="s">
        <v>2872</v>
      </c>
      <c r="J31" s="8" t="s">
        <v>2819</v>
      </c>
    </row>
    <row r="32" spans="1:10" ht="36.950000000000003" customHeight="1" x14ac:dyDescent="0.25">
      <c r="A32" s="8" t="s">
        <v>1266</v>
      </c>
      <c r="B32" s="8" t="s">
        <v>1268</v>
      </c>
      <c r="C32" s="13" t="s">
        <v>2817</v>
      </c>
      <c r="D32" s="8"/>
      <c r="E32" s="8"/>
      <c r="F32" s="8"/>
      <c r="G32" s="11"/>
      <c r="H32" s="9" t="s">
        <v>352</v>
      </c>
      <c r="I32" s="8" t="s">
        <v>2873</v>
      </c>
      <c r="J32" s="8" t="s">
        <v>2819</v>
      </c>
    </row>
    <row r="33" spans="1:10" ht="36.950000000000003" customHeight="1" x14ac:dyDescent="0.25">
      <c r="A33" s="8" t="s">
        <v>609</v>
      </c>
      <c r="B33" s="8" t="s">
        <v>610</v>
      </c>
      <c r="C33" s="13" t="s">
        <v>2817</v>
      </c>
      <c r="D33" s="8"/>
      <c r="E33" s="8"/>
      <c r="F33" s="8"/>
      <c r="G33" s="11"/>
      <c r="H33" s="9" t="s">
        <v>352</v>
      </c>
      <c r="I33" s="8" t="s">
        <v>2874</v>
      </c>
      <c r="J33" s="8" t="s">
        <v>2819</v>
      </c>
    </row>
    <row r="34" spans="1:10" ht="36.950000000000003" customHeight="1" x14ac:dyDescent="0.25">
      <c r="A34" s="8" t="s">
        <v>664</v>
      </c>
      <c r="B34" s="8" t="s">
        <v>2875</v>
      </c>
      <c r="C34" s="8" t="s">
        <v>2821</v>
      </c>
      <c r="D34" s="8" t="s">
        <v>2876</v>
      </c>
      <c r="E34" s="8"/>
      <c r="F34" s="8"/>
      <c r="G34" s="11"/>
      <c r="H34" s="9" t="s">
        <v>352</v>
      </c>
      <c r="I34" s="8" t="s">
        <v>2877</v>
      </c>
      <c r="J34" s="8" t="s">
        <v>2819</v>
      </c>
    </row>
    <row r="35" spans="1:10" ht="36.950000000000003" customHeight="1" x14ac:dyDescent="0.25">
      <c r="A35" s="8" t="s">
        <v>991</v>
      </c>
      <c r="B35" s="8" t="s">
        <v>2878</v>
      </c>
      <c r="C35" s="8" t="s">
        <v>2821</v>
      </c>
      <c r="D35" s="8" t="s">
        <v>2879</v>
      </c>
      <c r="E35" s="8"/>
      <c r="F35" s="8"/>
      <c r="G35" s="11"/>
      <c r="H35" s="9" t="s">
        <v>352</v>
      </c>
      <c r="I35" s="8" t="s">
        <v>2880</v>
      </c>
      <c r="J35" s="8" t="s">
        <v>2819</v>
      </c>
    </row>
    <row r="36" spans="1:10" ht="36.950000000000003" customHeight="1" x14ac:dyDescent="0.25">
      <c r="A36" s="8" t="s">
        <v>1101</v>
      </c>
      <c r="B36" s="8" t="s">
        <v>1102</v>
      </c>
      <c r="C36" s="13" t="s">
        <v>2817</v>
      </c>
      <c r="D36" s="8"/>
      <c r="E36" s="8"/>
      <c r="F36" s="8"/>
      <c r="G36" s="11"/>
      <c r="H36" s="9" t="s">
        <v>352</v>
      </c>
      <c r="I36" s="8" t="s">
        <v>2881</v>
      </c>
      <c r="J36" s="8" t="s">
        <v>2819</v>
      </c>
    </row>
    <row r="37" spans="1:10" ht="36.950000000000003" customHeight="1" x14ac:dyDescent="0.25">
      <c r="A37" s="8" t="s">
        <v>738</v>
      </c>
      <c r="B37" s="8" t="s">
        <v>2882</v>
      </c>
      <c r="C37" s="13" t="s">
        <v>2817</v>
      </c>
      <c r="D37" s="8"/>
      <c r="E37" s="8"/>
      <c r="F37" s="8"/>
      <c r="G37" s="11"/>
      <c r="H37" s="9" t="s">
        <v>352</v>
      </c>
      <c r="I37" s="8" t="s">
        <v>2883</v>
      </c>
      <c r="J37" s="8" t="s">
        <v>2819</v>
      </c>
    </row>
    <row r="38" spans="1:10" ht="36.950000000000003" customHeight="1" x14ac:dyDescent="0.25">
      <c r="A38" s="8" t="s">
        <v>1589</v>
      </c>
      <c r="B38" s="8" t="s">
        <v>1591</v>
      </c>
      <c r="C38" s="13" t="s">
        <v>2817</v>
      </c>
      <c r="D38" s="8"/>
      <c r="E38" s="8"/>
      <c r="F38" s="8"/>
      <c r="G38" s="11"/>
      <c r="H38" s="9" t="s">
        <v>352</v>
      </c>
      <c r="I38" s="8" t="s">
        <v>2884</v>
      </c>
      <c r="J38" s="8" t="s">
        <v>2819</v>
      </c>
    </row>
    <row r="39" spans="1:10" ht="36.950000000000003" customHeight="1" x14ac:dyDescent="0.25">
      <c r="A39" s="8" t="s">
        <v>1288</v>
      </c>
      <c r="B39" s="8" t="s">
        <v>1289</v>
      </c>
      <c r="C39" s="13" t="s">
        <v>2817</v>
      </c>
      <c r="D39" s="8"/>
      <c r="E39" s="8"/>
      <c r="F39" s="8"/>
      <c r="G39" s="11"/>
      <c r="H39" s="9" t="s">
        <v>352</v>
      </c>
      <c r="I39" s="8" t="s">
        <v>2885</v>
      </c>
      <c r="J39" s="8" t="s">
        <v>2819</v>
      </c>
    </row>
    <row r="40" spans="1:10" ht="36.950000000000003" customHeight="1" x14ac:dyDescent="0.25">
      <c r="A40" s="8" t="s">
        <v>1234</v>
      </c>
      <c r="B40" s="8" t="s">
        <v>1236</v>
      </c>
      <c r="C40" s="13" t="s">
        <v>2817</v>
      </c>
      <c r="D40" s="8"/>
      <c r="E40" s="8"/>
      <c r="F40" s="8"/>
      <c r="G40" s="11"/>
      <c r="H40" s="9" t="s">
        <v>352</v>
      </c>
      <c r="I40" s="8" t="s">
        <v>2886</v>
      </c>
      <c r="J40" s="8" t="s">
        <v>2819</v>
      </c>
    </row>
    <row r="41" spans="1:10" ht="36.950000000000003" customHeight="1" x14ac:dyDescent="0.25">
      <c r="A41" s="8" t="s">
        <v>1561</v>
      </c>
      <c r="B41" s="8" t="s">
        <v>1562</v>
      </c>
      <c r="C41" s="13" t="s">
        <v>2817</v>
      </c>
      <c r="D41" s="8"/>
      <c r="E41" s="8"/>
      <c r="F41" s="8"/>
      <c r="G41" s="11"/>
      <c r="H41" s="9" t="s">
        <v>352</v>
      </c>
      <c r="I41" s="8" t="s">
        <v>2887</v>
      </c>
      <c r="J41" s="8" t="s">
        <v>2819</v>
      </c>
    </row>
    <row r="42" spans="1:10" ht="36.950000000000003" customHeight="1" x14ac:dyDescent="0.25">
      <c r="A42" s="8" t="s">
        <v>1515</v>
      </c>
      <c r="B42" s="8" t="s">
        <v>1516</v>
      </c>
      <c r="C42" s="13" t="s">
        <v>2817</v>
      </c>
      <c r="D42" s="8"/>
      <c r="E42" s="8"/>
      <c r="F42" s="8"/>
      <c r="G42" s="11"/>
      <c r="H42" s="9" t="s">
        <v>352</v>
      </c>
      <c r="I42" s="8" t="s">
        <v>2888</v>
      </c>
      <c r="J42" s="8" t="s">
        <v>2819</v>
      </c>
    </row>
    <row r="43" spans="1:10" ht="36.950000000000003" customHeight="1" x14ac:dyDescent="0.25">
      <c r="A43" s="8" t="s">
        <v>534</v>
      </c>
      <c r="B43" s="8" t="s">
        <v>537</v>
      </c>
      <c r="C43" s="8" t="s">
        <v>2832</v>
      </c>
      <c r="D43" s="8"/>
      <c r="E43" s="8"/>
      <c r="F43" s="8"/>
      <c r="G43" s="11" t="s">
        <v>2889</v>
      </c>
      <c r="H43" s="9" t="s">
        <v>352</v>
      </c>
      <c r="I43" s="8" t="s">
        <v>2890</v>
      </c>
      <c r="J43" s="8" t="s">
        <v>2819</v>
      </c>
    </row>
    <row r="44" spans="1:10" ht="36.950000000000003" customHeight="1" x14ac:dyDescent="0.25">
      <c r="A44" s="8" t="s">
        <v>1474</v>
      </c>
      <c r="B44" s="8" t="s">
        <v>1475</v>
      </c>
      <c r="C44" s="13" t="s">
        <v>2817</v>
      </c>
      <c r="D44" s="8"/>
      <c r="E44" s="8"/>
      <c r="F44" s="8"/>
      <c r="G44" s="11"/>
      <c r="H44" s="9" t="s">
        <v>352</v>
      </c>
      <c r="I44" s="8" t="s">
        <v>2891</v>
      </c>
      <c r="J44" s="8" t="s">
        <v>2819</v>
      </c>
    </row>
    <row r="45" spans="1:10" ht="36.950000000000003" customHeight="1" x14ac:dyDescent="0.25">
      <c r="A45" s="8" t="s">
        <v>1109</v>
      </c>
      <c r="B45" s="8" t="s">
        <v>1111</v>
      </c>
      <c r="C45" s="13" t="s">
        <v>2817</v>
      </c>
      <c r="D45" s="8"/>
      <c r="E45" s="8"/>
      <c r="F45" s="8"/>
      <c r="G45" s="11"/>
      <c r="H45" s="9" t="s">
        <v>352</v>
      </c>
      <c r="I45" s="8" t="s">
        <v>2892</v>
      </c>
      <c r="J45" s="8" t="s">
        <v>2819</v>
      </c>
    </row>
    <row r="46" spans="1:10" ht="36.950000000000003" customHeight="1" x14ac:dyDescent="0.25">
      <c r="A46" s="8" t="s">
        <v>496</v>
      </c>
      <c r="B46" s="8" t="s">
        <v>498</v>
      </c>
      <c r="C46" s="13" t="s">
        <v>2817</v>
      </c>
      <c r="D46" s="8"/>
      <c r="E46" s="8"/>
      <c r="F46" s="8"/>
      <c r="G46" s="11"/>
      <c r="H46" s="9" t="s">
        <v>352</v>
      </c>
      <c r="I46" s="8" t="s">
        <v>2893</v>
      </c>
      <c r="J46" s="8" t="s">
        <v>2819</v>
      </c>
    </row>
    <row r="47" spans="1:10" ht="36.950000000000003" customHeight="1" x14ac:dyDescent="0.25">
      <c r="A47" s="8" t="s">
        <v>1114</v>
      </c>
      <c r="B47" s="8" t="s">
        <v>1115</v>
      </c>
      <c r="C47" s="13" t="s">
        <v>2817</v>
      </c>
      <c r="D47" s="8"/>
      <c r="E47" s="8"/>
      <c r="F47" s="8"/>
      <c r="G47" s="11"/>
      <c r="H47" s="9" t="s">
        <v>352</v>
      </c>
      <c r="I47" s="8" t="s">
        <v>2894</v>
      </c>
      <c r="J47" s="8" t="s">
        <v>2819</v>
      </c>
    </row>
    <row r="48" spans="1:10" ht="36.950000000000003" customHeight="1" x14ac:dyDescent="0.25">
      <c r="A48" s="8" t="s">
        <v>407</v>
      </c>
      <c r="B48" s="8" t="s">
        <v>2895</v>
      </c>
      <c r="C48" s="8" t="s">
        <v>2821</v>
      </c>
      <c r="D48" s="8" t="s">
        <v>2896</v>
      </c>
      <c r="E48" s="8"/>
      <c r="F48" s="8"/>
      <c r="G48" s="11"/>
      <c r="H48" s="9" t="s">
        <v>352</v>
      </c>
      <c r="I48" s="8" t="s">
        <v>2897</v>
      </c>
      <c r="J48" s="8" t="s">
        <v>2819</v>
      </c>
    </row>
    <row r="49" spans="1:10" ht="36.950000000000003" customHeight="1" x14ac:dyDescent="0.25">
      <c r="A49" s="8" t="s">
        <v>1536</v>
      </c>
      <c r="B49" s="8" t="s">
        <v>1537</v>
      </c>
      <c r="C49" s="13" t="s">
        <v>2817</v>
      </c>
      <c r="D49" s="8"/>
      <c r="E49" s="8"/>
      <c r="F49" s="8"/>
      <c r="G49" s="11"/>
      <c r="H49" s="9" t="s">
        <v>352</v>
      </c>
      <c r="I49" s="8" t="s">
        <v>2898</v>
      </c>
      <c r="J49" s="8" t="s">
        <v>2819</v>
      </c>
    </row>
    <row r="50" spans="1:10" ht="36.950000000000003" customHeight="1" x14ac:dyDescent="0.25">
      <c r="A50" s="8" t="s">
        <v>733</v>
      </c>
      <c r="B50" s="8" t="s">
        <v>2899</v>
      </c>
      <c r="C50" s="8" t="s">
        <v>2832</v>
      </c>
      <c r="D50" s="8" t="s">
        <v>2900</v>
      </c>
      <c r="E50" s="8"/>
      <c r="F50" s="8"/>
      <c r="G50" s="11"/>
      <c r="H50" s="9" t="s">
        <v>352</v>
      </c>
      <c r="I50" s="8" t="s">
        <v>2901</v>
      </c>
      <c r="J50" s="8" t="s">
        <v>2819</v>
      </c>
    </row>
    <row r="51" spans="1:10" ht="36.950000000000003" customHeight="1" x14ac:dyDescent="0.25">
      <c r="A51" s="8" t="s">
        <v>1262</v>
      </c>
      <c r="B51" s="8" t="s">
        <v>1263</v>
      </c>
      <c r="C51" s="13" t="s">
        <v>2817</v>
      </c>
      <c r="D51" s="8"/>
      <c r="E51" s="8"/>
      <c r="F51" s="8"/>
      <c r="G51" s="11"/>
      <c r="H51" s="9" t="s">
        <v>352</v>
      </c>
      <c r="I51" s="8" t="s">
        <v>2902</v>
      </c>
      <c r="J51" s="8" t="s">
        <v>2819</v>
      </c>
    </row>
    <row r="52" spans="1:10" ht="51" customHeight="1" x14ac:dyDescent="0.25">
      <c r="A52" s="8" t="s">
        <v>2540</v>
      </c>
      <c r="B52" s="8" t="s">
        <v>2903</v>
      </c>
      <c r="C52" s="8" t="s">
        <v>2904</v>
      </c>
      <c r="D52" s="8" t="s">
        <v>2905</v>
      </c>
      <c r="E52" s="8"/>
      <c r="F52" s="8" t="s">
        <v>2906</v>
      </c>
      <c r="G52" s="11" t="s">
        <v>2907</v>
      </c>
      <c r="H52" s="14" t="s">
        <v>944</v>
      </c>
      <c r="I52" s="8" t="s">
        <v>2545</v>
      </c>
      <c r="J52" s="8" t="s">
        <v>2908</v>
      </c>
    </row>
    <row r="53" spans="1:10" ht="36.950000000000003" customHeight="1" x14ac:dyDescent="0.25">
      <c r="A53" s="8" t="s">
        <v>1408</v>
      </c>
      <c r="B53" s="8" t="s">
        <v>1410</v>
      </c>
      <c r="C53" s="13" t="s">
        <v>2817</v>
      </c>
      <c r="D53" s="8"/>
      <c r="E53" s="8"/>
      <c r="F53" s="8"/>
      <c r="G53" s="11"/>
      <c r="H53" s="9" t="s">
        <v>352</v>
      </c>
      <c r="I53" s="8" t="s">
        <v>2909</v>
      </c>
      <c r="J53" s="8" t="s">
        <v>2819</v>
      </c>
    </row>
    <row r="54" spans="1:10" ht="36.950000000000003" customHeight="1" x14ac:dyDescent="0.25">
      <c r="A54" s="8" t="s">
        <v>1548</v>
      </c>
      <c r="B54" s="8" t="s">
        <v>1550</v>
      </c>
      <c r="C54" s="13" t="s">
        <v>2817</v>
      </c>
      <c r="D54" s="8"/>
      <c r="E54" s="8"/>
      <c r="F54" s="8"/>
      <c r="G54" s="11"/>
      <c r="H54" s="9" t="s">
        <v>352</v>
      </c>
      <c r="I54" s="8" t="s">
        <v>2910</v>
      </c>
      <c r="J54" s="8" t="s">
        <v>2819</v>
      </c>
    </row>
    <row r="55" spans="1:10" ht="36.950000000000003" customHeight="1" x14ac:dyDescent="0.25">
      <c r="A55" s="8" t="s">
        <v>744</v>
      </c>
      <c r="B55" s="8" t="s">
        <v>748</v>
      </c>
      <c r="C55" s="8" t="s">
        <v>2832</v>
      </c>
      <c r="D55" s="8"/>
      <c r="E55" s="8"/>
      <c r="F55" s="8"/>
      <c r="G55" s="11" t="s">
        <v>2911</v>
      </c>
      <c r="H55" s="9" t="s">
        <v>352</v>
      </c>
      <c r="I55" s="8" t="s">
        <v>2912</v>
      </c>
      <c r="J55" s="8" t="s">
        <v>2819</v>
      </c>
    </row>
    <row r="56" spans="1:10" ht="36.950000000000003" customHeight="1" x14ac:dyDescent="0.25">
      <c r="A56" s="8" t="s">
        <v>1147</v>
      </c>
      <c r="B56" s="8" t="s">
        <v>1149</v>
      </c>
      <c r="C56" s="13" t="s">
        <v>2817</v>
      </c>
      <c r="D56" s="8"/>
      <c r="E56" s="8"/>
      <c r="F56" s="8"/>
      <c r="G56" s="11"/>
      <c r="H56" s="9" t="s">
        <v>352</v>
      </c>
      <c r="I56" s="8" t="s">
        <v>2913</v>
      </c>
      <c r="J56" s="8" t="s">
        <v>2819</v>
      </c>
    </row>
    <row r="57" spans="1:10" ht="36.950000000000003" customHeight="1" x14ac:dyDescent="0.25">
      <c r="A57" s="8" t="s">
        <v>1224</v>
      </c>
      <c r="B57" s="8" t="s">
        <v>1226</v>
      </c>
      <c r="C57" s="13" t="s">
        <v>2817</v>
      </c>
      <c r="D57" s="8"/>
      <c r="E57" s="8"/>
      <c r="F57" s="8"/>
      <c r="G57" s="11"/>
      <c r="H57" s="9" t="s">
        <v>352</v>
      </c>
      <c r="I57" s="8" t="s">
        <v>2914</v>
      </c>
      <c r="J57" s="8" t="s">
        <v>2819</v>
      </c>
    </row>
    <row r="58" spans="1:10" ht="36.950000000000003" customHeight="1" x14ac:dyDescent="0.25">
      <c r="A58" s="8" t="s">
        <v>668</v>
      </c>
      <c r="B58" s="8" t="s">
        <v>669</v>
      </c>
      <c r="C58" s="13" t="s">
        <v>2817</v>
      </c>
      <c r="D58" s="8"/>
      <c r="E58" s="8"/>
      <c r="F58" s="8"/>
      <c r="G58" s="11"/>
      <c r="H58" s="9" t="s">
        <v>352</v>
      </c>
      <c r="I58" s="8" t="s">
        <v>2915</v>
      </c>
      <c r="J58" s="8" t="s">
        <v>2819</v>
      </c>
    </row>
    <row r="59" spans="1:10" ht="36.950000000000003" customHeight="1" x14ac:dyDescent="0.25">
      <c r="A59" s="8" t="s">
        <v>692</v>
      </c>
      <c r="B59" s="8" t="s">
        <v>696</v>
      </c>
      <c r="C59" s="8" t="s">
        <v>2832</v>
      </c>
      <c r="D59" s="8"/>
      <c r="E59" s="8"/>
      <c r="F59" s="8"/>
      <c r="G59" s="11" t="s">
        <v>2916</v>
      </c>
      <c r="H59" s="9" t="s">
        <v>352</v>
      </c>
      <c r="I59" s="8" t="s">
        <v>2917</v>
      </c>
      <c r="J59" s="8" t="s">
        <v>2819</v>
      </c>
    </row>
    <row r="60" spans="1:10" ht="51" customHeight="1" x14ac:dyDescent="0.25">
      <c r="A60" s="8" t="s">
        <v>452</v>
      </c>
      <c r="B60" s="8" t="s">
        <v>454</v>
      </c>
      <c r="C60" s="8" t="s">
        <v>2832</v>
      </c>
      <c r="D60" s="8"/>
      <c r="E60" s="8"/>
      <c r="F60" s="8"/>
      <c r="G60" s="11"/>
      <c r="H60" s="9" t="s">
        <v>352</v>
      </c>
      <c r="I60" s="8" t="s">
        <v>2918</v>
      </c>
      <c r="J60" s="8" t="s">
        <v>2819</v>
      </c>
    </row>
    <row r="61" spans="1:10" ht="36.950000000000003" customHeight="1" x14ac:dyDescent="0.25">
      <c r="A61" s="8" t="s">
        <v>460</v>
      </c>
      <c r="B61" s="8" t="s">
        <v>462</v>
      </c>
      <c r="C61" s="13" t="s">
        <v>2817</v>
      </c>
      <c r="D61" s="8"/>
      <c r="E61" s="8"/>
      <c r="F61" s="8" t="s">
        <v>2919</v>
      </c>
      <c r="G61" s="11"/>
      <c r="H61" s="9" t="s">
        <v>352</v>
      </c>
      <c r="I61" s="8" t="s">
        <v>2920</v>
      </c>
      <c r="J61" s="8" t="s">
        <v>2819</v>
      </c>
    </row>
    <row r="62" spans="1:10" ht="36.950000000000003" customHeight="1" x14ac:dyDescent="0.25">
      <c r="A62" s="8" t="s">
        <v>1157</v>
      </c>
      <c r="B62" s="8" t="s">
        <v>1159</v>
      </c>
      <c r="C62" s="13" t="s">
        <v>2817</v>
      </c>
      <c r="D62" s="8"/>
      <c r="E62" s="8"/>
      <c r="F62" s="8"/>
      <c r="G62" s="11"/>
      <c r="H62" s="9" t="s">
        <v>352</v>
      </c>
      <c r="I62" s="8" t="s">
        <v>2921</v>
      </c>
      <c r="J62" s="8" t="s">
        <v>2819</v>
      </c>
    </row>
    <row r="63" spans="1:10" ht="36.950000000000003" customHeight="1" x14ac:dyDescent="0.25">
      <c r="A63" s="8" t="s">
        <v>1607</v>
      </c>
      <c r="B63" s="8" t="s">
        <v>1608</v>
      </c>
      <c r="C63" s="13" t="s">
        <v>2817</v>
      </c>
      <c r="D63" s="8"/>
      <c r="E63" s="8"/>
      <c r="F63" s="8"/>
      <c r="G63" s="11"/>
      <c r="H63" s="9" t="s">
        <v>352</v>
      </c>
      <c r="I63" s="8" t="s">
        <v>2922</v>
      </c>
      <c r="J63" s="8" t="s">
        <v>2819</v>
      </c>
    </row>
    <row r="64" spans="1:10" ht="36.950000000000003" customHeight="1" x14ac:dyDescent="0.25">
      <c r="A64" s="8" t="s">
        <v>1585</v>
      </c>
      <c r="B64" s="8" t="s">
        <v>1586</v>
      </c>
      <c r="C64" s="13" t="s">
        <v>2817</v>
      </c>
      <c r="D64" s="8"/>
      <c r="E64" s="8"/>
      <c r="F64" s="8"/>
      <c r="G64" s="11"/>
      <c r="H64" s="9" t="s">
        <v>352</v>
      </c>
      <c r="I64" s="8" t="s">
        <v>2923</v>
      </c>
      <c r="J64" s="8" t="s">
        <v>2819</v>
      </c>
    </row>
    <row r="65" spans="1:10" ht="36.950000000000003" customHeight="1" x14ac:dyDescent="0.25">
      <c r="A65" s="8" t="s">
        <v>1435</v>
      </c>
      <c r="B65" s="8" t="s">
        <v>1436</v>
      </c>
      <c r="C65" s="13" t="s">
        <v>2817</v>
      </c>
      <c r="D65" s="8"/>
      <c r="E65" s="8"/>
      <c r="F65" s="8"/>
      <c r="G65" s="11"/>
      <c r="H65" s="9" t="s">
        <v>352</v>
      </c>
      <c r="I65" s="8" t="s">
        <v>2924</v>
      </c>
      <c r="J65" s="8" t="s">
        <v>2819</v>
      </c>
    </row>
    <row r="66" spans="1:10" ht="36.950000000000003" customHeight="1" x14ac:dyDescent="0.25">
      <c r="A66" s="8" t="s">
        <v>1082</v>
      </c>
      <c r="B66" s="8" t="s">
        <v>1083</v>
      </c>
      <c r="C66" s="13" t="s">
        <v>2817</v>
      </c>
      <c r="D66" s="8"/>
      <c r="E66" s="8"/>
      <c r="F66" s="8"/>
      <c r="G66" s="11"/>
      <c r="H66" s="9" t="s">
        <v>352</v>
      </c>
      <c r="I66" s="8" t="s">
        <v>2925</v>
      </c>
      <c r="J66" s="8" t="s">
        <v>2819</v>
      </c>
    </row>
    <row r="67" spans="1:10" ht="36.950000000000003" customHeight="1" x14ac:dyDescent="0.25">
      <c r="A67" s="8" t="s">
        <v>1123</v>
      </c>
      <c r="B67" s="8" t="s">
        <v>1125</v>
      </c>
      <c r="C67" s="13" t="s">
        <v>2817</v>
      </c>
      <c r="D67" s="8"/>
      <c r="E67" s="8"/>
      <c r="F67" s="8"/>
      <c r="G67" s="11"/>
      <c r="H67" s="9" t="s">
        <v>352</v>
      </c>
      <c r="I67" s="8" t="s">
        <v>2926</v>
      </c>
      <c r="J67" s="8" t="s">
        <v>2819</v>
      </c>
    </row>
    <row r="68" spans="1:10" ht="36.950000000000003" customHeight="1" x14ac:dyDescent="0.25">
      <c r="A68" s="8" t="s">
        <v>1202</v>
      </c>
      <c r="B68" s="8" t="s">
        <v>1203</v>
      </c>
      <c r="C68" s="13" t="s">
        <v>2817</v>
      </c>
      <c r="D68" s="8"/>
      <c r="E68" s="8"/>
      <c r="F68" s="8"/>
      <c r="G68" s="11"/>
      <c r="H68" s="9" t="s">
        <v>352</v>
      </c>
      <c r="I68" s="8" t="s">
        <v>2927</v>
      </c>
      <c r="J68" s="8" t="s">
        <v>2819</v>
      </c>
    </row>
    <row r="69" spans="1:10" ht="36.950000000000003" customHeight="1" x14ac:dyDescent="0.25">
      <c r="A69" s="8" t="s">
        <v>1400</v>
      </c>
      <c r="B69" s="8" t="s">
        <v>1401</v>
      </c>
      <c r="C69" s="13" t="s">
        <v>2817</v>
      </c>
      <c r="D69" s="8"/>
      <c r="E69" s="8"/>
      <c r="F69" s="8"/>
      <c r="G69" s="11"/>
      <c r="H69" s="9" t="s">
        <v>352</v>
      </c>
      <c r="I69" s="8" t="s">
        <v>2928</v>
      </c>
      <c r="J69" s="8" t="s">
        <v>2819</v>
      </c>
    </row>
    <row r="70" spans="1:10" ht="36.950000000000003" customHeight="1" x14ac:dyDescent="0.25">
      <c r="A70" s="8" t="s">
        <v>1275</v>
      </c>
      <c r="B70" s="8" t="s">
        <v>1276</v>
      </c>
      <c r="C70" s="13" t="s">
        <v>2817</v>
      </c>
      <c r="D70" s="8"/>
      <c r="E70" s="8"/>
      <c r="F70" s="8"/>
      <c r="G70" s="11"/>
      <c r="H70" s="9" t="s">
        <v>352</v>
      </c>
      <c r="I70" s="8" t="s">
        <v>2929</v>
      </c>
      <c r="J70" s="8" t="s">
        <v>2819</v>
      </c>
    </row>
    <row r="71" spans="1:10" ht="36.950000000000003" customHeight="1" x14ac:dyDescent="0.25">
      <c r="A71" s="8" t="s">
        <v>1063</v>
      </c>
      <c r="B71" s="8" t="s">
        <v>1065</v>
      </c>
      <c r="C71" s="13" t="s">
        <v>2817</v>
      </c>
      <c r="D71" s="8"/>
      <c r="E71" s="8"/>
      <c r="F71" s="8"/>
      <c r="G71" s="11"/>
      <c r="H71" s="9" t="s">
        <v>352</v>
      </c>
      <c r="I71" s="8" t="s">
        <v>2930</v>
      </c>
      <c r="J71" s="8" t="s">
        <v>2819</v>
      </c>
    </row>
    <row r="72" spans="1:10" ht="36.950000000000003" customHeight="1" x14ac:dyDescent="0.25">
      <c r="A72" s="8" t="s">
        <v>511</v>
      </c>
      <c r="B72" s="8" t="s">
        <v>2931</v>
      </c>
      <c r="C72" s="8" t="s">
        <v>2832</v>
      </c>
      <c r="D72" s="8" t="s">
        <v>2932</v>
      </c>
      <c r="E72" s="8"/>
      <c r="F72" s="8"/>
      <c r="G72" s="11"/>
      <c r="H72" s="9" t="s">
        <v>352</v>
      </c>
      <c r="I72" s="8" t="s">
        <v>2933</v>
      </c>
      <c r="J72" s="8" t="s">
        <v>2819</v>
      </c>
    </row>
    <row r="73" spans="1:10" ht="36.950000000000003" customHeight="1" x14ac:dyDescent="0.25">
      <c r="A73" s="8" t="s">
        <v>1382</v>
      </c>
      <c r="B73" s="8" t="s">
        <v>1383</v>
      </c>
      <c r="C73" s="13" t="s">
        <v>2817</v>
      </c>
      <c r="D73" s="8"/>
      <c r="E73" s="8"/>
      <c r="F73" s="8"/>
      <c r="G73" s="11"/>
      <c r="H73" s="9" t="s">
        <v>352</v>
      </c>
      <c r="I73" s="8" t="s">
        <v>2934</v>
      </c>
      <c r="J73" s="8" t="s">
        <v>2819</v>
      </c>
    </row>
    <row r="74" spans="1:10" ht="36.950000000000003" customHeight="1" x14ac:dyDescent="0.25">
      <c r="A74" s="8" t="s">
        <v>1374</v>
      </c>
      <c r="B74" s="8" t="s">
        <v>1375</v>
      </c>
      <c r="C74" s="13" t="s">
        <v>2817</v>
      </c>
      <c r="D74" s="8"/>
      <c r="E74" s="8"/>
      <c r="F74" s="8"/>
      <c r="G74" s="11"/>
      <c r="H74" s="9" t="s">
        <v>352</v>
      </c>
      <c r="I74" s="8" t="s">
        <v>2935</v>
      </c>
      <c r="J74" s="8" t="s">
        <v>2819</v>
      </c>
    </row>
    <row r="75" spans="1:10" ht="36.950000000000003" customHeight="1" x14ac:dyDescent="0.25">
      <c r="A75" s="8" t="s">
        <v>1511</v>
      </c>
      <c r="B75" s="8" t="s">
        <v>1512</v>
      </c>
      <c r="C75" s="13" t="s">
        <v>2817</v>
      </c>
      <c r="D75" s="8"/>
      <c r="E75" s="8"/>
      <c r="F75" s="8"/>
      <c r="G75" s="11"/>
      <c r="H75" s="9" t="s">
        <v>352</v>
      </c>
      <c r="I75" s="8" t="s">
        <v>2936</v>
      </c>
      <c r="J75" s="8" t="s">
        <v>2819</v>
      </c>
    </row>
    <row r="76" spans="1:10" ht="36.950000000000003" customHeight="1" x14ac:dyDescent="0.25">
      <c r="A76" s="8" t="s">
        <v>1321</v>
      </c>
      <c r="B76" s="8" t="s">
        <v>1323</v>
      </c>
      <c r="C76" s="13" t="s">
        <v>2817</v>
      </c>
      <c r="D76" s="8"/>
      <c r="E76" s="8"/>
      <c r="F76" s="8"/>
      <c r="G76" s="11"/>
      <c r="H76" s="9" t="s">
        <v>352</v>
      </c>
      <c r="I76" s="8" t="s">
        <v>2937</v>
      </c>
      <c r="J76" s="8" t="s">
        <v>2819</v>
      </c>
    </row>
    <row r="77" spans="1:10" ht="36.950000000000003" customHeight="1" x14ac:dyDescent="0.25">
      <c r="A77" s="8" t="s">
        <v>1162</v>
      </c>
      <c r="B77" s="8" t="s">
        <v>1164</v>
      </c>
      <c r="C77" s="13" t="s">
        <v>2817</v>
      </c>
      <c r="D77" s="8"/>
      <c r="E77" s="8"/>
      <c r="F77" s="8"/>
      <c r="G77" s="11"/>
      <c r="H77" s="9" t="s">
        <v>352</v>
      </c>
      <c r="I77" s="8" t="s">
        <v>2938</v>
      </c>
      <c r="J77" s="8" t="s">
        <v>2819</v>
      </c>
    </row>
    <row r="78" spans="1:10" ht="36.950000000000003" customHeight="1" x14ac:dyDescent="0.25">
      <c r="A78" s="8" t="s">
        <v>1370</v>
      </c>
      <c r="B78" s="8" t="s">
        <v>1371</v>
      </c>
      <c r="C78" s="13" t="s">
        <v>2817</v>
      </c>
      <c r="D78" s="8"/>
      <c r="E78" s="8"/>
      <c r="F78" s="8"/>
      <c r="G78" s="11"/>
      <c r="H78" s="9" t="s">
        <v>352</v>
      </c>
      <c r="I78" s="8" t="s">
        <v>2939</v>
      </c>
      <c r="J78" s="8" t="s">
        <v>2819</v>
      </c>
    </row>
    <row r="79" spans="1:10" ht="93" customHeight="1" x14ac:dyDescent="0.25">
      <c r="A79" s="8" t="s">
        <v>949</v>
      </c>
      <c r="B79" s="8" t="s">
        <v>2940</v>
      </c>
      <c r="C79" s="8" t="s">
        <v>2821</v>
      </c>
      <c r="D79" s="8" t="s">
        <v>2941</v>
      </c>
      <c r="E79" s="8" t="s">
        <v>1370</v>
      </c>
      <c r="F79" s="8" t="s">
        <v>2942</v>
      </c>
      <c r="G79" s="11" t="s">
        <v>2943</v>
      </c>
      <c r="H79" s="9" t="s">
        <v>352</v>
      </c>
      <c r="I79" s="8" t="s">
        <v>2944</v>
      </c>
      <c r="J79" s="8" t="s">
        <v>2819</v>
      </c>
    </row>
    <row r="80" spans="1:10" ht="36.950000000000003" customHeight="1" x14ac:dyDescent="0.25">
      <c r="A80" s="8" t="s">
        <v>1188</v>
      </c>
      <c r="B80" s="8" t="s">
        <v>1190</v>
      </c>
      <c r="C80" s="13" t="s">
        <v>2817</v>
      </c>
      <c r="D80" s="8"/>
      <c r="E80" s="8"/>
      <c r="F80" s="8"/>
      <c r="G80" s="11"/>
      <c r="H80" s="9" t="s">
        <v>352</v>
      </c>
      <c r="I80" s="8" t="s">
        <v>2945</v>
      </c>
      <c r="J80" s="8" t="s">
        <v>2819</v>
      </c>
    </row>
    <row r="81" spans="1:10" ht="36.950000000000003" customHeight="1" x14ac:dyDescent="0.25">
      <c r="A81" s="8" t="s">
        <v>806</v>
      </c>
      <c r="B81" s="8" t="s">
        <v>807</v>
      </c>
      <c r="C81" s="13" t="s">
        <v>2817</v>
      </c>
      <c r="D81" s="8"/>
      <c r="E81" s="8"/>
      <c r="F81" s="8"/>
      <c r="G81" s="11"/>
      <c r="H81" s="9" t="s">
        <v>352</v>
      </c>
      <c r="I81" s="8" t="s">
        <v>2946</v>
      </c>
      <c r="J81" s="8" t="s">
        <v>2819</v>
      </c>
    </row>
    <row r="82" spans="1:10" ht="36.950000000000003" customHeight="1" x14ac:dyDescent="0.25">
      <c r="A82" s="8" t="s">
        <v>547</v>
      </c>
      <c r="B82" s="8" t="s">
        <v>548</v>
      </c>
      <c r="C82" s="13" t="s">
        <v>2817</v>
      </c>
      <c r="D82" s="8"/>
      <c r="E82" s="8"/>
      <c r="F82" s="8"/>
      <c r="G82" s="11"/>
      <c r="H82" s="9" t="s">
        <v>352</v>
      </c>
      <c r="I82" s="8" t="s">
        <v>2947</v>
      </c>
      <c r="J82" s="8" t="s">
        <v>2819</v>
      </c>
    </row>
    <row r="83" spans="1:10" ht="51" customHeight="1" x14ac:dyDescent="0.25">
      <c r="A83" s="8" t="s">
        <v>976</v>
      </c>
      <c r="B83" s="8" t="s">
        <v>2948</v>
      </c>
      <c r="C83" s="8" t="s">
        <v>2949</v>
      </c>
      <c r="D83" s="8" t="s">
        <v>2948</v>
      </c>
      <c r="E83" s="8"/>
      <c r="F83" s="8"/>
      <c r="G83" s="11" t="s">
        <v>2950</v>
      </c>
      <c r="H83" s="9" t="s">
        <v>352</v>
      </c>
      <c r="I83" s="8" t="s">
        <v>2951</v>
      </c>
      <c r="J83" s="8" t="s">
        <v>2848</v>
      </c>
    </row>
    <row r="84" spans="1:10" ht="36.950000000000003" customHeight="1" x14ac:dyDescent="0.25">
      <c r="A84" s="8" t="s">
        <v>1304</v>
      </c>
      <c r="B84" s="8" t="s">
        <v>1305</v>
      </c>
      <c r="C84" s="13" t="s">
        <v>2817</v>
      </c>
      <c r="D84" s="8"/>
      <c r="E84" s="8"/>
      <c r="F84" s="8"/>
      <c r="G84" s="11"/>
      <c r="H84" s="9" t="s">
        <v>352</v>
      </c>
      <c r="I84" s="8" t="s">
        <v>2952</v>
      </c>
      <c r="J84" s="8" t="s">
        <v>2819</v>
      </c>
    </row>
    <row r="85" spans="1:10" ht="36.950000000000003" customHeight="1" x14ac:dyDescent="0.25">
      <c r="A85" s="8" t="s">
        <v>2494</v>
      </c>
      <c r="B85" s="8" t="s">
        <v>2953</v>
      </c>
      <c r="C85" s="8" t="s">
        <v>2828</v>
      </c>
      <c r="D85" s="8"/>
      <c r="E85" s="8"/>
      <c r="F85" s="8"/>
      <c r="G85" s="11"/>
      <c r="H85" s="9" t="s">
        <v>352</v>
      </c>
      <c r="I85" s="8" t="s">
        <v>2498</v>
      </c>
      <c r="J85" s="8" t="s">
        <v>2819</v>
      </c>
    </row>
    <row r="86" spans="1:10" ht="36.950000000000003" customHeight="1" x14ac:dyDescent="0.25">
      <c r="A86" s="8" t="s">
        <v>1326</v>
      </c>
      <c r="B86" s="8" t="s">
        <v>1328</v>
      </c>
      <c r="C86" s="13" t="s">
        <v>2817</v>
      </c>
      <c r="D86" s="8"/>
      <c r="E86" s="8"/>
      <c r="F86" s="8"/>
      <c r="G86" s="11"/>
      <c r="H86" s="9" t="s">
        <v>352</v>
      </c>
      <c r="I86" s="8" t="s">
        <v>2954</v>
      </c>
      <c r="J86" s="8" t="s">
        <v>2819</v>
      </c>
    </row>
    <row r="87" spans="1:10" ht="65.099999999999994" customHeight="1" x14ac:dyDescent="0.25">
      <c r="A87" s="8" t="s">
        <v>483</v>
      </c>
      <c r="B87" s="8" t="s">
        <v>486</v>
      </c>
      <c r="C87" s="8" t="s">
        <v>2821</v>
      </c>
      <c r="D87" s="8"/>
      <c r="E87" s="8"/>
      <c r="F87" s="8" t="s">
        <v>2955</v>
      </c>
      <c r="G87" s="11"/>
      <c r="H87" s="9" t="s">
        <v>352</v>
      </c>
      <c r="I87" s="8" t="s">
        <v>2956</v>
      </c>
      <c r="J87" s="8" t="s">
        <v>2819</v>
      </c>
    </row>
    <row r="88" spans="1:10" ht="36.950000000000003" customHeight="1" x14ac:dyDescent="0.25">
      <c r="A88" s="8" t="s">
        <v>1037</v>
      </c>
      <c r="B88" s="8" t="s">
        <v>1039</v>
      </c>
      <c r="C88" s="8" t="s">
        <v>2832</v>
      </c>
      <c r="D88" s="8"/>
      <c r="E88" s="8"/>
      <c r="F88" s="8"/>
      <c r="G88" s="11"/>
      <c r="H88" s="9" t="s">
        <v>352</v>
      </c>
      <c r="I88" s="8" t="s">
        <v>2957</v>
      </c>
      <c r="J88" s="8" t="s">
        <v>2819</v>
      </c>
    </row>
    <row r="89" spans="1:10" ht="36.950000000000003" customHeight="1" x14ac:dyDescent="0.25">
      <c r="A89" s="8" t="s">
        <v>1482</v>
      </c>
      <c r="B89" s="8" t="s">
        <v>1483</v>
      </c>
      <c r="C89" s="13" t="s">
        <v>2817</v>
      </c>
      <c r="D89" s="8"/>
      <c r="E89" s="8"/>
      <c r="F89" s="8"/>
      <c r="G89" s="11"/>
      <c r="H89" s="9" t="s">
        <v>352</v>
      </c>
      <c r="I89" s="8" t="s">
        <v>2958</v>
      </c>
      <c r="J89" s="8" t="s">
        <v>2819</v>
      </c>
    </row>
    <row r="90" spans="1:10" ht="36.950000000000003" customHeight="1" x14ac:dyDescent="0.25">
      <c r="A90" s="8" t="s">
        <v>2547</v>
      </c>
      <c r="B90" s="8" t="s">
        <v>2959</v>
      </c>
      <c r="C90" s="8" t="s">
        <v>2828</v>
      </c>
      <c r="D90" s="8" t="s">
        <v>2960</v>
      </c>
      <c r="E90" s="8"/>
      <c r="F90" s="8"/>
      <c r="G90" s="11"/>
      <c r="H90" s="9" t="s">
        <v>352</v>
      </c>
      <c r="I90" s="8" t="s">
        <v>2553</v>
      </c>
      <c r="J90" s="8" t="s">
        <v>2819</v>
      </c>
    </row>
    <row r="91" spans="1:10" ht="36.950000000000003" customHeight="1" x14ac:dyDescent="0.25">
      <c r="A91" s="8" t="s">
        <v>1331</v>
      </c>
      <c r="B91" s="8" t="s">
        <v>1332</v>
      </c>
      <c r="C91" s="13" t="s">
        <v>2817</v>
      </c>
      <c r="D91" s="8"/>
      <c r="E91" s="8"/>
      <c r="F91" s="8"/>
      <c r="G91" s="11"/>
      <c r="H91" s="9" t="s">
        <v>352</v>
      </c>
      <c r="I91" s="8" t="s">
        <v>2961</v>
      </c>
      <c r="J91" s="8" t="s">
        <v>2819</v>
      </c>
    </row>
    <row r="92" spans="1:10" ht="36.950000000000003" customHeight="1" x14ac:dyDescent="0.25">
      <c r="A92" s="8" t="s">
        <v>778</v>
      </c>
      <c r="B92" s="8" t="s">
        <v>781</v>
      </c>
      <c r="C92" s="13" t="s">
        <v>2817</v>
      </c>
      <c r="D92" s="8"/>
      <c r="E92" s="8"/>
      <c r="F92" s="8"/>
      <c r="G92" s="11"/>
      <c r="H92" s="9" t="s">
        <v>352</v>
      </c>
      <c r="I92" s="8" t="s">
        <v>2962</v>
      </c>
      <c r="J92" s="8" t="s">
        <v>2819</v>
      </c>
    </row>
    <row r="93" spans="1:10" ht="36.950000000000003" customHeight="1" x14ac:dyDescent="0.25">
      <c r="A93" s="8" t="s">
        <v>1413</v>
      </c>
      <c r="B93" s="8" t="s">
        <v>1414</v>
      </c>
      <c r="C93" s="13" t="s">
        <v>2817</v>
      </c>
      <c r="D93" s="8"/>
      <c r="E93" s="8"/>
      <c r="F93" s="8"/>
      <c r="G93" s="11"/>
      <c r="H93" s="9" t="s">
        <v>352</v>
      </c>
      <c r="I93" s="8" t="s">
        <v>2963</v>
      </c>
      <c r="J93" s="8" t="s">
        <v>2819</v>
      </c>
    </row>
    <row r="94" spans="1:10" ht="36.950000000000003" customHeight="1" x14ac:dyDescent="0.25">
      <c r="A94" s="8" t="s">
        <v>2530</v>
      </c>
      <c r="B94" s="8" t="s">
        <v>2964</v>
      </c>
      <c r="C94" s="8" t="s">
        <v>2828</v>
      </c>
      <c r="D94" s="8"/>
      <c r="E94" s="8"/>
      <c r="F94" s="8"/>
      <c r="G94" s="11"/>
      <c r="H94" s="9" t="s">
        <v>352</v>
      </c>
      <c r="I94" s="8" t="s">
        <v>2538</v>
      </c>
      <c r="J94" s="8" t="s">
        <v>2819</v>
      </c>
    </row>
    <row r="95" spans="1:10" ht="36.950000000000003" customHeight="1" x14ac:dyDescent="0.25">
      <c r="A95" s="8" t="s">
        <v>707</v>
      </c>
      <c r="B95" s="8" t="s">
        <v>2965</v>
      </c>
      <c r="C95" s="8" t="s">
        <v>2832</v>
      </c>
      <c r="D95" s="8" t="s">
        <v>2966</v>
      </c>
      <c r="E95" s="8"/>
      <c r="F95" s="8"/>
      <c r="G95" s="11"/>
      <c r="H95" s="9" t="s">
        <v>352</v>
      </c>
      <c r="I95" s="8" t="s">
        <v>2967</v>
      </c>
      <c r="J95" s="8" t="s">
        <v>2819</v>
      </c>
    </row>
    <row r="96" spans="1:10" ht="36.950000000000003" customHeight="1" x14ac:dyDescent="0.25">
      <c r="A96" s="8" t="s">
        <v>398</v>
      </c>
      <c r="B96" s="8" t="s">
        <v>2968</v>
      </c>
      <c r="C96" s="8" t="s">
        <v>2821</v>
      </c>
      <c r="D96" s="8"/>
      <c r="E96" s="8"/>
      <c r="F96" s="8" t="s">
        <v>2969</v>
      </c>
      <c r="G96" s="11" t="s">
        <v>2970</v>
      </c>
      <c r="H96" s="9" t="s">
        <v>352</v>
      </c>
      <c r="I96" s="8" t="s">
        <v>2971</v>
      </c>
      <c r="J96" s="8" t="s">
        <v>2853</v>
      </c>
    </row>
    <row r="97" spans="1:10" ht="36.950000000000003" customHeight="1" x14ac:dyDescent="0.25">
      <c r="A97" s="8" t="s">
        <v>2446</v>
      </c>
      <c r="B97" s="8" t="s">
        <v>2972</v>
      </c>
      <c r="C97" s="8" t="s">
        <v>2828</v>
      </c>
      <c r="D97" s="8"/>
      <c r="E97" s="8"/>
      <c r="F97" s="8"/>
      <c r="G97" s="11"/>
      <c r="H97" s="9" t="s">
        <v>352</v>
      </c>
      <c r="I97" s="8" t="s">
        <v>2454</v>
      </c>
      <c r="J97" s="8" t="s">
        <v>2819</v>
      </c>
    </row>
    <row r="98" spans="1:10" ht="36.950000000000003" customHeight="1" x14ac:dyDescent="0.25">
      <c r="A98" s="8" t="s">
        <v>1461</v>
      </c>
      <c r="B98" s="8" t="s">
        <v>1462</v>
      </c>
      <c r="C98" s="13" t="s">
        <v>2817</v>
      </c>
      <c r="D98" s="8"/>
      <c r="E98" s="8"/>
      <c r="F98" s="8"/>
      <c r="G98" s="11"/>
      <c r="H98" s="9" t="s">
        <v>352</v>
      </c>
      <c r="I98" s="8" t="s">
        <v>2973</v>
      </c>
      <c r="J98" s="8" t="s">
        <v>2819</v>
      </c>
    </row>
    <row r="99" spans="1:10" ht="36.950000000000003" customHeight="1" x14ac:dyDescent="0.25">
      <c r="A99" s="8" t="s">
        <v>1378</v>
      </c>
      <c r="B99" s="8" t="s">
        <v>1379</v>
      </c>
      <c r="C99" s="13" t="s">
        <v>2817</v>
      </c>
      <c r="D99" s="8"/>
      <c r="E99" s="8"/>
      <c r="F99" s="8"/>
      <c r="G99" s="11"/>
      <c r="H99" s="9" t="s">
        <v>352</v>
      </c>
      <c r="I99" s="8" t="s">
        <v>2974</v>
      </c>
      <c r="J99" s="8" t="s">
        <v>2819</v>
      </c>
    </row>
    <row r="100" spans="1:10" ht="36.950000000000003" customHeight="1" x14ac:dyDescent="0.25">
      <c r="A100" s="8" t="s">
        <v>1348</v>
      </c>
      <c r="B100" s="8" t="s">
        <v>1350</v>
      </c>
      <c r="C100" s="13" t="s">
        <v>2817</v>
      </c>
      <c r="D100" s="8"/>
      <c r="E100" s="8"/>
      <c r="F100" s="8"/>
      <c r="G100" s="11"/>
      <c r="H100" s="9" t="s">
        <v>352</v>
      </c>
      <c r="I100" s="8" t="s">
        <v>2975</v>
      </c>
      <c r="J100" s="8" t="s">
        <v>2819</v>
      </c>
    </row>
    <row r="101" spans="1:10" ht="36.950000000000003" customHeight="1" x14ac:dyDescent="0.25">
      <c r="A101" s="8" t="s">
        <v>1138</v>
      </c>
      <c r="B101" s="8" t="s">
        <v>1139</v>
      </c>
      <c r="C101" s="13" t="s">
        <v>2817</v>
      </c>
      <c r="D101" s="8"/>
      <c r="E101" s="8"/>
      <c r="F101" s="8"/>
      <c r="G101" s="11"/>
      <c r="H101" s="9" t="s">
        <v>352</v>
      </c>
      <c r="I101" s="8" t="s">
        <v>2976</v>
      </c>
      <c r="J101" s="8" t="s">
        <v>2819</v>
      </c>
    </row>
    <row r="102" spans="1:10" ht="36.950000000000003" customHeight="1" x14ac:dyDescent="0.25">
      <c r="A102" s="8" t="s">
        <v>1353</v>
      </c>
      <c r="B102" s="8" t="s">
        <v>1355</v>
      </c>
      <c r="C102" s="13" t="s">
        <v>2817</v>
      </c>
      <c r="D102" s="8"/>
      <c r="E102" s="8"/>
      <c r="F102" s="8"/>
      <c r="G102" s="11"/>
      <c r="H102" s="9" t="s">
        <v>352</v>
      </c>
      <c r="I102" s="8" t="s">
        <v>2977</v>
      </c>
      <c r="J102" s="8" t="s">
        <v>2819</v>
      </c>
    </row>
    <row r="103" spans="1:10" ht="51" customHeight="1" x14ac:dyDescent="0.25">
      <c r="A103" s="8" t="s">
        <v>466</v>
      </c>
      <c r="B103" s="8" t="s">
        <v>2978</v>
      </c>
      <c r="C103" s="8" t="s">
        <v>2821</v>
      </c>
      <c r="D103" s="8" t="s">
        <v>2979</v>
      </c>
      <c r="E103" s="8"/>
      <c r="F103" s="8"/>
      <c r="G103" s="11" t="s">
        <v>2980</v>
      </c>
      <c r="H103" s="9" t="s">
        <v>352</v>
      </c>
      <c r="I103" s="8" t="s">
        <v>2981</v>
      </c>
      <c r="J103" s="8" t="s">
        <v>2848</v>
      </c>
    </row>
    <row r="104" spans="1:10" ht="36.950000000000003" customHeight="1" x14ac:dyDescent="0.25">
      <c r="A104" s="8" t="s">
        <v>1628</v>
      </c>
      <c r="B104" s="8" t="s">
        <v>1630</v>
      </c>
      <c r="C104" s="13" t="s">
        <v>2817</v>
      </c>
      <c r="D104" s="8"/>
      <c r="E104" s="8"/>
      <c r="F104" s="8"/>
      <c r="G104" s="11"/>
      <c r="H104" s="9" t="s">
        <v>352</v>
      </c>
      <c r="I104" s="8" t="s">
        <v>2982</v>
      </c>
      <c r="J104" s="8" t="s">
        <v>2819</v>
      </c>
    </row>
    <row r="105" spans="1:10" ht="36.950000000000003" customHeight="1" x14ac:dyDescent="0.25">
      <c r="A105" s="8" t="s">
        <v>1430</v>
      </c>
      <c r="B105" s="8" t="s">
        <v>1432</v>
      </c>
      <c r="C105" s="13" t="s">
        <v>2817</v>
      </c>
      <c r="D105" s="8"/>
      <c r="E105" s="8"/>
      <c r="F105" s="8"/>
      <c r="G105" s="11"/>
      <c r="H105" s="9" t="s">
        <v>352</v>
      </c>
      <c r="I105" s="8" t="s">
        <v>2983</v>
      </c>
      <c r="J105" s="8" t="s">
        <v>2819</v>
      </c>
    </row>
    <row r="106" spans="1:10" ht="36.950000000000003" customHeight="1" x14ac:dyDescent="0.25">
      <c r="A106" s="8" t="s">
        <v>566</v>
      </c>
      <c r="B106" s="8" t="s">
        <v>2984</v>
      </c>
      <c r="C106" s="8" t="s">
        <v>2821</v>
      </c>
      <c r="D106" s="8" t="s">
        <v>2985</v>
      </c>
      <c r="E106" s="8"/>
      <c r="F106" s="8"/>
      <c r="G106" s="11" t="s">
        <v>2986</v>
      </c>
      <c r="H106" s="9" t="s">
        <v>352</v>
      </c>
      <c r="I106" s="8" t="s">
        <v>2987</v>
      </c>
      <c r="J106" s="8" t="s">
        <v>2853</v>
      </c>
    </row>
    <row r="107" spans="1:10" ht="36.950000000000003" customHeight="1" x14ac:dyDescent="0.25">
      <c r="A107" s="8" t="s">
        <v>1540</v>
      </c>
      <c r="B107" s="8" t="s">
        <v>1541</v>
      </c>
      <c r="C107" s="13" t="s">
        <v>2817</v>
      </c>
      <c r="D107" s="8"/>
      <c r="E107" s="8"/>
      <c r="F107" s="8"/>
      <c r="G107" s="11"/>
      <c r="H107" s="9" t="s">
        <v>352</v>
      </c>
      <c r="I107" s="8" t="s">
        <v>2988</v>
      </c>
      <c r="J107" s="8" t="s">
        <v>2819</v>
      </c>
    </row>
    <row r="108" spans="1:10" ht="36.950000000000003" customHeight="1" x14ac:dyDescent="0.25">
      <c r="A108" s="8" t="s">
        <v>1565</v>
      </c>
      <c r="B108" s="8" t="s">
        <v>1566</v>
      </c>
      <c r="C108" s="13" t="s">
        <v>2817</v>
      </c>
      <c r="D108" s="8"/>
      <c r="E108" s="8"/>
      <c r="F108" s="8"/>
      <c r="G108" s="11"/>
      <c r="H108" s="9" t="s">
        <v>352</v>
      </c>
      <c r="I108" s="8" t="s">
        <v>2989</v>
      </c>
      <c r="J108" s="8" t="s">
        <v>2819</v>
      </c>
    </row>
    <row r="109" spans="1:10" ht="36.950000000000003" customHeight="1" x14ac:dyDescent="0.25">
      <c r="A109" s="8" t="s">
        <v>1219</v>
      </c>
      <c r="B109" s="8" t="s">
        <v>1221</v>
      </c>
      <c r="C109" s="13" t="s">
        <v>2817</v>
      </c>
      <c r="D109" s="8"/>
      <c r="E109" s="8"/>
      <c r="F109" s="8"/>
      <c r="G109" s="11"/>
      <c r="H109" s="9" t="s">
        <v>352</v>
      </c>
      <c r="I109" s="8" t="s">
        <v>2990</v>
      </c>
      <c r="J109" s="8" t="s">
        <v>2819</v>
      </c>
    </row>
    <row r="110" spans="1:10" ht="36.950000000000003" customHeight="1" x14ac:dyDescent="0.25">
      <c r="A110" s="8" t="s">
        <v>2472</v>
      </c>
      <c r="B110" s="8" t="s">
        <v>2991</v>
      </c>
      <c r="C110" s="8" t="s">
        <v>2828</v>
      </c>
      <c r="D110" s="8" t="s">
        <v>2992</v>
      </c>
      <c r="E110" s="8"/>
      <c r="F110" s="8"/>
      <c r="G110" s="11"/>
      <c r="H110" s="9" t="s">
        <v>352</v>
      </c>
      <c r="I110" s="8" t="s">
        <v>2478</v>
      </c>
      <c r="J110" s="8" t="s">
        <v>2819</v>
      </c>
    </row>
    <row r="111" spans="1:10" ht="36.950000000000003" customHeight="1" x14ac:dyDescent="0.25">
      <c r="A111" s="8" t="s">
        <v>1271</v>
      </c>
      <c r="B111" s="8" t="s">
        <v>1272</v>
      </c>
      <c r="C111" s="13" t="s">
        <v>2817</v>
      </c>
      <c r="D111" s="8"/>
      <c r="E111" s="8"/>
      <c r="F111" s="8"/>
      <c r="G111" s="11"/>
      <c r="H111" s="9" t="s">
        <v>352</v>
      </c>
      <c r="I111" s="8" t="s">
        <v>2993</v>
      </c>
      <c r="J111" s="8" t="s">
        <v>2819</v>
      </c>
    </row>
    <row r="112" spans="1:10" ht="51" customHeight="1" x14ac:dyDescent="0.25">
      <c r="A112" s="8" t="s">
        <v>343</v>
      </c>
      <c r="B112" s="8" t="s">
        <v>2994</v>
      </c>
      <c r="C112" s="8" t="s">
        <v>2832</v>
      </c>
      <c r="D112" s="8"/>
      <c r="E112" s="8"/>
      <c r="F112" s="8"/>
      <c r="G112" s="11" t="s">
        <v>2995</v>
      </c>
      <c r="H112" s="9" t="s">
        <v>352</v>
      </c>
      <c r="I112" s="8" t="s">
        <v>2996</v>
      </c>
      <c r="J112" s="8" t="s">
        <v>2848</v>
      </c>
    </row>
    <row r="113" spans="1:10" ht="36.950000000000003" customHeight="1" x14ac:dyDescent="0.25">
      <c r="A113" s="8" t="s">
        <v>1439</v>
      </c>
      <c r="B113" s="8" t="s">
        <v>1441</v>
      </c>
      <c r="C113" s="13" t="s">
        <v>2817</v>
      </c>
      <c r="D113" s="8"/>
      <c r="E113" s="8"/>
      <c r="F113" s="8"/>
      <c r="G113" s="11"/>
      <c r="H113" s="9" t="s">
        <v>352</v>
      </c>
      <c r="I113" s="8" t="s">
        <v>2997</v>
      </c>
      <c r="J113" s="8" t="s">
        <v>2819</v>
      </c>
    </row>
    <row r="114" spans="1:10" ht="36.950000000000003" customHeight="1" x14ac:dyDescent="0.25">
      <c r="A114" s="8" t="s">
        <v>1670</v>
      </c>
      <c r="B114" s="8" t="s">
        <v>1671</v>
      </c>
      <c r="C114" s="13" t="s">
        <v>2817</v>
      </c>
      <c r="D114" s="8"/>
      <c r="E114" s="8"/>
      <c r="F114" s="8"/>
      <c r="G114" s="11"/>
      <c r="H114" s="9" t="s">
        <v>352</v>
      </c>
      <c r="I114" s="8" t="s">
        <v>2998</v>
      </c>
      <c r="J114" s="8" t="s">
        <v>2819</v>
      </c>
    </row>
    <row r="115" spans="1:10" ht="36.950000000000003" customHeight="1" x14ac:dyDescent="0.25">
      <c r="A115" s="8" t="s">
        <v>551</v>
      </c>
      <c r="B115" s="8" t="s">
        <v>552</v>
      </c>
      <c r="C115" s="13" t="s">
        <v>2817</v>
      </c>
      <c r="D115" s="8"/>
      <c r="E115" s="8"/>
      <c r="F115" s="8"/>
      <c r="G115" s="11"/>
      <c r="H115" s="9" t="s">
        <v>352</v>
      </c>
      <c r="I115" s="8" t="s">
        <v>2999</v>
      </c>
      <c r="J115" s="8" t="s">
        <v>2819</v>
      </c>
    </row>
    <row r="116" spans="1:10" ht="36.950000000000003" customHeight="1" x14ac:dyDescent="0.25">
      <c r="A116" s="8" t="s">
        <v>1623</v>
      </c>
      <c r="B116" s="8" t="s">
        <v>1625</v>
      </c>
      <c r="C116" s="13" t="s">
        <v>2817</v>
      </c>
      <c r="D116" s="8"/>
      <c r="E116" s="8"/>
      <c r="F116" s="8"/>
      <c r="G116" s="11"/>
      <c r="H116" s="9" t="s">
        <v>352</v>
      </c>
      <c r="I116" s="8" t="s">
        <v>3000</v>
      </c>
      <c r="J116" s="8" t="s">
        <v>2819</v>
      </c>
    </row>
    <row r="117" spans="1:10" ht="36.950000000000003" customHeight="1" x14ac:dyDescent="0.25">
      <c r="A117" s="8" t="s">
        <v>1317</v>
      </c>
      <c r="B117" s="8" t="s">
        <v>1318</v>
      </c>
      <c r="C117" s="13" t="s">
        <v>2817</v>
      </c>
      <c r="D117" s="8"/>
      <c r="E117" s="8"/>
      <c r="F117" s="8"/>
      <c r="G117" s="11"/>
      <c r="H117" s="9" t="s">
        <v>352</v>
      </c>
      <c r="I117" s="8" t="s">
        <v>3001</v>
      </c>
      <c r="J117" s="8" t="s">
        <v>2819</v>
      </c>
    </row>
    <row r="118" spans="1:10" ht="36.950000000000003" customHeight="1" x14ac:dyDescent="0.25">
      <c r="A118" s="8" t="s">
        <v>1498</v>
      </c>
      <c r="B118" s="8" t="s">
        <v>1499</v>
      </c>
      <c r="C118" s="8" t="s">
        <v>3002</v>
      </c>
      <c r="D118" s="8"/>
      <c r="E118" s="8"/>
      <c r="F118" s="8"/>
      <c r="G118" s="11"/>
      <c r="H118" s="9" t="s">
        <v>352</v>
      </c>
      <c r="I118" s="8" t="s">
        <v>3003</v>
      </c>
      <c r="J118" s="8" t="s">
        <v>3004</v>
      </c>
    </row>
    <row r="119" spans="1:10" ht="36.950000000000003" customHeight="1" x14ac:dyDescent="0.25">
      <c r="A119" s="8" t="s">
        <v>1105</v>
      </c>
      <c r="B119" s="8" t="s">
        <v>1106</v>
      </c>
      <c r="C119" s="13" t="s">
        <v>2817</v>
      </c>
      <c r="D119" s="8"/>
      <c r="E119" s="8"/>
      <c r="F119" s="8"/>
      <c r="G119" s="11"/>
      <c r="H119" s="9" t="s">
        <v>352</v>
      </c>
      <c r="I119" s="8" t="s">
        <v>3005</v>
      </c>
      <c r="J119" s="8" t="s">
        <v>2819</v>
      </c>
    </row>
    <row r="120" spans="1:10" ht="36.950000000000003" customHeight="1" x14ac:dyDescent="0.25">
      <c r="A120" s="8" t="s">
        <v>847</v>
      </c>
      <c r="B120" s="8" t="s">
        <v>3006</v>
      </c>
      <c r="C120" s="8" t="s">
        <v>2832</v>
      </c>
      <c r="D120" s="8" t="s">
        <v>3007</v>
      </c>
      <c r="E120" s="8"/>
      <c r="F120" s="8"/>
      <c r="G120" s="11" t="s">
        <v>3008</v>
      </c>
      <c r="H120" s="9" t="s">
        <v>352</v>
      </c>
      <c r="I120" s="8" t="s">
        <v>3009</v>
      </c>
      <c r="J120" s="8" t="s">
        <v>2853</v>
      </c>
    </row>
    <row r="121" spans="1:10" ht="36.950000000000003" customHeight="1" x14ac:dyDescent="0.25">
      <c r="A121" s="8" t="s">
        <v>572</v>
      </c>
      <c r="B121" s="8" t="s">
        <v>576</v>
      </c>
      <c r="C121" s="8" t="s">
        <v>2832</v>
      </c>
      <c r="D121" s="8"/>
      <c r="E121" s="8"/>
      <c r="F121" s="8"/>
      <c r="G121" s="11" t="s">
        <v>3010</v>
      </c>
      <c r="H121" s="9" t="s">
        <v>352</v>
      </c>
      <c r="I121" s="8" t="s">
        <v>3011</v>
      </c>
      <c r="J121" s="8" t="s">
        <v>2819</v>
      </c>
    </row>
    <row r="122" spans="1:10" ht="36.950000000000003" customHeight="1" x14ac:dyDescent="0.25">
      <c r="A122" s="8" t="s">
        <v>810</v>
      </c>
      <c r="B122" s="8" t="s">
        <v>811</v>
      </c>
      <c r="C122" s="13" t="s">
        <v>2817</v>
      </c>
      <c r="D122" s="8"/>
      <c r="E122" s="8"/>
      <c r="F122" s="8"/>
      <c r="G122" s="11"/>
      <c r="H122" s="9" t="s">
        <v>352</v>
      </c>
      <c r="I122" s="8" t="s">
        <v>3012</v>
      </c>
      <c r="J122" s="8" t="s">
        <v>2819</v>
      </c>
    </row>
    <row r="123" spans="1:10" ht="51" customHeight="1" x14ac:dyDescent="0.25">
      <c r="A123" s="8" t="s">
        <v>656</v>
      </c>
      <c r="B123" s="8" t="s">
        <v>659</v>
      </c>
      <c r="C123" s="8" t="s">
        <v>2949</v>
      </c>
      <c r="D123" s="8" t="s">
        <v>3013</v>
      </c>
      <c r="E123" s="8"/>
      <c r="F123" s="8"/>
      <c r="G123" s="11" t="s">
        <v>3014</v>
      </c>
      <c r="H123" s="9" t="s">
        <v>352</v>
      </c>
      <c r="I123" s="8" t="s">
        <v>3015</v>
      </c>
      <c r="J123" s="8" t="s">
        <v>2819</v>
      </c>
    </row>
    <row r="124" spans="1:10" ht="36.950000000000003" customHeight="1" x14ac:dyDescent="0.25">
      <c r="A124" s="8" t="s">
        <v>1581</v>
      </c>
      <c r="B124" s="8" t="s">
        <v>1582</v>
      </c>
      <c r="C124" s="13" t="s">
        <v>2817</v>
      </c>
      <c r="D124" s="8"/>
      <c r="E124" s="8"/>
      <c r="F124" s="8"/>
      <c r="G124" s="11"/>
      <c r="H124" s="9" t="s">
        <v>352</v>
      </c>
      <c r="I124" s="8" t="s">
        <v>3016</v>
      </c>
      <c r="J124" s="8" t="s">
        <v>2819</v>
      </c>
    </row>
    <row r="125" spans="1:10" ht="36.950000000000003" customHeight="1" x14ac:dyDescent="0.25">
      <c r="A125" s="8" t="s">
        <v>1243</v>
      </c>
      <c r="B125" s="8" t="s">
        <v>1245</v>
      </c>
      <c r="C125" s="13" t="s">
        <v>2817</v>
      </c>
      <c r="D125" s="8"/>
      <c r="E125" s="8"/>
      <c r="F125" s="8"/>
      <c r="G125" s="11"/>
      <c r="H125" s="9" t="s">
        <v>352</v>
      </c>
      <c r="I125" s="8" t="s">
        <v>3017</v>
      </c>
      <c r="J125" s="8" t="s">
        <v>2819</v>
      </c>
    </row>
    <row r="126" spans="1:10" ht="36.950000000000003" customHeight="1" x14ac:dyDescent="0.25">
      <c r="A126" s="8" t="s">
        <v>2506</v>
      </c>
      <c r="B126" s="8" t="s">
        <v>3018</v>
      </c>
      <c r="C126" s="8" t="s">
        <v>2828</v>
      </c>
      <c r="D126" s="8"/>
      <c r="E126" s="8"/>
      <c r="F126" s="8"/>
      <c r="G126" s="11"/>
      <c r="H126" s="9" t="s">
        <v>352</v>
      </c>
      <c r="I126" s="8" t="s">
        <v>2511</v>
      </c>
      <c r="J126" s="8" t="s">
        <v>2819</v>
      </c>
    </row>
    <row r="127" spans="1:10" ht="36.950000000000003" customHeight="1" x14ac:dyDescent="0.25">
      <c r="A127" s="8" t="s">
        <v>2500</v>
      </c>
      <c r="B127" s="8" t="s">
        <v>3019</v>
      </c>
      <c r="C127" s="8" t="s">
        <v>2828</v>
      </c>
      <c r="D127" s="8"/>
      <c r="E127" s="8"/>
      <c r="F127" s="8"/>
      <c r="G127" s="11"/>
      <c r="H127" s="9" t="s">
        <v>352</v>
      </c>
      <c r="I127" s="8" t="s">
        <v>2504</v>
      </c>
      <c r="J127" s="8" t="s">
        <v>2819</v>
      </c>
    </row>
    <row r="128" spans="1:10" ht="36.950000000000003" customHeight="1" x14ac:dyDescent="0.25">
      <c r="A128" s="8" t="s">
        <v>1396</v>
      </c>
      <c r="B128" s="8" t="s">
        <v>1397</v>
      </c>
      <c r="C128" s="13" t="s">
        <v>2817</v>
      </c>
      <c r="D128" s="8"/>
      <c r="E128" s="8"/>
      <c r="F128" s="8"/>
      <c r="G128" s="11"/>
      <c r="H128" s="9" t="s">
        <v>352</v>
      </c>
      <c r="I128" s="8" t="s">
        <v>3020</v>
      </c>
      <c r="J128" s="8" t="s">
        <v>2819</v>
      </c>
    </row>
    <row r="129" spans="1:10" ht="36.950000000000003" customHeight="1" x14ac:dyDescent="0.25">
      <c r="A129" s="8" t="s">
        <v>1339</v>
      </c>
      <c r="B129" s="8" t="s">
        <v>1340</v>
      </c>
      <c r="C129" s="13" t="s">
        <v>2817</v>
      </c>
      <c r="D129" s="8"/>
      <c r="E129" s="8"/>
      <c r="F129" s="8"/>
      <c r="G129" s="11"/>
      <c r="H129" s="9" t="s">
        <v>352</v>
      </c>
      <c r="I129" s="8" t="s">
        <v>3021</v>
      </c>
      <c r="J129" s="8" t="s">
        <v>2819</v>
      </c>
    </row>
    <row r="130" spans="1:10" ht="36.950000000000003" customHeight="1" x14ac:dyDescent="0.25">
      <c r="A130" s="8" t="s">
        <v>1248</v>
      </c>
      <c r="B130" s="8" t="s">
        <v>1250</v>
      </c>
      <c r="C130" s="13" t="s">
        <v>2817</v>
      </c>
      <c r="D130" s="8"/>
      <c r="E130" s="8"/>
      <c r="F130" s="8"/>
      <c r="G130" s="11"/>
      <c r="H130" s="9" t="s">
        <v>352</v>
      </c>
      <c r="I130" s="8" t="s">
        <v>3022</v>
      </c>
      <c r="J130" s="8" t="s">
        <v>2819</v>
      </c>
    </row>
    <row r="131" spans="1:10" ht="36.950000000000003" customHeight="1" x14ac:dyDescent="0.25">
      <c r="A131" s="8" t="s">
        <v>1611</v>
      </c>
      <c r="B131" s="8" t="s">
        <v>1612</v>
      </c>
      <c r="C131" s="13" t="s">
        <v>2817</v>
      </c>
      <c r="D131" s="8"/>
      <c r="E131" s="8"/>
      <c r="F131" s="8"/>
      <c r="G131" s="11"/>
      <c r="H131" s="9" t="s">
        <v>352</v>
      </c>
      <c r="I131" s="8" t="s">
        <v>3023</v>
      </c>
      <c r="J131" s="8" t="s">
        <v>2819</v>
      </c>
    </row>
    <row r="132" spans="1:10" ht="36.950000000000003" customHeight="1" x14ac:dyDescent="0.25">
      <c r="A132" s="8" t="s">
        <v>1152</v>
      </c>
      <c r="B132" s="8" t="s">
        <v>1154</v>
      </c>
      <c r="C132" s="13" t="s">
        <v>2817</v>
      </c>
      <c r="D132" s="8"/>
      <c r="E132" s="8"/>
      <c r="F132" s="8"/>
      <c r="G132" s="11"/>
      <c r="H132" s="9" t="s">
        <v>352</v>
      </c>
      <c r="I132" s="8" t="s">
        <v>3024</v>
      </c>
      <c r="J132" s="8" t="s">
        <v>2819</v>
      </c>
    </row>
    <row r="133" spans="1:10" ht="36.950000000000003" customHeight="1" x14ac:dyDescent="0.25">
      <c r="A133" s="8" t="s">
        <v>1358</v>
      </c>
      <c r="B133" s="8" t="s">
        <v>1359</v>
      </c>
      <c r="C133" s="13" t="s">
        <v>2817</v>
      </c>
      <c r="D133" s="8"/>
      <c r="E133" s="8"/>
      <c r="F133" s="8"/>
      <c r="G133" s="11"/>
      <c r="H133" s="9" t="s">
        <v>352</v>
      </c>
      <c r="I133" s="8" t="s">
        <v>3025</v>
      </c>
      <c r="J133" s="8" t="s">
        <v>2819</v>
      </c>
    </row>
    <row r="134" spans="1:10" ht="36.950000000000003" customHeight="1" x14ac:dyDescent="0.25">
      <c r="A134" s="8" t="s">
        <v>1633</v>
      </c>
      <c r="B134" s="8" t="s">
        <v>1635</v>
      </c>
      <c r="C134" s="13" t="s">
        <v>2817</v>
      </c>
      <c r="D134" s="8"/>
      <c r="E134" s="8"/>
      <c r="F134" s="8"/>
      <c r="G134" s="11"/>
      <c r="H134" s="9" t="s">
        <v>352</v>
      </c>
      <c r="I134" s="8" t="s">
        <v>3026</v>
      </c>
      <c r="J134" s="8" t="s">
        <v>2819</v>
      </c>
    </row>
    <row r="135" spans="1:10" ht="36.950000000000003" customHeight="1" x14ac:dyDescent="0.25">
      <c r="A135" s="8" t="s">
        <v>2563</v>
      </c>
      <c r="B135" s="8" t="s">
        <v>3027</v>
      </c>
      <c r="C135" s="8" t="s">
        <v>2828</v>
      </c>
      <c r="D135" s="8" t="s">
        <v>3028</v>
      </c>
      <c r="E135" s="8"/>
      <c r="F135" s="8"/>
      <c r="G135" s="11"/>
      <c r="H135" s="9" t="s">
        <v>352</v>
      </c>
      <c r="I135" s="8" t="s">
        <v>2571</v>
      </c>
      <c r="J135" s="8" t="s">
        <v>2819</v>
      </c>
    </row>
    <row r="136" spans="1:10" ht="36.950000000000003" customHeight="1" x14ac:dyDescent="0.25">
      <c r="A136" s="8" t="s">
        <v>2428</v>
      </c>
      <c r="B136" s="8" t="s">
        <v>3029</v>
      </c>
      <c r="C136" s="8" t="s">
        <v>2828</v>
      </c>
      <c r="D136" s="8" t="s">
        <v>3030</v>
      </c>
      <c r="E136" s="8"/>
      <c r="F136" s="8"/>
      <c r="G136" s="11"/>
      <c r="H136" s="9" t="s">
        <v>352</v>
      </c>
      <c r="I136" s="8" t="s">
        <v>2436</v>
      </c>
      <c r="J136" s="8" t="s">
        <v>2819</v>
      </c>
    </row>
    <row r="137" spans="1:10" ht="36.950000000000003" customHeight="1" x14ac:dyDescent="0.25">
      <c r="A137" s="8" t="s">
        <v>1050</v>
      </c>
      <c r="B137" s="8" t="s">
        <v>1052</v>
      </c>
      <c r="C137" s="13" t="s">
        <v>2817</v>
      </c>
      <c r="D137" s="8"/>
      <c r="E137" s="8"/>
      <c r="F137" s="8"/>
      <c r="G137" s="11"/>
      <c r="H137" s="9" t="s">
        <v>352</v>
      </c>
      <c r="I137" s="8" t="s">
        <v>3031</v>
      </c>
      <c r="J137" s="8" t="s">
        <v>2819</v>
      </c>
    </row>
    <row r="138" spans="1:10" ht="36.950000000000003" customHeight="1" x14ac:dyDescent="0.25">
      <c r="A138" s="8" t="s">
        <v>1180</v>
      </c>
      <c r="B138" s="8" t="s">
        <v>1181</v>
      </c>
      <c r="C138" s="13" t="s">
        <v>2817</v>
      </c>
      <c r="D138" s="8"/>
      <c r="E138" s="8"/>
      <c r="F138" s="8"/>
      <c r="G138" s="11"/>
      <c r="H138" s="9" t="s">
        <v>352</v>
      </c>
      <c r="I138" s="8" t="s">
        <v>3032</v>
      </c>
      <c r="J138" s="8" t="s">
        <v>2819</v>
      </c>
    </row>
    <row r="139" spans="1:10" ht="36.950000000000003" customHeight="1" x14ac:dyDescent="0.25">
      <c r="A139" s="8" t="s">
        <v>1417</v>
      </c>
      <c r="B139" s="8" t="s">
        <v>1419</v>
      </c>
      <c r="C139" s="13" t="s">
        <v>2817</v>
      </c>
      <c r="D139" s="8"/>
      <c r="E139" s="8"/>
      <c r="F139" s="8"/>
      <c r="G139" s="11"/>
      <c r="H139" s="9" t="s">
        <v>352</v>
      </c>
      <c r="I139" s="8" t="s">
        <v>3033</v>
      </c>
      <c r="J139" s="8" t="s">
        <v>2819</v>
      </c>
    </row>
    <row r="140" spans="1:10" ht="36.950000000000003" customHeight="1" x14ac:dyDescent="0.25">
      <c r="A140" s="8" t="s">
        <v>1296</v>
      </c>
      <c r="B140" s="8" t="s">
        <v>1297</v>
      </c>
      <c r="C140" s="13" t="s">
        <v>2817</v>
      </c>
      <c r="D140" s="8"/>
      <c r="E140" s="8"/>
      <c r="F140" s="8"/>
      <c r="G140" s="11"/>
      <c r="H140" s="9" t="s">
        <v>352</v>
      </c>
      <c r="I140" s="8" t="s">
        <v>3034</v>
      </c>
      <c r="J140" s="8" t="s">
        <v>2819</v>
      </c>
    </row>
    <row r="141" spans="1:10" ht="36.950000000000003" customHeight="1" x14ac:dyDescent="0.25">
      <c r="A141" s="8" t="s">
        <v>1239</v>
      </c>
      <c r="B141" s="8" t="s">
        <v>1240</v>
      </c>
      <c r="C141" s="13" t="s">
        <v>2817</v>
      </c>
      <c r="D141" s="8"/>
      <c r="E141" s="8"/>
      <c r="F141" s="8"/>
      <c r="G141" s="11"/>
      <c r="H141" s="9" t="s">
        <v>352</v>
      </c>
      <c r="I141" s="8" t="s">
        <v>3035</v>
      </c>
      <c r="J141" s="8" t="s">
        <v>2819</v>
      </c>
    </row>
    <row r="142" spans="1:10" ht="36.950000000000003" customHeight="1" x14ac:dyDescent="0.25">
      <c r="A142" s="8" t="s">
        <v>1654</v>
      </c>
      <c r="B142" s="8" t="s">
        <v>1655</v>
      </c>
      <c r="C142" s="13" t="s">
        <v>2817</v>
      </c>
      <c r="D142" s="8"/>
      <c r="E142" s="8"/>
      <c r="F142" s="8"/>
      <c r="G142" s="11"/>
      <c r="H142" s="9" t="s">
        <v>352</v>
      </c>
      <c r="I142" s="8" t="s">
        <v>3036</v>
      </c>
      <c r="J142" s="8" t="s">
        <v>2819</v>
      </c>
    </row>
    <row r="143" spans="1:10" ht="36.950000000000003" customHeight="1" x14ac:dyDescent="0.25">
      <c r="A143" s="8" t="s">
        <v>1017</v>
      </c>
      <c r="B143" s="8" t="s">
        <v>1020</v>
      </c>
      <c r="C143" s="8" t="s">
        <v>2832</v>
      </c>
      <c r="D143" s="8"/>
      <c r="E143" s="8"/>
      <c r="F143" s="8"/>
      <c r="G143" s="11"/>
      <c r="H143" s="9" t="s">
        <v>352</v>
      </c>
      <c r="I143" s="8" t="s">
        <v>3037</v>
      </c>
      <c r="J143" s="8" t="s">
        <v>2819</v>
      </c>
    </row>
    <row r="144" spans="1:10" ht="36.950000000000003" customHeight="1" x14ac:dyDescent="0.25">
      <c r="A144" s="8" t="s">
        <v>1258</v>
      </c>
      <c r="B144" s="8" t="s">
        <v>1259</v>
      </c>
      <c r="C144" s="13" t="s">
        <v>2817</v>
      </c>
      <c r="D144" s="8"/>
      <c r="E144" s="8"/>
      <c r="F144" s="8"/>
      <c r="G144" s="11"/>
      <c r="H144" s="9" t="s">
        <v>352</v>
      </c>
      <c r="I144" s="8" t="s">
        <v>3038</v>
      </c>
      <c r="J144" s="8" t="s">
        <v>2819</v>
      </c>
    </row>
    <row r="145" spans="1:10" ht="36.950000000000003" customHeight="1" x14ac:dyDescent="0.25">
      <c r="A145" s="8" t="s">
        <v>1366</v>
      </c>
      <c r="B145" s="8" t="s">
        <v>1367</v>
      </c>
      <c r="C145" s="13" t="s">
        <v>2817</v>
      </c>
      <c r="D145" s="8"/>
      <c r="E145" s="8"/>
      <c r="F145" s="8"/>
      <c r="G145" s="11"/>
      <c r="H145" s="9" t="s">
        <v>352</v>
      </c>
      <c r="I145" s="8" t="s">
        <v>3039</v>
      </c>
      <c r="J145" s="8" t="s">
        <v>2819</v>
      </c>
    </row>
    <row r="146" spans="1:10" ht="36.950000000000003" customHeight="1" x14ac:dyDescent="0.25">
      <c r="A146" s="8" t="s">
        <v>1300</v>
      </c>
      <c r="B146" s="8" t="s">
        <v>1301</v>
      </c>
      <c r="C146" s="13" t="s">
        <v>2817</v>
      </c>
      <c r="D146" s="8"/>
      <c r="E146" s="8"/>
      <c r="F146" s="8"/>
      <c r="G146" s="11"/>
      <c r="H146" s="9" t="s">
        <v>352</v>
      </c>
      <c r="I146" s="8" t="s">
        <v>3040</v>
      </c>
      <c r="J146" s="8" t="s">
        <v>2819</v>
      </c>
    </row>
    <row r="147" spans="1:10" ht="36.950000000000003" customHeight="1" x14ac:dyDescent="0.25">
      <c r="A147" s="8" t="s">
        <v>768</v>
      </c>
      <c r="B147" s="8" t="s">
        <v>770</v>
      </c>
      <c r="C147" s="13" t="s">
        <v>2817</v>
      </c>
      <c r="D147" s="8"/>
      <c r="E147" s="8"/>
      <c r="F147" s="8"/>
      <c r="G147" s="11"/>
      <c r="H147" s="9" t="s">
        <v>352</v>
      </c>
      <c r="I147" s="8" t="s">
        <v>3041</v>
      </c>
      <c r="J147" s="8" t="s">
        <v>2819</v>
      </c>
    </row>
    <row r="148" spans="1:10" ht="36.950000000000003" customHeight="1" x14ac:dyDescent="0.25">
      <c r="A148" s="8" t="s">
        <v>1292</v>
      </c>
      <c r="B148" s="8" t="s">
        <v>1293</v>
      </c>
      <c r="C148" s="13" t="s">
        <v>2817</v>
      </c>
      <c r="D148" s="8"/>
      <c r="E148" s="8"/>
      <c r="F148" s="8"/>
      <c r="G148" s="11"/>
      <c r="H148" s="9" t="s">
        <v>352</v>
      </c>
      <c r="I148" s="8" t="s">
        <v>3042</v>
      </c>
      <c r="J148" s="8" t="s">
        <v>2819</v>
      </c>
    </row>
    <row r="149" spans="1:10" ht="36.950000000000003" customHeight="1" x14ac:dyDescent="0.25">
      <c r="A149" s="8" t="s">
        <v>1422</v>
      </c>
      <c r="B149" s="8" t="s">
        <v>1423</v>
      </c>
      <c r="C149" s="13" t="s">
        <v>2817</v>
      </c>
      <c r="D149" s="8"/>
      <c r="E149" s="8"/>
      <c r="F149" s="8"/>
      <c r="G149" s="11"/>
      <c r="H149" s="9" t="s">
        <v>352</v>
      </c>
      <c r="I149" s="8" t="s">
        <v>3043</v>
      </c>
      <c r="J149" s="8" t="s">
        <v>2819</v>
      </c>
    </row>
    <row r="150" spans="1:10" ht="36.950000000000003" customHeight="1" x14ac:dyDescent="0.25">
      <c r="A150" s="8" t="s">
        <v>1658</v>
      </c>
      <c r="B150" s="8" t="s">
        <v>1659</v>
      </c>
      <c r="C150" s="13" t="s">
        <v>2817</v>
      </c>
      <c r="D150" s="8"/>
      <c r="E150" s="8"/>
      <c r="F150" s="8"/>
      <c r="G150" s="11"/>
      <c r="H150" s="9" t="s">
        <v>352</v>
      </c>
      <c r="I150" s="8" t="s">
        <v>3044</v>
      </c>
      <c r="J150" s="8" t="s">
        <v>2819</v>
      </c>
    </row>
    <row r="151" spans="1:10" ht="36.950000000000003" customHeight="1" x14ac:dyDescent="0.25">
      <c r="A151" s="8" t="s">
        <v>1490</v>
      </c>
      <c r="B151" s="8" t="s">
        <v>1491</v>
      </c>
      <c r="C151" s="13" t="s">
        <v>2817</v>
      </c>
      <c r="D151" s="8"/>
      <c r="E151" s="8"/>
      <c r="F151" s="8" t="s">
        <v>3045</v>
      </c>
      <c r="G151" s="11"/>
      <c r="H151" s="9" t="s">
        <v>352</v>
      </c>
      <c r="I151" s="8" t="s">
        <v>3046</v>
      </c>
      <c r="J151" s="8" t="s">
        <v>2819</v>
      </c>
    </row>
    <row r="152" spans="1:10" ht="36.950000000000003" customHeight="1" x14ac:dyDescent="0.25">
      <c r="A152" s="8" t="s">
        <v>795</v>
      </c>
      <c r="B152" s="8" t="s">
        <v>796</v>
      </c>
      <c r="C152" s="13" t="s">
        <v>2817</v>
      </c>
      <c r="D152" s="8"/>
      <c r="E152" s="8"/>
      <c r="F152" s="8"/>
      <c r="G152" s="11"/>
      <c r="H152" s="9" t="s">
        <v>352</v>
      </c>
      <c r="I152" s="8" t="s">
        <v>3047</v>
      </c>
      <c r="J152" s="8" t="s">
        <v>2819</v>
      </c>
    </row>
    <row r="153" spans="1:10" ht="36.950000000000003" customHeight="1" x14ac:dyDescent="0.25">
      <c r="A153" s="8" t="s">
        <v>1142</v>
      </c>
      <c r="B153" s="8" t="s">
        <v>1144</v>
      </c>
      <c r="C153" s="13" t="s">
        <v>2817</v>
      </c>
      <c r="D153" s="8"/>
      <c r="E153" s="8"/>
      <c r="F153" s="8"/>
      <c r="G153" s="11"/>
      <c r="H153" s="9" t="s">
        <v>352</v>
      </c>
      <c r="I153" s="8" t="s">
        <v>3048</v>
      </c>
      <c r="J153" s="8" t="s">
        <v>2819</v>
      </c>
    </row>
    <row r="154" spans="1:10" ht="36.950000000000003" customHeight="1" x14ac:dyDescent="0.25">
      <c r="A154" s="8" t="s">
        <v>985</v>
      </c>
      <c r="B154" s="8" t="s">
        <v>987</v>
      </c>
      <c r="C154" s="8" t="s">
        <v>2832</v>
      </c>
      <c r="D154" s="8"/>
      <c r="E154" s="8"/>
      <c r="F154" s="8"/>
      <c r="G154" s="11"/>
      <c r="H154" s="9" t="s">
        <v>352</v>
      </c>
      <c r="I154" s="8" t="s">
        <v>3049</v>
      </c>
      <c r="J154" s="8" t="s">
        <v>2819</v>
      </c>
    </row>
    <row r="155" spans="1:10" ht="51" customHeight="1" x14ac:dyDescent="0.25">
      <c r="A155" s="8" t="s">
        <v>414</v>
      </c>
      <c r="B155" s="8" t="s">
        <v>3050</v>
      </c>
      <c r="C155" s="8" t="s">
        <v>2832</v>
      </c>
      <c r="D155" s="8" t="s">
        <v>3051</v>
      </c>
      <c r="E155" s="8"/>
      <c r="F155" s="8"/>
      <c r="G155" s="11" t="s">
        <v>3052</v>
      </c>
      <c r="H155" s="9" t="s">
        <v>352</v>
      </c>
      <c r="I155" s="8" t="s">
        <v>3053</v>
      </c>
      <c r="J155" s="8" t="s">
        <v>2848</v>
      </c>
    </row>
    <row r="156" spans="1:10" ht="36.950000000000003" customHeight="1" x14ac:dyDescent="0.25">
      <c r="A156" s="8" t="s">
        <v>490</v>
      </c>
      <c r="B156" s="8" t="s">
        <v>3054</v>
      </c>
      <c r="C156" s="8" t="s">
        <v>2821</v>
      </c>
      <c r="D156" s="8" t="s">
        <v>3055</v>
      </c>
      <c r="E156" s="8"/>
      <c r="F156" s="8" t="s">
        <v>3056</v>
      </c>
      <c r="G156" s="11"/>
      <c r="H156" s="9" t="s">
        <v>352</v>
      </c>
      <c r="I156" s="8" t="s">
        <v>3057</v>
      </c>
      <c r="J156" s="8" t="s">
        <v>2819</v>
      </c>
    </row>
    <row r="157" spans="1:10" ht="36.950000000000003" customHeight="1" x14ac:dyDescent="0.25">
      <c r="A157" s="8" t="s">
        <v>2487</v>
      </c>
      <c r="B157" s="8" t="s">
        <v>3058</v>
      </c>
      <c r="C157" s="8" t="s">
        <v>2828</v>
      </c>
      <c r="D157" s="8"/>
      <c r="E157" s="8"/>
      <c r="F157" s="8"/>
      <c r="G157" s="11"/>
      <c r="H157" s="9" t="s">
        <v>352</v>
      </c>
      <c r="I157" s="8" t="s">
        <v>2492</v>
      </c>
      <c r="J157" s="8" t="s">
        <v>2819</v>
      </c>
    </row>
    <row r="158" spans="1:10" ht="36.950000000000003" customHeight="1" x14ac:dyDescent="0.25">
      <c r="A158" s="8" t="s">
        <v>716</v>
      </c>
      <c r="B158" s="8" t="s">
        <v>717</v>
      </c>
      <c r="C158" s="13" t="s">
        <v>2817</v>
      </c>
      <c r="D158" s="8"/>
      <c r="E158" s="8"/>
      <c r="F158" s="8"/>
      <c r="G158" s="11"/>
      <c r="H158" s="9" t="s">
        <v>352</v>
      </c>
      <c r="I158" s="8" t="s">
        <v>3059</v>
      </c>
      <c r="J158" s="8" t="s">
        <v>2819</v>
      </c>
    </row>
    <row r="159" spans="1:10" ht="36.950000000000003" customHeight="1" x14ac:dyDescent="0.25">
      <c r="A159" s="8" t="s">
        <v>638</v>
      </c>
      <c r="B159" s="8" t="s">
        <v>639</v>
      </c>
      <c r="C159" s="13" t="s">
        <v>2817</v>
      </c>
      <c r="D159" s="8"/>
      <c r="E159" s="8"/>
      <c r="F159" s="8"/>
      <c r="G159" s="11"/>
      <c r="H159" s="9" t="s">
        <v>352</v>
      </c>
      <c r="I159" s="8" t="s">
        <v>3060</v>
      </c>
      <c r="J159" s="8" t="s">
        <v>2819</v>
      </c>
    </row>
    <row r="160" spans="1:10" ht="36.950000000000003" customHeight="1" x14ac:dyDescent="0.25">
      <c r="A160" s="8" t="s">
        <v>762</v>
      </c>
      <c r="B160" s="8" t="s">
        <v>3061</v>
      </c>
      <c r="C160" s="8" t="s">
        <v>2821</v>
      </c>
      <c r="D160" s="8" t="s">
        <v>3062</v>
      </c>
      <c r="E160" s="8"/>
      <c r="F160" s="8"/>
      <c r="G160" s="11"/>
      <c r="H160" s="9" t="s">
        <v>352</v>
      </c>
      <c r="I160" s="8" t="s">
        <v>3063</v>
      </c>
      <c r="J160" s="8" t="s">
        <v>2819</v>
      </c>
    </row>
    <row r="161" spans="1:10" ht="36.950000000000003" customHeight="1" x14ac:dyDescent="0.25">
      <c r="A161" s="8" t="s">
        <v>853</v>
      </c>
      <c r="B161" s="8" t="s">
        <v>857</v>
      </c>
      <c r="C161" s="8" t="s">
        <v>2832</v>
      </c>
      <c r="D161" s="8"/>
      <c r="E161" s="8"/>
      <c r="F161" s="8"/>
      <c r="G161" s="11" t="s">
        <v>3064</v>
      </c>
      <c r="H161" s="9" t="s">
        <v>352</v>
      </c>
      <c r="I161" s="8" t="s">
        <v>3065</v>
      </c>
      <c r="J161" s="8" t="s">
        <v>2819</v>
      </c>
    </row>
    <row r="162" spans="1:10" ht="65.099999999999994" customHeight="1" x14ac:dyDescent="0.25">
      <c r="A162" s="8" t="s">
        <v>2456</v>
      </c>
      <c r="B162" s="8" t="s">
        <v>3066</v>
      </c>
      <c r="C162" s="8" t="s">
        <v>2828</v>
      </c>
      <c r="D162" s="8"/>
      <c r="E162" s="8"/>
      <c r="F162" s="8" t="s">
        <v>3067</v>
      </c>
      <c r="G162" s="11"/>
      <c r="H162" s="9" t="s">
        <v>352</v>
      </c>
      <c r="I162" s="8" t="s">
        <v>2462</v>
      </c>
      <c r="J162" s="8" t="s">
        <v>2819</v>
      </c>
    </row>
    <row r="163" spans="1:10" ht="36.950000000000003" customHeight="1" x14ac:dyDescent="0.25">
      <c r="A163" s="8" t="s">
        <v>774</v>
      </c>
      <c r="B163" s="8" t="s">
        <v>775</v>
      </c>
      <c r="C163" s="13" t="s">
        <v>2817</v>
      </c>
      <c r="D163" s="8"/>
      <c r="E163" s="8"/>
      <c r="F163" s="8"/>
      <c r="G163" s="11"/>
      <c r="H163" s="9" t="s">
        <v>352</v>
      </c>
      <c r="I163" s="8" t="s">
        <v>3068</v>
      </c>
      <c r="J163" s="8" t="s">
        <v>2819</v>
      </c>
    </row>
    <row r="164" spans="1:10" ht="36.950000000000003" customHeight="1" x14ac:dyDescent="0.25">
      <c r="A164" s="8" t="s">
        <v>629</v>
      </c>
      <c r="B164" s="8" t="s">
        <v>631</v>
      </c>
      <c r="C164" s="13" t="s">
        <v>2817</v>
      </c>
      <c r="D164" s="8"/>
      <c r="E164" s="8"/>
      <c r="F164" s="8"/>
      <c r="G164" s="11"/>
      <c r="H164" s="9" t="s">
        <v>352</v>
      </c>
      <c r="I164" s="8" t="s">
        <v>3069</v>
      </c>
      <c r="J164" s="8" t="s">
        <v>2819</v>
      </c>
    </row>
    <row r="165" spans="1:10" ht="36.950000000000003" customHeight="1" x14ac:dyDescent="0.25">
      <c r="A165" s="8" t="s">
        <v>791</v>
      </c>
      <c r="B165" s="8" t="s">
        <v>792</v>
      </c>
      <c r="C165" s="13" t="s">
        <v>2817</v>
      </c>
      <c r="D165" s="8"/>
      <c r="E165" s="8"/>
      <c r="F165" s="8"/>
      <c r="G165" s="11"/>
      <c r="H165" s="9" t="s">
        <v>352</v>
      </c>
      <c r="I165" s="8" t="s">
        <v>3070</v>
      </c>
      <c r="J165" s="8" t="s">
        <v>2819</v>
      </c>
    </row>
    <row r="166" spans="1:10" ht="36.950000000000003" customHeight="1" x14ac:dyDescent="0.25">
      <c r="A166" s="8" t="s">
        <v>1283</v>
      </c>
      <c r="B166" s="8" t="s">
        <v>1285</v>
      </c>
      <c r="C166" s="13" t="s">
        <v>2817</v>
      </c>
      <c r="D166" s="8"/>
      <c r="E166" s="8"/>
      <c r="F166" s="8"/>
      <c r="G166" s="11"/>
      <c r="H166" s="9" t="s">
        <v>352</v>
      </c>
      <c r="I166" s="8" t="s">
        <v>3071</v>
      </c>
      <c r="J166" s="8" t="s">
        <v>2819</v>
      </c>
    </row>
    <row r="167" spans="1:10" ht="51" customHeight="1" x14ac:dyDescent="0.25">
      <c r="A167" s="8" t="s">
        <v>1011</v>
      </c>
      <c r="B167" s="8" t="s">
        <v>3072</v>
      </c>
      <c r="C167" s="8" t="s">
        <v>2821</v>
      </c>
      <c r="D167" s="8"/>
      <c r="E167" s="8"/>
      <c r="F167" s="8"/>
      <c r="G167" s="11" t="s">
        <v>3073</v>
      </c>
      <c r="H167" s="9" t="s">
        <v>352</v>
      </c>
      <c r="I167" s="8" t="s">
        <v>3074</v>
      </c>
      <c r="J167" s="8" t="s">
        <v>2848</v>
      </c>
    </row>
    <row r="168" spans="1:10" ht="36.950000000000003" customHeight="1" x14ac:dyDescent="0.25">
      <c r="A168" s="8" t="s">
        <v>1096</v>
      </c>
      <c r="B168" s="8" t="s">
        <v>1098</v>
      </c>
      <c r="C168" s="13" t="s">
        <v>2817</v>
      </c>
      <c r="D168" s="8"/>
      <c r="E168" s="8"/>
      <c r="F168" s="8"/>
      <c r="G168" s="11"/>
      <c r="H168" s="9" t="s">
        <v>352</v>
      </c>
      <c r="I168" s="8" t="s">
        <v>3075</v>
      </c>
      <c r="J168" s="8" t="s">
        <v>2819</v>
      </c>
    </row>
    <row r="169" spans="1:10" ht="36.950000000000003" customHeight="1" x14ac:dyDescent="0.25">
      <c r="A169" s="8" t="s">
        <v>1519</v>
      </c>
      <c r="B169" s="8" t="s">
        <v>1520</v>
      </c>
      <c r="C169" s="13" t="s">
        <v>2817</v>
      </c>
      <c r="D169" s="8"/>
      <c r="E169" s="8"/>
      <c r="F169" s="8"/>
      <c r="G169" s="11"/>
      <c r="H169" s="9" t="s">
        <v>352</v>
      </c>
      <c r="I169" s="8" t="s">
        <v>3076</v>
      </c>
      <c r="J169" s="8" t="s">
        <v>2819</v>
      </c>
    </row>
    <row r="170" spans="1:10" ht="36.950000000000003" customHeight="1" x14ac:dyDescent="0.25">
      <c r="A170" s="8" t="s">
        <v>1343</v>
      </c>
      <c r="B170" s="8" t="s">
        <v>1345</v>
      </c>
      <c r="C170" s="8" t="s">
        <v>3002</v>
      </c>
      <c r="D170" s="8"/>
      <c r="E170" s="8"/>
      <c r="F170" s="8"/>
      <c r="G170" s="11"/>
      <c r="H170" s="9" t="s">
        <v>352</v>
      </c>
      <c r="I170" s="8" t="s">
        <v>3077</v>
      </c>
      <c r="J170" s="8" t="s">
        <v>3004</v>
      </c>
    </row>
    <row r="171" spans="1:10" ht="36.950000000000003" customHeight="1" x14ac:dyDescent="0.25">
      <c r="A171" s="8" t="s">
        <v>445</v>
      </c>
      <c r="B171" s="8" t="s">
        <v>3078</v>
      </c>
      <c r="C171" s="8" t="s">
        <v>2821</v>
      </c>
      <c r="D171" s="8" t="s">
        <v>3079</v>
      </c>
      <c r="E171" s="8"/>
      <c r="F171" s="8"/>
      <c r="G171" s="11" t="s">
        <v>3080</v>
      </c>
      <c r="H171" s="9" t="s">
        <v>352</v>
      </c>
      <c r="I171" s="8" t="s">
        <v>3081</v>
      </c>
      <c r="J171" s="8" t="s">
        <v>2853</v>
      </c>
    </row>
    <row r="172" spans="1:10" ht="93" customHeight="1" x14ac:dyDescent="0.25">
      <c r="A172" s="8" t="s">
        <v>2555</v>
      </c>
      <c r="B172" s="8" t="s">
        <v>3082</v>
      </c>
      <c r="C172" s="8" t="s">
        <v>2904</v>
      </c>
      <c r="D172" s="8"/>
      <c r="E172" s="8" t="s">
        <v>445</v>
      </c>
      <c r="F172" s="8" t="s">
        <v>3083</v>
      </c>
      <c r="G172" s="11" t="s">
        <v>3084</v>
      </c>
      <c r="H172" s="9" t="s">
        <v>352</v>
      </c>
      <c r="I172" s="8" t="s">
        <v>2561</v>
      </c>
      <c r="J172" s="8" t="s">
        <v>2838</v>
      </c>
    </row>
    <row r="173" spans="1:10" ht="36.950000000000003" customHeight="1" x14ac:dyDescent="0.25">
      <c r="A173" s="8" t="s">
        <v>528</v>
      </c>
      <c r="B173" s="8" t="s">
        <v>530</v>
      </c>
      <c r="C173" s="13" t="s">
        <v>2817</v>
      </c>
      <c r="D173" s="8"/>
      <c r="E173" s="8"/>
      <c r="F173" s="8"/>
      <c r="G173" s="11"/>
      <c r="H173" s="9" t="s">
        <v>352</v>
      </c>
      <c r="I173" s="8" t="s">
        <v>3085</v>
      </c>
      <c r="J173" s="8" t="s">
        <v>2819</v>
      </c>
    </row>
    <row r="174" spans="1:10" ht="36.950000000000003" customHeight="1" x14ac:dyDescent="0.25">
      <c r="A174" s="8" t="s">
        <v>1469</v>
      </c>
      <c r="B174" s="8" t="s">
        <v>1471</v>
      </c>
      <c r="C174" s="13" t="s">
        <v>2817</v>
      </c>
      <c r="D174" s="8"/>
      <c r="E174" s="8"/>
      <c r="F174" s="8"/>
      <c r="G174" s="11"/>
      <c r="H174" s="9" t="s">
        <v>352</v>
      </c>
      <c r="I174" s="8" t="s">
        <v>3086</v>
      </c>
      <c r="J174" s="8" t="s">
        <v>2819</v>
      </c>
    </row>
    <row r="175" spans="1:10" ht="36.950000000000003" customHeight="1" x14ac:dyDescent="0.25">
      <c r="A175" s="8" t="s">
        <v>1024</v>
      </c>
      <c r="B175" s="8" t="s">
        <v>1027</v>
      </c>
      <c r="C175" s="8" t="s">
        <v>2832</v>
      </c>
      <c r="D175" s="8"/>
      <c r="E175" s="8"/>
      <c r="F175" s="8"/>
      <c r="G175" s="11"/>
      <c r="H175" s="9" t="s">
        <v>352</v>
      </c>
      <c r="I175" s="8" t="s">
        <v>3087</v>
      </c>
      <c r="J175" s="8" t="s">
        <v>2819</v>
      </c>
    </row>
    <row r="176" spans="1:10" ht="36.950000000000003" customHeight="1" x14ac:dyDescent="0.25">
      <c r="A176" s="8" t="s">
        <v>380</v>
      </c>
      <c r="B176" s="8" t="s">
        <v>383</v>
      </c>
      <c r="C176" s="13" t="s">
        <v>2817</v>
      </c>
      <c r="D176" s="8"/>
      <c r="E176" s="8"/>
      <c r="F176" s="8"/>
      <c r="G176" s="11"/>
      <c r="H176" s="9" t="s">
        <v>352</v>
      </c>
      <c r="I176" s="8" t="s">
        <v>3088</v>
      </c>
      <c r="J176" s="8" t="s">
        <v>2819</v>
      </c>
    </row>
    <row r="177" spans="1:10" ht="36.950000000000003" customHeight="1" x14ac:dyDescent="0.25">
      <c r="A177" s="8" t="s">
        <v>1544</v>
      </c>
      <c r="B177" s="8" t="s">
        <v>1545</v>
      </c>
      <c r="C177" s="13" t="s">
        <v>2817</v>
      </c>
      <c r="D177" s="8"/>
      <c r="E177" s="8"/>
      <c r="F177" s="8"/>
      <c r="G177" s="11"/>
      <c r="H177" s="9" t="s">
        <v>352</v>
      </c>
      <c r="I177" s="8" t="s">
        <v>3089</v>
      </c>
      <c r="J177" s="8" t="s">
        <v>2819</v>
      </c>
    </row>
    <row r="178" spans="1:10" ht="36.950000000000003" customHeight="1" x14ac:dyDescent="0.25">
      <c r="A178" s="8" t="s">
        <v>720</v>
      </c>
      <c r="B178" s="8" t="s">
        <v>724</v>
      </c>
      <c r="C178" s="8" t="s">
        <v>3090</v>
      </c>
      <c r="D178" s="8"/>
      <c r="E178" s="8"/>
      <c r="F178" s="8"/>
      <c r="G178" s="11" t="s">
        <v>3091</v>
      </c>
      <c r="H178" s="9" t="s">
        <v>352</v>
      </c>
      <c r="I178" s="8" t="s">
        <v>3092</v>
      </c>
      <c r="J178" s="8" t="s">
        <v>2819</v>
      </c>
    </row>
    <row r="179" spans="1:10" ht="36.950000000000003" customHeight="1" x14ac:dyDescent="0.25">
      <c r="A179" s="8" t="s">
        <v>729</v>
      </c>
      <c r="B179" s="8" t="s">
        <v>730</v>
      </c>
      <c r="C179" s="13" t="s">
        <v>2817</v>
      </c>
      <c r="D179" s="8"/>
      <c r="E179" s="8"/>
      <c r="F179" s="8"/>
      <c r="G179" s="11"/>
      <c r="H179" s="9" t="s">
        <v>352</v>
      </c>
      <c r="I179" s="8" t="s">
        <v>3093</v>
      </c>
      <c r="J179" s="8" t="s">
        <v>2819</v>
      </c>
    </row>
    <row r="180" spans="1:10" ht="36.950000000000003" customHeight="1" x14ac:dyDescent="0.25">
      <c r="A180" s="8" t="s">
        <v>1086</v>
      </c>
      <c r="B180" s="8" t="s">
        <v>1088</v>
      </c>
      <c r="C180" s="13" t="s">
        <v>2817</v>
      </c>
      <c r="D180" s="8"/>
      <c r="E180" s="8"/>
      <c r="F180" s="8"/>
      <c r="G180" s="11"/>
      <c r="H180" s="9" t="s">
        <v>352</v>
      </c>
      <c r="I180" s="8" t="s">
        <v>3094</v>
      </c>
      <c r="J180" s="8" t="s">
        <v>2819</v>
      </c>
    </row>
    <row r="181" spans="1:10" ht="36.950000000000003" customHeight="1" x14ac:dyDescent="0.25">
      <c r="A181" s="8" t="s">
        <v>1650</v>
      </c>
      <c r="B181" s="8" t="s">
        <v>1651</v>
      </c>
      <c r="C181" s="13" t="s">
        <v>2817</v>
      </c>
      <c r="D181" s="8"/>
      <c r="E181" s="8"/>
      <c r="F181" s="8"/>
      <c r="G181" s="11"/>
      <c r="H181" s="9" t="s">
        <v>352</v>
      </c>
      <c r="I181" s="8" t="s">
        <v>3095</v>
      </c>
      <c r="J181" s="8" t="s">
        <v>2819</v>
      </c>
    </row>
    <row r="182" spans="1:10" ht="36.950000000000003" customHeight="1" x14ac:dyDescent="0.25">
      <c r="A182" s="8" t="s">
        <v>2521</v>
      </c>
      <c r="B182" s="8" t="s">
        <v>3096</v>
      </c>
      <c r="C182" s="8" t="s">
        <v>2828</v>
      </c>
      <c r="D182" s="8"/>
      <c r="E182" s="8"/>
      <c r="F182" s="8"/>
      <c r="G182" s="11"/>
      <c r="H182" s="9" t="s">
        <v>352</v>
      </c>
      <c r="I182" s="8" t="s">
        <v>2528</v>
      </c>
      <c r="J182" s="8" t="s">
        <v>2819</v>
      </c>
    </row>
    <row r="183" spans="1:10" ht="36.950000000000003" customHeight="1" x14ac:dyDescent="0.25">
      <c r="A183" s="8" t="s">
        <v>1078</v>
      </c>
      <c r="B183" s="8" t="s">
        <v>1079</v>
      </c>
      <c r="C183" s="13" t="s">
        <v>2817</v>
      </c>
      <c r="D183" s="8"/>
      <c r="E183" s="8"/>
      <c r="F183" s="8" t="s">
        <v>2969</v>
      </c>
      <c r="G183" s="11"/>
      <c r="H183" s="9" t="s">
        <v>352</v>
      </c>
      <c r="I183" s="8" t="s">
        <v>3097</v>
      </c>
      <c r="J183" s="8" t="s">
        <v>2819</v>
      </c>
    </row>
    <row r="184" spans="1:10" ht="36.950000000000003" customHeight="1" x14ac:dyDescent="0.25">
      <c r="A184" s="8" t="s">
        <v>1312</v>
      </c>
      <c r="B184" s="8" t="s">
        <v>1314</v>
      </c>
      <c r="C184" s="13" t="s">
        <v>2817</v>
      </c>
      <c r="D184" s="8"/>
      <c r="E184" s="8"/>
      <c r="F184" s="8"/>
      <c r="G184" s="11"/>
      <c r="H184" s="9" t="s">
        <v>352</v>
      </c>
      <c r="I184" s="8" t="s">
        <v>3098</v>
      </c>
      <c r="J184" s="8" t="s">
        <v>2819</v>
      </c>
    </row>
    <row r="185" spans="1:10" ht="36.950000000000003" customHeight="1" x14ac:dyDescent="0.25">
      <c r="A185" s="8" t="s">
        <v>965</v>
      </c>
      <c r="B185" s="8" t="s">
        <v>3099</v>
      </c>
      <c r="C185" s="8" t="s">
        <v>2821</v>
      </c>
      <c r="D185" s="8" t="s">
        <v>3100</v>
      </c>
      <c r="E185" s="8"/>
      <c r="F185" s="8"/>
      <c r="G185" s="11"/>
      <c r="H185" s="9" t="s">
        <v>352</v>
      </c>
      <c r="I185" s="8" t="s">
        <v>3101</v>
      </c>
      <c r="J185" s="8" t="s">
        <v>2819</v>
      </c>
    </row>
    <row r="186" spans="1:10" ht="36.950000000000003" customHeight="1" x14ac:dyDescent="0.25">
      <c r="A186" s="8" t="s">
        <v>1362</v>
      </c>
      <c r="B186" s="8" t="s">
        <v>1363</v>
      </c>
      <c r="C186" s="13" t="s">
        <v>2817</v>
      </c>
      <c r="D186" s="8"/>
      <c r="E186" s="8"/>
      <c r="F186" s="8"/>
      <c r="G186" s="11"/>
      <c r="H186" s="9" t="s">
        <v>352</v>
      </c>
      <c r="I186" s="8" t="s">
        <v>3102</v>
      </c>
      <c r="J186" s="8" t="s">
        <v>2819</v>
      </c>
    </row>
    <row r="187" spans="1:10" ht="36.950000000000003" customHeight="1" x14ac:dyDescent="0.25">
      <c r="A187" s="8" t="s">
        <v>1557</v>
      </c>
      <c r="B187" s="8" t="s">
        <v>1558</v>
      </c>
      <c r="C187" s="13" t="s">
        <v>2817</v>
      </c>
      <c r="D187" s="8"/>
      <c r="E187" s="8"/>
      <c r="F187" s="8"/>
      <c r="G187" s="11"/>
      <c r="H187" s="9" t="s">
        <v>352</v>
      </c>
      <c r="I187" s="8" t="s">
        <v>3103</v>
      </c>
      <c r="J187" s="8" t="s">
        <v>2819</v>
      </c>
    </row>
    <row r="188" spans="1:10" ht="51" customHeight="1" x14ac:dyDescent="0.25">
      <c r="A188" s="8" t="s">
        <v>971</v>
      </c>
      <c r="B188" s="8" t="s">
        <v>3104</v>
      </c>
      <c r="C188" s="8" t="s">
        <v>2821</v>
      </c>
      <c r="D188" s="8" t="s">
        <v>3105</v>
      </c>
      <c r="E188" s="8"/>
      <c r="F188" s="8" t="s">
        <v>3106</v>
      </c>
      <c r="G188" s="11"/>
      <c r="H188" s="9" t="s">
        <v>352</v>
      </c>
      <c r="I188" s="8" t="s">
        <v>3107</v>
      </c>
      <c r="J188" s="8" t="s">
        <v>2819</v>
      </c>
    </row>
    <row r="189" spans="1:10" ht="36.950000000000003" customHeight="1" x14ac:dyDescent="0.25">
      <c r="A189" s="8" t="s">
        <v>623</v>
      </c>
      <c r="B189" s="8" t="s">
        <v>625</v>
      </c>
      <c r="C189" s="13" t="s">
        <v>2817</v>
      </c>
      <c r="D189" s="8"/>
      <c r="E189" s="8"/>
      <c r="F189" s="8" t="s">
        <v>3108</v>
      </c>
      <c r="G189" s="11"/>
      <c r="H189" s="9" t="s">
        <v>352</v>
      </c>
      <c r="I189" s="8" t="s">
        <v>3109</v>
      </c>
      <c r="J189" s="8" t="s">
        <v>2819</v>
      </c>
    </row>
    <row r="190" spans="1:10" ht="36.950000000000003" customHeight="1" x14ac:dyDescent="0.25">
      <c r="A190" s="8" t="s">
        <v>1506</v>
      </c>
      <c r="B190" s="8" t="s">
        <v>1508</v>
      </c>
      <c r="C190" s="13" t="s">
        <v>2817</v>
      </c>
      <c r="D190" s="8"/>
      <c r="E190" s="8"/>
      <c r="F190" s="8"/>
      <c r="G190" s="11"/>
      <c r="H190" s="9" t="s">
        <v>352</v>
      </c>
      <c r="I190" s="8" t="s">
        <v>3110</v>
      </c>
      <c r="J190" s="8" t="s">
        <v>2819</v>
      </c>
    </row>
    <row r="191" spans="1:10" ht="36.950000000000003" customHeight="1" x14ac:dyDescent="0.25">
      <c r="A191" s="8" t="s">
        <v>834</v>
      </c>
      <c r="B191" s="8" t="s">
        <v>836</v>
      </c>
      <c r="C191" s="8" t="s">
        <v>2821</v>
      </c>
      <c r="D191" s="8"/>
      <c r="E191" s="8"/>
      <c r="F191" s="8"/>
      <c r="G191" s="11"/>
      <c r="H191" s="9" t="s">
        <v>352</v>
      </c>
      <c r="I191" s="8" t="s">
        <v>3111</v>
      </c>
      <c r="J191" s="8" t="s">
        <v>2819</v>
      </c>
    </row>
    <row r="192" spans="1:10" ht="51" customHeight="1" x14ac:dyDescent="0.25">
      <c r="A192" s="8" t="s">
        <v>2464</v>
      </c>
      <c r="B192" s="8" t="s">
        <v>3112</v>
      </c>
      <c r="C192" s="8" t="s">
        <v>2904</v>
      </c>
      <c r="D192" s="8"/>
      <c r="E192" s="8" t="s">
        <v>834</v>
      </c>
      <c r="F192" s="8" t="s">
        <v>3113</v>
      </c>
      <c r="G192" s="11"/>
      <c r="H192" s="9" t="s">
        <v>352</v>
      </c>
      <c r="I192" s="8" t="s">
        <v>2470</v>
      </c>
      <c r="J192" s="8" t="s">
        <v>2819</v>
      </c>
    </row>
    <row r="193" spans="1:10" ht="36.950000000000003" customHeight="1" x14ac:dyDescent="0.25">
      <c r="A193" s="8" t="s">
        <v>821</v>
      </c>
      <c r="B193" s="8" t="s">
        <v>822</v>
      </c>
      <c r="C193" s="13" t="s">
        <v>2817</v>
      </c>
      <c r="D193" s="8"/>
      <c r="E193" s="8"/>
      <c r="F193" s="8"/>
      <c r="G193" s="11"/>
      <c r="H193" s="9" t="s">
        <v>352</v>
      </c>
      <c r="I193" s="8" t="s">
        <v>3114</v>
      </c>
      <c r="J193" s="8" t="s">
        <v>2819</v>
      </c>
    </row>
    <row r="194" spans="1:10" ht="36.950000000000003" customHeight="1" x14ac:dyDescent="0.25">
      <c r="A194" s="8" t="s">
        <v>370</v>
      </c>
      <c r="B194" s="8" t="s">
        <v>374</v>
      </c>
      <c r="C194" s="13" t="s">
        <v>2817</v>
      </c>
      <c r="D194" s="8"/>
      <c r="E194" s="8"/>
      <c r="F194" s="8"/>
      <c r="G194" s="11"/>
      <c r="H194" s="9" t="s">
        <v>352</v>
      </c>
      <c r="I194" s="8" t="s">
        <v>3115</v>
      </c>
      <c r="J194" s="8" t="s">
        <v>2819</v>
      </c>
    </row>
    <row r="195" spans="1:10" ht="36.950000000000003" customHeight="1" x14ac:dyDescent="0.25">
      <c r="A195" s="8" t="s">
        <v>423</v>
      </c>
      <c r="B195" s="8" t="s">
        <v>3116</v>
      </c>
      <c r="C195" s="8" t="s">
        <v>2821</v>
      </c>
      <c r="D195" s="8" t="s">
        <v>3117</v>
      </c>
      <c r="E195" s="8"/>
      <c r="F195" s="8"/>
      <c r="G195" s="11"/>
      <c r="H195" s="9" t="s">
        <v>352</v>
      </c>
      <c r="I195" s="8" t="s">
        <v>3118</v>
      </c>
      <c r="J195" s="8" t="s">
        <v>2819</v>
      </c>
    </row>
    <row r="196" spans="1:10" ht="36.950000000000003" customHeight="1" x14ac:dyDescent="0.25">
      <c r="A196" s="8" t="s">
        <v>1494</v>
      </c>
      <c r="B196" s="8" t="s">
        <v>1495</v>
      </c>
      <c r="C196" s="13" t="s">
        <v>2817</v>
      </c>
      <c r="D196" s="8"/>
      <c r="E196" s="8"/>
      <c r="F196" s="8"/>
      <c r="G196" s="11"/>
      <c r="H196" s="9" t="s">
        <v>352</v>
      </c>
      <c r="I196" s="8" t="s">
        <v>3119</v>
      </c>
      <c r="J196" s="8" t="s">
        <v>2819</v>
      </c>
    </row>
    <row r="197" spans="1:10" ht="36.950000000000003" customHeight="1" x14ac:dyDescent="0.25">
      <c r="A197" s="8" t="s">
        <v>1253</v>
      </c>
      <c r="B197" s="8" t="s">
        <v>1255</v>
      </c>
      <c r="C197" s="13" t="s">
        <v>2817</v>
      </c>
      <c r="D197" s="8"/>
      <c r="E197" s="8"/>
      <c r="F197" s="8"/>
      <c r="G197" s="11"/>
      <c r="H197" s="9" t="s">
        <v>352</v>
      </c>
      <c r="I197" s="8" t="s">
        <v>3120</v>
      </c>
      <c r="J197" s="8" t="s">
        <v>2819</v>
      </c>
    </row>
    <row r="198" spans="1:10" ht="36.950000000000003" customHeight="1" x14ac:dyDescent="0.25">
      <c r="A198" s="8" t="s">
        <v>1453</v>
      </c>
      <c r="B198" s="8" t="s">
        <v>1454</v>
      </c>
      <c r="C198" s="13" t="s">
        <v>2817</v>
      </c>
      <c r="D198" s="8"/>
      <c r="E198" s="8"/>
      <c r="F198" s="8"/>
      <c r="G198" s="11"/>
      <c r="H198" s="9" t="s">
        <v>352</v>
      </c>
      <c r="I198" s="8" t="s">
        <v>3121</v>
      </c>
      <c r="J198" s="8" t="s">
        <v>2819</v>
      </c>
    </row>
    <row r="199" spans="1:10" ht="36.950000000000003" customHeight="1" x14ac:dyDescent="0.25">
      <c r="A199" s="8" t="s">
        <v>1128</v>
      </c>
      <c r="B199" s="8" t="s">
        <v>1130</v>
      </c>
      <c r="C199" s="13" t="s">
        <v>2817</v>
      </c>
      <c r="D199" s="8"/>
      <c r="E199" s="8"/>
      <c r="F199" s="8"/>
      <c r="G199" s="11"/>
      <c r="H199" s="9" t="s">
        <v>352</v>
      </c>
      <c r="I199" s="8" t="s">
        <v>3122</v>
      </c>
      <c r="J199" s="8" t="s">
        <v>2819</v>
      </c>
    </row>
    <row r="200" spans="1:10" ht="36.950000000000003" customHeight="1" x14ac:dyDescent="0.25">
      <c r="A200" s="8" t="s">
        <v>1193</v>
      </c>
      <c r="B200" s="8" t="s">
        <v>1195</v>
      </c>
      <c r="C200" s="13" t="s">
        <v>2817</v>
      </c>
      <c r="D200" s="8"/>
      <c r="E200" s="8"/>
      <c r="F200" s="8"/>
      <c r="G200" s="11"/>
      <c r="H200" s="9" t="s">
        <v>352</v>
      </c>
      <c r="I200" s="8" t="s">
        <v>3123</v>
      </c>
      <c r="J200" s="8" t="s">
        <v>2819</v>
      </c>
    </row>
    <row r="201" spans="1:10" ht="36.950000000000003" customHeight="1" x14ac:dyDescent="0.25">
      <c r="A201" s="8" t="s">
        <v>1449</v>
      </c>
      <c r="B201" s="8" t="s">
        <v>1450</v>
      </c>
      <c r="C201" s="13" t="s">
        <v>2817</v>
      </c>
      <c r="D201" s="8"/>
      <c r="E201" s="8"/>
      <c r="F201" s="8"/>
      <c r="G201" s="11"/>
      <c r="H201" s="9" t="s">
        <v>352</v>
      </c>
      <c r="I201" s="8" t="s">
        <v>3124</v>
      </c>
      <c r="J201" s="8" t="s">
        <v>2819</v>
      </c>
    </row>
    <row r="202" spans="1:10" ht="36.950000000000003" customHeight="1" x14ac:dyDescent="0.25">
      <c r="A202" s="8" t="s">
        <v>1058</v>
      </c>
      <c r="B202" s="8" t="s">
        <v>1060</v>
      </c>
      <c r="C202" s="13" t="s">
        <v>2817</v>
      </c>
      <c r="D202" s="8"/>
      <c r="E202" s="8"/>
      <c r="F202" s="8"/>
      <c r="G202" s="11"/>
      <c r="H202" s="9" t="s">
        <v>352</v>
      </c>
      <c r="I202" s="8" t="s">
        <v>3125</v>
      </c>
      <c r="J202" s="8" t="s">
        <v>2819</v>
      </c>
    </row>
    <row r="203" spans="1:10" ht="36.950000000000003" customHeight="1" x14ac:dyDescent="0.25">
      <c r="A203" s="8" t="s">
        <v>814</v>
      </c>
      <c r="B203" s="8" t="s">
        <v>3126</v>
      </c>
      <c r="C203" s="8" t="s">
        <v>2821</v>
      </c>
      <c r="D203" s="8" t="s">
        <v>3127</v>
      </c>
      <c r="E203" s="8"/>
      <c r="F203" s="8"/>
      <c r="G203" s="11"/>
      <c r="H203" s="9" t="s">
        <v>352</v>
      </c>
      <c r="I203" s="8" t="s">
        <v>3128</v>
      </c>
      <c r="J203" s="8" t="s">
        <v>2819</v>
      </c>
    </row>
    <row r="204" spans="1:10" ht="36.950000000000003" customHeight="1" x14ac:dyDescent="0.25">
      <c r="A204" s="8" t="s">
        <v>1465</v>
      </c>
      <c r="B204" s="8" t="s">
        <v>1466</v>
      </c>
      <c r="C204" s="13" t="s">
        <v>2817</v>
      </c>
      <c r="D204" s="8"/>
      <c r="E204" s="8"/>
      <c r="F204" s="8"/>
      <c r="G204" s="11"/>
      <c r="H204" s="9" t="s">
        <v>352</v>
      </c>
      <c r="I204" s="8" t="s">
        <v>3129</v>
      </c>
      <c r="J204" s="8" t="s">
        <v>2819</v>
      </c>
    </row>
    <row r="205" spans="1:10" ht="36.950000000000003" customHeight="1" x14ac:dyDescent="0.25">
      <c r="A205" s="8" t="s">
        <v>1073</v>
      </c>
      <c r="B205" s="8" t="s">
        <v>1075</v>
      </c>
      <c r="C205" s="13" t="s">
        <v>2817</v>
      </c>
      <c r="D205" s="8"/>
      <c r="E205" s="8"/>
      <c r="F205" s="8"/>
      <c r="G205" s="11"/>
      <c r="H205" s="9" t="s">
        <v>352</v>
      </c>
      <c r="I205" s="8" t="s">
        <v>3130</v>
      </c>
      <c r="J205" s="8" t="s">
        <v>2819</v>
      </c>
    </row>
    <row r="206" spans="1:10" ht="36.950000000000003" customHeight="1" x14ac:dyDescent="0.25">
      <c r="A206" s="8" t="s">
        <v>825</v>
      </c>
      <c r="B206" s="8" t="s">
        <v>829</v>
      </c>
      <c r="C206" s="8" t="s">
        <v>2821</v>
      </c>
      <c r="D206" s="8"/>
      <c r="E206" s="8"/>
      <c r="F206" s="8"/>
      <c r="G206" s="11" t="s">
        <v>3131</v>
      </c>
      <c r="H206" s="9" t="s">
        <v>352</v>
      </c>
      <c r="I206" s="8" t="s">
        <v>3132</v>
      </c>
      <c r="J206" s="8" t="s">
        <v>2819</v>
      </c>
    </row>
    <row r="207" spans="1:10" ht="36.950000000000003" customHeight="1" x14ac:dyDescent="0.25">
      <c r="A207" s="8" t="s">
        <v>688</v>
      </c>
      <c r="B207" s="8" t="s">
        <v>689</v>
      </c>
      <c r="C207" s="13" t="s">
        <v>2817</v>
      </c>
      <c r="D207" s="8"/>
      <c r="E207" s="8"/>
      <c r="F207" s="8"/>
      <c r="G207" s="11"/>
      <c r="H207" s="9" t="s">
        <v>352</v>
      </c>
      <c r="I207" s="8" t="s">
        <v>3133</v>
      </c>
      <c r="J207" s="8" t="s">
        <v>2819</v>
      </c>
    </row>
    <row r="208" spans="1:10" ht="51" customHeight="1" x14ac:dyDescent="0.25">
      <c r="A208" s="8" t="s">
        <v>753</v>
      </c>
      <c r="B208" s="8" t="s">
        <v>3134</v>
      </c>
      <c r="C208" s="8" t="s">
        <v>2832</v>
      </c>
      <c r="D208" s="8"/>
      <c r="E208" s="8"/>
      <c r="F208" s="8"/>
      <c r="G208" s="11" t="s">
        <v>3135</v>
      </c>
      <c r="H208" s="9" t="s">
        <v>352</v>
      </c>
      <c r="I208" s="8" t="s">
        <v>3136</v>
      </c>
      <c r="J208" s="8" t="s">
        <v>2848</v>
      </c>
    </row>
    <row r="209" spans="1:10" ht="36.950000000000003" customHeight="1" x14ac:dyDescent="0.25">
      <c r="A209" s="8" t="s">
        <v>2480</v>
      </c>
      <c r="B209" s="8" t="s">
        <v>3137</v>
      </c>
      <c r="C209" s="8" t="s">
        <v>2828</v>
      </c>
      <c r="D209" s="8"/>
      <c r="E209" s="8"/>
      <c r="F209" s="8"/>
      <c r="G209" s="11"/>
      <c r="H209" s="9" t="s">
        <v>352</v>
      </c>
      <c r="I209" s="8" t="s">
        <v>2485</v>
      </c>
      <c r="J209" s="8" t="s">
        <v>2819</v>
      </c>
    </row>
    <row r="210" spans="1:10" ht="36.950000000000003" customHeight="1" x14ac:dyDescent="0.25">
      <c r="A210" s="8" t="s">
        <v>1229</v>
      </c>
      <c r="B210" s="8" t="s">
        <v>1231</v>
      </c>
      <c r="C210" s="13" t="s">
        <v>2817</v>
      </c>
      <c r="D210" s="8"/>
      <c r="E210" s="8"/>
      <c r="F210" s="8"/>
      <c r="G210" s="11"/>
      <c r="H210" s="9" t="s">
        <v>352</v>
      </c>
      <c r="I210" s="8" t="s">
        <v>3138</v>
      </c>
      <c r="J210" s="8" t="s">
        <v>2819</v>
      </c>
    </row>
    <row r="211" spans="1:10" ht="36.950000000000003" customHeight="1" x14ac:dyDescent="0.25">
      <c r="A211" s="8" t="s">
        <v>2513</v>
      </c>
      <c r="B211" s="8" t="s">
        <v>3139</v>
      </c>
      <c r="C211" s="8" t="s">
        <v>2828</v>
      </c>
      <c r="D211" s="8"/>
      <c r="E211" s="8"/>
      <c r="F211" s="8"/>
      <c r="G211" s="11"/>
      <c r="H211" s="9" t="s">
        <v>352</v>
      </c>
      <c r="I211" s="8" t="s">
        <v>2519</v>
      </c>
      <c r="J211" s="8" t="s">
        <v>2819</v>
      </c>
    </row>
    <row r="212" spans="1:10" ht="36.950000000000003" customHeight="1" x14ac:dyDescent="0.25">
      <c r="A212" s="8" t="s">
        <v>1118</v>
      </c>
      <c r="B212" s="8" t="s">
        <v>1120</v>
      </c>
      <c r="C212" s="13" t="s">
        <v>2817</v>
      </c>
      <c r="D212" s="8"/>
      <c r="E212" s="8"/>
      <c r="F212" s="8"/>
      <c r="G212" s="11"/>
      <c r="H212" s="9" t="s">
        <v>352</v>
      </c>
      <c r="I212" s="8" t="s">
        <v>3140</v>
      </c>
      <c r="J212" s="8" t="s">
        <v>2819</v>
      </c>
    </row>
    <row r="213" spans="1:10" ht="36.950000000000003" customHeight="1" x14ac:dyDescent="0.25">
      <c r="A213" s="8" t="s">
        <v>1215</v>
      </c>
      <c r="B213" s="8" t="s">
        <v>1216</v>
      </c>
      <c r="C213" s="13" t="s">
        <v>2817</v>
      </c>
      <c r="D213" s="8"/>
      <c r="E213" s="8"/>
      <c r="F213" s="8"/>
      <c r="G213" s="11"/>
      <c r="H213" s="9" t="s">
        <v>352</v>
      </c>
      <c r="I213" s="8" t="s">
        <v>3141</v>
      </c>
      <c r="J213" s="8" t="s">
        <v>2819</v>
      </c>
    </row>
    <row r="214" spans="1:10" ht="36.950000000000003" customHeight="1" x14ac:dyDescent="0.25">
      <c r="A214" s="8" t="s">
        <v>1184</v>
      </c>
      <c r="B214" s="8" t="s">
        <v>1185</v>
      </c>
      <c r="C214" s="13" t="s">
        <v>2817</v>
      </c>
      <c r="D214" s="8"/>
      <c r="E214" s="8"/>
      <c r="F214" s="8"/>
      <c r="G214" s="11"/>
      <c r="H214" s="9" t="s">
        <v>352</v>
      </c>
      <c r="I214" s="8" t="s">
        <v>3142</v>
      </c>
      <c r="J214" s="8" t="s">
        <v>2819</v>
      </c>
    </row>
    <row r="215" spans="1:10" ht="36.950000000000003" customHeight="1" x14ac:dyDescent="0.25">
      <c r="A215" s="8" t="s">
        <v>1532</v>
      </c>
      <c r="B215" s="8" t="s">
        <v>1533</v>
      </c>
      <c r="C215" s="13" t="s">
        <v>2817</v>
      </c>
      <c r="D215" s="8"/>
      <c r="E215" s="8"/>
      <c r="F215" s="8"/>
      <c r="G215" s="11"/>
      <c r="H215" s="9" t="s">
        <v>352</v>
      </c>
      <c r="I215" s="8" t="s">
        <v>3143</v>
      </c>
      <c r="J215" s="8" t="s">
        <v>2819</v>
      </c>
    </row>
    <row r="216" spans="1:10" ht="36.950000000000003" customHeight="1" x14ac:dyDescent="0.25">
      <c r="A216" s="8" t="s">
        <v>595</v>
      </c>
      <c r="B216" s="8" t="s">
        <v>596</v>
      </c>
      <c r="C216" s="13" t="s">
        <v>2817</v>
      </c>
      <c r="D216" s="8"/>
      <c r="E216" s="8"/>
      <c r="F216" s="8"/>
      <c r="G216" s="11"/>
      <c r="H216" s="9" t="s">
        <v>352</v>
      </c>
      <c r="I216" s="8" t="s">
        <v>3144</v>
      </c>
      <c r="J216" s="8" t="s">
        <v>2819</v>
      </c>
    </row>
    <row r="217" spans="1:10" ht="36.950000000000003" customHeight="1" x14ac:dyDescent="0.25">
      <c r="A217" s="8" t="s">
        <v>1444</v>
      </c>
      <c r="B217" s="8" t="s">
        <v>1446</v>
      </c>
      <c r="C217" s="13" t="s">
        <v>2817</v>
      </c>
      <c r="D217" s="8"/>
      <c r="E217" s="8"/>
      <c r="F217" s="8"/>
      <c r="G217" s="11"/>
      <c r="H217" s="9" t="s">
        <v>352</v>
      </c>
      <c r="I217" s="8" t="s">
        <v>3145</v>
      </c>
      <c r="J217" s="8" t="s">
        <v>2819</v>
      </c>
    </row>
    <row r="218" spans="1:10" ht="36.950000000000003" customHeight="1" x14ac:dyDescent="0.25">
      <c r="A218" s="8" t="s">
        <v>1457</v>
      </c>
      <c r="B218" s="8" t="s">
        <v>1458</v>
      </c>
      <c r="C218" s="13" t="s">
        <v>2817</v>
      </c>
      <c r="D218" s="8"/>
      <c r="E218" s="8"/>
      <c r="F218" s="8"/>
      <c r="G218" s="11"/>
      <c r="H218" s="9" t="s">
        <v>352</v>
      </c>
      <c r="I218" s="8" t="s">
        <v>3146</v>
      </c>
      <c r="J218" s="8" t="s">
        <v>2819</v>
      </c>
    </row>
    <row r="219" spans="1:10" ht="36.950000000000003" customHeight="1" x14ac:dyDescent="0.25">
      <c r="A219" s="8" t="s">
        <v>1031</v>
      </c>
      <c r="B219" s="8" t="s">
        <v>3147</v>
      </c>
      <c r="C219" s="8" t="s">
        <v>2821</v>
      </c>
      <c r="D219" s="8" t="s">
        <v>3148</v>
      </c>
      <c r="E219" s="8"/>
      <c r="F219" s="8"/>
      <c r="G219" s="11"/>
      <c r="H219" s="9" t="s">
        <v>352</v>
      </c>
      <c r="I219" s="8" t="s">
        <v>3149</v>
      </c>
      <c r="J219" s="8" t="s">
        <v>2819</v>
      </c>
    </row>
    <row r="220" spans="1:10" ht="36.950000000000003" customHeight="1" x14ac:dyDescent="0.25">
      <c r="A220" s="8" t="s">
        <v>619</v>
      </c>
      <c r="B220" s="8" t="s">
        <v>620</v>
      </c>
      <c r="C220" s="8" t="s">
        <v>2832</v>
      </c>
      <c r="D220" s="8"/>
      <c r="E220" s="8"/>
      <c r="F220" s="8"/>
      <c r="G220" s="11"/>
      <c r="H220" s="9" t="s">
        <v>352</v>
      </c>
      <c r="I220" s="8" t="s">
        <v>3150</v>
      </c>
      <c r="J220" s="8" t="s">
        <v>2819</v>
      </c>
    </row>
    <row r="221" spans="1:10" ht="36.950000000000003" customHeight="1" x14ac:dyDescent="0.25">
      <c r="A221" s="8" t="s">
        <v>1553</v>
      </c>
      <c r="B221" s="8" t="s">
        <v>1554</v>
      </c>
      <c r="C221" s="13" t="s">
        <v>2817</v>
      </c>
      <c r="D221" s="8"/>
      <c r="E221" s="8"/>
      <c r="F221" s="8"/>
      <c r="G221" s="11"/>
      <c r="H221" s="9" t="s">
        <v>352</v>
      </c>
      <c r="I221" s="8" t="s">
        <v>3151</v>
      </c>
      <c r="J221" s="8" t="s">
        <v>2819</v>
      </c>
    </row>
    <row r="222" spans="1:10" ht="36.950000000000003" customHeight="1" x14ac:dyDescent="0.25">
      <c r="A222" s="8" t="s">
        <v>1638</v>
      </c>
      <c r="B222" s="8" t="s">
        <v>1639</v>
      </c>
      <c r="C222" s="13" t="s">
        <v>2817</v>
      </c>
      <c r="D222" s="8"/>
      <c r="E222" s="8"/>
      <c r="F222" s="8"/>
      <c r="G222" s="11"/>
      <c r="H222" s="9" t="s">
        <v>352</v>
      </c>
      <c r="I222" s="8" t="s">
        <v>3152</v>
      </c>
      <c r="J222" s="8" t="s">
        <v>2819</v>
      </c>
    </row>
    <row r="223" spans="1:10" ht="36.950000000000003" customHeight="1" x14ac:dyDescent="0.25">
      <c r="A223" s="8" t="s">
        <v>581</v>
      </c>
      <c r="B223" s="8" t="s">
        <v>583</v>
      </c>
      <c r="C223" s="8" t="s">
        <v>2832</v>
      </c>
      <c r="D223" s="8"/>
      <c r="E223" s="8"/>
      <c r="F223" s="8"/>
      <c r="G223" s="11"/>
      <c r="H223" s="9" t="s">
        <v>352</v>
      </c>
      <c r="I223" s="8" t="s">
        <v>3153</v>
      </c>
      <c r="J223" s="8" t="s">
        <v>2819</v>
      </c>
    </row>
    <row r="224" spans="1:10" ht="36.950000000000003" customHeight="1" x14ac:dyDescent="0.25">
      <c r="A224" s="8" t="s">
        <v>1523</v>
      </c>
      <c r="B224" s="8" t="s">
        <v>1525</v>
      </c>
      <c r="C224" s="13" t="s">
        <v>2817</v>
      </c>
      <c r="D224" s="8"/>
      <c r="E224" s="8"/>
      <c r="F224" s="8"/>
      <c r="G224" s="11"/>
      <c r="H224" s="9" t="s">
        <v>352</v>
      </c>
      <c r="I224" s="8" t="s">
        <v>3154</v>
      </c>
      <c r="J224" s="8" t="s">
        <v>2819</v>
      </c>
    </row>
    <row r="225" spans="1:10" ht="36.950000000000003" customHeight="1" x14ac:dyDescent="0.25">
      <c r="A225" s="8" t="s">
        <v>701</v>
      </c>
      <c r="B225" s="8" t="s">
        <v>3155</v>
      </c>
      <c r="C225" s="8" t="s">
        <v>2821</v>
      </c>
      <c r="D225" s="8" t="s">
        <v>3156</v>
      </c>
      <c r="E225" s="8"/>
      <c r="F225" s="8"/>
      <c r="G225" s="11"/>
      <c r="H225" s="9" t="s">
        <v>352</v>
      </c>
      <c r="I225" s="8" t="s">
        <v>3157</v>
      </c>
      <c r="J225" s="8" t="s">
        <v>2819</v>
      </c>
    </row>
    <row r="226" spans="1:10" ht="36.950000000000003" customHeight="1" x14ac:dyDescent="0.25">
      <c r="A226" s="8" t="s">
        <v>1426</v>
      </c>
      <c r="B226" s="8" t="s">
        <v>1427</v>
      </c>
      <c r="C226" s="13" t="s">
        <v>2817</v>
      </c>
      <c r="D226" s="8"/>
      <c r="E226" s="8"/>
      <c r="F226" s="8"/>
      <c r="G226" s="11"/>
      <c r="H226" s="9" t="s">
        <v>352</v>
      </c>
      <c r="I226" s="8" t="s">
        <v>3158</v>
      </c>
      <c r="J226" s="8" t="s">
        <v>2819</v>
      </c>
    </row>
    <row r="227" spans="1:10" ht="36.950000000000003" customHeight="1" x14ac:dyDescent="0.25">
      <c r="A227" s="8" t="s">
        <v>840</v>
      </c>
      <c r="B227" s="8" t="s">
        <v>843</v>
      </c>
      <c r="C227" s="8" t="s">
        <v>2832</v>
      </c>
      <c r="D227" s="8"/>
      <c r="E227" s="8"/>
      <c r="F227" s="8"/>
      <c r="G227" s="11"/>
      <c r="H227" s="9" t="s">
        <v>352</v>
      </c>
      <c r="I227" s="8" t="s">
        <v>3159</v>
      </c>
      <c r="J227" s="8" t="s">
        <v>2819</v>
      </c>
    </row>
    <row r="228" spans="1:10" ht="36.950000000000003" customHeight="1" x14ac:dyDescent="0.25">
      <c r="A228" s="8" t="s">
        <v>634</v>
      </c>
      <c r="B228" s="8" t="s">
        <v>635</v>
      </c>
      <c r="C228" s="13" t="s">
        <v>2817</v>
      </c>
      <c r="D228" s="8"/>
      <c r="E228" s="8"/>
      <c r="F228" s="8"/>
      <c r="G228" s="11"/>
      <c r="H228" s="9" t="s">
        <v>352</v>
      </c>
      <c r="I228" s="8" t="s">
        <v>3160</v>
      </c>
      <c r="J228" s="8" t="s">
        <v>2819</v>
      </c>
    </row>
    <row r="229" spans="1:10" ht="36.950000000000003" customHeight="1" x14ac:dyDescent="0.25">
      <c r="A229" s="8" t="s">
        <v>1666</v>
      </c>
      <c r="B229" s="8" t="s">
        <v>1667</v>
      </c>
      <c r="C229" s="13" t="s">
        <v>2817</v>
      </c>
      <c r="D229" s="8"/>
      <c r="E229" s="8"/>
      <c r="F229" s="8"/>
      <c r="G229" s="11"/>
      <c r="H229" s="9" t="s">
        <v>352</v>
      </c>
      <c r="I229" s="8" t="s">
        <v>3161</v>
      </c>
      <c r="J229" s="8" t="s">
        <v>2819</v>
      </c>
    </row>
    <row r="230" spans="1:10" ht="36.950000000000003" customHeight="1" x14ac:dyDescent="0.25">
      <c r="A230" s="8" t="s">
        <v>1004</v>
      </c>
      <c r="B230" s="8" t="s">
        <v>1007</v>
      </c>
      <c r="C230" s="8" t="s">
        <v>2832</v>
      </c>
      <c r="D230" s="8"/>
      <c r="E230" s="8"/>
      <c r="F230" s="8"/>
      <c r="G230" s="11"/>
      <c r="H230" s="9" t="s">
        <v>352</v>
      </c>
      <c r="I230" s="8" t="s">
        <v>3162</v>
      </c>
      <c r="J230" s="8" t="s">
        <v>2819</v>
      </c>
    </row>
    <row r="231" spans="1:10" ht="36.950000000000003" customHeight="1" x14ac:dyDescent="0.25">
      <c r="A231" s="8" t="s">
        <v>430</v>
      </c>
      <c r="B231" s="8" t="s">
        <v>432</v>
      </c>
      <c r="C231" s="13" t="s">
        <v>2817</v>
      </c>
      <c r="D231" s="8"/>
      <c r="E231" s="8"/>
      <c r="F231" s="8"/>
      <c r="G231" s="11"/>
      <c r="H231" s="9" t="s">
        <v>352</v>
      </c>
      <c r="I231" s="8" t="s">
        <v>3163</v>
      </c>
      <c r="J231" s="8" t="s">
        <v>2819</v>
      </c>
    </row>
    <row r="232" spans="1:10" ht="36.950000000000003" customHeight="1" x14ac:dyDescent="0.25">
      <c r="A232" s="8" t="s">
        <v>587</v>
      </c>
      <c r="B232" s="8" t="s">
        <v>3164</v>
      </c>
      <c r="C232" s="8" t="s">
        <v>3165</v>
      </c>
      <c r="D232" s="8" t="s">
        <v>3166</v>
      </c>
      <c r="E232" s="8"/>
      <c r="F232" s="8" t="s">
        <v>3167</v>
      </c>
      <c r="G232" s="11" t="s">
        <v>3168</v>
      </c>
      <c r="H232" s="9" t="s">
        <v>352</v>
      </c>
      <c r="I232" s="8" t="s">
        <v>3169</v>
      </c>
      <c r="J232" s="8" t="s">
        <v>2853</v>
      </c>
    </row>
    <row r="233" spans="1:10" ht="36.950000000000003" customHeight="1" x14ac:dyDescent="0.25">
      <c r="A233" s="8" t="s">
        <v>599</v>
      </c>
      <c r="B233" s="8" t="s">
        <v>604</v>
      </c>
      <c r="C233" s="13" t="s">
        <v>2817</v>
      </c>
      <c r="D233" s="8"/>
      <c r="E233" s="8"/>
      <c r="F233" s="8"/>
      <c r="G233" s="11"/>
      <c r="H233" s="9" t="s">
        <v>352</v>
      </c>
      <c r="I233" s="8" t="s">
        <v>3170</v>
      </c>
      <c r="J233" s="8" t="s">
        <v>2819</v>
      </c>
    </row>
    <row r="234" spans="1:10" ht="36.950000000000003" customHeight="1" x14ac:dyDescent="0.25">
      <c r="A234" s="8" t="s">
        <v>1308</v>
      </c>
      <c r="B234" s="8" t="s">
        <v>1309</v>
      </c>
      <c r="C234" s="13" t="s">
        <v>2817</v>
      </c>
      <c r="D234" s="8"/>
      <c r="E234" s="8"/>
      <c r="F234" s="8"/>
      <c r="G234" s="11"/>
      <c r="H234" s="9" t="s">
        <v>352</v>
      </c>
      <c r="I234" s="8" t="s">
        <v>3171</v>
      </c>
      <c r="J234" s="8" t="s">
        <v>2819</v>
      </c>
    </row>
    <row r="235" spans="1:10" ht="36.950000000000003" customHeight="1" x14ac:dyDescent="0.25">
      <c r="A235" s="8" t="s">
        <v>1091</v>
      </c>
      <c r="B235" s="8" t="s">
        <v>1093</v>
      </c>
      <c r="C235" s="13" t="s">
        <v>2817</v>
      </c>
      <c r="D235" s="8"/>
      <c r="E235" s="8"/>
      <c r="F235" s="8"/>
      <c r="G235" s="11"/>
      <c r="H235" s="9" t="s">
        <v>352</v>
      </c>
      <c r="I235" s="8" t="s">
        <v>3172</v>
      </c>
      <c r="J235" s="8" t="s">
        <v>2819</v>
      </c>
    </row>
    <row r="236" spans="1:10" ht="36.950000000000003" customHeight="1" x14ac:dyDescent="0.25">
      <c r="A236" s="8" t="s">
        <v>1502</v>
      </c>
      <c r="B236" s="8" t="s">
        <v>1503</v>
      </c>
      <c r="C236" s="13" t="s">
        <v>2817</v>
      </c>
      <c r="D236" s="8"/>
      <c r="E236" s="8"/>
      <c r="F236" s="8"/>
      <c r="G236" s="11"/>
      <c r="H236" s="9" t="s">
        <v>352</v>
      </c>
      <c r="I236" s="8" t="s">
        <v>3173</v>
      </c>
      <c r="J236" s="8" t="s">
        <v>2819</v>
      </c>
    </row>
    <row r="237" spans="1:10" ht="36.950000000000003" customHeight="1" x14ac:dyDescent="0.25">
      <c r="A237" s="8" t="s">
        <v>1615</v>
      </c>
      <c r="B237" s="8" t="s">
        <v>1616</v>
      </c>
      <c r="C237" s="13" t="s">
        <v>2817</v>
      </c>
      <c r="D237" s="8"/>
      <c r="E237" s="8"/>
      <c r="F237" s="8"/>
      <c r="G237" s="11"/>
      <c r="H237" s="9" t="s">
        <v>352</v>
      </c>
      <c r="I237" s="8" t="s">
        <v>3174</v>
      </c>
      <c r="J237" s="8" t="s">
        <v>2819</v>
      </c>
    </row>
    <row r="238" spans="1:10" ht="36.950000000000003" customHeight="1" x14ac:dyDescent="0.25">
      <c r="A238" s="8" t="s">
        <v>1619</v>
      </c>
      <c r="B238" s="8" t="s">
        <v>1620</v>
      </c>
      <c r="C238" s="13" t="s">
        <v>2817</v>
      </c>
      <c r="D238" s="8"/>
      <c r="E238" s="8"/>
      <c r="F238" s="8"/>
      <c r="G238" s="11"/>
      <c r="H238" s="9" t="s">
        <v>352</v>
      </c>
      <c r="I238" s="8" t="s">
        <v>3175</v>
      </c>
      <c r="J238" s="8" t="s">
        <v>2819</v>
      </c>
    </row>
    <row r="239" spans="1:10" ht="36.950000000000003" customHeight="1" x14ac:dyDescent="0.25">
      <c r="A239" s="8" t="s">
        <v>1198</v>
      </c>
      <c r="B239" s="8" t="s">
        <v>1199</v>
      </c>
      <c r="C239" s="13" t="s">
        <v>2817</v>
      </c>
      <c r="D239" s="8"/>
      <c r="E239" s="8"/>
      <c r="F239" s="8"/>
      <c r="G239" s="11"/>
      <c r="H239" s="9" t="s">
        <v>352</v>
      </c>
      <c r="I239" s="8" t="s">
        <v>3176</v>
      </c>
      <c r="J239" s="8" t="s">
        <v>2819</v>
      </c>
    </row>
    <row r="240" spans="1:10" ht="36.950000000000003" customHeight="1" x14ac:dyDescent="0.25">
      <c r="A240" s="8" t="s">
        <v>1528</v>
      </c>
      <c r="B240" s="8" t="s">
        <v>1529</v>
      </c>
      <c r="C240" s="13" t="s">
        <v>2817</v>
      </c>
      <c r="D240" s="8"/>
      <c r="E240" s="8"/>
      <c r="F240" s="8"/>
      <c r="G240" s="11"/>
      <c r="H240" s="9" t="s">
        <v>352</v>
      </c>
      <c r="I240" s="8" t="s">
        <v>3177</v>
      </c>
      <c r="J240" s="8" t="s">
        <v>2819</v>
      </c>
    </row>
    <row r="241" spans="1:10" ht="36.950000000000003" customHeight="1" x14ac:dyDescent="0.25">
      <c r="A241" s="8" t="s">
        <v>1577</v>
      </c>
      <c r="B241" s="8" t="s">
        <v>1578</v>
      </c>
      <c r="C241" s="13" t="s">
        <v>2817</v>
      </c>
      <c r="D241" s="8"/>
      <c r="E241" s="8"/>
      <c r="F241" s="8"/>
      <c r="G241" s="11"/>
      <c r="H241" s="9" t="s">
        <v>352</v>
      </c>
      <c r="I241" s="8" t="s">
        <v>3178</v>
      </c>
      <c r="J241" s="8" t="s">
        <v>2819</v>
      </c>
    </row>
    <row r="242" spans="1:10" ht="51" customHeight="1" x14ac:dyDescent="0.25">
      <c r="A242" s="8" t="s">
        <v>996</v>
      </c>
      <c r="B242" s="8" t="s">
        <v>3179</v>
      </c>
      <c r="C242" s="8" t="s">
        <v>2832</v>
      </c>
      <c r="D242" s="8"/>
      <c r="E242" s="8"/>
      <c r="F242" s="8"/>
      <c r="G242" s="11" t="s">
        <v>3180</v>
      </c>
      <c r="H242" s="9" t="s">
        <v>352</v>
      </c>
      <c r="I242" s="8" t="s">
        <v>3181</v>
      </c>
      <c r="J242" s="8" t="s">
        <v>2848</v>
      </c>
    </row>
    <row r="243" spans="1:10" ht="36.950000000000003" customHeight="1" x14ac:dyDescent="0.25">
      <c r="A243" s="8" t="s">
        <v>1598</v>
      </c>
      <c r="B243" s="8" t="s">
        <v>1600</v>
      </c>
      <c r="C243" s="13" t="s">
        <v>2817</v>
      </c>
      <c r="D243" s="8"/>
      <c r="E243" s="8"/>
      <c r="F243" s="8"/>
      <c r="G243" s="11"/>
      <c r="H243" s="9" t="s">
        <v>352</v>
      </c>
      <c r="I243" s="8" t="s">
        <v>3182</v>
      </c>
      <c r="J243" s="8" t="s">
        <v>2819</v>
      </c>
    </row>
    <row r="244" spans="1:10" ht="36.950000000000003" customHeight="1" x14ac:dyDescent="0.25">
      <c r="A244" s="8" t="s">
        <v>1603</v>
      </c>
      <c r="B244" s="8" t="s">
        <v>1604</v>
      </c>
      <c r="C244" s="13" t="s">
        <v>2817</v>
      </c>
      <c r="D244" s="8"/>
      <c r="E244" s="8"/>
      <c r="F244" s="8"/>
      <c r="G244" s="11"/>
      <c r="H244" s="9" t="s">
        <v>352</v>
      </c>
      <c r="I244" s="8" t="s">
        <v>3183</v>
      </c>
      <c r="J244" s="8" t="s">
        <v>2819</v>
      </c>
    </row>
    <row r="245" spans="1:10" ht="36.950000000000003" customHeight="1" x14ac:dyDescent="0.25">
      <c r="A245" s="8" t="s">
        <v>1642</v>
      </c>
      <c r="B245" s="8" t="s">
        <v>1643</v>
      </c>
      <c r="C245" s="13" t="s">
        <v>2817</v>
      </c>
      <c r="D245" s="8"/>
      <c r="E245" s="8"/>
      <c r="F245" s="8"/>
      <c r="G245" s="11"/>
      <c r="H245" s="9" t="s">
        <v>352</v>
      </c>
      <c r="I245" s="8" t="s">
        <v>3184</v>
      </c>
      <c r="J245" s="8" t="s">
        <v>2819</v>
      </c>
    </row>
    <row r="246" spans="1:10" ht="36.950000000000003" customHeight="1" x14ac:dyDescent="0.25">
      <c r="A246" s="8" t="s">
        <v>1662</v>
      </c>
      <c r="B246" s="8" t="s">
        <v>1663</v>
      </c>
      <c r="C246" s="13" t="s">
        <v>2817</v>
      </c>
      <c r="D246" s="8"/>
      <c r="E246" s="8"/>
      <c r="F246" s="8"/>
      <c r="G246" s="11"/>
      <c r="H246" s="9" t="s">
        <v>352</v>
      </c>
      <c r="I246" s="8" t="s">
        <v>3185</v>
      </c>
      <c r="J246" s="8" t="s">
        <v>2819</v>
      </c>
    </row>
    <row r="247" spans="1:10" ht="36.950000000000003" customHeight="1" x14ac:dyDescent="0.25">
      <c r="A247" s="8" t="s">
        <v>1133</v>
      </c>
      <c r="B247" s="8" t="s">
        <v>1135</v>
      </c>
      <c r="C247" s="13" t="s">
        <v>2817</v>
      </c>
      <c r="D247" s="8"/>
      <c r="E247" s="8"/>
      <c r="F247" s="8"/>
      <c r="G247" s="11"/>
      <c r="H247" s="9" t="s">
        <v>352</v>
      </c>
      <c r="I247" s="8" t="s">
        <v>3186</v>
      </c>
      <c r="J247" s="8" t="s">
        <v>2819</v>
      </c>
    </row>
    <row r="248" spans="1:10" ht="36.950000000000003" customHeight="1" x14ac:dyDescent="0.25">
      <c r="A248" s="8" t="s">
        <v>875</v>
      </c>
      <c r="B248" s="8" t="s">
        <v>877</v>
      </c>
      <c r="C248" s="8" t="s">
        <v>2949</v>
      </c>
      <c r="D248" s="8" t="s">
        <v>3187</v>
      </c>
      <c r="E248" s="8"/>
      <c r="F248" s="8"/>
      <c r="G248" s="11" t="s">
        <v>3188</v>
      </c>
      <c r="H248" s="9" t="s">
        <v>352</v>
      </c>
      <c r="I248" s="8" t="s">
        <v>3189</v>
      </c>
      <c r="J248" s="8" t="s">
        <v>3190</v>
      </c>
    </row>
    <row r="249" spans="1:10" ht="36.950000000000003" customHeight="1" x14ac:dyDescent="0.25">
      <c r="A249" s="8" t="s">
        <v>881</v>
      </c>
      <c r="B249" s="8" t="s">
        <v>885</v>
      </c>
      <c r="C249" s="8" t="s">
        <v>2949</v>
      </c>
      <c r="D249" s="8" t="s">
        <v>3191</v>
      </c>
      <c r="E249" s="8"/>
      <c r="F249" s="8"/>
      <c r="G249" s="11" t="s">
        <v>3192</v>
      </c>
      <c r="H249" s="9" t="s">
        <v>352</v>
      </c>
      <c r="I249" s="8" t="s">
        <v>3193</v>
      </c>
      <c r="J249" s="8" t="s">
        <v>3190</v>
      </c>
    </row>
    <row r="250" spans="1:10" ht="36.950000000000003" customHeight="1" x14ac:dyDescent="0.25">
      <c r="A250" s="8" t="s">
        <v>898</v>
      </c>
      <c r="B250" s="8" t="s">
        <v>902</v>
      </c>
      <c r="C250" s="8" t="s">
        <v>2949</v>
      </c>
      <c r="D250" s="8" t="s">
        <v>3194</v>
      </c>
      <c r="E250" s="8"/>
      <c r="F250" s="8"/>
      <c r="G250" s="11" t="s">
        <v>3195</v>
      </c>
      <c r="H250" s="9" t="s">
        <v>352</v>
      </c>
      <c r="I250" s="8" t="s">
        <v>3196</v>
      </c>
      <c r="J250" s="8" t="s">
        <v>3190</v>
      </c>
    </row>
    <row r="251" spans="1:10" ht="36.950000000000003" customHeight="1" x14ac:dyDescent="0.25">
      <c r="A251" s="8" t="s">
        <v>869</v>
      </c>
      <c r="B251" s="8" t="s">
        <v>871</v>
      </c>
      <c r="C251" s="8" t="s">
        <v>2949</v>
      </c>
      <c r="D251" s="8" t="s">
        <v>3197</v>
      </c>
      <c r="E251" s="8"/>
      <c r="F251" s="8"/>
      <c r="G251" s="11" t="s">
        <v>3198</v>
      </c>
      <c r="H251" s="9" t="s">
        <v>352</v>
      </c>
      <c r="I251" s="8" t="s">
        <v>3199</v>
      </c>
      <c r="J251" s="8" t="s">
        <v>3190</v>
      </c>
    </row>
    <row r="252" spans="1:10" ht="36.950000000000003" customHeight="1" x14ac:dyDescent="0.25">
      <c r="A252" s="8" t="s">
        <v>680</v>
      </c>
      <c r="B252" s="8" t="s">
        <v>684</v>
      </c>
      <c r="C252" s="8" t="s">
        <v>2949</v>
      </c>
      <c r="D252" s="8" t="s">
        <v>3200</v>
      </c>
      <c r="E252" s="8"/>
      <c r="F252" s="8"/>
      <c r="G252" s="11" t="s">
        <v>3201</v>
      </c>
      <c r="H252" s="9" t="s">
        <v>352</v>
      </c>
      <c r="I252" s="8" t="s">
        <v>3202</v>
      </c>
      <c r="J252" s="8" t="s">
        <v>3190</v>
      </c>
    </row>
    <row r="253" spans="1:10" ht="36.950000000000003" customHeight="1" x14ac:dyDescent="0.25">
      <c r="A253" s="8" t="s">
        <v>436</v>
      </c>
      <c r="B253" s="8" t="s">
        <v>440</v>
      </c>
      <c r="C253" s="8" t="s">
        <v>2949</v>
      </c>
      <c r="D253" s="8" t="s">
        <v>3203</v>
      </c>
      <c r="E253" s="8"/>
      <c r="F253" s="8"/>
      <c r="G253" s="11" t="s">
        <v>3204</v>
      </c>
      <c r="H253" s="9" t="s">
        <v>352</v>
      </c>
      <c r="I253" s="8" t="s">
        <v>3205</v>
      </c>
      <c r="J253" s="8" t="s">
        <v>3190</v>
      </c>
    </row>
    <row r="254" spans="1:10" ht="36.950000000000003" customHeight="1" x14ac:dyDescent="0.25">
      <c r="A254" s="8" t="s">
        <v>785</v>
      </c>
      <c r="B254" s="8" t="s">
        <v>787</v>
      </c>
      <c r="C254" s="8" t="s">
        <v>2949</v>
      </c>
      <c r="D254" s="8" t="s">
        <v>3206</v>
      </c>
      <c r="E254" s="8"/>
      <c r="F254" s="8"/>
      <c r="G254" s="11" t="s">
        <v>3207</v>
      </c>
      <c r="H254" s="9" t="s">
        <v>352</v>
      </c>
      <c r="I254" s="8" t="s">
        <v>3208</v>
      </c>
      <c r="J254" s="8" t="s">
        <v>3190</v>
      </c>
    </row>
    <row r="255" spans="1:10" ht="93" customHeight="1" x14ac:dyDescent="0.25">
      <c r="A255" s="8" t="s">
        <v>358</v>
      </c>
      <c r="B255" s="8" t="s">
        <v>364</v>
      </c>
      <c r="C255" s="8" t="s">
        <v>2832</v>
      </c>
      <c r="D255" s="8" t="s">
        <v>3209</v>
      </c>
      <c r="E255" s="8"/>
      <c r="F255" s="8" t="s">
        <v>3210</v>
      </c>
      <c r="G255" s="11" t="s">
        <v>3211</v>
      </c>
      <c r="H255" s="9" t="s">
        <v>352</v>
      </c>
      <c r="I255" s="8" t="s">
        <v>3212</v>
      </c>
      <c r="J255" s="8" t="s">
        <v>3190</v>
      </c>
    </row>
    <row r="256" spans="1:10" ht="36.950000000000003" customHeight="1" x14ac:dyDescent="0.25">
      <c r="A256" s="8" t="s">
        <v>650</v>
      </c>
      <c r="B256" s="8" t="s">
        <v>652</v>
      </c>
      <c r="C256" s="8" t="s">
        <v>2832</v>
      </c>
      <c r="D256" s="8" t="s">
        <v>3213</v>
      </c>
      <c r="E256" s="8"/>
      <c r="F256" s="8"/>
      <c r="G256" s="11" t="s">
        <v>3214</v>
      </c>
      <c r="H256" s="9" t="s">
        <v>352</v>
      </c>
      <c r="I256" s="8" t="s">
        <v>3215</v>
      </c>
      <c r="J256" s="8" t="s">
        <v>3190</v>
      </c>
    </row>
    <row r="257" spans="1:10" ht="36.950000000000003" customHeight="1" x14ac:dyDescent="0.25">
      <c r="A257" s="8" t="s">
        <v>862</v>
      </c>
      <c r="B257" s="8" t="s">
        <v>865</v>
      </c>
      <c r="C257" s="8" t="s">
        <v>3090</v>
      </c>
      <c r="D257" s="8" t="s">
        <v>3216</v>
      </c>
      <c r="E257" s="8"/>
      <c r="F257" s="8"/>
      <c r="G257" s="11" t="s">
        <v>3217</v>
      </c>
      <c r="H257" s="9" t="s">
        <v>352</v>
      </c>
      <c r="I257" s="8" t="s">
        <v>3218</v>
      </c>
      <c r="J257" s="8" t="s">
        <v>3190</v>
      </c>
    </row>
    <row r="258" spans="1:10" ht="36.950000000000003" customHeight="1" x14ac:dyDescent="0.25">
      <c r="A258" s="8" t="s">
        <v>889</v>
      </c>
      <c r="B258" s="8" t="s">
        <v>893</v>
      </c>
      <c r="C258" s="8" t="s">
        <v>2821</v>
      </c>
      <c r="D258" s="8" t="s">
        <v>3219</v>
      </c>
      <c r="E258" s="8"/>
      <c r="F258" s="8"/>
      <c r="G258" s="11" t="s">
        <v>3220</v>
      </c>
      <c r="H258" s="9" t="s">
        <v>352</v>
      </c>
      <c r="I258" s="8" t="s">
        <v>3221</v>
      </c>
      <c r="J258" s="8" t="s">
        <v>3190</v>
      </c>
    </row>
    <row r="259" spans="1:10" ht="51" customHeight="1" x14ac:dyDescent="0.25">
      <c r="A259" s="8" t="s">
        <v>922</v>
      </c>
      <c r="B259" s="8" t="s">
        <v>926</v>
      </c>
      <c r="C259" s="8" t="s">
        <v>2832</v>
      </c>
      <c r="D259" s="8"/>
      <c r="E259" s="8"/>
      <c r="F259" s="8"/>
      <c r="G259" s="11" t="s">
        <v>3222</v>
      </c>
      <c r="H259" s="9" t="s">
        <v>352</v>
      </c>
      <c r="I259" s="8" t="s">
        <v>3223</v>
      </c>
      <c r="J259" s="8" t="s">
        <v>3224</v>
      </c>
    </row>
    <row r="260" spans="1:10" ht="51" customHeight="1" x14ac:dyDescent="0.25">
      <c r="A260" s="8" t="s">
        <v>906</v>
      </c>
      <c r="B260" s="8" t="s">
        <v>909</v>
      </c>
      <c r="C260" s="8" t="s">
        <v>2832</v>
      </c>
      <c r="D260" s="8"/>
      <c r="E260" s="8"/>
      <c r="F260" s="8"/>
      <c r="G260" s="11" t="s">
        <v>3225</v>
      </c>
      <c r="H260" s="9" t="s">
        <v>352</v>
      </c>
      <c r="I260" s="8" t="s">
        <v>3226</v>
      </c>
      <c r="J260" s="8" t="s">
        <v>3227</v>
      </c>
    </row>
    <row r="261" spans="1:10" ht="51" customHeight="1" x14ac:dyDescent="0.25">
      <c r="A261" s="8" t="s">
        <v>931</v>
      </c>
      <c r="B261" s="8" t="s">
        <v>934</v>
      </c>
      <c r="C261" s="8" t="s">
        <v>3090</v>
      </c>
      <c r="D261" s="8"/>
      <c r="E261" s="8"/>
      <c r="F261" s="8"/>
      <c r="G261" s="11" t="s">
        <v>3228</v>
      </c>
      <c r="H261" s="9" t="s">
        <v>352</v>
      </c>
      <c r="I261" s="8" t="s">
        <v>3229</v>
      </c>
      <c r="J261" s="8" t="s">
        <v>3230</v>
      </c>
    </row>
    <row r="262" spans="1:10" ht="51" customHeight="1" x14ac:dyDescent="0.25">
      <c r="A262" s="8" t="s">
        <v>1043</v>
      </c>
      <c r="B262" s="8" t="s">
        <v>1045</v>
      </c>
      <c r="C262" s="8" t="s">
        <v>3090</v>
      </c>
      <c r="D262" s="8"/>
      <c r="E262" s="8"/>
      <c r="F262" s="8"/>
      <c r="G262" s="11" t="s">
        <v>3231</v>
      </c>
      <c r="H262" s="9" t="s">
        <v>352</v>
      </c>
      <c r="I262" s="8" t="s">
        <v>3232</v>
      </c>
      <c r="J262" s="8" t="s">
        <v>3233</v>
      </c>
    </row>
    <row r="263" spans="1:10" ht="51" customHeight="1" x14ac:dyDescent="0.25">
      <c r="A263" s="8" t="s">
        <v>914</v>
      </c>
      <c r="B263" s="8" t="s">
        <v>917</v>
      </c>
      <c r="C263" s="8" t="s">
        <v>2949</v>
      </c>
      <c r="D263" s="8"/>
      <c r="E263" s="8"/>
      <c r="F263" s="8"/>
      <c r="G263" s="11" t="s">
        <v>3234</v>
      </c>
      <c r="H263" s="9" t="s">
        <v>352</v>
      </c>
      <c r="I263" s="8" t="s">
        <v>3235</v>
      </c>
      <c r="J263" s="8" t="s">
        <v>3236</v>
      </c>
    </row>
    <row r="264" spans="1:10" ht="51" customHeight="1" x14ac:dyDescent="0.25">
      <c r="A264" s="8" t="s">
        <v>939</v>
      </c>
      <c r="B264" s="8" t="s">
        <v>942</v>
      </c>
      <c r="C264" s="8" t="s">
        <v>2832</v>
      </c>
      <c r="D264" s="8"/>
      <c r="E264" s="8"/>
      <c r="F264" s="8"/>
      <c r="G264" s="11" t="s">
        <v>3237</v>
      </c>
      <c r="H264" s="14" t="s">
        <v>944</v>
      </c>
      <c r="I264" s="8" t="s">
        <v>3238</v>
      </c>
      <c r="J264" s="8" t="s">
        <v>3239</v>
      </c>
    </row>
    <row r="265" spans="1:10" ht="51" customHeight="1" x14ac:dyDescent="0.25">
      <c r="A265" s="8" t="s">
        <v>2625</v>
      </c>
      <c r="B265" s="8" t="s">
        <v>3240</v>
      </c>
      <c r="C265" s="8" t="s">
        <v>2949</v>
      </c>
      <c r="D265" s="8"/>
      <c r="E265" s="8"/>
      <c r="F265" s="8"/>
      <c r="G265" s="11" t="s">
        <v>3241</v>
      </c>
      <c r="H265" s="9" t="s">
        <v>352</v>
      </c>
      <c r="I265" s="8" t="s">
        <v>3242</v>
      </c>
      <c r="J265" s="8" t="s">
        <v>3243</v>
      </c>
    </row>
    <row r="266" spans="1:10" ht="51" customHeight="1" x14ac:dyDescent="0.25">
      <c r="A266" s="8" t="s">
        <v>555</v>
      </c>
      <c r="B266" s="8" t="s">
        <v>3244</v>
      </c>
      <c r="C266" s="8" t="s">
        <v>3002</v>
      </c>
      <c r="D266" s="8" t="s">
        <v>3245</v>
      </c>
      <c r="E266" s="8"/>
      <c r="F266" s="8"/>
      <c r="G266" s="11" t="s">
        <v>3246</v>
      </c>
      <c r="H266" s="9" t="s">
        <v>352</v>
      </c>
      <c r="I266" s="8" t="s">
        <v>3247</v>
      </c>
      <c r="J266" s="8" t="s">
        <v>3248</v>
      </c>
    </row>
  </sheetData>
  <dataValidations count="1">
    <dataValidation type="list" showErrorMessage="1" errorTitle="Controlled value required" error="Select a defined value; do not invent a tag." sqref="H2:H500" xr:uid="{00000000-0002-0000-1000-000000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8354A"/>
    <outlinePr summaryBelow="0" summaryRight="0"/>
    <pageSetUpPr fitToPage="1"/>
  </sheetPr>
  <dimension ref="A1:S246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4" width="27" customWidth="1"/>
    <col min="5" max="5" width="52" customWidth="1"/>
    <col min="6" max="11" width="27" customWidth="1"/>
    <col min="12" max="12" width="61" customWidth="1"/>
    <col min="13" max="15" width="27" customWidth="1"/>
    <col min="16" max="19" width="29" customWidth="1"/>
  </cols>
  <sheetData>
    <row r="1" spans="1:19" ht="42.95" customHeight="1" x14ac:dyDescent="0.25">
      <c r="A1" s="7" t="s">
        <v>335</v>
      </c>
      <c r="B1" s="7" t="s">
        <v>3249</v>
      </c>
      <c r="C1" s="7" t="s">
        <v>3250</v>
      </c>
      <c r="D1" s="7" t="s">
        <v>3251</v>
      </c>
      <c r="E1" s="7" t="s">
        <v>3252</v>
      </c>
      <c r="F1" s="7" t="s">
        <v>3253</v>
      </c>
      <c r="G1" s="7" t="s">
        <v>3254</v>
      </c>
      <c r="H1" s="7" t="s">
        <v>3255</v>
      </c>
      <c r="I1" s="7" t="s">
        <v>3256</v>
      </c>
      <c r="J1" s="7" t="s">
        <v>3257</v>
      </c>
      <c r="K1" s="7" t="s">
        <v>3258</v>
      </c>
      <c r="L1" s="7" t="s">
        <v>3259</v>
      </c>
      <c r="M1" s="7" t="s">
        <v>3260</v>
      </c>
      <c r="N1" s="7" t="s">
        <v>3261</v>
      </c>
      <c r="O1" s="7" t="s">
        <v>3262</v>
      </c>
      <c r="P1" s="7" t="s">
        <v>3263</v>
      </c>
      <c r="Q1" s="7" t="s">
        <v>3264</v>
      </c>
      <c r="R1" s="7" t="s">
        <v>3265</v>
      </c>
      <c r="S1" s="7" t="s">
        <v>3266</v>
      </c>
    </row>
    <row r="2" spans="1:19" ht="51" customHeight="1" x14ac:dyDescent="0.25">
      <c r="A2" s="8" t="s">
        <v>1793</v>
      </c>
      <c r="B2" s="8" t="s">
        <v>1790</v>
      </c>
      <c r="C2" s="8" t="s">
        <v>3267</v>
      </c>
      <c r="D2" s="8" t="s">
        <v>96</v>
      </c>
      <c r="E2" s="11" t="s">
        <v>3268</v>
      </c>
      <c r="F2" s="8" t="s">
        <v>3269</v>
      </c>
      <c r="G2" s="8" t="s">
        <v>3270</v>
      </c>
      <c r="H2" s="15" t="s">
        <v>1685</v>
      </c>
      <c r="I2" s="8" t="s">
        <v>3271</v>
      </c>
      <c r="J2" s="8" t="s">
        <v>3272</v>
      </c>
      <c r="K2" s="8" t="s">
        <v>3273</v>
      </c>
      <c r="L2" s="8" t="s">
        <v>3274</v>
      </c>
      <c r="M2" s="8" t="s">
        <v>3275</v>
      </c>
      <c r="N2" s="8"/>
      <c r="O2" s="8"/>
      <c r="P2" s="8" t="s">
        <v>3276</v>
      </c>
      <c r="Q2" s="8" t="s">
        <v>3275</v>
      </c>
      <c r="R2" s="8" t="s">
        <v>3277</v>
      </c>
      <c r="S2" s="8" t="s">
        <v>1793</v>
      </c>
    </row>
    <row r="3" spans="1:19" ht="51" customHeight="1" x14ac:dyDescent="0.25">
      <c r="A3" s="8" t="s">
        <v>1885</v>
      </c>
      <c r="B3" s="8" t="s">
        <v>1884</v>
      </c>
      <c r="C3" s="8" t="s">
        <v>3267</v>
      </c>
      <c r="D3" s="8" t="s">
        <v>96</v>
      </c>
      <c r="E3" s="11" t="s">
        <v>3278</v>
      </c>
      <c r="F3" s="8" t="s">
        <v>3279</v>
      </c>
      <c r="G3" s="8" t="s">
        <v>3280</v>
      </c>
      <c r="H3" s="15" t="s">
        <v>1685</v>
      </c>
      <c r="I3" s="8" t="s">
        <v>3271</v>
      </c>
      <c r="J3" s="8" t="s">
        <v>3272</v>
      </c>
      <c r="K3" s="8" t="s">
        <v>3273</v>
      </c>
      <c r="L3" s="8" t="s">
        <v>3281</v>
      </c>
      <c r="M3" s="8" t="s">
        <v>3275</v>
      </c>
      <c r="N3" s="8"/>
      <c r="O3" s="8"/>
      <c r="P3" s="8" t="s">
        <v>3276</v>
      </c>
      <c r="Q3" s="8" t="s">
        <v>3275</v>
      </c>
      <c r="R3" s="8" t="s">
        <v>3277</v>
      </c>
      <c r="S3" s="8" t="s">
        <v>1885</v>
      </c>
    </row>
    <row r="4" spans="1:19" ht="51" customHeight="1" x14ac:dyDescent="0.25">
      <c r="A4" s="8" t="s">
        <v>1823</v>
      </c>
      <c r="B4" s="8" t="s">
        <v>1818</v>
      </c>
      <c r="C4" s="8" t="s">
        <v>3267</v>
      </c>
      <c r="D4" s="8" t="s">
        <v>96</v>
      </c>
      <c r="E4" s="11" t="s">
        <v>3282</v>
      </c>
      <c r="F4" s="8" t="s">
        <v>3269</v>
      </c>
      <c r="G4" s="8" t="s">
        <v>3270</v>
      </c>
      <c r="H4" s="15" t="s">
        <v>1685</v>
      </c>
      <c r="I4" s="8" t="s">
        <v>3271</v>
      </c>
      <c r="J4" s="8" t="s">
        <v>3272</v>
      </c>
      <c r="K4" s="8" t="s">
        <v>3273</v>
      </c>
      <c r="L4" s="8" t="s">
        <v>3283</v>
      </c>
      <c r="M4" s="8" t="s">
        <v>3275</v>
      </c>
      <c r="N4" s="8"/>
      <c r="O4" s="8"/>
      <c r="P4" s="8" t="s">
        <v>3276</v>
      </c>
      <c r="Q4" s="8" t="s">
        <v>3275</v>
      </c>
      <c r="R4" s="8" t="s">
        <v>3277</v>
      </c>
      <c r="S4" s="8" t="s">
        <v>1823</v>
      </c>
    </row>
    <row r="5" spans="1:19" ht="51" customHeight="1" x14ac:dyDescent="0.25">
      <c r="A5" s="8" t="s">
        <v>1941</v>
      </c>
      <c r="B5" s="8" t="s">
        <v>1938</v>
      </c>
      <c r="C5" s="8" t="s">
        <v>3267</v>
      </c>
      <c r="D5" s="8" t="s">
        <v>96</v>
      </c>
      <c r="E5" s="11" t="s">
        <v>3284</v>
      </c>
      <c r="F5" s="8" t="s">
        <v>3279</v>
      </c>
      <c r="G5" s="8" t="s">
        <v>3280</v>
      </c>
      <c r="H5" s="15" t="s">
        <v>1685</v>
      </c>
      <c r="I5" s="8" t="s">
        <v>3271</v>
      </c>
      <c r="J5" s="8" t="s">
        <v>3272</v>
      </c>
      <c r="K5" s="8" t="s">
        <v>3273</v>
      </c>
      <c r="L5" s="8" t="s">
        <v>3285</v>
      </c>
      <c r="M5" s="8" t="s">
        <v>3275</v>
      </c>
      <c r="N5" s="8"/>
      <c r="O5" s="8"/>
      <c r="P5" s="8" t="s">
        <v>3276</v>
      </c>
      <c r="Q5" s="8" t="s">
        <v>3275</v>
      </c>
      <c r="R5" s="8" t="s">
        <v>3277</v>
      </c>
      <c r="S5" s="8" t="s">
        <v>1941</v>
      </c>
    </row>
    <row r="6" spans="1:19" ht="51" customHeight="1" x14ac:dyDescent="0.25">
      <c r="A6" s="8" t="s">
        <v>1949</v>
      </c>
      <c r="B6" s="8" t="s">
        <v>1945</v>
      </c>
      <c r="C6" s="8" t="s">
        <v>3267</v>
      </c>
      <c r="D6" s="8" t="s">
        <v>96</v>
      </c>
      <c r="E6" s="11" t="s">
        <v>3286</v>
      </c>
      <c r="F6" s="8" t="s">
        <v>3269</v>
      </c>
      <c r="G6" s="8" t="s">
        <v>3270</v>
      </c>
      <c r="H6" s="15" t="s">
        <v>1685</v>
      </c>
      <c r="I6" s="8" t="s">
        <v>3271</v>
      </c>
      <c r="J6" s="8" t="s">
        <v>3272</v>
      </c>
      <c r="K6" s="8" t="s">
        <v>3273</v>
      </c>
      <c r="L6" s="8" t="s">
        <v>3287</v>
      </c>
      <c r="M6" s="8" t="s">
        <v>3275</v>
      </c>
      <c r="N6" s="8"/>
      <c r="O6" s="8"/>
      <c r="P6" s="8" t="s">
        <v>3276</v>
      </c>
      <c r="Q6" s="8" t="s">
        <v>3275</v>
      </c>
      <c r="R6" s="8" t="s">
        <v>3277</v>
      </c>
      <c r="S6" s="8" t="s">
        <v>1949</v>
      </c>
    </row>
    <row r="7" spans="1:19" ht="51" customHeight="1" x14ac:dyDescent="0.25">
      <c r="A7" s="8" t="s">
        <v>2038</v>
      </c>
      <c r="B7" s="8" t="s">
        <v>2036</v>
      </c>
      <c r="C7" s="8" t="s">
        <v>3267</v>
      </c>
      <c r="D7" s="8" t="s">
        <v>96</v>
      </c>
      <c r="E7" s="11" t="s">
        <v>3288</v>
      </c>
      <c r="F7" s="8" t="s">
        <v>3269</v>
      </c>
      <c r="G7" s="8" t="s">
        <v>3270</v>
      </c>
      <c r="H7" s="15" t="s">
        <v>1685</v>
      </c>
      <c r="I7" s="8" t="s">
        <v>3271</v>
      </c>
      <c r="J7" s="8" t="s">
        <v>3272</v>
      </c>
      <c r="K7" s="8" t="s">
        <v>3273</v>
      </c>
      <c r="L7" s="8" t="s">
        <v>3274</v>
      </c>
      <c r="M7" s="8" t="s">
        <v>3275</v>
      </c>
      <c r="N7" s="8"/>
      <c r="O7" s="8"/>
      <c r="P7" s="8" t="s">
        <v>3276</v>
      </c>
      <c r="Q7" s="8" t="s">
        <v>3275</v>
      </c>
      <c r="R7" s="8" t="s">
        <v>3277</v>
      </c>
      <c r="S7" s="8" t="s">
        <v>2038</v>
      </c>
    </row>
    <row r="8" spans="1:19" ht="51" customHeight="1" x14ac:dyDescent="0.25">
      <c r="A8" s="8" t="s">
        <v>2089</v>
      </c>
      <c r="B8" s="8" t="s">
        <v>2086</v>
      </c>
      <c r="C8" s="8" t="s">
        <v>3267</v>
      </c>
      <c r="D8" s="8" t="s">
        <v>96</v>
      </c>
      <c r="E8" s="11" t="s">
        <v>3289</v>
      </c>
      <c r="F8" s="8" t="s">
        <v>3269</v>
      </c>
      <c r="G8" s="8" t="s">
        <v>3270</v>
      </c>
      <c r="H8" s="15" t="s">
        <v>1685</v>
      </c>
      <c r="I8" s="8" t="s">
        <v>3271</v>
      </c>
      <c r="J8" s="8" t="s">
        <v>3272</v>
      </c>
      <c r="K8" s="8" t="s">
        <v>3273</v>
      </c>
      <c r="L8" s="8" t="s">
        <v>3290</v>
      </c>
      <c r="M8" s="8" t="s">
        <v>3275</v>
      </c>
      <c r="N8" s="8"/>
      <c r="O8" s="8"/>
      <c r="P8" s="8" t="s">
        <v>3276</v>
      </c>
      <c r="Q8" s="8" t="s">
        <v>3275</v>
      </c>
      <c r="R8" s="8" t="s">
        <v>3277</v>
      </c>
      <c r="S8" s="8" t="s">
        <v>2089</v>
      </c>
    </row>
    <row r="9" spans="1:19" ht="51" customHeight="1" x14ac:dyDescent="0.25">
      <c r="A9" s="8" t="s">
        <v>1876</v>
      </c>
      <c r="B9" s="8" t="s">
        <v>1873</v>
      </c>
      <c r="C9" s="8" t="s">
        <v>3267</v>
      </c>
      <c r="D9" s="8" t="s">
        <v>96</v>
      </c>
      <c r="E9" s="11" t="s">
        <v>3291</v>
      </c>
      <c r="F9" s="8" t="s">
        <v>3269</v>
      </c>
      <c r="G9" s="8" t="s">
        <v>3270</v>
      </c>
      <c r="H9" s="15" t="s">
        <v>1685</v>
      </c>
      <c r="I9" s="8" t="s">
        <v>3271</v>
      </c>
      <c r="J9" s="8" t="s">
        <v>3272</v>
      </c>
      <c r="K9" s="8" t="s">
        <v>3273</v>
      </c>
      <c r="L9" s="8" t="s">
        <v>3292</v>
      </c>
      <c r="M9" s="8" t="s">
        <v>3275</v>
      </c>
      <c r="N9" s="8"/>
      <c r="O9" s="8"/>
      <c r="P9" s="8" t="s">
        <v>3276</v>
      </c>
      <c r="Q9" s="8" t="s">
        <v>3275</v>
      </c>
      <c r="R9" s="8" t="s">
        <v>3277</v>
      </c>
      <c r="S9" s="8" t="s">
        <v>1876</v>
      </c>
    </row>
    <row r="10" spans="1:19" ht="51" customHeight="1" x14ac:dyDescent="0.25">
      <c r="A10" s="8" t="s">
        <v>569</v>
      </c>
      <c r="B10" s="8" t="s">
        <v>3293</v>
      </c>
      <c r="C10" s="8" t="s">
        <v>3267</v>
      </c>
      <c r="D10" s="8" t="s">
        <v>65</v>
      </c>
      <c r="E10" s="11" t="s">
        <v>3294</v>
      </c>
      <c r="F10" s="8" t="s">
        <v>3295</v>
      </c>
      <c r="G10" s="8" t="s">
        <v>3280</v>
      </c>
      <c r="H10" s="15" t="s">
        <v>1685</v>
      </c>
      <c r="I10" s="8" t="s">
        <v>3271</v>
      </c>
      <c r="J10" s="8" t="s">
        <v>3296</v>
      </c>
      <c r="K10" s="8" t="s">
        <v>3273</v>
      </c>
      <c r="L10" s="8" t="s">
        <v>3297</v>
      </c>
      <c r="M10" s="8" t="s">
        <v>3275</v>
      </c>
      <c r="N10" s="8"/>
      <c r="O10" s="8"/>
      <c r="P10" s="8" t="s">
        <v>3276</v>
      </c>
      <c r="Q10" s="8" t="s">
        <v>3275</v>
      </c>
      <c r="R10" s="8" t="s">
        <v>3277</v>
      </c>
      <c r="S10" s="8" t="s">
        <v>569</v>
      </c>
    </row>
    <row r="11" spans="1:19" ht="51" customHeight="1" x14ac:dyDescent="0.25">
      <c r="A11" s="8" t="s">
        <v>448</v>
      </c>
      <c r="B11" s="8" t="s">
        <v>3298</v>
      </c>
      <c r="C11" s="8" t="s">
        <v>3267</v>
      </c>
      <c r="D11" s="8" t="s">
        <v>65</v>
      </c>
      <c r="E11" s="11" t="s">
        <v>3299</v>
      </c>
      <c r="F11" s="8" t="s">
        <v>3295</v>
      </c>
      <c r="G11" s="8" t="s">
        <v>3280</v>
      </c>
      <c r="H11" s="15" t="s">
        <v>1685</v>
      </c>
      <c r="I11" s="8" t="s">
        <v>3271</v>
      </c>
      <c r="J11" s="8" t="s">
        <v>3296</v>
      </c>
      <c r="K11" s="8" t="s">
        <v>3273</v>
      </c>
      <c r="L11" s="8" t="s">
        <v>3300</v>
      </c>
      <c r="M11" s="8" t="s">
        <v>3275</v>
      </c>
      <c r="N11" s="8"/>
      <c r="O11" s="8"/>
      <c r="P11" s="8" t="s">
        <v>3276</v>
      </c>
      <c r="Q11" s="8" t="s">
        <v>3275</v>
      </c>
      <c r="R11" s="8" t="s">
        <v>3277</v>
      </c>
      <c r="S11" s="8" t="s">
        <v>448</v>
      </c>
    </row>
    <row r="12" spans="1:19" ht="65.099999999999994" customHeight="1" x14ac:dyDescent="0.25">
      <c r="A12" s="8" t="s">
        <v>850</v>
      </c>
      <c r="B12" s="8" t="s">
        <v>3301</v>
      </c>
      <c r="C12" s="8" t="s">
        <v>3267</v>
      </c>
      <c r="D12" s="8" t="s">
        <v>3302</v>
      </c>
      <c r="E12" s="11" t="s">
        <v>3303</v>
      </c>
      <c r="F12" s="8" t="s">
        <v>3269</v>
      </c>
      <c r="G12" s="8" t="s">
        <v>3270</v>
      </c>
      <c r="H12" s="15" t="s">
        <v>1685</v>
      </c>
      <c r="I12" s="8" t="s">
        <v>3271</v>
      </c>
      <c r="J12" s="8" t="s">
        <v>3304</v>
      </c>
      <c r="K12" s="8" t="s">
        <v>3273</v>
      </c>
      <c r="L12" s="8" t="s">
        <v>3305</v>
      </c>
      <c r="M12" s="8" t="s">
        <v>3275</v>
      </c>
      <c r="N12" s="8"/>
      <c r="O12" s="8"/>
      <c r="P12" s="8" t="s">
        <v>3306</v>
      </c>
      <c r="Q12" s="8" t="s">
        <v>3275</v>
      </c>
      <c r="R12" s="8" t="s">
        <v>3277</v>
      </c>
      <c r="S12" s="8" t="s">
        <v>850</v>
      </c>
    </row>
    <row r="13" spans="1:19" ht="51" customHeight="1" x14ac:dyDescent="0.25">
      <c r="A13" s="8" t="s">
        <v>591</v>
      </c>
      <c r="B13" s="8" t="s">
        <v>3307</v>
      </c>
      <c r="C13" s="8" t="s">
        <v>3267</v>
      </c>
      <c r="D13" s="8" t="s">
        <v>65</v>
      </c>
      <c r="E13" s="11" t="s">
        <v>3308</v>
      </c>
      <c r="F13" s="8" t="s">
        <v>3309</v>
      </c>
      <c r="G13" s="8" t="s">
        <v>3270</v>
      </c>
      <c r="H13" s="15" t="s">
        <v>1685</v>
      </c>
      <c r="I13" s="8" t="s">
        <v>3271</v>
      </c>
      <c r="J13" s="8" t="s">
        <v>3310</v>
      </c>
      <c r="K13" s="8" t="s">
        <v>3273</v>
      </c>
      <c r="L13" s="8" t="s">
        <v>3311</v>
      </c>
      <c r="M13" s="8" t="s">
        <v>3312</v>
      </c>
      <c r="N13" s="8"/>
      <c r="O13" s="8"/>
      <c r="P13" s="8" t="s">
        <v>3276</v>
      </c>
      <c r="Q13" s="8" t="s">
        <v>3313</v>
      </c>
      <c r="R13" s="8" t="s">
        <v>3277</v>
      </c>
      <c r="S13" s="8" t="s">
        <v>591</v>
      </c>
    </row>
    <row r="14" spans="1:19" ht="51" customHeight="1" x14ac:dyDescent="0.25">
      <c r="A14" s="8" t="s">
        <v>403</v>
      </c>
      <c r="B14" s="8" t="s">
        <v>3314</v>
      </c>
      <c r="C14" s="8" t="s">
        <v>3267</v>
      </c>
      <c r="D14" s="8" t="s">
        <v>65</v>
      </c>
      <c r="E14" s="11" t="s">
        <v>3315</v>
      </c>
      <c r="F14" s="8" t="s">
        <v>3269</v>
      </c>
      <c r="G14" s="8" t="s">
        <v>3270</v>
      </c>
      <c r="H14" s="15" t="s">
        <v>1685</v>
      </c>
      <c r="I14" s="8" t="s">
        <v>3271</v>
      </c>
      <c r="J14" s="8" t="s">
        <v>3296</v>
      </c>
      <c r="K14" s="8" t="s">
        <v>3273</v>
      </c>
      <c r="L14" s="8" t="s">
        <v>3316</v>
      </c>
      <c r="M14" s="8" t="s">
        <v>3312</v>
      </c>
      <c r="N14" s="8"/>
      <c r="O14" s="8"/>
      <c r="P14" s="8" t="s">
        <v>3276</v>
      </c>
      <c r="Q14" s="8" t="s">
        <v>3313</v>
      </c>
      <c r="R14" s="8" t="s">
        <v>3317</v>
      </c>
      <c r="S14" s="8" t="s">
        <v>403</v>
      </c>
    </row>
    <row r="15" spans="1:19" ht="51" customHeight="1" x14ac:dyDescent="0.25">
      <c r="A15" s="8" t="s">
        <v>480</v>
      </c>
      <c r="B15" s="8" t="s">
        <v>3318</v>
      </c>
      <c r="C15" s="8" t="s">
        <v>3267</v>
      </c>
      <c r="D15" s="8" t="s">
        <v>65</v>
      </c>
      <c r="E15" s="11" t="s">
        <v>3319</v>
      </c>
      <c r="F15" s="8" t="s">
        <v>3269</v>
      </c>
      <c r="G15" s="8" t="s">
        <v>3270</v>
      </c>
      <c r="H15" s="15" t="s">
        <v>1685</v>
      </c>
      <c r="I15" s="8" t="s">
        <v>3271</v>
      </c>
      <c r="J15" s="8" t="s">
        <v>3320</v>
      </c>
      <c r="K15" s="8" t="s">
        <v>3273</v>
      </c>
      <c r="L15" s="8" t="s">
        <v>3321</v>
      </c>
      <c r="M15" s="8" t="s">
        <v>3312</v>
      </c>
      <c r="N15" s="8"/>
      <c r="O15" s="8"/>
      <c r="P15" s="8" t="s">
        <v>3276</v>
      </c>
      <c r="Q15" s="8" t="s">
        <v>3313</v>
      </c>
      <c r="R15" s="8" t="s">
        <v>3317</v>
      </c>
      <c r="S15" s="8" t="s">
        <v>480</v>
      </c>
    </row>
    <row r="16" spans="1:19" ht="51" customHeight="1" x14ac:dyDescent="0.25">
      <c r="A16" s="8" t="s">
        <v>2217</v>
      </c>
      <c r="B16" s="8" t="s">
        <v>3322</v>
      </c>
      <c r="C16" s="8" t="s">
        <v>3267</v>
      </c>
      <c r="D16" s="8" t="s">
        <v>3323</v>
      </c>
      <c r="E16" s="11" t="s">
        <v>3324</v>
      </c>
      <c r="F16" s="8" t="s">
        <v>3269</v>
      </c>
      <c r="G16" s="8" t="s">
        <v>3270</v>
      </c>
      <c r="H16" s="15" t="s">
        <v>1685</v>
      </c>
      <c r="I16" s="8" t="s">
        <v>3271</v>
      </c>
      <c r="J16" s="8" t="s">
        <v>3325</v>
      </c>
      <c r="K16" s="8" t="s">
        <v>3273</v>
      </c>
      <c r="L16" s="8" t="s">
        <v>3326</v>
      </c>
      <c r="M16" s="8" t="s">
        <v>3275</v>
      </c>
      <c r="N16" s="8"/>
      <c r="O16" s="8"/>
      <c r="P16" s="8" t="s">
        <v>3276</v>
      </c>
      <c r="Q16" s="8" t="s">
        <v>3275</v>
      </c>
      <c r="R16" s="8" t="s">
        <v>3277</v>
      </c>
      <c r="S16" s="8" t="s">
        <v>2217</v>
      </c>
    </row>
    <row r="17" spans="1:19" ht="51" customHeight="1" x14ac:dyDescent="0.25">
      <c r="A17" s="8" t="s">
        <v>2237</v>
      </c>
      <c r="B17" s="8" t="s">
        <v>3327</v>
      </c>
      <c r="C17" s="8" t="s">
        <v>3267</v>
      </c>
      <c r="D17" s="8" t="s">
        <v>3328</v>
      </c>
      <c r="E17" s="11" t="s">
        <v>3329</v>
      </c>
      <c r="F17" s="8" t="s">
        <v>3269</v>
      </c>
      <c r="G17" s="8" t="s">
        <v>3270</v>
      </c>
      <c r="H17" s="15" t="s">
        <v>1685</v>
      </c>
      <c r="I17" s="8" t="s">
        <v>3271</v>
      </c>
      <c r="J17" s="8" t="s">
        <v>3325</v>
      </c>
      <c r="K17" s="8" t="s">
        <v>3273</v>
      </c>
      <c r="L17" s="8" t="s">
        <v>3330</v>
      </c>
      <c r="M17" s="8" t="s">
        <v>3275</v>
      </c>
      <c r="N17" s="8"/>
      <c r="O17" s="8"/>
      <c r="P17" s="8" t="s">
        <v>3276</v>
      </c>
      <c r="Q17" s="8" t="s">
        <v>3275</v>
      </c>
      <c r="R17" s="8" t="s">
        <v>3277</v>
      </c>
      <c r="S17" s="8" t="s">
        <v>2237</v>
      </c>
    </row>
    <row r="18" spans="1:19" ht="51" customHeight="1" x14ac:dyDescent="0.25">
      <c r="A18" s="8" t="s">
        <v>1040</v>
      </c>
      <c r="B18" s="8" t="s">
        <v>3331</v>
      </c>
      <c r="C18" s="8" t="s">
        <v>3267</v>
      </c>
      <c r="D18" s="8" t="s">
        <v>3323</v>
      </c>
      <c r="E18" s="11" t="s">
        <v>3332</v>
      </c>
      <c r="F18" s="8" t="s">
        <v>3269</v>
      </c>
      <c r="G18" s="8" t="s">
        <v>3270</v>
      </c>
      <c r="H18" s="15" t="s">
        <v>1685</v>
      </c>
      <c r="I18" s="8" t="s">
        <v>3271</v>
      </c>
      <c r="J18" s="8" t="s">
        <v>3333</v>
      </c>
      <c r="K18" s="8" t="s">
        <v>3273</v>
      </c>
      <c r="L18" s="8" t="s">
        <v>3334</v>
      </c>
      <c r="M18" s="8" t="s">
        <v>3275</v>
      </c>
      <c r="N18" s="8"/>
      <c r="O18" s="8"/>
      <c r="P18" s="8" t="s">
        <v>3276</v>
      </c>
      <c r="Q18" s="8" t="s">
        <v>3275</v>
      </c>
      <c r="R18" s="8" t="s">
        <v>3335</v>
      </c>
      <c r="S18" s="8" t="s">
        <v>1040</v>
      </c>
    </row>
    <row r="19" spans="1:19" ht="51" customHeight="1" x14ac:dyDescent="0.25">
      <c r="A19" s="8" t="s">
        <v>3336</v>
      </c>
      <c r="B19" s="8" t="s">
        <v>3337</v>
      </c>
      <c r="C19" s="8" t="s">
        <v>3267</v>
      </c>
      <c r="D19" s="8" t="s">
        <v>102</v>
      </c>
      <c r="E19" s="11" t="s">
        <v>3338</v>
      </c>
      <c r="F19" s="8" t="s">
        <v>3269</v>
      </c>
      <c r="G19" s="8" t="s">
        <v>3270</v>
      </c>
      <c r="H19" s="15" t="s">
        <v>1685</v>
      </c>
      <c r="I19" s="8" t="s">
        <v>3271</v>
      </c>
      <c r="J19" s="8" t="s">
        <v>3339</v>
      </c>
      <c r="K19" s="8" t="s">
        <v>3273</v>
      </c>
      <c r="L19" s="8" t="s">
        <v>3340</v>
      </c>
      <c r="M19" s="8" t="s">
        <v>3275</v>
      </c>
      <c r="N19" s="8"/>
      <c r="O19" s="8"/>
      <c r="P19" s="8" t="s">
        <v>3306</v>
      </c>
      <c r="Q19" s="8" t="s">
        <v>3275</v>
      </c>
      <c r="R19" s="8" t="s">
        <v>3277</v>
      </c>
      <c r="S19" s="8" t="s">
        <v>3336</v>
      </c>
    </row>
    <row r="20" spans="1:19" ht="51" customHeight="1" x14ac:dyDescent="0.25">
      <c r="A20" s="8" t="s">
        <v>2558</v>
      </c>
      <c r="B20" s="8" t="s">
        <v>3082</v>
      </c>
      <c r="C20" s="8" t="s">
        <v>3267</v>
      </c>
      <c r="D20" s="8" t="s">
        <v>3341</v>
      </c>
      <c r="E20" s="11" t="s">
        <v>3084</v>
      </c>
      <c r="F20" s="8" t="s">
        <v>3269</v>
      </c>
      <c r="G20" s="8" t="s">
        <v>3270</v>
      </c>
      <c r="H20" s="15" t="s">
        <v>1685</v>
      </c>
      <c r="I20" s="8" t="s">
        <v>3271</v>
      </c>
      <c r="J20" s="8" t="s">
        <v>3333</v>
      </c>
      <c r="K20" s="8" t="s">
        <v>3273</v>
      </c>
      <c r="L20" s="8" t="s">
        <v>3342</v>
      </c>
      <c r="M20" s="8" t="s">
        <v>3275</v>
      </c>
      <c r="N20" s="8"/>
      <c r="O20" s="8"/>
      <c r="P20" s="8" t="s">
        <v>3276</v>
      </c>
      <c r="Q20" s="8" t="s">
        <v>3275</v>
      </c>
      <c r="R20" s="8" t="s">
        <v>3277</v>
      </c>
      <c r="S20" s="8" t="s">
        <v>2558</v>
      </c>
    </row>
    <row r="21" spans="1:19" ht="51" customHeight="1" x14ac:dyDescent="0.25">
      <c r="A21" s="8" t="s">
        <v>3343</v>
      </c>
      <c r="B21" s="8" t="s">
        <v>3344</v>
      </c>
      <c r="C21" s="8" t="s">
        <v>3267</v>
      </c>
      <c r="D21" s="8" t="s">
        <v>3345</v>
      </c>
      <c r="E21" s="11" t="s">
        <v>3346</v>
      </c>
      <c r="F21" s="8" t="s">
        <v>3347</v>
      </c>
      <c r="G21" s="8" t="s">
        <v>3270</v>
      </c>
      <c r="H21" s="15" t="s">
        <v>1685</v>
      </c>
      <c r="I21" s="8" t="s">
        <v>3271</v>
      </c>
      <c r="J21" s="8" t="s">
        <v>3348</v>
      </c>
      <c r="K21" s="8" t="s">
        <v>3273</v>
      </c>
      <c r="L21" s="8" t="s">
        <v>3349</v>
      </c>
      <c r="M21" s="8" t="s">
        <v>3312</v>
      </c>
      <c r="N21" s="8"/>
      <c r="O21" s="8"/>
      <c r="P21" s="8" t="s">
        <v>3276</v>
      </c>
      <c r="Q21" s="8" t="s">
        <v>3313</v>
      </c>
      <c r="R21" s="8" t="s">
        <v>3317</v>
      </c>
      <c r="S21" s="8" t="s">
        <v>3343</v>
      </c>
    </row>
    <row r="22" spans="1:19" ht="51" customHeight="1" x14ac:dyDescent="0.25">
      <c r="A22" s="8" t="s">
        <v>3350</v>
      </c>
      <c r="B22" s="8" t="s">
        <v>3351</v>
      </c>
      <c r="C22" s="8" t="s">
        <v>3267</v>
      </c>
      <c r="D22" s="8" t="s">
        <v>3341</v>
      </c>
      <c r="E22" s="11" t="s">
        <v>3352</v>
      </c>
      <c r="F22" s="8" t="s">
        <v>3269</v>
      </c>
      <c r="G22" s="8" t="s">
        <v>3353</v>
      </c>
      <c r="H22" s="15" t="s">
        <v>1685</v>
      </c>
      <c r="I22" s="8" t="s">
        <v>3271</v>
      </c>
      <c r="J22" s="8" t="s">
        <v>3354</v>
      </c>
      <c r="K22" s="8" t="s">
        <v>3273</v>
      </c>
      <c r="L22" s="8" t="s">
        <v>3355</v>
      </c>
      <c r="M22" s="8" t="s">
        <v>3275</v>
      </c>
      <c r="N22" s="8"/>
      <c r="O22" s="8"/>
      <c r="P22" s="8" t="s">
        <v>3306</v>
      </c>
      <c r="Q22" s="8" t="s">
        <v>3275</v>
      </c>
      <c r="R22" s="8" t="s">
        <v>3277</v>
      </c>
      <c r="S22" s="8" t="s">
        <v>3350</v>
      </c>
    </row>
    <row r="23" spans="1:19" ht="51" customHeight="1" x14ac:dyDescent="0.25">
      <c r="A23" s="8" t="s">
        <v>1053</v>
      </c>
      <c r="B23" s="8" t="s">
        <v>3356</v>
      </c>
      <c r="C23" s="8" t="s">
        <v>3357</v>
      </c>
      <c r="D23" s="8" t="s">
        <v>3302</v>
      </c>
      <c r="E23" s="11"/>
      <c r="F23" s="8" t="s">
        <v>3358</v>
      </c>
      <c r="G23" s="8" t="s">
        <v>3359</v>
      </c>
      <c r="H23" s="8"/>
      <c r="I23" s="8" t="s">
        <v>3271</v>
      </c>
      <c r="J23" s="8" t="s">
        <v>3360</v>
      </c>
      <c r="K23" s="8" t="s">
        <v>3273</v>
      </c>
      <c r="L23" s="8" t="s">
        <v>3361</v>
      </c>
      <c r="M23" s="8" t="s">
        <v>3275</v>
      </c>
      <c r="N23" s="8"/>
      <c r="O23" s="8"/>
      <c r="P23" s="8" t="s">
        <v>3362</v>
      </c>
      <c r="Q23" s="8" t="s">
        <v>3275</v>
      </c>
      <c r="R23" s="8" t="s">
        <v>3363</v>
      </c>
      <c r="S23" s="8" t="s">
        <v>1053</v>
      </c>
    </row>
    <row r="24" spans="1:19" ht="51" customHeight="1" x14ac:dyDescent="0.25">
      <c r="A24" s="8" t="s">
        <v>3364</v>
      </c>
      <c r="B24" s="8" t="s">
        <v>3365</v>
      </c>
      <c r="C24" s="8" t="s">
        <v>3366</v>
      </c>
      <c r="D24" s="8" t="s">
        <v>65</v>
      </c>
      <c r="E24" s="11" t="s">
        <v>3367</v>
      </c>
      <c r="F24" s="8" t="s">
        <v>3368</v>
      </c>
      <c r="G24" s="8" t="s">
        <v>3359</v>
      </c>
      <c r="H24" s="8"/>
      <c r="I24" s="8" t="s">
        <v>3271</v>
      </c>
      <c r="J24" s="8" t="s">
        <v>3369</v>
      </c>
      <c r="K24" s="8" t="s">
        <v>3370</v>
      </c>
      <c r="L24" s="8" t="s">
        <v>3371</v>
      </c>
      <c r="M24" s="8" t="s">
        <v>3275</v>
      </c>
      <c r="N24" s="8"/>
      <c r="O24" s="8"/>
      <c r="P24" s="8" t="s">
        <v>3372</v>
      </c>
      <c r="Q24" s="8" t="s">
        <v>3275</v>
      </c>
      <c r="R24" s="8" t="s">
        <v>3373</v>
      </c>
      <c r="S24" s="8" t="s">
        <v>3364</v>
      </c>
    </row>
    <row r="25" spans="1:19" ht="36.950000000000003" customHeight="1" x14ac:dyDescent="0.25">
      <c r="A25" s="8" t="s">
        <v>1799</v>
      </c>
      <c r="B25" s="8" t="s">
        <v>1797</v>
      </c>
      <c r="C25" s="8" t="s">
        <v>3267</v>
      </c>
      <c r="D25" s="8" t="s">
        <v>96</v>
      </c>
      <c r="E25" s="11" t="s">
        <v>3374</v>
      </c>
      <c r="F25" s="8" t="s">
        <v>3269</v>
      </c>
      <c r="G25" s="8" t="s">
        <v>3359</v>
      </c>
      <c r="H25" s="8"/>
      <c r="I25" s="8" t="s">
        <v>3271</v>
      </c>
      <c r="J25" s="8" t="s">
        <v>3272</v>
      </c>
      <c r="K25" s="8" t="s">
        <v>3273</v>
      </c>
      <c r="L25" s="8" t="s">
        <v>3375</v>
      </c>
      <c r="M25" s="8" t="s">
        <v>3275</v>
      </c>
      <c r="N25" s="8"/>
      <c r="O25" s="8"/>
      <c r="P25" s="8" t="s">
        <v>3276</v>
      </c>
      <c r="Q25" s="8" t="s">
        <v>3275</v>
      </c>
      <c r="R25" s="8" t="s">
        <v>3277</v>
      </c>
      <c r="S25" s="8" t="s">
        <v>1799</v>
      </c>
    </row>
    <row r="26" spans="1:19" ht="36.950000000000003" customHeight="1" x14ac:dyDescent="0.25">
      <c r="A26" s="8" t="s">
        <v>1809</v>
      </c>
      <c r="B26" s="8" t="s">
        <v>1803</v>
      </c>
      <c r="C26" s="8" t="s">
        <v>3267</v>
      </c>
      <c r="D26" s="8" t="s">
        <v>96</v>
      </c>
      <c r="E26" s="11" t="s">
        <v>3376</v>
      </c>
      <c r="F26" s="8" t="s">
        <v>3269</v>
      </c>
      <c r="G26" s="8" t="s">
        <v>3359</v>
      </c>
      <c r="H26" s="8"/>
      <c r="I26" s="8" t="s">
        <v>3271</v>
      </c>
      <c r="J26" s="8" t="s">
        <v>3272</v>
      </c>
      <c r="K26" s="8" t="s">
        <v>3273</v>
      </c>
      <c r="L26" s="8" t="s">
        <v>3375</v>
      </c>
      <c r="M26" s="8" t="s">
        <v>3275</v>
      </c>
      <c r="N26" s="8"/>
      <c r="O26" s="8"/>
      <c r="P26" s="8" t="s">
        <v>3276</v>
      </c>
      <c r="Q26" s="8" t="s">
        <v>3275</v>
      </c>
      <c r="R26" s="8" t="s">
        <v>3277</v>
      </c>
      <c r="S26" s="8" t="s">
        <v>1809</v>
      </c>
    </row>
    <row r="27" spans="1:19" ht="36.950000000000003" customHeight="1" x14ac:dyDescent="0.25">
      <c r="A27" s="8" t="s">
        <v>1815</v>
      </c>
      <c r="B27" s="8" t="s">
        <v>1812</v>
      </c>
      <c r="C27" s="8" t="s">
        <v>3267</v>
      </c>
      <c r="D27" s="8" t="s">
        <v>96</v>
      </c>
      <c r="E27" s="11" t="s">
        <v>3377</v>
      </c>
      <c r="F27" s="8" t="s">
        <v>3269</v>
      </c>
      <c r="G27" s="8" t="s">
        <v>3359</v>
      </c>
      <c r="H27" s="8"/>
      <c r="I27" s="8" t="s">
        <v>3271</v>
      </c>
      <c r="J27" s="8" t="s">
        <v>3272</v>
      </c>
      <c r="K27" s="8" t="s">
        <v>3273</v>
      </c>
      <c r="L27" s="8" t="s">
        <v>3375</v>
      </c>
      <c r="M27" s="8" t="s">
        <v>3275</v>
      </c>
      <c r="N27" s="8"/>
      <c r="O27" s="8"/>
      <c r="P27" s="8" t="s">
        <v>3276</v>
      </c>
      <c r="Q27" s="8" t="s">
        <v>3275</v>
      </c>
      <c r="R27" s="8" t="s">
        <v>3277</v>
      </c>
      <c r="S27" s="8" t="s">
        <v>1815</v>
      </c>
    </row>
    <row r="28" spans="1:19" ht="36.950000000000003" customHeight="1" x14ac:dyDescent="0.25">
      <c r="A28" s="8" t="s">
        <v>1829</v>
      </c>
      <c r="B28" s="8" t="s">
        <v>1827</v>
      </c>
      <c r="C28" s="8" t="s">
        <v>3267</v>
      </c>
      <c r="D28" s="8" t="s">
        <v>96</v>
      </c>
      <c r="E28" s="11" t="s">
        <v>3378</v>
      </c>
      <c r="F28" s="8" t="s">
        <v>3269</v>
      </c>
      <c r="G28" s="8" t="s">
        <v>3359</v>
      </c>
      <c r="H28" s="8"/>
      <c r="I28" s="8" t="s">
        <v>3271</v>
      </c>
      <c r="J28" s="8" t="s">
        <v>3272</v>
      </c>
      <c r="K28" s="8" t="s">
        <v>3273</v>
      </c>
      <c r="L28" s="8" t="s">
        <v>3375</v>
      </c>
      <c r="M28" s="8" t="s">
        <v>3275</v>
      </c>
      <c r="N28" s="8"/>
      <c r="O28" s="8"/>
      <c r="P28" s="8" t="s">
        <v>3276</v>
      </c>
      <c r="Q28" s="8" t="s">
        <v>3275</v>
      </c>
      <c r="R28" s="8" t="s">
        <v>3277</v>
      </c>
      <c r="S28" s="8" t="s">
        <v>1829</v>
      </c>
    </row>
    <row r="29" spans="1:19" ht="36.950000000000003" customHeight="1" x14ac:dyDescent="0.25">
      <c r="A29" s="8" t="s">
        <v>1836</v>
      </c>
      <c r="B29" s="8" t="s">
        <v>1832</v>
      </c>
      <c r="C29" s="8" t="s">
        <v>3267</v>
      </c>
      <c r="D29" s="8" t="s">
        <v>96</v>
      </c>
      <c r="E29" s="11" t="s">
        <v>3379</v>
      </c>
      <c r="F29" s="8" t="s">
        <v>3269</v>
      </c>
      <c r="G29" s="8" t="s">
        <v>3359</v>
      </c>
      <c r="H29" s="8"/>
      <c r="I29" s="8" t="s">
        <v>3271</v>
      </c>
      <c r="J29" s="8" t="s">
        <v>3272</v>
      </c>
      <c r="K29" s="8" t="s">
        <v>3273</v>
      </c>
      <c r="L29" s="8" t="s">
        <v>3375</v>
      </c>
      <c r="M29" s="8" t="s">
        <v>3275</v>
      </c>
      <c r="N29" s="8"/>
      <c r="O29" s="8"/>
      <c r="P29" s="8" t="s">
        <v>3276</v>
      </c>
      <c r="Q29" s="8" t="s">
        <v>3275</v>
      </c>
      <c r="R29" s="8" t="s">
        <v>3277</v>
      </c>
      <c r="S29" s="8" t="s">
        <v>1836</v>
      </c>
    </row>
    <row r="30" spans="1:19" ht="36.950000000000003" customHeight="1" x14ac:dyDescent="0.25">
      <c r="A30" s="8" t="s">
        <v>1844</v>
      </c>
      <c r="B30" s="8" t="s">
        <v>1839</v>
      </c>
      <c r="C30" s="8" t="s">
        <v>3267</v>
      </c>
      <c r="D30" s="8" t="s">
        <v>96</v>
      </c>
      <c r="E30" s="11" t="s">
        <v>3380</v>
      </c>
      <c r="F30" s="8" t="s">
        <v>3269</v>
      </c>
      <c r="G30" s="8" t="s">
        <v>3359</v>
      </c>
      <c r="H30" s="8"/>
      <c r="I30" s="8" t="s">
        <v>3271</v>
      </c>
      <c r="J30" s="8" t="s">
        <v>3272</v>
      </c>
      <c r="K30" s="8" t="s">
        <v>3273</v>
      </c>
      <c r="L30" s="8" t="s">
        <v>3375</v>
      </c>
      <c r="M30" s="8" t="s">
        <v>3275</v>
      </c>
      <c r="N30" s="8"/>
      <c r="O30" s="8"/>
      <c r="P30" s="8" t="s">
        <v>3276</v>
      </c>
      <c r="Q30" s="8" t="s">
        <v>3275</v>
      </c>
      <c r="R30" s="8" t="s">
        <v>3277</v>
      </c>
      <c r="S30" s="8" t="s">
        <v>1844</v>
      </c>
    </row>
    <row r="31" spans="1:19" ht="36.950000000000003" customHeight="1" x14ac:dyDescent="0.25">
      <c r="A31" s="8" t="s">
        <v>1850</v>
      </c>
      <c r="B31" s="8" t="s">
        <v>1847</v>
      </c>
      <c r="C31" s="8" t="s">
        <v>3267</v>
      </c>
      <c r="D31" s="8" t="s">
        <v>96</v>
      </c>
      <c r="E31" s="11" t="s">
        <v>3381</v>
      </c>
      <c r="F31" s="8" t="s">
        <v>3269</v>
      </c>
      <c r="G31" s="8" t="s">
        <v>3359</v>
      </c>
      <c r="H31" s="8"/>
      <c r="I31" s="8" t="s">
        <v>3271</v>
      </c>
      <c r="J31" s="8" t="s">
        <v>3272</v>
      </c>
      <c r="K31" s="8" t="s">
        <v>3273</v>
      </c>
      <c r="L31" s="8" t="s">
        <v>3375</v>
      </c>
      <c r="M31" s="8" t="s">
        <v>3275</v>
      </c>
      <c r="N31" s="8"/>
      <c r="O31" s="8"/>
      <c r="P31" s="8" t="s">
        <v>3276</v>
      </c>
      <c r="Q31" s="8" t="s">
        <v>3275</v>
      </c>
      <c r="R31" s="8" t="s">
        <v>3277</v>
      </c>
      <c r="S31" s="8" t="s">
        <v>1850</v>
      </c>
    </row>
    <row r="32" spans="1:19" ht="36.950000000000003" customHeight="1" x14ac:dyDescent="0.25">
      <c r="A32" s="8" t="s">
        <v>1855</v>
      </c>
      <c r="B32" s="8" t="s">
        <v>1853</v>
      </c>
      <c r="C32" s="8" t="s">
        <v>3267</v>
      </c>
      <c r="D32" s="8" t="s">
        <v>96</v>
      </c>
      <c r="E32" s="11" t="s">
        <v>3382</v>
      </c>
      <c r="F32" s="8" t="s">
        <v>3269</v>
      </c>
      <c r="G32" s="8" t="s">
        <v>3359</v>
      </c>
      <c r="H32" s="8"/>
      <c r="I32" s="8" t="s">
        <v>3271</v>
      </c>
      <c r="J32" s="8" t="s">
        <v>3272</v>
      </c>
      <c r="K32" s="8" t="s">
        <v>3273</v>
      </c>
      <c r="L32" s="8" t="s">
        <v>3375</v>
      </c>
      <c r="M32" s="8" t="s">
        <v>3275</v>
      </c>
      <c r="N32" s="8"/>
      <c r="O32" s="8"/>
      <c r="P32" s="8" t="s">
        <v>3276</v>
      </c>
      <c r="Q32" s="8" t="s">
        <v>3275</v>
      </c>
      <c r="R32" s="8" t="s">
        <v>3277</v>
      </c>
      <c r="S32" s="8" t="s">
        <v>1855</v>
      </c>
    </row>
    <row r="33" spans="1:19" ht="36.950000000000003" customHeight="1" x14ac:dyDescent="0.25">
      <c r="A33" s="8" t="s">
        <v>1862</v>
      </c>
      <c r="B33" s="8" t="s">
        <v>1858</v>
      </c>
      <c r="C33" s="8" t="s">
        <v>3267</v>
      </c>
      <c r="D33" s="8" t="s">
        <v>96</v>
      </c>
      <c r="E33" s="11" t="s">
        <v>3383</v>
      </c>
      <c r="F33" s="8" t="s">
        <v>3269</v>
      </c>
      <c r="G33" s="8" t="s">
        <v>3359</v>
      </c>
      <c r="H33" s="8"/>
      <c r="I33" s="8" t="s">
        <v>3271</v>
      </c>
      <c r="J33" s="8" t="s">
        <v>3272</v>
      </c>
      <c r="K33" s="8" t="s">
        <v>3273</v>
      </c>
      <c r="L33" s="8" t="s">
        <v>3375</v>
      </c>
      <c r="M33" s="8" t="s">
        <v>3275</v>
      </c>
      <c r="N33" s="8"/>
      <c r="O33" s="8"/>
      <c r="P33" s="8" t="s">
        <v>3276</v>
      </c>
      <c r="Q33" s="8" t="s">
        <v>3275</v>
      </c>
      <c r="R33" s="8" t="s">
        <v>3277</v>
      </c>
      <c r="S33" s="8" t="s">
        <v>1862</v>
      </c>
    </row>
    <row r="34" spans="1:19" ht="36.950000000000003" customHeight="1" x14ac:dyDescent="0.25">
      <c r="A34" s="8" t="s">
        <v>1869</v>
      </c>
      <c r="B34" s="8" t="s">
        <v>1865</v>
      </c>
      <c r="C34" s="8" t="s">
        <v>3267</v>
      </c>
      <c r="D34" s="8" t="s">
        <v>96</v>
      </c>
      <c r="E34" s="11" t="s">
        <v>3384</v>
      </c>
      <c r="F34" s="8" t="s">
        <v>3385</v>
      </c>
      <c r="G34" s="8" t="s">
        <v>3359</v>
      </c>
      <c r="H34" s="8"/>
      <c r="I34" s="8" t="s">
        <v>3271</v>
      </c>
      <c r="J34" s="8" t="s">
        <v>3272</v>
      </c>
      <c r="K34" s="8" t="s">
        <v>3273</v>
      </c>
      <c r="L34" s="8" t="s">
        <v>3386</v>
      </c>
      <c r="M34" s="8" t="s">
        <v>3275</v>
      </c>
      <c r="N34" s="8"/>
      <c r="O34" s="8"/>
      <c r="P34" s="8" t="s">
        <v>3276</v>
      </c>
      <c r="Q34" s="8" t="s">
        <v>3275</v>
      </c>
      <c r="R34" s="8" t="s">
        <v>3277</v>
      </c>
      <c r="S34" s="8" t="s">
        <v>1869</v>
      </c>
    </row>
    <row r="35" spans="1:19" ht="36.950000000000003" customHeight="1" x14ac:dyDescent="0.25">
      <c r="A35" s="8" t="s">
        <v>1881</v>
      </c>
      <c r="B35" s="8" t="s">
        <v>1880</v>
      </c>
      <c r="C35" s="8" t="s">
        <v>3267</v>
      </c>
      <c r="D35" s="8" t="s">
        <v>96</v>
      </c>
      <c r="E35" s="11" t="s">
        <v>3387</v>
      </c>
      <c r="F35" s="8" t="s">
        <v>3269</v>
      </c>
      <c r="G35" s="8" t="s">
        <v>3359</v>
      </c>
      <c r="H35" s="8"/>
      <c r="I35" s="8" t="s">
        <v>3271</v>
      </c>
      <c r="J35" s="8" t="s">
        <v>3272</v>
      </c>
      <c r="K35" s="8" t="s">
        <v>3273</v>
      </c>
      <c r="L35" s="8" t="s">
        <v>3375</v>
      </c>
      <c r="M35" s="8" t="s">
        <v>3275</v>
      </c>
      <c r="N35" s="8"/>
      <c r="O35" s="8"/>
      <c r="P35" s="8" t="s">
        <v>3276</v>
      </c>
      <c r="Q35" s="8" t="s">
        <v>3275</v>
      </c>
      <c r="R35" s="8" t="s">
        <v>3277</v>
      </c>
      <c r="S35" s="8" t="s">
        <v>1881</v>
      </c>
    </row>
    <row r="36" spans="1:19" ht="36.950000000000003" customHeight="1" x14ac:dyDescent="0.25">
      <c r="A36" s="8" t="s">
        <v>1892</v>
      </c>
      <c r="B36" s="8" t="s">
        <v>1889</v>
      </c>
      <c r="C36" s="8" t="s">
        <v>3267</v>
      </c>
      <c r="D36" s="8" t="s">
        <v>96</v>
      </c>
      <c r="E36" s="11" t="s">
        <v>3388</v>
      </c>
      <c r="F36" s="8" t="s">
        <v>3269</v>
      </c>
      <c r="G36" s="8" t="s">
        <v>3359</v>
      </c>
      <c r="H36" s="8"/>
      <c r="I36" s="8" t="s">
        <v>3271</v>
      </c>
      <c r="J36" s="8" t="s">
        <v>3272</v>
      </c>
      <c r="K36" s="8" t="s">
        <v>3273</v>
      </c>
      <c r="L36" s="8" t="s">
        <v>3375</v>
      </c>
      <c r="M36" s="8" t="s">
        <v>3275</v>
      </c>
      <c r="N36" s="8"/>
      <c r="O36" s="8"/>
      <c r="P36" s="8" t="s">
        <v>3276</v>
      </c>
      <c r="Q36" s="8" t="s">
        <v>3275</v>
      </c>
      <c r="R36" s="8" t="s">
        <v>3277</v>
      </c>
      <c r="S36" s="8" t="s">
        <v>1892</v>
      </c>
    </row>
    <row r="37" spans="1:19" ht="36.950000000000003" customHeight="1" x14ac:dyDescent="0.25">
      <c r="A37" s="8" t="s">
        <v>1899</v>
      </c>
      <c r="B37" s="8" t="s">
        <v>1895</v>
      </c>
      <c r="C37" s="8" t="s">
        <v>3267</v>
      </c>
      <c r="D37" s="8" t="s">
        <v>96</v>
      </c>
      <c r="E37" s="11" t="s">
        <v>3389</v>
      </c>
      <c r="F37" s="8" t="s">
        <v>3269</v>
      </c>
      <c r="G37" s="8" t="s">
        <v>3359</v>
      </c>
      <c r="H37" s="8"/>
      <c r="I37" s="8" t="s">
        <v>3271</v>
      </c>
      <c r="J37" s="8" t="s">
        <v>3272</v>
      </c>
      <c r="K37" s="8" t="s">
        <v>3273</v>
      </c>
      <c r="L37" s="8" t="s">
        <v>3375</v>
      </c>
      <c r="M37" s="8" t="s">
        <v>3275</v>
      </c>
      <c r="N37" s="8"/>
      <c r="O37" s="8"/>
      <c r="P37" s="8" t="s">
        <v>3276</v>
      </c>
      <c r="Q37" s="8" t="s">
        <v>3275</v>
      </c>
      <c r="R37" s="8" t="s">
        <v>3277</v>
      </c>
      <c r="S37" s="8" t="s">
        <v>1899</v>
      </c>
    </row>
    <row r="38" spans="1:19" ht="36.950000000000003" customHeight="1" x14ac:dyDescent="0.25">
      <c r="A38" s="8" t="s">
        <v>1906</v>
      </c>
      <c r="B38" s="8" t="s">
        <v>1903</v>
      </c>
      <c r="C38" s="8" t="s">
        <v>3267</v>
      </c>
      <c r="D38" s="8" t="s">
        <v>96</v>
      </c>
      <c r="E38" s="11" t="s">
        <v>3390</v>
      </c>
      <c r="F38" s="8" t="s">
        <v>3269</v>
      </c>
      <c r="G38" s="8" t="s">
        <v>3359</v>
      </c>
      <c r="H38" s="8"/>
      <c r="I38" s="8" t="s">
        <v>3271</v>
      </c>
      <c r="J38" s="8" t="s">
        <v>3272</v>
      </c>
      <c r="K38" s="8" t="s">
        <v>3273</v>
      </c>
      <c r="L38" s="8" t="s">
        <v>3375</v>
      </c>
      <c r="M38" s="8" t="s">
        <v>3275</v>
      </c>
      <c r="N38" s="8"/>
      <c r="O38" s="8"/>
      <c r="P38" s="8" t="s">
        <v>3276</v>
      </c>
      <c r="Q38" s="8" t="s">
        <v>3275</v>
      </c>
      <c r="R38" s="8" t="s">
        <v>3277</v>
      </c>
      <c r="S38" s="8" t="s">
        <v>1906</v>
      </c>
    </row>
    <row r="39" spans="1:19" ht="36.950000000000003" customHeight="1" x14ac:dyDescent="0.25">
      <c r="A39" s="8" t="s">
        <v>1910</v>
      </c>
      <c r="B39" s="8" t="s">
        <v>1909</v>
      </c>
      <c r="C39" s="8" t="s">
        <v>3267</v>
      </c>
      <c r="D39" s="8" t="s">
        <v>96</v>
      </c>
      <c r="E39" s="11" t="s">
        <v>3391</v>
      </c>
      <c r="F39" s="8" t="s">
        <v>3269</v>
      </c>
      <c r="G39" s="8" t="s">
        <v>3359</v>
      </c>
      <c r="H39" s="8"/>
      <c r="I39" s="8" t="s">
        <v>3271</v>
      </c>
      <c r="J39" s="8" t="s">
        <v>3272</v>
      </c>
      <c r="K39" s="8" t="s">
        <v>3273</v>
      </c>
      <c r="L39" s="8" t="s">
        <v>3375</v>
      </c>
      <c r="M39" s="8" t="s">
        <v>3275</v>
      </c>
      <c r="N39" s="8"/>
      <c r="O39" s="8"/>
      <c r="P39" s="8" t="s">
        <v>3276</v>
      </c>
      <c r="Q39" s="8" t="s">
        <v>3275</v>
      </c>
      <c r="R39" s="8" t="s">
        <v>3277</v>
      </c>
      <c r="S39" s="8" t="s">
        <v>1910</v>
      </c>
    </row>
    <row r="40" spans="1:19" ht="36.950000000000003" customHeight="1" x14ac:dyDescent="0.25">
      <c r="A40" s="8" t="s">
        <v>1916</v>
      </c>
      <c r="B40" s="8" t="s">
        <v>1913</v>
      </c>
      <c r="C40" s="8" t="s">
        <v>3267</v>
      </c>
      <c r="D40" s="8" t="s">
        <v>96</v>
      </c>
      <c r="E40" s="11" t="s">
        <v>3392</v>
      </c>
      <c r="F40" s="8" t="s">
        <v>3269</v>
      </c>
      <c r="G40" s="8" t="s">
        <v>3359</v>
      </c>
      <c r="H40" s="8"/>
      <c r="I40" s="8" t="s">
        <v>3271</v>
      </c>
      <c r="J40" s="8" t="s">
        <v>3272</v>
      </c>
      <c r="K40" s="8" t="s">
        <v>3273</v>
      </c>
      <c r="L40" s="8" t="s">
        <v>3375</v>
      </c>
      <c r="M40" s="8" t="s">
        <v>3275</v>
      </c>
      <c r="N40" s="8"/>
      <c r="O40" s="8"/>
      <c r="P40" s="8" t="s">
        <v>3276</v>
      </c>
      <c r="Q40" s="8" t="s">
        <v>3275</v>
      </c>
      <c r="R40" s="8" t="s">
        <v>3277</v>
      </c>
      <c r="S40" s="8" t="s">
        <v>1916</v>
      </c>
    </row>
    <row r="41" spans="1:19" ht="36.950000000000003" customHeight="1" x14ac:dyDescent="0.25">
      <c r="A41" s="8" t="s">
        <v>1923</v>
      </c>
      <c r="B41" s="8" t="s">
        <v>1920</v>
      </c>
      <c r="C41" s="8" t="s">
        <v>3267</v>
      </c>
      <c r="D41" s="8" t="s">
        <v>96</v>
      </c>
      <c r="E41" s="11" t="s">
        <v>3393</v>
      </c>
      <c r="F41" s="8" t="s">
        <v>3269</v>
      </c>
      <c r="G41" s="8" t="s">
        <v>3359</v>
      </c>
      <c r="H41" s="8"/>
      <c r="I41" s="8" t="s">
        <v>3271</v>
      </c>
      <c r="J41" s="8" t="s">
        <v>3272</v>
      </c>
      <c r="K41" s="8" t="s">
        <v>3273</v>
      </c>
      <c r="L41" s="8" t="s">
        <v>3375</v>
      </c>
      <c r="M41" s="8" t="s">
        <v>3275</v>
      </c>
      <c r="N41" s="8"/>
      <c r="O41" s="8"/>
      <c r="P41" s="8" t="s">
        <v>3276</v>
      </c>
      <c r="Q41" s="8" t="s">
        <v>3275</v>
      </c>
      <c r="R41" s="8" t="s">
        <v>3277</v>
      </c>
      <c r="S41" s="8" t="s">
        <v>1923</v>
      </c>
    </row>
    <row r="42" spans="1:19" ht="36.950000000000003" customHeight="1" x14ac:dyDescent="0.25">
      <c r="A42" s="8" t="s">
        <v>1929</v>
      </c>
      <c r="B42" s="8" t="s">
        <v>1926</v>
      </c>
      <c r="C42" s="8" t="s">
        <v>3267</v>
      </c>
      <c r="D42" s="8" t="s">
        <v>96</v>
      </c>
      <c r="E42" s="11" t="s">
        <v>3394</v>
      </c>
      <c r="F42" s="8" t="s">
        <v>3269</v>
      </c>
      <c r="G42" s="8" t="s">
        <v>3359</v>
      </c>
      <c r="H42" s="8"/>
      <c r="I42" s="8" t="s">
        <v>3271</v>
      </c>
      <c r="J42" s="8" t="s">
        <v>3272</v>
      </c>
      <c r="K42" s="8" t="s">
        <v>3273</v>
      </c>
      <c r="L42" s="8" t="s">
        <v>3375</v>
      </c>
      <c r="M42" s="8" t="s">
        <v>3275</v>
      </c>
      <c r="N42" s="8"/>
      <c r="O42" s="8"/>
      <c r="P42" s="8" t="s">
        <v>3276</v>
      </c>
      <c r="Q42" s="8" t="s">
        <v>3275</v>
      </c>
      <c r="R42" s="8" t="s">
        <v>3277</v>
      </c>
      <c r="S42" s="8" t="s">
        <v>1929</v>
      </c>
    </row>
    <row r="43" spans="1:19" ht="36.950000000000003" customHeight="1" x14ac:dyDescent="0.25">
      <c r="A43" s="8" t="s">
        <v>1935</v>
      </c>
      <c r="B43" s="8" t="s">
        <v>1932</v>
      </c>
      <c r="C43" s="8" t="s">
        <v>3267</v>
      </c>
      <c r="D43" s="8" t="s">
        <v>96</v>
      </c>
      <c r="E43" s="11" t="s">
        <v>3395</v>
      </c>
      <c r="F43" s="8" t="s">
        <v>3269</v>
      </c>
      <c r="G43" s="8" t="s">
        <v>3359</v>
      </c>
      <c r="H43" s="8"/>
      <c r="I43" s="8" t="s">
        <v>3271</v>
      </c>
      <c r="J43" s="8" t="s">
        <v>3272</v>
      </c>
      <c r="K43" s="8" t="s">
        <v>3273</v>
      </c>
      <c r="L43" s="8" t="s">
        <v>3375</v>
      </c>
      <c r="M43" s="8" t="s">
        <v>3275</v>
      </c>
      <c r="N43" s="8"/>
      <c r="O43" s="8"/>
      <c r="P43" s="8" t="s">
        <v>3276</v>
      </c>
      <c r="Q43" s="8" t="s">
        <v>3275</v>
      </c>
      <c r="R43" s="8" t="s">
        <v>3277</v>
      </c>
      <c r="S43" s="8" t="s">
        <v>1935</v>
      </c>
    </row>
    <row r="44" spans="1:19" ht="36.950000000000003" customHeight="1" x14ac:dyDescent="0.25">
      <c r="A44" s="8" t="s">
        <v>1955</v>
      </c>
      <c r="B44" s="8" t="s">
        <v>1953</v>
      </c>
      <c r="C44" s="8" t="s">
        <v>3267</v>
      </c>
      <c r="D44" s="8" t="s">
        <v>96</v>
      </c>
      <c r="E44" s="11" t="s">
        <v>3396</v>
      </c>
      <c r="F44" s="8" t="s">
        <v>3269</v>
      </c>
      <c r="G44" s="8" t="s">
        <v>3359</v>
      </c>
      <c r="H44" s="8"/>
      <c r="I44" s="8" t="s">
        <v>3271</v>
      </c>
      <c r="J44" s="8" t="s">
        <v>3272</v>
      </c>
      <c r="K44" s="8" t="s">
        <v>3273</v>
      </c>
      <c r="L44" s="8" t="s">
        <v>3375</v>
      </c>
      <c r="M44" s="8" t="s">
        <v>3275</v>
      </c>
      <c r="N44" s="8"/>
      <c r="O44" s="8"/>
      <c r="P44" s="8" t="s">
        <v>3276</v>
      </c>
      <c r="Q44" s="8" t="s">
        <v>3275</v>
      </c>
      <c r="R44" s="8" t="s">
        <v>3277</v>
      </c>
      <c r="S44" s="8" t="s">
        <v>1955</v>
      </c>
    </row>
    <row r="45" spans="1:19" ht="36.950000000000003" customHeight="1" x14ac:dyDescent="0.25">
      <c r="A45" s="8" t="s">
        <v>1962</v>
      </c>
      <c r="B45" s="8" t="s">
        <v>1958</v>
      </c>
      <c r="C45" s="8" t="s">
        <v>3267</v>
      </c>
      <c r="D45" s="8" t="s">
        <v>96</v>
      </c>
      <c r="E45" s="11" t="s">
        <v>3397</v>
      </c>
      <c r="F45" s="8" t="s">
        <v>3269</v>
      </c>
      <c r="G45" s="8" t="s">
        <v>3270</v>
      </c>
      <c r="H45" s="15" t="s">
        <v>1685</v>
      </c>
      <c r="I45" s="8" t="s">
        <v>3271</v>
      </c>
      <c r="J45" s="8" t="s">
        <v>3272</v>
      </c>
      <c r="K45" s="8" t="s">
        <v>3273</v>
      </c>
      <c r="L45" s="8" t="s">
        <v>3398</v>
      </c>
      <c r="M45" s="8" t="s">
        <v>3275</v>
      </c>
      <c r="N45" s="8"/>
      <c r="O45" s="8"/>
      <c r="P45" s="8" t="s">
        <v>3276</v>
      </c>
      <c r="Q45" s="8" t="s">
        <v>3275</v>
      </c>
      <c r="R45" s="8" t="s">
        <v>3277</v>
      </c>
      <c r="S45" s="8" t="s">
        <v>1962</v>
      </c>
    </row>
    <row r="46" spans="1:19" ht="36.950000000000003" customHeight="1" x14ac:dyDescent="0.25">
      <c r="A46" s="8" t="s">
        <v>1969</v>
      </c>
      <c r="B46" s="8" t="s">
        <v>1966</v>
      </c>
      <c r="C46" s="8" t="s">
        <v>3267</v>
      </c>
      <c r="D46" s="8" t="s">
        <v>96</v>
      </c>
      <c r="E46" s="11" t="s">
        <v>3399</v>
      </c>
      <c r="F46" s="8" t="s">
        <v>3269</v>
      </c>
      <c r="G46" s="8" t="s">
        <v>3359</v>
      </c>
      <c r="H46" s="8"/>
      <c r="I46" s="8" t="s">
        <v>3271</v>
      </c>
      <c r="J46" s="8" t="s">
        <v>3272</v>
      </c>
      <c r="K46" s="8" t="s">
        <v>3273</v>
      </c>
      <c r="L46" s="8" t="s">
        <v>3375</v>
      </c>
      <c r="M46" s="8" t="s">
        <v>3275</v>
      </c>
      <c r="N46" s="8"/>
      <c r="O46" s="8"/>
      <c r="P46" s="8" t="s">
        <v>3276</v>
      </c>
      <c r="Q46" s="8" t="s">
        <v>3275</v>
      </c>
      <c r="R46" s="8" t="s">
        <v>3277</v>
      </c>
      <c r="S46" s="8" t="s">
        <v>1969</v>
      </c>
    </row>
    <row r="47" spans="1:19" ht="36.950000000000003" customHeight="1" x14ac:dyDescent="0.25">
      <c r="A47" s="8" t="s">
        <v>1975</v>
      </c>
      <c r="B47" s="8" t="s">
        <v>1972</v>
      </c>
      <c r="C47" s="8" t="s">
        <v>3267</v>
      </c>
      <c r="D47" s="8" t="s">
        <v>96</v>
      </c>
      <c r="E47" s="11" t="s">
        <v>3400</v>
      </c>
      <c r="F47" s="8" t="s">
        <v>3269</v>
      </c>
      <c r="G47" s="8" t="s">
        <v>3359</v>
      </c>
      <c r="H47" s="8"/>
      <c r="I47" s="8" t="s">
        <v>3271</v>
      </c>
      <c r="J47" s="8" t="s">
        <v>3272</v>
      </c>
      <c r="K47" s="8" t="s">
        <v>3273</v>
      </c>
      <c r="L47" s="8" t="s">
        <v>3375</v>
      </c>
      <c r="M47" s="8" t="s">
        <v>3275</v>
      </c>
      <c r="N47" s="8"/>
      <c r="O47" s="8"/>
      <c r="P47" s="8" t="s">
        <v>3276</v>
      </c>
      <c r="Q47" s="8" t="s">
        <v>3275</v>
      </c>
      <c r="R47" s="8" t="s">
        <v>3277</v>
      </c>
      <c r="S47" s="8" t="s">
        <v>1975</v>
      </c>
    </row>
    <row r="48" spans="1:19" ht="36.950000000000003" customHeight="1" x14ac:dyDescent="0.25">
      <c r="A48" s="8" t="s">
        <v>1980</v>
      </c>
      <c r="B48" s="8" t="s">
        <v>1978</v>
      </c>
      <c r="C48" s="8" t="s">
        <v>3267</v>
      </c>
      <c r="D48" s="8" t="s">
        <v>96</v>
      </c>
      <c r="E48" s="11" t="s">
        <v>3401</v>
      </c>
      <c r="F48" s="8" t="s">
        <v>3269</v>
      </c>
      <c r="G48" s="8" t="s">
        <v>3359</v>
      </c>
      <c r="H48" s="8"/>
      <c r="I48" s="8" t="s">
        <v>3271</v>
      </c>
      <c r="J48" s="8" t="s">
        <v>3272</v>
      </c>
      <c r="K48" s="8" t="s">
        <v>3273</v>
      </c>
      <c r="L48" s="8" t="s">
        <v>3375</v>
      </c>
      <c r="M48" s="8" t="s">
        <v>3275</v>
      </c>
      <c r="N48" s="8"/>
      <c r="O48" s="8"/>
      <c r="P48" s="8" t="s">
        <v>3276</v>
      </c>
      <c r="Q48" s="8" t="s">
        <v>3275</v>
      </c>
      <c r="R48" s="8" t="s">
        <v>3277</v>
      </c>
      <c r="S48" s="8" t="s">
        <v>1980</v>
      </c>
    </row>
    <row r="49" spans="1:19" ht="36.950000000000003" customHeight="1" x14ac:dyDescent="0.25">
      <c r="A49" s="8" t="s">
        <v>1985</v>
      </c>
      <c r="B49" s="8" t="s">
        <v>1983</v>
      </c>
      <c r="C49" s="8" t="s">
        <v>3267</v>
      </c>
      <c r="D49" s="8" t="s">
        <v>96</v>
      </c>
      <c r="E49" s="11" t="s">
        <v>3402</v>
      </c>
      <c r="F49" s="8" t="s">
        <v>3269</v>
      </c>
      <c r="G49" s="8" t="s">
        <v>3359</v>
      </c>
      <c r="H49" s="8"/>
      <c r="I49" s="8" t="s">
        <v>3271</v>
      </c>
      <c r="J49" s="8" t="s">
        <v>3272</v>
      </c>
      <c r="K49" s="8" t="s">
        <v>3273</v>
      </c>
      <c r="L49" s="8" t="s">
        <v>3375</v>
      </c>
      <c r="M49" s="8" t="s">
        <v>3275</v>
      </c>
      <c r="N49" s="8"/>
      <c r="O49" s="8"/>
      <c r="P49" s="8" t="s">
        <v>3276</v>
      </c>
      <c r="Q49" s="8" t="s">
        <v>3275</v>
      </c>
      <c r="R49" s="8" t="s">
        <v>3277</v>
      </c>
      <c r="S49" s="8" t="s">
        <v>1985</v>
      </c>
    </row>
    <row r="50" spans="1:19" ht="36.950000000000003" customHeight="1" x14ac:dyDescent="0.25">
      <c r="A50" s="8" t="s">
        <v>1993</v>
      </c>
      <c r="B50" s="8" t="s">
        <v>1989</v>
      </c>
      <c r="C50" s="8" t="s">
        <v>3267</v>
      </c>
      <c r="D50" s="8" t="s">
        <v>96</v>
      </c>
      <c r="E50" s="11" t="s">
        <v>3403</v>
      </c>
      <c r="F50" s="8" t="s">
        <v>3269</v>
      </c>
      <c r="G50" s="8" t="s">
        <v>3359</v>
      </c>
      <c r="H50" s="8"/>
      <c r="I50" s="8" t="s">
        <v>3271</v>
      </c>
      <c r="J50" s="8" t="s">
        <v>3272</v>
      </c>
      <c r="K50" s="8" t="s">
        <v>3273</v>
      </c>
      <c r="L50" s="8" t="s">
        <v>3375</v>
      </c>
      <c r="M50" s="8" t="s">
        <v>3275</v>
      </c>
      <c r="N50" s="8"/>
      <c r="O50" s="8"/>
      <c r="P50" s="8" t="s">
        <v>3276</v>
      </c>
      <c r="Q50" s="8" t="s">
        <v>3275</v>
      </c>
      <c r="R50" s="8" t="s">
        <v>3277</v>
      </c>
      <c r="S50" s="8" t="s">
        <v>1993</v>
      </c>
    </row>
    <row r="51" spans="1:19" ht="36.950000000000003" customHeight="1" x14ac:dyDescent="0.25">
      <c r="A51" s="8" t="s">
        <v>1998</v>
      </c>
      <c r="B51" s="8" t="s">
        <v>1996</v>
      </c>
      <c r="C51" s="8" t="s">
        <v>3267</v>
      </c>
      <c r="D51" s="8" t="s">
        <v>96</v>
      </c>
      <c r="E51" s="11" t="s">
        <v>3404</v>
      </c>
      <c r="F51" s="8" t="s">
        <v>3269</v>
      </c>
      <c r="G51" s="8" t="s">
        <v>3359</v>
      </c>
      <c r="H51" s="8"/>
      <c r="I51" s="8" t="s">
        <v>3271</v>
      </c>
      <c r="J51" s="8" t="s">
        <v>3272</v>
      </c>
      <c r="K51" s="8" t="s">
        <v>3273</v>
      </c>
      <c r="L51" s="8" t="s">
        <v>3375</v>
      </c>
      <c r="M51" s="8" t="s">
        <v>3275</v>
      </c>
      <c r="N51" s="8"/>
      <c r="O51" s="8"/>
      <c r="P51" s="8" t="s">
        <v>3276</v>
      </c>
      <c r="Q51" s="8" t="s">
        <v>3275</v>
      </c>
      <c r="R51" s="8" t="s">
        <v>3277</v>
      </c>
      <c r="S51" s="8" t="s">
        <v>1998</v>
      </c>
    </row>
    <row r="52" spans="1:19" ht="36.950000000000003" customHeight="1" x14ac:dyDescent="0.25">
      <c r="A52" s="8" t="s">
        <v>2003</v>
      </c>
      <c r="B52" s="8" t="s">
        <v>2001</v>
      </c>
      <c r="C52" s="8" t="s">
        <v>3267</v>
      </c>
      <c r="D52" s="8" t="s">
        <v>96</v>
      </c>
      <c r="E52" s="11" t="s">
        <v>3405</v>
      </c>
      <c r="F52" s="8" t="s">
        <v>3269</v>
      </c>
      <c r="G52" s="8" t="s">
        <v>3359</v>
      </c>
      <c r="H52" s="8"/>
      <c r="I52" s="8" t="s">
        <v>3271</v>
      </c>
      <c r="J52" s="8" t="s">
        <v>3272</v>
      </c>
      <c r="K52" s="8" t="s">
        <v>3273</v>
      </c>
      <c r="L52" s="8" t="s">
        <v>3375</v>
      </c>
      <c r="M52" s="8" t="s">
        <v>3275</v>
      </c>
      <c r="N52" s="8"/>
      <c r="O52" s="8"/>
      <c r="P52" s="8" t="s">
        <v>3276</v>
      </c>
      <c r="Q52" s="8" t="s">
        <v>3275</v>
      </c>
      <c r="R52" s="8" t="s">
        <v>3277</v>
      </c>
      <c r="S52" s="8" t="s">
        <v>2003</v>
      </c>
    </row>
    <row r="53" spans="1:19" ht="51" customHeight="1" x14ac:dyDescent="0.25">
      <c r="A53" s="8" t="s">
        <v>2008</v>
      </c>
      <c r="B53" s="8" t="s">
        <v>2006</v>
      </c>
      <c r="C53" s="8" t="s">
        <v>3267</v>
      </c>
      <c r="D53" s="8" t="s">
        <v>96</v>
      </c>
      <c r="E53" s="11" t="s">
        <v>3406</v>
      </c>
      <c r="F53" s="8" t="s">
        <v>3269</v>
      </c>
      <c r="G53" s="8" t="s">
        <v>3359</v>
      </c>
      <c r="H53" s="8"/>
      <c r="I53" s="8" t="s">
        <v>3271</v>
      </c>
      <c r="J53" s="8" t="s">
        <v>3272</v>
      </c>
      <c r="K53" s="8" t="s">
        <v>3273</v>
      </c>
      <c r="L53" s="8" t="s">
        <v>3375</v>
      </c>
      <c r="M53" s="8" t="s">
        <v>3275</v>
      </c>
      <c r="N53" s="8"/>
      <c r="O53" s="8"/>
      <c r="P53" s="8" t="s">
        <v>3276</v>
      </c>
      <c r="Q53" s="8" t="s">
        <v>3275</v>
      </c>
      <c r="R53" s="8" t="s">
        <v>3277</v>
      </c>
      <c r="S53" s="8" t="s">
        <v>2008</v>
      </c>
    </row>
    <row r="54" spans="1:19" ht="36.950000000000003" customHeight="1" x14ac:dyDescent="0.25">
      <c r="A54" s="8" t="s">
        <v>2013</v>
      </c>
      <c r="B54" s="8" t="s">
        <v>2011</v>
      </c>
      <c r="C54" s="8" t="s">
        <v>3267</v>
      </c>
      <c r="D54" s="8" t="s">
        <v>96</v>
      </c>
      <c r="E54" s="11" t="s">
        <v>3407</v>
      </c>
      <c r="F54" s="8" t="s">
        <v>3269</v>
      </c>
      <c r="G54" s="8" t="s">
        <v>3359</v>
      </c>
      <c r="H54" s="8"/>
      <c r="I54" s="8" t="s">
        <v>3271</v>
      </c>
      <c r="J54" s="8" t="s">
        <v>3272</v>
      </c>
      <c r="K54" s="8" t="s">
        <v>3273</v>
      </c>
      <c r="L54" s="8" t="s">
        <v>3375</v>
      </c>
      <c r="M54" s="8" t="s">
        <v>3275</v>
      </c>
      <c r="N54" s="8"/>
      <c r="O54" s="8"/>
      <c r="P54" s="8" t="s">
        <v>3276</v>
      </c>
      <c r="Q54" s="8" t="s">
        <v>3275</v>
      </c>
      <c r="R54" s="8" t="s">
        <v>3277</v>
      </c>
      <c r="S54" s="8" t="s">
        <v>2013</v>
      </c>
    </row>
    <row r="55" spans="1:19" ht="36.950000000000003" customHeight="1" x14ac:dyDescent="0.25">
      <c r="A55" s="8" t="s">
        <v>2018</v>
      </c>
      <c r="B55" s="8" t="s">
        <v>2016</v>
      </c>
      <c r="C55" s="8" t="s">
        <v>3267</v>
      </c>
      <c r="D55" s="8" t="s">
        <v>96</v>
      </c>
      <c r="E55" s="11" t="s">
        <v>3408</v>
      </c>
      <c r="F55" s="8" t="s">
        <v>3269</v>
      </c>
      <c r="G55" s="8" t="s">
        <v>3359</v>
      </c>
      <c r="H55" s="8"/>
      <c r="I55" s="8" t="s">
        <v>3271</v>
      </c>
      <c r="J55" s="8" t="s">
        <v>3272</v>
      </c>
      <c r="K55" s="8" t="s">
        <v>3273</v>
      </c>
      <c r="L55" s="8" t="s">
        <v>3375</v>
      </c>
      <c r="M55" s="8" t="s">
        <v>3275</v>
      </c>
      <c r="N55" s="8"/>
      <c r="O55" s="8"/>
      <c r="P55" s="8" t="s">
        <v>3276</v>
      </c>
      <c r="Q55" s="8" t="s">
        <v>3275</v>
      </c>
      <c r="R55" s="8" t="s">
        <v>3277</v>
      </c>
      <c r="S55" s="8" t="s">
        <v>2018</v>
      </c>
    </row>
    <row r="56" spans="1:19" ht="36.950000000000003" customHeight="1" x14ac:dyDescent="0.25">
      <c r="A56" s="8" t="s">
        <v>2023</v>
      </c>
      <c r="B56" s="8" t="s">
        <v>2021</v>
      </c>
      <c r="C56" s="8" t="s">
        <v>3267</v>
      </c>
      <c r="D56" s="8" t="s">
        <v>96</v>
      </c>
      <c r="E56" s="11" t="s">
        <v>3409</v>
      </c>
      <c r="F56" s="8" t="s">
        <v>3269</v>
      </c>
      <c r="G56" s="8" t="s">
        <v>3359</v>
      </c>
      <c r="H56" s="8"/>
      <c r="I56" s="8" t="s">
        <v>3271</v>
      </c>
      <c r="J56" s="8" t="s">
        <v>3272</v>
      </c>
      <c r="K56" s="8" t="s">
        <v>3273</v>
      </c>
      <c r="L56" s="8" t="s">
        <v>3375</v>
      </c>
      <c r="M56" s="8" t="s">
        <v>3275</v>
      </c>
      <c r="N56" s="8"/>
      <c r="O56" s="8"/>
      <c r="P56" s="8" t="s">
        <v>3276</v>
      </c>
      <c r="Q56" s="8" t="s">
        <v>3275</v>
      </c>
      <c r="R56" s="8" t="s">
        <v>3277</v>
      </c>
      <c r="S56" s="8" t="s">
        <v>2023</v>
      </c>
    </row>
    <row r="57" spans="1:19" ht="36.950000000000003" customHeight="1" x14ac:dyDescent="0.25">
      <c r="A57" s="8" t="s">
        <v>2028</v>
      </c>
      <c r="B57" s="8" t="s">
        <v>2026</v>
      </c>
      <c r="C57" s="8" t="s">
        <v>3267</v>
      </c>
      <c r="D57" s="8" t="s">
        <v>96</v>
      </c>
      <c r="E57" s="11" t="s">
        <v>3410</v>
      </c>
      <c r="F57" s="8" t="s">
        <v>3269</v>
      </c>
      <c r="G57" s="8" t="s">
        <v>3359</v>
      </c>
      <c r="H57" s="8"/>
      <c r="I57" s="8" t="s">
        <v>3271</v>
      </c>
      <c r="J57" s="8" t="s">
        <v>3272</v>
      </c>
      <c r="K57" s="8" t="s">
        <v>3273</v>
      </c>
      <c r="L57" s="8" t="s">
        <v>3375</v>
      </c>
      <c r="M57" s="8" t="s">
        <v>3275</v>
      </c>
      <c r="N57" s="8"/>
      <c r="O57" s="8"/>
      <c r="P57" s="8" t="s">
        <v>3276</v>
      </c>
      <c r="Q57" s="8" t="s">
        <v>3275</v>
      </c>
      <c r="R57" s="8" t="s">
        <v>3277</v>
      </c>
      <c r="S57" s="8" t="s">
        <v>2028</v>
      </c>
    </row>
    <row r="58" spans="1:19" ht="36.950000000000003" customHeight="1" x14ac:dyDescent="0.25">
      <c r="A58" s="8" t="s">
        <v>2033</v>
      </c>
      <c r="B58" s="8" t="s">
        <v>2031</v>
      </c>
      <c r="C58" s="8" t="s">
        <v>3267</v>
      </c>
      <c r="D58" s="8" t="s">
        <v>96</v>
      </c>
      <c r="E58" s="11" t="s">
        <v>3411</v>
      </c>
      <c r="F58" s="8" t="s">
        <v>3269</v>
      </c>
      <c r="G58" s="8" t="s">
        <v>3359</v>
      </c>
      <c r="H58" s="8"/>
      <c r="I58" s="8" t="s">
        <v>3271</v>
      </c>
      <c r="J58" s="8" t="s">
        <v>3272</v>
      </c>
      <c r="K58" s="8" t="s">
        <v>3273</v>
      </c>
      <c r="L58" s="8" t="s">
        <v>3375</v>
      </c>
      <c r="M58" s="8" t="s">
        <v>3275</v>
      </c>
      <c r="N58" s="8"/>
      <c r="O58" s="8"/>
      <c r="P58" s="8" t="s">
        <v>3276</v>
      </c>
      <c r="Q58" s="8" t="s">
        <v>3275</v>
      </c>
      <c r="R58" s="8" t="s">
        <v>3277</v>
      </c>
      <c r="S58" s="8" t="s">
        <v>2033</v>
      </c>
    </row>
    <row r="59" spans="1:19" ht="36.950000000000003" customHeight="1" x14ac:dyDescent="0.25">
      <c r="A59" s="8" t="s">
        <v>2044</v>
      </c>
      <c r="B59" s="8" t="s">
        <v>2042</v>
      </c>
      <c r="C59" s="8" t="s">
        <v>3267</v>
      </c>
      <c r="D59" s="8" t="s">
        <v>96</v>
      </c>
      <c r="E59" s="11" t="s">
        <v>3412</v>
      </c>
      <c r="F59" s="8" t="s">
        <v>3269</v>
      </c>
      <c r="G59" s="8" t="s">
        <v>3359</v>
      </c>
      <c r="H59" s="8"/>
      <c r="I59" s="8" t="s">
        <v>3271</v>
      </c>
      <c r="J59" s="8" t="s">
        <v>3272</v>
      </c>
      <c r="K59" s="8" t="s">
        <v>3273</v>
      </c>
      <c r="L59" s="8" t="s">
        <v>3375</v>
      </c>
      <c r="M59" s="8" t="s">
        <v>3275</v>
      </c>
      <c r="N59" s="8"/>
      <c r="O59" s="8"/>
      <c r="P59" s="8" t="s">
        <v>3276</v>
      </c>
      <c r="Q59" s="8" t="s">
        <v>3275</v>
      </c>
      <c r="R59" s="8" t="s">
        <v>3277</v>
      </c>
      <c r="S59" s="8" t="s">
        <v>2044</v>
      </c>
    </row>
    <row r="60" spans="1:19" ht="36.950000000000003" customHeight="1" x14ac:dyDescent="0.25">
      <c r="A60" s="8" t="s">
        <v>2049</v>
      </c>
      <c r="B60" s="8" t="s">
        <v>2047</v>
      </c>
      <c r="C60" s="8" t="s">
        <v>3267</v>
      </c>
      <c r="D60" s="8" t="s">
        <v>96</v>
      </c>
      <c r="E60" s="11" t="s">
        <v>3413</v>
      </c>
      <c r="F60" s="8" t="s">
        <v>3269</v>
      </c>
      <c r="G60" s="8" t="s">
        <v>3359</v>
      </c>
      <c r="H60" s="8"/>
      <c r="I60" s="8" t="s">
        <v>3271</v>
      </c>
      <c r="J60" s="8" t="s">
        <v>3272</v>
      </c>
      <c r="K60" s="8" t="s">
        <v>3273</v>
      </c>
      <c r="L60" s="8" t="s">
        <v>3375</v>
      </c>
      <c r="M60" s="8" t="s">
        <v>3275</v>
      </c>
      <c r="N60" s="8"/>
      <c r="O60" s="8"/>
      <c r="P60" s="8" t="s">
        <v>3276</v>
      </c>
      <c r="Q60" s="8" t="s">
        <v>3275</v>
      </c>
      <c r="R60" s="8" t="s">
        <v>3277</v>
      </c>
      <c r="S60" s="8" t="s">
        <v>2049</v>
      </c>
    </row>
    <row r="61" spans="1:19" ht="36.950000000000003" customHeight="1" x14ac:dyDescent="0.25">
      <c r="A61" s="8" t="s">
        <v>2054</v>
      </c>
      <c r="B61" s="8" t="s">
        <v>2052</v>
      </c>
      <c r="C61" s="8" t="s">
        <v>3267</v>
      </c>
      <c r="D61" s="8" t="s">
        <v>96</v>
      </c>
      <c r="E61" s="11" t="s">
        <v>3414</v>
      </c>
      <c r="F61" s="8" t="s">
        <v>3269</v>
      </c>
      <c r="G61" s="8" t="s">
        <v>3359</v>
      </c>
      <c r="H61" s="8"/>
      <c r="I61" s="8" t="s">
        <v>3271</v>
      </c>
      <c r="J61" s="8" t="s">
        <v>3272</v>
      </c>
      <c r="K61" s="8" t="s">
        <v>3273</v>
      </c>
      <c r="L61" s="8" t="s">
        <v>3375</v>
      </c>
      <c r="M61" s="8" t="s">
        <v>3275</v>
      </c>
      <c r="N61" s="8"/>
      <c r="O61" s="8"/>
      <c r="P61" s="8" t="s">
        <v>3276</v>
      </c>
      <c r="Q61" s="8" t="s">
        <v>3275</v>
      </c>
      <c r="R61" s="8" t="s">
        <v>3277</v>
      </c>
      <c r="S61" s="8" t="s">
        <v>2054</v>
      </c>
    </row>
    <row r="62" spans="1:19" ht="36.950000000000003" customHeight="1" x14ac:dyDescent="0.25">
      <c r="A62" s="8" t="s">
        <v>2059</v>
      </c>
      <c r="B62" s="8" t="s">
        <v>2057</v>
      </c>
      <c r="C62" s="8" t="s">
        <v>3267</v>
      </c>
      <c r="D62" s="8" t="s">
        <v>96</v>
      </c>
      <c r="E62" s="11" t="s">
        <v>3415</v>
      </c>
      <c r="F62" s="8" t="s">
        <v>3269</v>
      </c>
      <c r="G62" s="8" t="s">
        <v>3359</v>
      </c>
      <c r="H62" s="8"/>
      <c r="I62" s="8" t="s">
        <v>3271</v>
      </c>
      <c r="J62" s="8" t="s">
        <v>3272</v>
      </c>
      <c r="K62" s="8" t="s">
        <v>3273</v>
      </c>
      <c r="L62" s="8" t="s">
        <v>3375</v>
      </c>
      <c r="M62" s="8" t="s">
        <v>3275</v>
      </c>
      <c r="N62" s="8"/>
      <c r="O62" s="8"/>
      <c r="P62" s="8" t="s">
        <v>3276</v>
      </c>
      <c r="Q62" s="8" t="s">
        <v>3275</v>
      </c>
      <c r="R62" s="8" t="s">
        <v>3277</v>
      </c>
      <c r="S62" s="8" t="s">
        <v>2059</v>
      </c>
    </row>
    <row r="63" spans="1:19" ht="36.950000000000003" customHeight="1" x14ac:dyDescent="0.25">
      <c r="A63" s="8" t="s">
        <v>2064</v>
      </c>
      <c r="B63" s="8" t="s">
        <v>2062</v>
      </c>
      <c r="C63" s="8" t="s">
        <v>3267</v>
      </c>
      <c r="D63" s="8" t="s">
        <v>96</v>
      </c>
      <c r="E63" s="11" t="s">
        <v>3416</v>
      </c>
      <c r="F63" s="8" t="s">
        <v>3269</v>
      </c>
      <c r="G63" s="8" t="s">
        <v>3359</v>
      </c>
      <c r="H63" s="8"/>
      <c r="I63" s="8" t="s">
        <v>3271</v>
      </c>
      <c r="J63" s="8" t="s">
        <v>3272</v>
      </c>
      <c r="K63" s="8" t="s">
        <v>3273</v>
      </c>
      <c r="L63" s="8" t="s">
        <v>3375</v>
      </c>
      <c r="M63" s="8" t="s">
        <v>3275</v>
      </c>
      <c r="N63" s="8"/>
      <c r="O63" s="8"/>
      <c r="P63" s="8" t="s">
        <v>3276</v>
      </c>
      <c r="Q63" s="8" t="s">
        <v>3275</v>
      </c>
      <c r="R63" s="8" t="s">
        <v>3277</v>
      </c>
      <c r="S63" s="8" t="s">
        <v>2064</v>
      </c>
    </row>
    <row r="64" spans="1:19" ht="36.950000000000003" customHeight="1" x14ac:dyDescent="0.25">
      <c r="A64" s="8" t="s">
        <v>2069</v>
      </c>
      <c r="B64" s="8" t="s">
        <v>2067</v>
      </c>
      <c r="C64" s="8" t="s">
        <v>3267</v>
      </c>
      <c r="D64" s="8" t="s">
        <v>96</v>
      </c>
      <c r="E64" s="11" t="s">
        <v>3417</v>
      </c>
      <c r="F64" s="8" t="s">
        <v>3269</v>
      </c>
      <c r="G64" s="8" t="s">
        <v>3359</v>
      </c>
      <c r="H64" s="8"/>
      <c r="I64" s="8" t="s">
        <v>3271</v>
      </c>
      <c r="J64" s="8" t="s">
        <v>3272</v>
      </c>
      <c r="K64" s="8" t="s">
        <v>3273</v>
      </c>
      <c r="L64" s="8" t="s">
        <v>3375</v>
      </c>
      <c r="M64" s="8" t="s">
        <v>3275</v>
      </c>
      <c r="N64" s="8"/>
      <c r="O64" s="8"/>
      <c r="P64" s="8" t="s">
        <v>3276</v>
      </c>
      <c r="Q64" s="8" t="s">
        <v>3275</v>
      </c>
      <c r="R64" s="8" t="s">
        <v>3277</v>
      </c>
      <c r="S64" s="8" t="s">
        <v>2069</v>
      </c>
    </row>
    <row r="65" spans="1:19" ht="36.950000000000003" customHeight="1" x14ac:dyDescent="0.25">
      <c r="A65" s="8" t="s">
        <v>2075</v>
      </c>
      <c r="B65" s="8" t="s">
        <v>2072</v>
      </c>
      <c r="C65" s="8" t="s">
        <v>3267</v>
      </c>
      <c r="D65" s="8" t="s">
        <v>96</v>
      </c>
      <c r="E65" s="11" t="s">
        <v>3418</v>
      </c>
      <c r="F65" s="8" t="s">
        <v>3269</v>
      </c>
      <c r="G65" s="8" t="s">
        <v>3359</v>
      </c>
      <c r="H65" s="8"/>
      <c r="I65" s="8" t="s">
        <v>3271</v>
      </c>
      <c r="J65" s="8" t="s">
        <v>3272</v>
      </c>
      <c r="K65" s="8" t="s">
        <v>3273</v>
      </c>
      <c r="L65" s="8" t="s">
        <v>3375</v>
      </c>
      <c r="M65" s="8" t="s">
        <v>3275</v>
      </c>
      <c r="N65" s="8"/>
      <c r="O65" s="8"/>
      <c r="P65" s="8" t="s">
        <v>3276</v>
      </c>
      <c r="Q65" s="8" t="s">
        <v>3275</v>
      </c>
      <c r="R65" s="8" t="s">
        <v>3277</v>
      </c>
      <c r="S65" s="8" t="s">
        <v>2075</v>
      </c>
    </row>
    <row r="66" spans="1:19" ht="36.950000000000003" customHeight="1" x14ac:dyDescent="0.25">
      <c r="A66" s="8" t="s">
        <v>3419</v>
      </c>
      <c r="B66" s="8" t="s">
        <v>3420</v>
      </c>
      <c r="C66" s="8" t="s">
        <v>3267</v>
      </c>
      <c r="D66" s="8" t="s">
        <v>96</v>
      </c>
      <c r="E66" s="11" t="s">
        <v>3421</v>
      </c>
      <c r="F66" s="8" t="s">
        <v>3269</v>
      </c>
      <c r="G66" s="8" t="s">
        <v>3359</v>
      </c>
      <c r="H66" s="8"/>
      <c r="I66" s="8" t="s">
        <v>3271</v>
      </c>
      <c r="J66" s="8" t="s">
        <v>3272</v>
      </c>
      <c r="K66" s="8" t="s">
        <v>3273</v>
      </c>
      <c r="L66" s="8" t="s">
        <v>3375</v>
      </c>
      <c r="M66" s="8" t="s">
        <v>3275</v>
      </c>
      <c r="N66" s="8"/>
      <c r="O66" s="8"/>
      <c r="P66" s="8" t="s">
        <v>3276</v>
      </c>
      <c r="Q66" s="8" t="s">
        <v>3275</v>
      </c>
      <c r="R66" s="8" t="s">
        <v>3277</v>
      </c>
      <c r="S66" s="8" t="s">
        <v>3419</v>
      </c>
    </row>
    <row r="67" spans="1:19" ht="36.950000000000003" customHeight="1" x14ac:dyDescent="0.25">
      <c r="A67" s="8" t="s">
        <v>2082</v>
      </c>
      <c r="B67" s="8" t="s">
        <v>3422</v>
      </c>
      <c r="C67" s="8" t="s">
        <v>3267</v>
      </c>
      <c r="D67" s="8" t="s">
        <v>96</v>
      </c>
      <c r="E67" s="11" t="s">
        <v>3423</v>
      </c>
      <c r="F67" s="8" t="s">
        <v>3269</v>
      </c>
      <c r="G67" s="8" t="s">
        <v>3270</v>
      </c>
      <c r="H67" s="15" t="s">
        <v>1685</v>
      </c>
      <c r="I67" s="8" t="s">
        <v>3271</v>
      </c>
      <c r="J67" s="8" t="s">
        <v>3272</v>
      </c>
      <c r="K67" s="8" t="s">
        <v>3273</v>
      </c>
      <c r="L67" s="8" t="s">
        <v>3424</v>
      </c>
      <c r="M67" s="8" t="s">
        <v>3275</v>
      </c>
      <c r="N67" s="8"/>
      <c r="O67" s="8"/>
      <c r="P67" s="8" t="s">
        <v>3276</v>
      </c>
      <c r="Q67" s="8" t="s">
        <v>3275</v>
      </c>
      <c r="R67" s="8" t="s">
        <v>3277</v>
      </c>
      <c r="S67" s="8" t="s">
        <v>2082</v>
      </c>
    </row>
    <row r="68" spans="1:19" ht="36.950000000000003" customHeight="1" x14ac:dyDescent="0.25">
      <c r="A68" s="8" t="s">
        <v>493</v>
      </c>
      <c r="B68" s="8" t="s">
        <v>3425</v>
      </c>
      <c r="C68" s="8" t="s">
        <v>3267</v>
      </c>
      <c r="D68" s="8" t="s">
        <v>3323</v>
      </c>
      <c r="E68" s="11" t="s">
        <v>3426</v>
      </c>
      <c r="F68" s="8" t="s">
        <v>3269</v>
      </c>
      <c r="G68" s="8" t="s">
        <v>3359</v>
      </c>
      <c r="H68" s="8"/>
      <c r="I68" s="8" t="s">
        <v>3271</v>
      </c>
      <c r="J68" s="8" t="s">
        <v>3427</v>
      </c>
      <c r="K68" s="8" t="s">
        <v>3273</v>
      </c>
      <c r="L68" s="8" t="s">
        <v>3375</v>
      </c>
      <c r="M68" s="8" t="s">
        <v>3275</v>
      </c>
      <c r="N68" s="8"/>
      <c r="O68" s="8"/>
      <c r="P68" s="8" t="s">
        <v>3276</v>
      </c>
      <c r="Q68" s="8" t="s">
        <v>3275</v>
      </c>
      <c r="R68" s="8" t="s">
        <v>3277</v>
      </c>
      <c r="S68" s="8" t="s">
        <v>493</v>
      </c>
    </row>
    <row r="69" spans="1:19" ht="36.950000000000003" customHeight="1" x14ac:dyDescent="0.25">
      <c r="A69" s="8" t="s">
        <v>837</v>
      </c>
      <c r="B69" s="8" t="s">
        <v>3428</v>
      </c>
      <c r="C69" s="8" t="s">
        <v>3267</v>
      </c>
      <c r="D69" s="8" t="s">
        <v>3323</v>
      </c>
      <c r="E69" s="11" t="s">
        <v>3429</v>
      </c>
      <c r="F69" s="8" t="s">
        <v>3269</v>
      </c>
      <c r="G69" s="8" t="s">
        <v>3359</v>
      </c>
      <c r="H69" s="8"/>
      <c r="I69" s="8" t="s">
        <v>3271</v>
      </c>
      <c r="J69" s="8" t="s">
        <v>3427</v>
      </c>
      <c r="K69" s="8" t="s">
        <v>3273</v>
      </c>
      <c r="L69" s="8" t="s">
        <v>3375</v>
      </c>
      <c r="M69" s="8" t="s">
        <v>3275</v>
      </c>
      <c r="N69" s="8"/>
      <c r="O69" s="8"/>
      <c r="P69" s="8" t="s">
        <v>3276</v>
      </c>
      <c r="Q69" s="8" t="s">
        <v>3275</v>
      </c>
      <c r="R69" s="8" t="s">
        <v>3277</v>
      </c>
      <c r="S69" s="8" t="s">
        <v>837</v>
      </c>
    </row>
    <row r="70" spans="1:19" ht="36.950000000000003" customHeight="1" x14ac:dyDescent="0.25">
      <c r="A70" s="8" t="s">
        <v>3430</v>
      </c>
      <c r="B70" s="8" t="s">
        <v>3431</v>
      </c>
      <c r="C70" s="8" t="s">
        <v>3267</v>
      </c>
      <c r="D70" s="8" t="s">
        <v>3341</v>
      </c>
      <c r="E70" s="11" t="s">
        <v>3432</v>
      </c>
      <c r="F70" s="8" t="s">
        <v>3269</v>
      </c>
      <c r="G70" s="8" t="s">
        <v>3359</v>
      </c>
      <c r="H70" s="8"/>
      <c r="I70" s="8" t="s">
        <v>3271</v>
      </c>
      <c r="J70" s="8" t="s">
        <v>3427</v>
      </c>
      <c r="K70" s="8" t="s">
        <v>3273</v>
      </c>
      <c r="L70" s="8" t="s">
        <v>3375</v>
      </c>
      <c r="M70" s="8" t="s">
        <v>3275</v>
      </c>
      <c r="N70" s="8"/>
      <c r="O70" s="8"/>
      <c r="P70" s="8" t="s">
        <v>3276</v>
      </c>
      <c r="Q70" s="8" t="s">
        <v>3275</v>
      </c>
      <c r="R70" s="8" t="s">
        <v>3277</v>
      </c>
      <c r="S70" s="8" t="s">
        <v>2237</v>
      </c>
    </row>
    <row r="71" spans="1:19" ht="36.950000000000003" customHeight="1" x14ac:dyDescent="0.25">
      <c r="A71" s="8" t="s">
        <v>973</v>
      </c>
      <c r="B71" s="8" t="s">
        <v>3433</v>
      </c>
      <c r="C71" s="8" t="s">
        <v>3267</v>
      </c>
      <c r="D71" s="8" t="s">
        <v>3323</v>
      </c>
      <c r="E71" s="11" t="s">
        <v>3434</v>
      </c>
      <c r="F71" s="8" t="s">
        <v>3269</v>
      </c>
      <c r="G71" s="8" t="s">
        <v>3359</v>
      </c>
      <c r="H71" s="8"/>
      <c r="I71" s="8" t="s">
        <v>3271</v>
      </c>
      <c r="J71" s="8" t="s">
        <v>3427</v>
      </c>
      <c r="K71" s="8" t="s">
        <v>3273</v>
      </c>
      <c r="L71" s="8" t="s">
        <v>3375</v>
      </c>
      <c r="M71" s="8" t="s">
        <v>3275</v>
      </c>
      <c r="N71" s="8"/>
      <c r="O71" s="8"/>
      <c r="P71" s="8" t="s">
        <v>3276</v>
      </c>
      <c r="Q71" s="8" t="s">
        <v>3275</v>
      </c>
      <c r="R71" s="8" t="s">
        <v>3277</v>
      </c>
      <c r="S71" s="8" t="s">
        <v>973</v>
      </c>
    </row>
    <row r="72" spans="1:19" ht="36.950000000000003" customHeight="1" x14ac:dyDescent="0.25">
      <c r="A72" s="8" t="s">
        <v>818</v>
      </c>
      <c r="B72" s="8" t="s">
        <v>3435</v>
      </c>
      <c r="C72" s="8" t="s">
        <v>3267</v>
      </c>
      <c r="D72" s="8" t="s">
        <v>3323</v>
      </c>
      <c r="E72" s="11" t="s">
        <v>3436</v>
      </c>
      <c r="F72" s="8" t="s">
        <v>3269</v>
      </c>
      <c r="G72" s="8" t="s">
        <v>3359</v>
      </c>
      <c r="H72" s="8"/>
      <c r="I72" s="8" t="s">
        <v>3271</v>
      </c>
      <c r="J72" s="8" t="s">
        <v>3427</v>
      </c>
      <c r="K72" s="8" t="s">
        <v>3273</v>
      </c>
      <c r="L72" s="8" t="s">
        <v>3375</v>
      </c>
      <c r="M72" s="8" t="s">
        <v>3275</v>
      </c>
      <c r="N72" s="8"/>
      <c r="O72" s="8"/>
      <c r="P72" s="8" t="s">
        <v>3276</v>
      </c>
      <c r="Q72" s="8" t="s">
        <v>3275</v>
      </c>
      <c r="R72" s="8" t="s">
        <v>3277</v>
      </c>
      <c r="S72" s="8" t="s">
        <v>818</v>
      </c>
    </row>
    <row r="73" spans="1:19" ht="36.950000000000003" customHeight="1" x14ac:dyDescent="0.25">
      <c r="A73" s="8" t="s">
        <v>2257</v>
      </c>
      <c r="B73" s="8" t="s">
        <v>3437</v>
      </c>
      <c r="C73" s="8" t="s">
        <v>3438</v>
      </c>
      <c r="D73" s="8" t="s">
        <v>3341</v>
      </c>
      <c r="E73" s="11" t="s">
        <v>3439</v>
      </c>
      <c r="F73" s="8" t="s">
        <v>3269</v>
      </c>
      <c r="G73" s="8" t="s">
        <v>3359</v>
      </c>
      <c r="H73" s="8"/>
      <c r="I73" s="8" t="s">
        <v>3271</v>
      </c>
      <c r="J73" s="8" t="s">
        <v>3440</v>
      </c>
      <c r="K73" s="8" t="s">
        <v>3273</v>
      </c>
      <c r="L73" s="8" t="s">
        <v>3375</v>
      </c>
      <c r="M73" s="8" t="s">
        <v>3275</v>
      </c>
      <c r="N73" s="8"/>
      <c r="O73" s="8"/>
      <c r="P73" s="8" t="s">
        <v>3306</v>
      </c>
      <c r="Q73" s="8" t="s">
        <v>3275</v>
      </c>
      <c r="R73" s="8" t="s">
        <v>3277</v>
      </c>
      <c r="S73" s="8" t="s">
        <v>2257</v>
      </c>
    </row>
    <row r="74" spans="1:19" ht="36.950000000000003" customHeight="1" x14ac:dyDescent="0.25">
      <c r="A74" s="8" t="s">
        <v>487</v>
      </c>
      <c r="B74" s="8" t="s">
        <v>3441</v>
      </c>
      <c r="C74" s="8" t="s">
        <v>3438</v>
      </c>
      <c r="D74" s="8" t="s">
        <v>3323</v>
      </c>
      <c r="E74" s="11" t="s">
        <v>3442</v>
      </c>
      <c r="F74" s="8" t="s">
        <v>3269</v>
      </c>
      <c r="G74" s="8" t="s">
        <v>3359</v>
      </c>
      <c r="H74" s="8"/>
      <c r="I74" s="8" t="s">
        <v>3271</v>
      </c>
      <c r="J74" s="8" t="s">
        <v>3440</v>
      </c>
      <c r="K74" s="8" t="s">
        <v>3273</v>
      </c>
      <c r="L74" s="8" t="s">
        <v>3375</v>
      </c>
      <c r="M74" s="8" t="s">
        <v>3275</v>
      </c>
      <c r="N74" s="8"/>
      <c r="O74" s="8"/>
      <c r="P74" s="8" t="s">
        <v>3306</v>
      </c>
      <c r="Q74" s="8" t="s">
        <v>3275</v>
      </c>
      <c r="R74" s="8" t="s">
        <v>3277</v>
      </c>
      <c r="S74" s="8" t="s">
        <v>487</v>
      </c>
    </row>
    <row r="75" spans="1:19" ht="36.950000000000003" customHeight="1" x14ac:dyDescent="0.25">
      <c r="A75" s="8" t="s">
        <v>3443</v>
      </c>
      <c r="B75" s="8" t="s">
        <v>3444</v>
      </c>
      <c r="C75" s="8" t="s">
        <v>3438</v>
      </c>
      <c r="D75" s="8" t="s">
        <v>3341</v>
      </c>
      <c r="E75" s="11" t="s">
        <v>3445</v>
      </c>
      <c r="F75" s="8" t="s">
        <v>3269</v>
      </c>
      <c r="G75" s="8" t="s">
        <v>3359</v>
      </c>
      <c r="H75" s="8"/>
      <c r="I75" s="8" t="s">
        <v>3271</v>
      </c>
      <c r="J75" s="8" t="s">
        <v>3440</v>
      </c>
      <c r="K75" s="8" t="s">
        <v>3273</v>
      </c>
      <c r="L75" s="8" t="s">
        <v>3375</v>
      </c>
      <c r="M75" s="8" t="s">
        <v>3275</v>
      </c>
      <c r="N75" s="8"/>
      <c r="O75" s="8"/>
      <c r="P75" s="8" t="s">
        <v>3306</v>
      </c>
      <c r="Q75" s="8" t="s">
        <v>3275</v>
      </c>
      <c r="R75" s="8" t="s">
        <v>3277</v>
      </c>
      <c r="S75" s="8" t="s">
        <v>3443</v>
      </c>
    </row>
    <row r="76" spans="1:19" ht="36.950000000000003" customHeight="1" x14ac:dyDescent="0.25">
      <c r="A76" s="8" t="s">
        <v>647</v>
      </c>
      <c r="B76" s="8" t="s">
        <v>3446</v>
      </c>
      <c r="C76" s="8" t="s">
        <v>3267</v>
      </c>
      <c r="D76" s="8" t="s">
        <v>3323</v>
      </c>
      <c r="E76" s="11" t="s">
        <v>3447</v>
      </c>
      <c r="F76" s="8" t="s">
        <v>3269</v>
      </c>
      <c r="G76" s="8" t="s">
        <v>3359</v>
      </c>
      <c r="H76" s="8"/>
      <c r="I76" s="8" t="s">
        <v>3271</v>
      </c>
      <c r="J76" s="8" t="s">
        <v>3427</v>
      </c>
      <c r="K76" s="8" t="s">
        <v>3273</v>
      </c>
      <c r="L76" s="8" t="s">
        <v>3375</v>
      </c>
      <c r="M76" s="8" t="s">
        <v>3275</v>
      </c>
      <c r="N76" s="8"/>
      <c r="O76" s="8"/>
      <c r="P76" s="8" t="s">
        <v>3276</v>
      </c>
      <c r="Q76" s="8" t="s">
        <v>3275</v>
      </c>
      <c r="R76" s="8" t="s">
        <v>3277</v>
      </c>
      <c r="S76" s="8" t="s">
        <v>647</v>
      </c>
    </row>
    <row r="77" spans="1:19" ht="36.950000000000003" customHeight="1" x14ac:dyDescent="0.25">
      <c r="A77" s="8" t="s">
        <v>411</v>
      </c>
      <c r="B77" s="8" t="s">
        <v>3448</v>
      </c>
      <c r="C77" s="8" t="s">
        <v>3267</v>
      </c>
      <c r="D77" s="8" t="s">
        <v>3323</v>
      </c>
      <c r="E77" s="11" t="s">
        <v>3449</v>
      </c>
      <c r="F77" s="8" t="s">
        <v>3269</v>
      </c>
      <c r="G77" s="8" t="s">
        <v>3359</v>
      </c>
      <c r="H77" s="8"/>
      <c r="I77" s="8" t="s">
        <v>3271</v>
      </c>
      <c r="J77" s="8" t="s">
        <v>3427</v>
      </c>
      <c r="K77" s="8" t="s">
        <v>3273</v>
      </c>
      <c r="L77" s="8" t="s">
        <v>3375</v>
      </c>
      <c r="M77" s="8" t="s">
        <v>3275</v>
      </c>
      <c r="N77" s="8"/>
      <c r="O77" s="8"/>
      <c r="P77" s="8" t="s">
        <v>3276</v>
      </c>
      <c r="Q77" s="8" t="s">
        <v>3275</v>
      </c>
      <c r="R77" s="8" t="s">
        <v>3277</v>
      </c>
      <c r="S77" s="8" t="s">
        <v>411</v>
      </c>
    </row>
    <row r="78" spans="1:19" ht="51" customHeight="1" x14ac:dyDescent="0.25">
      <c r="A78" s="8" t="s">
        <v>420</v>
      </c>
      <c r="B78" s="8" t="s">
        <v>3450</v>
      </c>
      <c r="C78" s="8" t="s">
        <v>3267</v>
      </c>
      <c r="D78" s="8" t="s">
        <v>3451</v>
      </c>
      <c r="E78" s="11" t="s">
        <v>3452</v>
      </c>
      <c r="F78" s="8" t="s">
        <v>3269</v>
      </c>
      <c r="G78" s="8" t="s">
        <v>3453</v>
      </c>
      <c r="H78" s="15" t="s">
        <v>1685</v>
      </c>
      <c r="I78" s="8" t="s">
        <v>3271</v>
      </c>
      <c r="J78" s="8" t="s">
        <v>3427</v>
      </c>
      <c r="K78" s="8" t="s">
        <v>3273</v>
      </c>
      <c r="L78" s="8" t="s">
        <v>3454</v>
      </c>
      <c r="M78" s="8" t="s">
        <v>3455</v>
      </c>
      <c r="N78" s="8"/>
      <c r="O78" s="8"/>
      <c r="P78" s="8" t="s">
        <v>3456</v>
      </c>
      <c r="Q78" s="8" t="s">
        <v>3457</v>
      </c>
      <c r="R78" s="8" t="s">
        <v>3458</v>
      </c>
      <c r="S78" s="8" t="s">
        <v>420</v>
      </c>
    </row>
    <row r="79" spans="1:19" ht="36.950000000000003" customHeight="1" x14ac:dyDescent="0.25">
      <c r="A79" s="8" t="s">
        <v>993</v>
      </c>
      <c r="B79" s="8" t="s">
        <v>3459</v>
      </c>
      <c r="C79" s="8" t="s">
        <v>3438</v>
      </c>
      <c r="D79" s="8" t="s">
        <v>3323</v>
      </c>
      <c r="E79" s="11" t="s">
        <v>3460</v>
      </c>
      <c r="F79" s="8" t="s">
        <v>3269</v>
      </c>
      <c r="G79" s="8" t="s">
        <v>3359</v>
      </c>
      <c r="H79" s="8"/>
      <c r="I79" s="8" t="s">
        <v>3271</v>
      </c>
      <c r="J79" s="8" t="s">
        <v>3440</v>
      </c>
      <c r="K79" s="8" t="s">
        <v>3273</v>
      </c>
      <c r="L79" s="8" t="s">
        <v>3375</v>
      </c>
      <c r="M79" s="8" t="s">
        <v>3275</v>
      </c>
      <c r="N79" s="8"/>
      <c r="O79" s="8"/>
      <c r="P79" s="8" t="s">
        <v>3306</v>
      </c>
      <c r="Q79" s="8" t="s">
        <v>3275</v>
      </c>
      <c r="R79" s="8" t="s">
        <v>3277</v>
      </c>
      <c r="S79" s="8" t="s">
        <v>993</v>
      </c>
    </row>
    <row r="80" spans="1:19" ht="36.950000000000003" customHeight="1" x14ac:dyDescent="0.25">
      <c r="A80" s="8" t="s">
        <v>704</v>
      </c>
      <c r="B80" s="8" t="s">
        <v>3461</v>
      </c>
      <c r="C80" s="8" t="s">
        <v>3267</v>
      </c>
      <c r="D80" s="8" t="s">
        <v>3323</v>
      </c>
      <c r="E80" s="11" t="s">
        <v>3462</v>
      </c>
      <c r="F80" s="8" t="s">
        <v>3269</v>
      </c>
      <c r="G80" s="8" t="s">
        <v>3359</v>
      </c>
      <c r="H80" s="8"/>
      <c r="I80" s="8" t="s">
        <v>3271</v>
      </c>
      <c r="J80" s="8" t="s">
        <v>3427</v>
      </c>
      <c r="K80" s="8" t="s">
        <v>3273</v>
      </c>
      <c r="L80" s="8" t="s">
        <v>3375</v>
      </c>
      <c r="M80" s="8" t="s">
        <v>3275</v>
      </c>
      <c r="N80" s="8"/>
      <c r="O80" s="8"/>
      <c r="P80" s="8" t="s">
        <v>3276</v>
      </c>
      <c r="Q80" s="8" t="s">
        <v>3275</v>
      </c>
      <c r="R80" s="8" t="s">
        <v>3277</v>
      </c>
      <c r="S80" s="8" t="s">
        <v>704</v>
      </c>
    </row>
    <row r="81" spans="1:19" ht="51" customHeight="1" x14ac:dyDescent="0.25">
      <c r="A81" s="8" t="s">
        <v>472</v>
      </c>
      <c r="B81" s="8" t="s">
        <v>3463</v>
      </c>
      <c r="C81" s="8" t="s">
        <v>3438</v>
      </c>
      <c r="D81" s="8" t="s">
        <v>3323</v>
      </c>
      <c r="E81" s="11" t="s">
        <v>3464</v>
      </c>
      <c r="F81" s="8" t="s">
        <v>3269</v>
      </c>
      <c r="G81" s="8" t="s">
        <v>3359</v>
      </c>
      <c r="H81" s="8"/>
      <c r="I81" s="8" t="s">
        <v>3271</v>
      </c>
      <c r="J81" s="8" t="s">
        <v>3440</v>
      </c>
      <c r="K81" s="8" t="s">
        <v>3273</v>
      </c>
      <c r="L81" s="8" t="s">
        <v>3375</v>
      </c>
      <c r="M81" s="8" t="s">
        <v>3275</v>
      </c>
      <c r="N81" s="8"/>
      <c r="O81" s="8"/>
      <c r="P81" s="8" t="s">
        <v>3306</v>
      </c>
      <c r="Q81" s="8" t="s">
        <v>3275</v>
      </c>
      <c r="R81" s="8" t="s">
        <v>3277</v>
      </c>
      <c r="S81" s="8" t="s">
        <v>472</v>
      </c>
    </row>
    <row r="82" spans="1:19" ht="36.950000000000003" customHeight="1" x14ac:dyDescent="0.25">
      <c r="A82" s="8" t="s">
        <v>2308</v>
      </c>
      <c r="B82" s="8" t="s">
        <v>3465</v>
      </c>
      <c r="C82" s="8" t="s">
        <v>3267</v>
      </c>
      <c r="D82" s="8" t="s">
        <v>3323</v>
      </c>
      <c r="E82" s="11" t="s">
        <v>3466</v>
      </c>
      <c r="F82" s="8" t="s">
        <v>3269</v>
      </c>
      <c r="G82" s="8" t="s">
        <v>3359</v>
      </c>
      <c r="H82" s="8"/>
      <c r="I82" s="8" t="s">
        <v>3271</v>
      </c>
      <c r="J82" s="8" t="s">
        <v>3427</v>
      </c>
      <c r="K82" s="8" t="s">
        <v>3273</v>
      </c>
      <c r="L82" s="8" t="s">
        <v>3375</v>
      </c>
      <c r="M82" s="8" t="s">
        <v>3275</v>
      </c>
      <c r="N82" s="8"/>
      <c r="O82" s="8"/>
      <c r="P82" s="8" t="s">
        <v>3276</v>
      </c>
      <c r="Q82" s="8" t="s">
        <v>3275</v>
      </c>
      <c r="R82" s="8" t="s">
        <v>3277</v>
      </c>
      <c r="S82" s="8" t="s">
        <v>2308</v>
      </c>
    </row>
    <row r="83" spans="1:19" ht="51" customHeight="1" x14ac:dyDescent="0.25">
      <c r="A83" s="8" t="s">
        <v>968</v>
      </c>
      <c r="B83" s="8" t="s">
        <v>3467</v>
      </c>
      <c r="C83" s="8" t="s">
        <v>3438</v>
      </c>
      <c r="D83" s="8" t="s">
        <v>3323</v>
      </c>
      <c r="E83" s="11" t="s">
        <v>3468</v>
      </c>
      <c r="F83" s="8" t="s">
        <v>3269</v>
      </c>
      <c r="G83" s="8" t="s">
        <v>3359</v>
      </c>
      <c r="H83" s="8"/>
      <c r="I83" s="8" t="s">
        <v>3271</v>
      </c>
      <c r="J83" s="8" t="s">
        <v>3440</v>
      </c>
      <c r="K83" s="8" t="s">
        <v>3273</v>
      </c>
      <c r="L83" s="8" t="s">
        <v>3375</v>
      </c>
      <c r="M83" s="8" t="s">
        <v>3275</v>
      </c>
      <c r="N83" s="8"/>
      <c r="O83" s="8"/>
      <c r="P83" s="8" t="s">
        <v>3306</v>
      </c>
      <c r="Q83" s="8" t="s">
        <v>3275</v>
      </c>
      <c r="R83" s="8" t="s">
        <v>3277</v>
      </c>
      <c r="S83" s="8" t="s">
        <v>968</v>
      </c>
    </row>
    <row r="84" spans="1:19" ht="51" customHeight="1" x14ac:dyDescent="0.25">
      <c r="A84" s="8" t="s">
        <v>427</v>
      </c>
      <c r="B84" s="8" t="s">
        <v>3469</v>
      </c>
      <c r="C84" s="8" t="s">
        <v>3438</v>
      </c>
      <c r="D84" s="8" t="s">
        <v>3323</v>
      </c>
      <c r="E84" s="11" t="s">
        <v>3470</v>
      </c>
      <c r="F84" s="8" t="s">
        <v>3269</v>
      </c>
      <c r="G84" s="8" t="s">
        <v>3359</v>
      </c>
      <c r="H84" s="8"/>
      <c r="I84" s="8" t="s">
        <v>3271</v>
      </c>
      <c r="J84" s="8" t="s">
        <v>3440</v>
      </c>
      <c r="K84" s="8" t="s">
        <v>3273</v>
      </c>
      <c r="L84" s="8" t="s">
        <v>3375</v>
      </c>
      <c r="M84" s="8" t="s">
        <v>3275</v>
      </c>
      <c r="N84" s="8"/>
      <c r="O84" s="8"/>
      <c r="P84" s="8" t="s">
        <v>3276</v>
      </c>
      <c r="Q84" s="8" t="s">
        <v>3275</v>
      </c>
      <c r="R84" s="8" t="s">
        <v>3277</v>
      </c>
      <c r="S84" s="8" t="s">
        <v>427</v>
      </c>
    </row>
    <row r="85" spans="1:19" ht="36.950000000000003" customHeight="1" x14ac:dyDescent="0.25">
      <c r="A85" s="8" t="s">
        <v>765</v>
      </c>
      <c r="B85" s="8" t="s">
        <v>3471</v>
      </c>
      <c r="C85" s="8" t="s">
        <v>3267</v>
      </c>
      <c r="D85" s="8" t="s">
        <v>3323</v>
      </c>
      <c r="E85" s="11" t="s">
        <v>3472</v>
      </c>
      <c r="F85" s="8" t="s">
        <v>3269</v>
      </c>
      <c r="G85" s="8" t="s">
        <v>3359</v>
      </c>
      <c r="H85" s="8"/>
      <c r="I85" s="8" t="s">
        <v>3271</v>
      </c>
      <c r="J85" s="8" t="s">
        <v>3427</v>
      </c>
      <c r="K85" s="8" t="s">
        <v>3273</v>
      </c>
      <c r="L85" s="8" t="s">
        <v>3375</v>
      </c>
      <c r="M85" s="8" t="s">
        <v>3275</v>
      </c>
      <c r="N85" s="8"/>
      <c r="O85" s="8"/>
      <c r="P85" s="8" t="s">
        <v>3276</v>
      </c>
      <c r="Q85" s="8" t="s">
        <v>3275</v>
      </c>
      <c r="R85" s="8" t="s">
        <v>3277</v>
      </c>
      <c r="S85" s="8" t="s">
        <v>765</v>
      </c>
    </row>
    <row r="86" spans="1:19" ht="36.950000000000003" customHeight="1" x14ac:dyDescent="0.25">
      <c r="A86" s="8" t="s">
        <v>1034</v>
      </c>
      <c r="B86" s="8" t="s">
        <v>3473</v>
      </c>
      <c r="C86" s="8" t="s">
        <v>3267</v>
      </c>
      <c r="D86" s="8" t="s">
        <v>3323</v>
      </c>
      <c r="E86" s="11" t="s">
        <v>3474</v>
      </c>
      <c r="F86" s="8" t="s">
        <v>3269</v>
      </c>
      <c r="G86" s="8" t="s">
        <v>3359</v>
      </c>
      <c r="H86" s="8"/>
      <c r="I86" s="8" t="s">
        <v>3271</v>
      </c>
      <c r="J86" s="8" t="s">
        <v>3427</v>
      </c>
      <c r="K86" s="8" t="s">
        <v>3273</v>
      </c>
      <c r="L86" s="8" t="s">
        <v>3375</v>
      </c>
      <c r="M86" s="8" t="s">
        <v>3275</v>
      </c>
      <c r="N86" s="8"/>
      <c r="O86" s="8"/>
      <c r="P86" s="8" t="s">
        <v>3276</v>
      </c>
      <c r="Q86" s="8" t="s">
        <v>3275</v>
      </c>
      <c r="R86" s="8" t="s">
        <v>3277</v>
      </c>
      <c r="S86" s="8" t="s">
        <v>1034</v>
      </c>
    </row>
    <row r="87" spans="1:19" ht="36.950000000000003" customHeight="1" x14ac:dyDescent="0.25">
      <c r="A87" s="8" t="s">
        <v>2348</v>
      </c>
      <c r="B87" s="8" t="s">
        <v>3475</v>
      </c>
      <c r="C87" s="8" t="s">
        <v>3267</v>
      </c>
      <c r="D87" s="8" t="s">
        <v>3341</v>
      </c>
      <c r="E87" s="11" t="s">
        <v>3476</v>
      </c>
      <c r="F87" s="8" t="s">
        <v>3269</v>
      </c>
      <c r="G87" s="8" t="s">
        <v>3359</v>
      </c>
      <c r="H87" s="8"/>
      <c r="I87" s="8" t="s">
        <v>3271</v>
      </c>
      <c r="J87" s="8" t="s">
        <v>3427</v>
      </c>
      <c r="K87" s="8" t="s">
        <v>3273</v>
      </c>
      <c r="L87" s="8" t="s">
        <v>3375</v>
      </c>
      <c r="M87" s="8" t="s">
        <v>3275</v>
      </c>
      <c r="N87" s="8"/>
      <c r="O87" s="8"/>
      <c r="P87" s="8" t="s">
        <v>3276</v>
      </c>
      <c r="Q87" s="8" t="s">
        <v>3275</v>
      </c>
      <c r="R87" s="8" t="s">
        <v>3277</v>
      </c>
      <c r="S87" s="8" t="s">
        <v>2348</v>
      </c>
    </row>
    <row r="88" spans="1:19" ht="51" customHeight="1" x14ac:dyDescent="0.25">
      <c r="A88" s="8" t="s">
        <v>584</v>
      </c>
      <c r="B88" s="8" t="s">
        <v>3477</v>
      </c>
      <c r="C88" s="8" t="s">
        <v>3267</v>
      </c>
      <c r="D88" s="8" t="s">
        <v>3323</v>
      </c>
      <c r="E88" s="11" t="s">
        <v>3478</v>
      </c>
      <c r="F88" s="8" t="s">
        <v>3269</v>
      </c>
      <c r="G88" s="8" t="s">
        <v>3359</v>
      </c>
      <c r="H88" s="8"/>
      <c r="I88" s="8" t="s">
        <v>3271</v>
      </c>
      <c r="J88" s="8" t="s">
        <v>3427</v>
      </c>
      <c r="K88" s="8" t="s">
        <v>3273</v>
      </c>
      <c r="L88" s="8" t="s">
        <v>3375</v>
      </c>
      <c r="M88" s="8" t="s">
        <v>3275</v>
      </c>
      <c r="N88" s="8"/>
      <c r="O88" s="8"/>
      <c r="P88" s="8" t="s">
        <v>3276</v>
      </c>
      <c r="Q88" s="8" t="s">
        <v>3275</v>
      </c>
      <c r="R88" s="8" t="s">
        <v>3335</v>
      </c>
      <c r="S88" s="8" t="s">
        <v>584</v>
      </c>
    </row>
    <row r="89" spans="1:19" ht="65.099999999999994" customHeight="1" x14ac:dyDescent="0.25">
      <c r="A89" s="8" t="s">
        <v>2365</v>
      </c>
      <c r="B89" s="8" t="s">
        <v>3479</v>
      </c>
      <c r="C89" s="8" t="s">
        <v>3438</v>
      </c>
      <c r="D89" s="8" t="s">
        <v>3341</v>
      </c>
      <c r="E89" s="11" t="s">
        <v>3480</v>
      </c>
      <c r="F89" s="8" t="s">
        <v>3269</v>
      </c>
      <c r="G89" s="8" t="s">
        <v>3359</v>
      </c>
      <c r="H89" s="8"/>
      <c r="I89" s="8" t="s">
        <v>3271</v>
      </c>
      <c r="J89" s="8" t="s">
        <v>3440</v>
      </c>
      <c r="K89" s="8" t="s">
        <v>3273</v>
      </c>
      <c r="L89" s="8" t="s">
        <v>3375</v>
      </c>
      <c r="M89" s="8" t="s">
        <v>3275</v>
      </c>
      <c r="N89" s="8"/>
      <c r="O89" s="8"/>
      <c r="P89" s="8" t="s">
        <v>3306</v>
      </c>
      <c r="Q89" s="8" t="s">
        <v>3275</v>
      </c>
      <c r="R89" s="8" t="s">
        <v>3277</v>
      </c>
      <c r="S89" s="8" t="s">
        <v>2365</v>
      </c>
    </row>
    <row r="90" spans="1:19" ht="36.950000000000003" customHeight="1" x14ac:dyDescent="0.25">
      <c r="A90" s="8" t="s">
        <v>2371</v>
      </c>
      <c r="B90" s="8" t="s">
        <v>3481</v>
      </c>
      <c r="C90" s="8" t="s">
        <v>3267</v>
      </c>
      <c r="D90" s="8" t="s">
        <v>3341</v>
      </c>
      <c r="E90" s="11" t="s">
        <v>3482</v>
      </c>
      <c r="F90" s="8" t="s">
        <v>3269</v>
      </c>
      <c r="G90" s="8" t="s">
        <v>3359</v>
      </c>
      <c r="H90" s="8"/>
      <c r="I90" s="8" t="s">
        <v>3271</v>
      </c>
      <c r="J90" s="8" t="s">
        <v>3427</v>
      </c>
      <c r="K90" s="8" t="s">
        <v>3273</v>
      </c>
      <c r="L90" s="8" t="s">
        <v>3375</v>
      </c>
      <c r="M90" s="8" t="s">
        <v>3275</v>
      </c>
      <c r="N90" s="8"/>
      <c r="O90" s="8"/>
      <c r="P90" s="8" t="s">
        <v>3276</v>
      </c>
      <c r="Q90" s="8" t="s">
        <v>3275</v>
      </c>
      <c r="R90" s="8" t="s">
        <v>3277</v>
      </c>
      <c r="S90" s="8" t="s">
        <v>2371</v>
      </c>
    </row>
    <row r="91" spans="1:19" ht="36.950000000000003" customHeight="1" x14ac:dyDescent="0.25">
      <c r="A91" s="8" t="s">
        <v>2377</v>
      </c>
      <c r="B91" s="8" t="s">
        <v>3483</v>
      </c>
      <c r="C91" s="8" t="s">
        <v>3267</v>
      </c>
      <c r="D91" s="8" t="s">
        <v>3341</v>
      </c>
      <c r="E91" s="11" t="s">
        <v>3484</v>
      </c>
      <c r="F91" s="8" t="s">
        <v>3269</v>
      </c>
      <c r="G91" s="8" t="s">
        <v>3359</v>
      </c>
      <c r="H91" s="8"/>
      <c r="I91" s="8" t="s">
        <v>3271</v>
      </c>
      <c r="J91" s="8" t="s">
        <v>3427</v>
      </c>
      <c r="K91" s="8" t="s">
        <v>3273</v>
      </c>
      <c r="L91" s="8" t="s">
        <v>3375</v>
      </c>
      <c r="M91" s="8" t="s">
        <v>3275</v>
      </c>
      <c r="N91" s="8"/>
      <c r="O91" s="8"/>
      <c r="P91" s="8" t="s">
        <v>3276</v>
      </c>
      <c r="Q91" s="8" t="s">
        <v>3275</v>
      </c>
      <c r="R91" s="8" t="s">
        <v>3277</v>
      </c>
      <c r="S91" s="8" t="s">
        <v>2377</v>
      </c>
    </row>
    <row r="92" spans="1:19" ht="51" customHeight="1" x14ac:dyDescent="0.25">
      <c r="A92" s="8" t="s">
        <v>2384</v>
      </c>
      <c r="B92" s="8" t="s">
        <v>3485</v>
      </c>
      <c r="C92" s="8" t="s">
        <v>3438</v>
      </c>
      <c r="D92" s="8" t="s">
        <v>3341</v>
      </c>
      <c r="E92" s="11" t="s">
        <v>3486</v>
      </c>
      <c r="F92" s="8" t="s">
        <v>3269</v>
      </c>
      <c r="G92" s="8" t="s">
        <v>3359</v>
      </c>
      <c r="H92" s="8"/>
      <c r="I92" s="8" t="s">
        <v>3271</v>
      </c>
      <c r="J92" s="8" t="s">
        <v>3440</v>
      </c>
      <c r="K92" s="8" t="s">
        <v>3273</v>
      </c>
      <c r="L92" s="8" t="s">
        <v>3375</v>
      </c>
      <c r="M92" s="8" t="s">
        <v>3275</v>
      </c>
      <c r="N92" s="8"/>
      <c r="O92" s="8"/>
      <c r="P92" s="8" t="s">
        <v>3276</v>
      </c>
      <c r="Q92" s="8" t="s">
        <v>3275</v>
      </c>
      <c r="R92" s="8" t="s">
        <v>3335</v>
      </c>
      <c r="S92" s="8" t="s">
        <v>2384</v>
      </c>
    </row>
    <row r="93" spans="1:19" ht="36.950000000000003" customHeight="1" x14ac:dyDescent="0.25">
      <c r="A93" s="8" t="s">
        <v>844</v>
      </c>
      <c r="B93" s="8" t="s">
        <v>3487</v>
      </c>
      <c r="C93" s="8" t="s">
        <v>3267</v>
      </c>
      <c r="D93" s="8" t="s">
        <v>3323</v>
      </c>
      <c r="E93" s="11" t="s">
        <v>3488</v>
      </c>
      <c r="F93" s="8" t="s">
        <v>3269</v>
      </c>
      <c r="G93" s="8" t="s">
        <v>3359</v>
      </c>
      <c r="H93" s="8"/>
      <c r="I93" s="8" t="s">
        <v>3271</v>
      </c>
      <c r="J93" s="8" t="s">
        <v>3427</v>
      </c>
      <c r="K93" s="8" t="s">
        <v>3273</v>
      </c>
      <c r="L93" s="8" t="s">
        <v>3375</v>
      </c>
      <c r="M93" s="8" t="s">
        <v>3275</v>
      </c>
      <c r="N93" s="8"/>
      <c r="O93" s="8"/>
      <c r="P93" s="8" t="s">
        <v>3276</v>
      </c>
      <c r="Q93" s="8" t="s">
        <v>3275</v>
      </c>
      <c r="R93" s="8" t="s">
        <v>3277</v>
      </c>
      <c r="S93" s="8" t="s">
        <v>844</v>
      </c>
    </row>
    <row r="94" spans="1:19" ht="36.950000000000003" customHeight="1" x14ac:dyDescent="0.25">
      <c r="A94" s="8" t="s">
        <v>988</v>
      </c>
      <c r="B94" s="8" t="s">
        <v>3489</v>
      </c>
      <c r="C94" s="8" t="s">
        <v>3267</v>
      </c>
      <c r="D94" s="8" t="s">
        <v>3323</v>
      </c>
      <c r="E94" s="11" t="s">
        <v>3490</v>
      </c>
      <c r="F94" s="8" t="s">
        <v>3269</v>
      </c>
      <c r="G94" s="8" t="s">
        <v>3359</v>
      </c>
      <c r="H94" s="8"/>
      <c r="I94" s="8" t="s">
        <v>3271</v>
      </c>
      <c r="J94" s="8" t="s">
        <v>3427</v>
      </c>
      <c r="K94" s="8" t="s">
        <v>3273</v>
      </c>
      <c r="L94" s="8" t="s">
        <v>3375</v>
      </c>
      <c r="M94" s="8" t="s">
        <v>3275</v>
      </c>
      <c r="N94" s="8"/>
      <c r="O94" s="8"/>
      <c r="P94" s="8" t="s">
        <v>3276</v>
      </c>
      <c r="Q94" s="8" t="s">
        <v>3275</v>
      </c>
      <c r="R94" s="8" t="s">
        <v>3277</v>
      </c>
      <c r="S94" s="8" t="s">
        <v>988</v>
      </c>
    </row>
    <row r="95" spans="1:19" ht="51" customHeight="1" x14ac:dyDescent="0.25">
      <c r="A95" s="8" t="s">
        <v>393</v>
      </c>
      <c r="B95" s="8" t="s">
        <v>3491</v>
      </c>
      <c r="C95" s="8" t="s">
        <v>3438</v>
      </c>
      <c r="D95" s="8" t="s">
        <v>3323</v>
      </c>
      <c r="E95" s="11" t="s">
        <v>3492</v>
      </c>
      <c r="F95" s="8" t="s">
        <v>3269</v>
      </c>
      <c r="G95" s="8" t="s">
        <v>3359</v>
      </c>
      <c r="H95" s="8"/>
      <c r="I95" s="8" t="s">
        <v>3271</v>
      </c>
      <c r="J95" s="8" t="s">
        <v>3440</v>
      </c>
      <c r="K95" s="8" t="s">
        <v>3273</v>
      </c>
      <c r="L95" s="8" t="s">
        <v>3375</v>
      </c>
      <c r="M95" s="8" t="s">
        <v>3275</v>
      </c>
      <c r="N95" s="8"/>
      <c r="O95" s="8"/>
      <c r="P95" s="8" t="s">
        <v>3306</v>
      </c>
      <c r="Q95" s="8" t="s">
        <v>3275</v>
      </c>
      <c r="R95" s="8" t="s">
        <v>3277</v>
      </c>
      <c r="S95" s="8" t="s">
        <v>393</v>
      </c>
    </row>
    <row r="96" spans="1:19" ht="36.950000000000003" customHeight="1" x14ac:dyDescent="0.25">
      <c r="A96" s="8" t="s">
        <v>962</v>
      </c>
      <c r="B96" s="8" t="s">
        <v>3493</v>
      </c>
      <c r="C96" s="8" t="s">
        <v>3267</v>
      </c>
      <c r="D96" s="8" t="s">
        <v>3323</v>
      </c>
      <c r="E96" s="11" t="s">
        <v>3494</v>
      </c>
      <c r="F96" s="8" t="s">
        <v>3269</v>
      </c>
      <c r="G96" s="8" t="s">
        <v>3270</v>
      </c>
      <c r="H96" s="15" t="s">
        <v>1685</v>
      </c>
      <c r="I96" s="8" t="s">
        <v>3271</v>
      </c>
      <c r="J96" s="8" t="s">
        <v>3427</v>
      </c>
      <c r="K96" s="8" t="s">
        <v>3273</v>
      </c>
      <c r="L96" s="8" t="s">
        <v>3375</v>
      </c>
      <c r="M96" s="8" t="s">
        <v>3312</v>
      </c>
      <c r="N96" s="8"/>
      <c r="O96" s="8"/>
      <c r="P96" s="8" t="s">
        <v>3276</v>
      </c>
      <c r="Q96" s="8" t="s">
        <v>3313</v>
      </c>
      <c r="R96" s="8" t="s">
        <v>3317</v>
      </c>
      <c r="S96" s="8" t="s">
        <v>962</v>
      </c>
    </row>
    <row r="97" spans="1:19" ht="51" customHeight="1" x14ac:dyDescent="0.25">
      <c r="A97" s="8" t="s">
        <v>1028</v>
      </c>
      <c r="B97" s="8" t="s">
        <v>3495</v>
      </c>
      <c r="C97" s="8" t="s">
        <v>3438</v>
      </c>
      <c r="D97" s="8" t="s">
        <v>3323</v>
      </c>
      <c r="E97" s="11" t="s">
        <v>3496</v>
      </c>
      <c r="F97" s="8" t="s">
        <v>3269</v>
      </c>
      <c r="G97" s="8" t="s">
        <v>3359</v>
      </c>
      <c r="H97" s="8"/>
      <c r="I97" s="8" t="s">
        <v>3271</v>
      </c>
      <c r="J97" s="8" t="s">
        <v>3440</v>
      </c>
      <c r="K97" s="8" t="s">
        <v>3273</v>
      </c>
      <c r="L97" s="8" t="s">
        <v>3375</v>
      </c>
      <c r="M97" s="8" t="s">
        <v>3275</v>
      </c>
      <c r="N97" s="8"/>
      <c r="O97" s="8"/>
      <c r="P97" s="8" t="s">
        <v>3306</v>
      </c>
      <c r="Q97" s="8" t="s">
        <v>3275</v>
      </c>
      <c r="R97" s="8" t="s">
        <v>3277</v>
      </c>
      <c r="S97" s="8" t="s">
        <v>1028</v>
      </c>
    </row>
    <row r="98" spans="1:19" ht="36.950000000000003" customHeight="1" x14ac:dyDescent="0.25">
      <c r="A98" s="8" t="s">
        <v>1008</v>
      </c>
      <c r="B98" s="8" t="s">
        <v>3497</v>
      </c>
      <c r="C98" s="8" t="s">
        <v>3267</v>
      </c>
      <c r="D98" s="8" t="s">
        <v>3323</v>
      </c>
      <c r="E98" s="11" t="s">
        <v>3498</v>
      </c>
      <c r="F98" s="8" t="s">
        <v>3269</v>
      </c>
      <c r="G98" s="8" t="s">
        <v>3359</v>
      </c>
      <c r="H98" s="8"/>
      <c r="I98" s="8" t="s">
        <v>3271</v>
      </c>
      <c r="J98" s="8" t="s">
        <v>3427</v>
      </c>
      <c r="K98" s="8" t="s">
        <v>3273</v>
      </c>
      <c r="L98" s="8" t="s">
        <v>3375</v>
      </c>
      <c r="M98" s="8" t="s">
        <v>3275</v>
      </c>
      <c r="N98" s="8"/>
      <c r="O98" s="8"/>
      <c r="P98" s="8" t="s">
        <v>3276</v>
      </c>
      <c r="Q98" s="8" t="s">
        <v>3275</v>
      </c>
      <c r="R98" s="8" t="s">
        <v>3277</v>
      </c>
      <c r="S98" s="8" t="s">
        <v>1008</v>
      </c>
    </row>
    <row r="99" spans="1:19" ht="36.950000000000003" customHeight="1" x14ac:dyDescent="0.25">
      <c r="A99" s="8" t="s">
        <v>1021</v>
      </c>
      <c r="B99" s="8" t="s">
        <v>3499</v>
      </c>
      <c r="C99" s="8" t="s">
        <v>3267</v>
      </c>
      <c r="D99" s="8" t="s">
        <v>3323</v>
      </c>
      <c r="E99" s="11" t="s">
        <v>3500</v>
      </c>
      <c r="F99" s="8" t="s">
        <v>3269</v>
      </c>
      <c r="G99" s="8" t="s">
        <v>3359</v>
      </c>
      <c r="H99" s="8"/>
      <c r="I99" s="8" t="s">
        <v>3271</v>
      </c>
      <c r="J99" s="8" t="s">
        <v>3427</v>
      </c>
      <c r="K99" s="8" t="s">
        <v>3273</v>
      </c>
      <c r="L99" s="8" t="s">
        <v>3375</v>
      </c>
      <c r="M99" s="8" t="s">
        <v>3275</v>
      </c>
      <c r="N99" s="8"/>
      <c r="O99" s="8"/>
      <c r="P99" s="8" t="s">
        <v>3276</v>
      </c>
      <c r="Q99" s="8" t="s">
        <v>3275</v>
      </c>
      <c r="R99" s="8" t="s">
        <v>3277</v>
      </c>
      <c r="S99" s="8" t="s">
        <v>1021</v>
      </c>
    </row>
    <row r="100" spans="1:19" ht="51" customHeight="1" x14ac:dyDescent="0.25">
      <c r="A100" s="8" t="s">
        <v>616</v>
      </c>
      <c r="B100" s="8" t="s">
        <v>3501</v>
      </c>
      <c r="C100" s="8" t="s">
        <v>3438</v>
      </c>
      <c r="D100" s="8" t="s">
        <v>3323</v>
      </c>
      <c r="E100" s="11" t="s">
        <v>3502</v>
      </c>
      <c r="F100" s="8" t="s">
        <v>3269</v>
      </c>
      <c r="G100" s="8" t="s">
        <v>3359</v>
      </c>
      <c r="H100" s="8"/>
      <c r="I100" s="8" t="s">
        <v>3271</v>
      </c>
      <c r="J100" s="8" t="s">
        <v>3440</v>
      </c>
      <c r="K100" s="8" t="s">
        <v>3273</v>
      </c>
      <c r="L100" s="8" t="s">
        <v>3375</v>
      </c>
      <c r="M100" s="8" t="s">
        <v>3275</v>
      </c>
      <c r="N100" s="8"/>
      <c r="O100" s="8"/>
      <c r="P100" s="8" t="s">
        <v>3306</v>
      </c>
      <c r="Q100" s="8" t="s">
        <v>3275</v>
      </c>
      <c r="R100" s="8" t="s">
        <v>3277</v>
      </c>
      <c r="S100" s="8" t="s">
        <v>616</v>
      </c>
    </row>
    <row r="101" spans="1:19" ht="36.950000000000003" customHeight="1" x14ac:dyDescent="0.25">
      <c r="A101" s="8" t="s">
        <v>2433</v>
      </c>
      <c r="B101" s="8" t="s">
        <v>3503</v>
      </c>
      <c r="C101" s="8" t="s">
        <v>3267</v>
      </c>
      <c r="D101" s="8" t="s">
        <v>3341</v>
      </c>
      <c r="E101" s="11" t="s">
        <v>3504</v>
      </c>
      <c r="F101" s="8" t="s">
        <v>3269</v>
      </c>
      <c r="G101" s="8" t="s">
        <v>3359</v>
      </c>
      <c r="H101" s="8"/>
      <c r="I101" s="8" t="s">
        <v>3271</v>
      </c>
      <c r="J101" s="8" t="s">
        <v>3427</v>
      </c>
      <c r="K101" s="8" t="s">
        <v>3273</v>
      </c>
      <c r="L101" s="8" t="s">
        <v>3375</v>
      </c>
      <c r="M101" s="8" t="s">
        <v>3275</v>
      </c>
      <c r="N101" s="8"/>
      <c r="O101" s="8"/>
      <c r="P101" s="8" t="s">
        <v>3276</v>
      </c>
      <c r="Q101" s="8" t="s">
        <v>3275</v>
      </c>
      <c r="R101" s="8" t="s">
        <v>3277</v>
      </c>
      <c r="S101" s="8" t="s">
        <v>2433</v>
      </c>
    </row>
    <row r="102" spans="1:19" ht="36.950000000000003" customHeight="1" x14ac:dyDescent="0.25">
      <c r="A102" s="8" t="s">
        <v>2441</v>
      </c>
      <c r="B102" s="8" t="s">
        <v>3505</v>
      </c>
      <c r="C102" s="8" t="s">
        <v>3267</v>
      </c>
      <c r="D102" s="8" t="s">
        <v>3341</v>
      </c>
      <c r="E102" s="11" t="s">
        <v>3506</v>
      </c>
      <c r="F102" s="8" t="s">
        <v>3269</v>
      </c>
      <c r="G102" s="8" t="s">
        <v>3359</v>
      </c>
      <c r="H102" s="8"/>
      <c r="I102" s="8" t="s">
        <v>3271</v>
      </c>
      <c r="J102" s="8" t="s">
        <v>3427</v>
      </c>
      <c r="K102" s="8" t="s">
        <v>3273</v>
      </c>
      <c r="L102" s="8" t="s">
        <v>3375</v>
      </c>
      <c r="M102" s="8" t="s">
        <v>3275</v>
      </c>
      <c r="N102" s="8"/>
      <c r="O102" s="8"/>
      <c r="P102" s="8" t="s">
        <v>3276</v>
      </c>
      <c r="Q102" s="8" t="s">
        <v>3275</v>
      </c>
      <c r="R102" s="8" t="s">
        <v>3277</v>
      </c>
      <c r="S102" s="8" t="s">
        <v>2441</v>
      </c>
    </row>
    <row r="103" spans="1:19" ht="36.950000000000003" customHeight="1" x14ac:dyDescent="0.25">
      <c r="A103" s="8" t="s">
        <v>2451</v>
      </c>
      <c r="B103" s="8" t="s">
        <v>3507</v>
      </c>
      <c r="C103" s="8" t="s">
        <v>3267</v>
      </c>
      <c r="D103" s="8" t="s">
        <v>3341</v>
      </c>
      <c r="E103" s="11" t="s">
        <v>3508</v>
      </c>
      <c r="F103" s="8" t="s">
        <v>3269</v>
      </c>
      <c r="G103" s="8" t="s">
        <v>3359</v>
      </c>
      <c r="H103" s="8"/>
      <c r="I103" s="8" t="s">
        <v>3271</v>
      </c>
      <c r="J103" s="8" t="s">
        <v>3427</v>
      </c>
      <c r="K103" s="8" t="s">
        <v>3273</v>
      </c>
      <c r="L103" s="8" t="s">
        <v>3375</v>
      </c>
      <c r="M103" s="8" t="s">
        <v>3275</v>
      </c>
      <c r="N103" s="8"/>
      <c r="O103" s="8"/>
      <c r="P103" s="8" t="s">
        <v>3276</v>
      </c>
      <c r="Q103" s="8" t="s">
        <v>3275</v>
      </c>
      <c r="R103" s="8" t="s">
        <v>3277</v>
      </c>
      <c r="S103" s="8" t="s">
        <v>2451</v>
      </c>
    </row>
    <row r="104" spans="1:19" ht="51" customHeight="1" x14ac:dyDescent="0.25">
      <c r="A104" s="8" t="s">
        <v>2459</v>
      </c>
      <c r="B104" s="8" t="s">
        <v>3509</v>
      </c>
      <c r="C104" s="8" t="s">
        <v>3438</v>
      </c>
      <c r="D104" s="8" t="s">
        <v>3341</v>
      </c>
      <c r="E104" s="11" t="s">
        <v>3510</v>
      </c>
      <c r="F104" s="8" t="s">
        <v>3269</v>
      </c>
      <c r="G104" s="8" t="s">
        <v>3359</v>
      </c>
      <c r="H104" s="8"/>
      <c r="I104" s="8" t="s">
        <v>3271</v>
      </c>
      <c r="J104" s="8" t="s">
        <v>3440</v>
      </c>
      <c r="K104" s="8" t="s">
        <v>3273</v>
      </c>
      <c r="L104" s="8" t="s">
        <v>3375</v>
      </c>
      <c r="M104" s="8" t="s">
        <v>3275</v>
      </c>
      <c r="N104" s="8"/>
      <c r="O104" s="8"/>
      <c r="P104" s="8" t="s">
        <v>3306</v>
      </c>
      <c r="Q104" s="8" t="s">
        <v>3275</v>
      </c>
      <c r="R104" s="8" t="s">
        <v>3277</v>
      </c>
      <c r="S104" s="8" t="s">
        <v>2459</v>
      </c>
    </row>
    <row r="105" spans="1:19" ht="36.950000000000003" customHeight="1" x14ac:dyDescent="0.25">
      <c r="A105" s="8" t="s">
        <v>2467</v>
      </c>
      <c r="B105" s="8" t="s">
        <v>3511</v>
      </c>
      <c r="C105" s="8" t="s">
        <v>3267</v>
      </c>
      <c r="D105" s="8" t="s">
        <v>3341</v>
      </c>
      <c r="E105" s="11" t="s">
        <v>3512</v>
      </c>
      <c r="F105" s="8" t="s">
        <v>3269</v>
      </c>
      <c r="G105" s="8" t="s">
        <v>3359</v>
      </c>
      <c r="H105" s="8"/>
      <c r="I105" s="8" t="s">
        <v>3271</v>
      </c>
      <c r="J105" s="8" t="s">
        <v>3427</v>
      </c>
      <c r="K105" s="8" t="s">
        <v>3273</v>
      </c>
      <c r="L105" s="8" t="s">
        <v>3375</v>
      </c>
      <c r="M105" s="8" t="s">
        <v>3275</v>
      </c>
      <c r="N105" s="8"/>
      <c r="O105" s="8"/>
      <c r="P105" s="8" t="s">
        <v>3276</v>
      </c>
      <c r="Q105" s="8" t="s">
        <v>3275</v>
      </c>
      <c r="R105" s="8" t="s">
        <v>3277</v>
      </c>
      <c r="S105" s="8" t="s">
        <v>2467</v>
      </c>
    </row>
    <row r="106" spans="1:19" ht="36.950000000000003" customHeight="1" x14ac:dyDescent="0.25">
      <c r="A106" s="8" t="s">
        <v>2475</v>
      </c>
      <c r="B106" s="8" t="s">
        <v>3513</v>
      </c>
      <c r="C106" s="8" t="s">
        <v>3438</v>
      </c>
      <c r="D106" s="8" t="s">
        <v>3341</v>
      </c>
      <c r="E106" s="11" t="s">
        <v>3514</v>
      </c>
      <c r="F106" s="8" t="s">
        <v>3269</v>
      </c>
      <c r="G106" s="8" t="s">
        <v>3359</v>
      </c>
      <c r="H106" s="8"/>
      <c r="I106" s="8" t="s">
        <v>3271</v>
      </c>
      <c r="J106" s="8" t="s">
        <v>3440</v>
      </c>
      <c r="K106" s="8" t="s">
        <v>3273</v>
      </c>
      <c r="L106" s="8" t="s">
        <v>3375</v>
      </c>
      <c r="M106" s="8" t="s">
        <v>3275</v>
      </c>
      <c r="N106" s="8"/>
      <c r="O106" s="8"/>
      <c r="P106" s="8" t="s">
        <v>3276</v>
      </c>
      <c r="Q106" s="8" t="s">
        <v>3275</v>
      </c>
      <c r="R106" s="8" t="s">
        <v>3277</v>
      </c>
      <c r="S106" s="8" t="s">
        <v>2475</v>
      </c>
    </row>
    <row r="107" spans="1:19" ht="36.950000000000003" customHeight="1" x14ac:dyDescent="0.25">
      <c r="A107" s="8" t="s">
        <v>2482</v>
      </c>
      <c r="B107" s="8" t="s">
        <v>3515</v>
      </c>
      <c r="C107" s="8" t="s">
        <v>3267</v>
      </c>
      <c r="D107" s="8" t="s">
        <v>3341</v>
      </c>
      <c r="E107" s="11" t="s">
        <v>3516</v>
      </c>
      <c r="F107" s="8" t="s">
        <v>3269</v>
      </c>
      <c r="G107" s="8" t="s">
        <v>3359</v>
      </c>
      <c r="H107" s="8"/>
      <c r="I107" s="8" t="s">
        <v>3271</v>
      </c>
      <c r="J107" s="8" t="s">
        <v>3427</v>
      </c>
      <c r="K107" s="8" t="s">
        <v>3273</v>
      </c>
      <c r="L107" s="8" t="s">
        <v>3375</v>
      </c>
      <c r="M107" s="8" t="s">
        <v>3275</v>
      </c>
      <c r="N107" s="8"/>
      <c r="O107" s="8"/>
      <c r="P107" s="8" t="s">
        <v>3276</v>
      </c>
      <c r="Q107" s="8" t="s">
        <v>3275</v>
      </c>
      <c r="R107" s="8" t="s">
        <v>3277</v>
      </c>
      <c r="S107" s="8" t="s">
        <v>2482</v>
      </c>
    </row>
    <row r="108" spans="1:19" ht="36.950000000000003" customHeight="1" x14ac:dyDescent="0.25">
      <c r="A108" s="8" t="s">
        <v>2516</v>
      </c>
      <c r="B108" s="8" t="s">
        <v>3517</v>
      </c>
      <c r="C108" s="8" t="s">
        <v>3267</v>
      </c>
      <c r="D108" s="8" t="s">
        <v>3341</v>
      </c>
      <c r="E108" s="11" t="s">
        <v>3518</v>
      </c>
      <c r="F108" s="8" t="s">
        <v>3269</v>
      </c>
      <c r="G108" s="8" t="s">
        <v>3359</v>
      </c>
      <c r="H108" s="8"/>
      <c r="I108" s="8" t="s">
        <v>3271</v>
      </c>
      <c r="J108" s="8" t="s">
        <v>3427</v>
      </c>
      <c r="K108" s="8" t="s">
        <v>3273</v>
      </c>
      <c r="L108" s="8" t="s">
        <v>3375</v>
      </c>
      <c r="M108" s="8" t="s">
        <v>3275</v>
      </c>
      <c r="N108" s="8"/>
      <c r="O108" s="8"/>
      <c r="P108" s="8" t="s">
        <v>3276</v>
      </c>
      <c r="Q108" s="8" t="s">
        <v>3275</v>
      </c>
      <c r="R108" s="8" t="s">
        <v>3277</v>
      </c>
      <c r="S108" s="8" t="s">
        <v>2516</v>
      </c>
    </row>
    <row r="109" spans="1:19" ht="36.950000000000003" customHeight="1" x14ac:dyDescent="0.25">
      <c r="A109" s="8" t="s">
        <v>2525</v>
      </c>
      <c r="B109" s="8" t="s">
        <v>3519</v>
      </c>
      <c r="C109" s="8" t="s">
        <v>3267</v>
      </c>
      <c r="D109" s="8" t="s">
        <v>3341</v>
      </c>
      <c r="E109" s="11" t="s">
        <v>3520</v>
      </c>
      <c r="F109" s="8" t="s">
        <v>3269</v>
      </c>
      <c r="G109" s="8" t="s">
        <v>3359</v>
      </c>
      <c r="H109" s="8"/>
      <c r="I109" s="8" t="s">
        <v>3271</v>
      </c>
      <c r="J109" s="8" t="s">
        <v>3427</v>
      </c>
      <c r="K109" s="8" t="s">
        <v>3273</v>
      </c>
      <c r="L109" s="8" t="s">
        <v>3375</v>
      </c>
      <c r="M109" s="8" t="s">
        <v>3275</v>
      </c>
      <c r="N109" s="8"/>
      <c r="O109" s="8"/>
      <c r="P109" s="8" t="s">
        <v>3276</v>
      </c>
      <c r="Q109" s="8" t="s">
        <v>3275</v>
      </c>
      <c r="R109" s="8" t="s">
        <v>3277</v>
      </c>
      <c r="S109" s="8" t="s">
        <v>2525</v>
      </c>
    </row>
    <row r="110" spans="1:19" ht="36.950000000000003" customHeight="1" x14ac:dyDescent="0.25">
      <c r="A110" s="8" t="s">
        <v>2535</v>
      </c>
      <c r="B110" s="8" t="s">
        <v>3521</v>
      </c>
      <c r="C110" s="8" t="s">
        <v>3267</v>
      </c>
      <c r="D110" s="8" t="s">
        <v>3341</v>
      </c>
      <c r="E110" s="11" t="s">
        <v>3522</v>
      </c>
      <c r="F110" s="8" t="s">
        <v>3269</v>
      </c>
      <c r="G110" s="8" t="s">
        <v>3359</v>
      </c>
      <c r="H110" s="8"/>
      <c r="I110" s="8" t="s">
        <v>3271</v>
      </c>
      <c r="J110" s="8" t="s">
        <v>3427</v>
      </c>
      <c r="K110" s="8" t="s">
        <v>3273</v>
      </c>
      <c r="L110" s="8" t="s">
        <v>3375</v>
      </c>
      <c r="M110" s="8" t="s">
        <v>3275</v>
      </c>
      <c r="N110" s="8"/>
      <c r="O110" s="8"/>
      <c r="P110" s="8" t="s">
        <v>3276</v>
      </c>
      <c r="Q110" s="8" t="s">
        <v>3275</v>
      </c>
      <c r="R110" s="8" t="s">
        <v>3277</v>
      </c>
      <c r="S110" s="8" t="s">
        <v>2535</v>
      </c>
    </row>
    <row r="111" spans="1:19" ht="36.950000000000003" customHeight="1" x14ac:dyDescent="0.25">
      <c r="A111" s="8" t="s">
        <v>2542</v>
      </c>
      <c r="B111" s="8" t="s">
        <v>3523</v>
      </c>
      <c r="C111" s="8" t="s">
        <v>3267</v>
      </c>
      <c r="D111" s="8" t="s">
        <v>3341</v>
      </c>
      <c r="E111" s="11" t="s">
        <v>3524</v>
      </c>
      <c r="F111" s="8" t="s">
        <v>3269</v>
      </c>
      <c r="G111" s="8" t="s">
        <v>3270</v>
      </c>
      <c r="H111" s="15" t="s">
        <v>1685</v>
      </c>
      <c r="I111" s="8" t="s">
        <v>3271</v>
      </c>
      <c r="J111" s="8" t="s">
        <v>3339</v>
      </c>
      <c r="K111" s="8" t="s">
        <v>3273</v>
      </c>
      <c r="L111" s="8" t="s">
        <v>3525</v>
      </c>
      <c r="M111" s="8" t="s">
        <v>3275</v>
      </c>
      <c r="N111" s="8"/>
      <c r="O111" s="8"/>
      <c r="P111" s="8" t="s">
        <v>3306</v>
      </c>
      <c r="Q111" s="8" t="s">
        <v>3275</v>
      </c>
      <c r="R111" s="8" t="s">
        <v>3277</v>
      </c>
      <c r="S111" s="8" t="s">
        <v>2542</v>
      </c>
    </row>
    <row r="112" spans="1:19" ht="36.950000000000003" customHeight="1" x14ac:dyDescent="0.25">
      <c r="A112" s="8" t="s">
        <v>2550</v>
      </c>
      <c r="B112" s="8" t="s">
        <v>3526</v>
      </c>
      <c r="C112" s="8" t="s">
        <v>3267</v>
      </c>
      <c r="D112" s="8" t="s">
        <v>3341</v>
      </c>
      <c r="E112" s="11" t="s">
        <v>3527</v>
      </c>
      <c r="F112" s="8" t="s">
        <v>3269</v>
      </c>
      <c r="G112" s="8" t="s">
        <v>3359</v>
      </c>
      <c r="H112" s="8"/>
      <c r="I112" s="8" t="s">
        <v>3271</v>
      </c>
      <c r="J112" s="8" t="s">
        <v>3427</v>
      </c>
      <c r="K112" s="8" t="s">
        <v>3273</v>
      </c>
      <c r="L112" s="8" t="s">
        <v>3375</v>
      </c>
      <c r="M112" s="8" t="s">
        <v>3275</v>
      </c>
      <c r="N112" s="8"/>
      <c r="O112" s="8"/>
      <c r="P112" s="8" t="s">
        <v>3276</v>
      </c>
      <c r="Q112" s="8" t="s">
        <v>3275</v>
      </c>
      <c r="R112" s="8" t="s">
        <v>3277</v>
      </c>
      <c r="S112" s="8" t="s">
        <v>2550</v>
      </c>
    </row>
    <row r="113" spans="1:19" ht="36.950000000000003" customHeight="1" x14ac:dyDescent="0.25">
      <c r="A113" s="8" t="s">
        <v>2568</v>
      </c>
      <c r="B113" s="8" t="s">
        <v>3528</v>
      </c>
      <c r="C113" s="8" t="s">
        <v>3267</v>
      </c>
      <c r="D113" s="8" t="s">
        <v>3341</v>
      </c>
      <c r="E113" s="11" t="s">
        <v>3529</v>
      </c>
      <c r="F113" s="8" t="s">
        <v>3269</v>
      </c>
      <c r="G113" s="8" t="s">
        <v>3359</v>
      </c>
      <c r="H113" s="8"/>
      <c r="I113" s="8" t="s">
        <v>3271</v>
      </c>
      <c r="J113" s="8" t="s">
        <v>3427</v>
      </c>
      <c r="K113" s="8" t="s">
        <v>3273</v>
      </c>
      <c r="L113" s="8" t="s">
        <v>3375</v>
      </c>
      <c r="M113" s="8" t="s">
        <v>3275</v>
      </c>
      <c r="N113" s="8"/>
      <c r="O113" s="8"/>
      <c r="P113" s="8" t="s">
        <v>3276</v>
      </c>
      <c r="Q113" s="8" t="s">
        <v>3275</v>
      </c>
      <c r="R113" s="8" t="s">
        <v>3277</v>
      </c>
      <c r="S113" s="8" t="s">
        <v>2568</v>
      </c>
    </row>
    <row r="114" spans="1:19" ht="51" customHeight="1" x14ac:dyDescent="0.25">
      <c r="A114" s="8" t="s">
        <v>531</v>
      </c>
      <c r="B114" s="8" t="s">
        <v>3530</v>
      </c>
      <c r="C114" s="8" t="s">
        <v>3531</v>
      </c>
      <c r="D114" s="8" t="s">
        <v>3532</v>
      </c>
      <c r="E114" s="11" t="s">
        <v>3533</v>
      </c>
      <c r="F114" s="8" t="s">
        <v>3269</v>
      </c>
      <c r="G114" s="8" t="s">
        <v>3270</v>
      </c>
      <c r="H114" s="15" t="s">
        <v>1685</v>
      </c>
      <c r="I114" s="8" t="s">
        <v>3271</v>
      </c>
      <c r="J114" s="8" t="s">
        <v>3534</v>
      </c>
      <c r="K114" s="8" t="s">
        <v>3273</v>
      </c>
      <c r="L114" s="8" t="s">
        <v>3535</v>
      </c>
      <c r="M114" s="8" t="s">
        <v>3312</v>
      </c>
      <c r="N114" s="8"/>
      <c r="O114" s="8"/>
      <c r="P114" s="8" t="s">
        <v>3531</v>
      </c>
      <c r="Q114" s="8" t="s">
        <v>3313</v>
      </c>
      <c r="R114" s="8" t="s">
        <v>3536</v>
      </c>
      <c r="S114" s="8" t="s">
        <v>531</v>
      </c>
    </row>
    <row r="115" spans="1:19" ht="36.950000000000003" customHeight="1" x14ac:dyDescent="0.25">
      <c r="A115" s="8" t="s">
        <v>3537</v>
      </c>
      <c r="B115" s="8" t="s">
        <v>3538</v>
      </c>
      <c r="C115" s="8" t="s">
        <v>3267</v>
      </c>
      <c r="D115" s="8" t="s">
        <v>65</v>
      </c>
      <c r="E115" s="11" t="s">
        <v>3539</v>
      </c>
      <c r="F115" s="8" t="s">
        <v>3269</v>
      </c>
      <c r="G115" s="8" t="s">
        <v>3359</v>
      </c>
      <c r="H115" s="8"/>
      <c r="I115" s="8" t="s">
        <v>3271</v>
      </c>
      <c r="J115" s="8" t="s">
        <v>3296</v>
      </c>
      <c r="K115" s="8" t="s">
        <v>3273</v>
      </c>
      <c r="L115" s="8" t="s">
        <v>3375</v>
      </c>
      <c r="M115" s="8" t="s">
        <v>3275</v>
      </c>
      <c r="N115" s="8"/>
      <c r="O115" s="8"/>
      <c r="P115" s="8" t="s">
        <v>3276</v>
      </c>
      <c r="Q115" s="8" t="s">
        <v>3275</v>
      </c>
      <c r="R115" s="8" t="s">
        <v>3277</v>
      </c>
      <c r="S115" s="8" t="s">
        <v>3537</v>
      </c>
    </row>
    <row r="116" spans="1:19" ht="36.950000000000003" customHeight="1" x14ac:dyDescent="0.25">
      <c r="A116" s="8" t="s">
        <v>375</v>
      </c>
      <c r="B116" s="8" t="s">
        <v>3540</v>
      </c>
      <c r="C116" s="8" t="s">
        <v>3267</v>
      </c>
      <c r="D116" s="8" t="s">
        <v>65</v>
      </c>
      <c r="E116" s="11" t="s">
        <v>3541</v>
      </c>
      <c r="F116" s="8" t="s">
        <v>3269</v>
      </c>
      <c r="G116" s="8" t="s">
        <v>3359</v>
      </c>
      <c r="H116" s="8"/>
      <c r="I116" s="8" t="s">
        <v>3271</v>
      </c>
      <c r="J116" s="8" t="s">
        <v>3296</v>
      </c>
      <c r="K116" s="8" t="s">
        <v>3273</v>
      </c>
      <c r="L116" s="8" t="s">
        <v>3375</v>
      </c>
      <c r="M116" s="8" t="s">
        <v>3275</v>
      </c>
      <c r="N116" s="8"/>
      <c r="O116" s="8"/>
      <c r="P116" s="8" t="s">
        <v>3276</v>
      </c>
      <c r="Q116" s="8" t="s">
        <v>3275</v>
      </c>
      <c r="R116" s="8" t="s">
        <v>3277</v>
      </c>
      <c r="S116" s="8" t="s">
        <v>375</v>
      </c>
    </row>
    <row r="117" spans="1:19" ht="36.950000000000003" customHeight="1" x14ac:dyDescent="0.25">
      <c r="A117" s="8" t="s">
        <v>515</v>
      </c>
      <c r="B117" s="8" t="s">
        <v>3542</v>
      </c>
      <c r="C117" s="8" t="s">
        <v>3267</v>
      </c>
      <c r="D117" s="8" t="s">
        <v>65</v>
      </c>
      <c r="E117" s="11" t="s">
        <v>3543</v>
      </c>
      <c r="F117" s="8" t="s">
        <v>3269</v>
      </c>
      <c r="G117" s="8" t="s">
        <v>3359</v>
      </c>
      <c r="H117" s="8"/>
      <c r="I117" s="8" t="s">
        <v>3271</v>
      </c>
      <c r="J117" s="8" t="s">
        <v>3296</v>
      </c>
      <c r="K117" s="8" t="s">
        <v>3273</v>
      </c>
      <c r="L117" s="8" t="s">
        <v>3375</v>
      </c>
      <c r="M117" s="8" t="s">
        <v>3275</v>
      </c>
      <c r="N117" s="8"/>
      <c r="O117" s="8"/>
      <c r="P117" s="8" t="s">
        <v>3276</v>
      </c>
      <c r="Q117" s="8" t="s">
        <v>3275</v>
      </c>
      <c r="R117" s="8" t="s">
        <v>3277</v>
      </c>
      <c r="S117" s="8" t="s">
        <v>515</v>
      </c>
    </row>
    <row r="118" spans="1:19" ht="36.950000000000003" customHeight="1" x14ac:dyDescent="0.25">
      <c r="A118" s="8" t="s">
        <v>433</v>
      </c>
      <c r="B118" s="8" t="s">
        <v>3544</v>
      </c>
      <c r="C118" s="8" t="s">
        <v>3267</v>
      </c>
      <c r="D118" s="8" t="s">
        <v>65</v>
      </c>
      <c r="E118" s="11" t="s">
        <v>3545</v>
      </c>
      <c r="F118" s="8" t="s">
        <v>3269</v>
      </c>
      <c r="G118" s="8" t="s">
        <v>3359</v>
      </c>
      <c r="H118" s="8"/>
      <c r="I118" s="8" t="s">
        <v>3271</v>
      </c>
      <c r="J118" s="8" t="s">
        <v>3296</v>
      </c>
      <c r="K118" s="8" t="s">
        <v>3273</v>
      </c>
      <c r="L118" s="8" t="s">
        <v>3375</v>
      </c>
      <c r="M118" s="8" t="s">
        <v>3275</v>
      </c>
      <c r="N118" s="8"/>
      <c r="O118" s="8"/>
      <c r="P118" s="8" t="s">
        <v>3276</v>
      </c>
      <c r="Q118" s="8" t="s">
        <v>3275</v>
      </c>
      <c r="R118" s="8" t="s">
        <v>3277</v>
      </c>
      <c r="S118" s="8" t="s">
        <v>433</v>
      </c>
    </row>
    <row r="119" spans="1:19" ht="51" customHeight="1" x14ac:dyDescent="0.25">
      <c r="A119" s="8" t="s">
        <v>3546</v>
      </c>
      <c r="B119" s="8" t="s">
        <v>3547</v>
      </c>
      <c r="C119" s="8" t="s">
        <v>3267</v>
      </c>
      <c r="D119" s="8" t="s">
        <v>65</v>
      </c>
      <c r="E119" s="11" t="s">
        <v>3548</v>
      </c>
      <c r="F119" s="8" t="s">
        <v>3269</v>
      </c>
      <c r="G119" s="8" t="s">
        <v>3359</v>
      </c>
      <c r="H119" s="8"/>
      <c r="I119" s="8" t="s">
        <v>3271</v>
      </c>
      <c r="J119" s="8" t="s">
        <v>3296</v>
      </c>
      <c r="K119" s="8" t="s">
        <v>3273</v>
      </c>
      <c r="L119" s="8" t="s">
        <v>3375</v>
      </c>
      <c r="M119" s="8" t="s">
        <v>3275</v>
      </c>
      <c r="N119" s="8"/>
      <c r="O119" s="8"/>
      <c r="P119" s="8" t="s">
        <v>3276</v>
      </c>
      <c r="Q119" s="8" t="s">
        <v>3275</v>
      </c>
      <c r="R119" s="8" t="s">
        <v>3277</v>
      </c>
      <c r="S119" s="8" t="s">
        <v>3546</v>
      </c>
    </row>
    <row r="120" spans="1:19" ht="36.950000000000003" customHeight="1" x14ac:dyDescent="0.25">
      <c r="A120" s="8" t="s">
        <v>626</v>
      </c>
      <c r="B120" s="8" t="s">
        <v>3549</v>
      </c>
      <c r="C120" s="8" t="s">
        <v>3267</v>
      </c>
      <c r="D120" s="8" t="s">
        <v>65</v>
      </c>
      <c r="E120" s="11" t="s">
        <v>3550</v>
      </c>
      <c r="F120" s="8" t="s">
        <v>3269</v>
      </c>
      <c r="G120" s="8" t="s">
        <v>3359</v>
      </c>
      <c r="H120" s="8"/>
      <c r="I120" s="8" t="s">
        <v>3271</v>
      </c>
      <c r="J120" s="8" t="s">
        <v>3296</v>
      </c>
      <c r="K120" s="8" t="s">
        <v>3273</v>
      </c>
      <c r="L120" s="8" t="s">
        <v>3375</v>
      </c>
      <c r="M120" s="8" t="s">
        <v>3275</v>
      </c>
      <c r="N120" s="8"/>
      <c r="O120" s="8"/>
      <c r="P120" s="8" t="s">
        <v>3276</v>
      </c>
      <c r="Q120" s="8" t="s">
        <v>3275</v>
      </c>
      <c r="R120" s="8" t="s">
        <v>3277</v>
      </c>
      <c r="S120" s="8" t="s">
        <v>626</v>
      </c>
    </row>
    <row r="121" spans="1:19" ht="36.950000000000003" customHeight="1" x14ac:dyDescent="0.25">
      <c r="A121" s="8" t="s">
        <v>741</v>
      </c>
      <c r="B121" s="8" t="s">
        <v>3551</v>
      </c>
      <c r="C121" s="8" t="s">
        <v>3267</v>
      </c>
      <c r="D121" s="8" t="s">
        <v>65</v>
      </c>
      <c r="E121" s="11" t="s">
        <v>3552</v>
      </c>
      <c r="F121" s="8" t="s">
        <v>3269</v>
      </c>
      <c r="G121" s="8" t="s">
        <v>3359</v>
      </c>
      <c r="H121" s="8"/>
      <c r="I121" s="8" t="s">
        <v>3271</v>
      </c>
      <c r="J121" s="8" t="s">
        <v>3296</v>
      </c>
      <c r="K121" s="8" t="s">
        <v>3273</v>
      </c>
      <c r="L121" s="8" t="s">
        <v>3375</v>
      </c>
      <c r="M121" s="8" t="s">
        <v>3275</v>
      </c>
      <c r="N121" s="8"/>
      <c r="O121" s="8"/>
      <c r="P121" s="8" t="s">
        <v>3276</v>
      </c>
      <c r="Q121" s="8" t="s">
        <v>3275</v>
      </c>
      <c r="R121" s="8" t="s">
        <v>3277</v>
      </c>
      <c r="S121" s="8" t="s">
        <v>741</v>
      </c>
    </row>
    <row r="122" spans="1:19" ht="36.950000000000003" customHeight="1" x14ac:dyDescent="0.25">
      <c r="A122" s="8" t="s">
        <v>463</v>
      </c>
      <c r="B122" s="8" t="s">
        <v>3553</v>
      </c>
      <c r="C122" s="8" t="s">
        <v>3267</v>
      </c>
      <c r="D122" s="8" t="s">
        <v>65</v>
      </c>
      <c r="E122" s="11" t="s">
        <v>3554</v>
      </c>
      <c r="F122" s="8" t="s">
        <v>3269</v>
      </c>
      <c r="G122" s="8" t="s">
        <v>3359</v>
      </c>
      <c r="H122" s="8"/>
      <c r="I122" s="8" t="s">
        <v>3271</v>
      </c>
      <c r="J122" s="8" t="s">
        <v>3296</v>
      </c>
      <c r="K122" s="8" t="s">
        <v>3273</v>
      </c>
      <c r="L122" s="8" t="s">
        <v>3375</v>
      </c>
      <c r="M122" s="8" t="s">
        <v>3275</v>
      </c>
      <c r="N122" s="8"/>
      <c r="O122" s="8"/>
      <c r="P122" s="8" t="s">
        <v>3276</v>
      </c>
      <c r="Q122" s="8" t="s">
        <v>3275</v>
      </c>
      <c r="R122" s="8" t="s">
        <v>3277</v>
      </c>
      <c r="S122" s="8" t="s">
        <v>463</v>
      </c>
    </row>
    <row r="123" spans="1:19" ht="36.950000000000003" customHeight="1" x14ac:dyDescent="0.25">
      <c r="A123" s="8" t="s">
        <v>499</v>
      </c>
      <c r="B123" s="8" t="s">
        <v>3555</v>
      </c>
      <c r="C123" s="8" t="s">
        <v>3267</v>
      </c>
      <c r="D123" s="8" t="s">
        <v>65</v>
      </c>
      <c r="E123" s="11" t="s">
        <v>3556</v>
      </c>
      <c r="F123" s="8" t="s">
        <v>3269</v>
      </c>
      <c r="G123" s="8" t="s">
        <v>3359</v>
      </c>
      <c r="H123" s="8"/>
      <c r="I123" s="8" t="s">
        <v>3271</v>
      </c>
      <c r="J123" s="8" t="s">
        <v>3296</v>
      </c>
      <c r="K123" s="8" t="s">
        <v>3273</v>
      </c>
      <c r="L123" s="8" t="s">
        <v>3375</v>
      </c>
      <c r="M123" s="8" t="s">
        <v>3275</v>
      </c>
      <c r="N123" s="8"/>
      <c r="O123" s="8"/>
      <c r="P123" s="8" t="s">
        <v>3276</v>
      </c>
      <c r="Q123" s="8" t="s">
        <v>3275</v>
      </c>
      <c r="R123" s="8" t="s">
        <v>3277</v>
      </c>
      <c r="S123" s="8" t="s">
        <v>499</v>
      </c>
    </row>
    <row r="124" spans="1:19" ht="36.950000000000003" customHeight="1" x14ac:dyDescent="0.25">
      <c r="A124" s="8" t="s">
        <v>803</v>
      </c>
      <c r="B124" s="8" t="s">
        <v>3557</v>
      </c>
      <c r="C124" s="8" t="s">
        <v>3267</v>
      </c>
      <c r="D124" s="8" t="s">
        <v>65</v>
      </c>
      <c r="E124" s="11" t="s">
        <v>3558</v>
      </c>
      <c r="F124" s="8" t="s">
        <v>3269</v>
      </c>
      <c r="G124" s="8" t="s">
        <v>3359</v>
      </c>
      <c r="H124" s="8"/>
      <c r="I124" s="8" t="s">
        <v>3271</v>
      </c>
      <c r="J124" s="8" t="s">
        <v>3296</v>
      </c>
      <c r="K124" s="8" t="s">
        <v>3273</v>
      </c>
      <c r="L124" s="8" t="s">
        <v>3375</v>
      </c>
      <c r="M124" s="8" t="s">
        <v>3275</v>
      </c>
      <c r="N124" s="8"/>
      <c r="O124" s="8"/>
      <c r="P124" s="8" t="s">
        <v>3306</v>
      </c>
      <c r="Q124" s="8" t="s">
        <v>3275</v>
      </c>
      <c r="R124" s="8" t="s">
        <v>3277</v>
      </c>
      <c r="S124" s="8" t="s">
        <v>803</v>
      </c>
    </row>
    <row r="125" spans="1:19" ht="51" customHeight="1" x14ac:dyDescent="0.25">
      <c r="A125" s="8" t="s">
        <v>455</v>
      </c>
      <c r="B125" s="8" t="s">
        <v>454</v>
      </c>
      <c r="C125" s="8" t="s">
        <v>3267</v>
      </c>
      <c r="D125" s="8" t="s">
        <v>3302</v>
      </c>
      <c r="E125" s="11" t="s">
        <v>3559</v>
      </c>
      <c r="F125" s="8" t="s">
        <v>3269</v>
      </c>
      <c r="G125" s="8" t="s">
        <v>3270</v>
      </c>
      <c r="H125" s="15" t="s">
        <v>1685</v>
      </c>
      <c r="I125" s="8" t="s">
        <v>3271</v>
      </c>
      <c r="J125" s="8" t="s">
        <v>3560</v>
      </c>
      <c r="K125" s="8" t="s">
        <v>3273</v>
      </c>
      <c r="L125" s="8" t="s">
        <v>3561</v>
      </c>
      <c r="M125" s="8" t="s">
        <v>3275</v>
      </c>
      <c r="N125" s="8"/>
      <c r="O125" s="8"/>
      <c r="P125" s="8" t="s">
        <v>3276</v>
      </c>
      <c r="Q125" s="8" t="s">
        <v>3275</v>
      </c>
      <c r="R125" s="8" t="s">
        <v>3277</v>
      </c>
      <c r="S125" s="8" t="s">
        <v>455</v>
      </c>
    </row>
    <row r="126" spans="1:19" ht="36.950000000000003" customHeight="1" x14ac:dyDescent="0.25">
      <c r="A126" s="8" t="s">
        <v>771</v>
      </c>
      <c r="B126" s="8" t="s">
        <v>3562</v>
      </c>
      <c r="C126" s="8" t="s">
        <v>3267</v>
      </c>
      <c r="D126" s="8" t="s">
        <v>65</v>
      </c>
      <c r="E126" s="11" t="s">
        <v>3563</v>
      </c>
      <c r="F126" s="8" t="s">
        <v>3269</v>
      </c>
      <c r="G126" s="8" t="s">
        <v>3359</v>
      </c>
      <c r="H126" s="8"/>
      <c r="I126" s="8" t="s">
        <v>3271</v>
      </c>
      <c r="J126" s="8" t="s">
        <v>3296</v>
      </c>
      <c r="K126" s="8" t="s">
        <v>3273</v>
      </c>
      <c r="L126" s="8" t="s">
        <v>3375</v>
      </c>
      <c r="M126" s="8" t="s">
        <v>3275</v>
      </c>
      <c r="N126" s="8"/>
      <c r="O126" s="8"/>
      <c r="P126" s="8" t="s">
        <v>3276</v>
      </c>
      <c r="Q126" s="8" t="s">
        <v>3275</v>
      </c>
      <c r="R126" s="8" t="s">
        <v>3277</v>
      </c>
      <c r="S126" s="8" t="s">
        <v>771</v>
      </c>
    </row>
    <row r="127" spans="1:19" ht="36.950000000000003" customHeight="1" x14ac:dyDescent="0.25">
      <c r="A127" s="8" t="s">
        <v>782</v>
      </c>
      <c r="B127" s="8" t="s">
        <v>3564</v>
      </c>
      <c r="C127" s="8" t="s">
        <v>3267</v>
      </c>
      <c r="D127" s="8" t="s">
        <v>65</v>
      </c>
      <c r="E127" s="11" t="s">
        <v>3565</v>
      </c>
      <c r="F127" s="8" t="s">
        <v>3269</v>
      </c>
      <c r="G127" s="8" t="s">
        <v>3270</v>
      </c>
      <c r="H127" s="15" t="s">
        <v>1685</v>
      </c>
      <c r="I127" s="8" t="s">
        <v>3271</v>
      </c>
      <c r="J127" s="8" t="s">
        <v>3296</v>
      </c>
      <c r="K127" s="8" t="s">
        <v>3273</v>
      </c>
      <c r="L127" s="8" t="s">
        <v>3375</v>
      </c>
      <c r="M127" s="8" t="s">
        <v>3312</v>
      </c>
      <c r="N127" s="8"/>
      <c r="O127" s="8"/>
      <c r="P127" s="8" t="s">
        <v>3276</v>
      </c>
      <c r="Q127" s="8" t="s">
        <v>3313</v>
      </c>
      <c r="R127" s="8" t="s">
        <v>3317</v>
      </c>
      <c r="S127" s="8" t="s">
        <v>782</v>
      </c>
    </row>
    <row r="128" spans="1:19" ht="36.950000000000003" customHeight="1" x14ac:dyDescent="0.25">
      <c r="A128" s="8" t="s">
        <v>384</v>
      </c>
      <c r="B128" s="8" t="s">
        <v>3566</v>
      </c>
      <c r="C128" s="8" t="s">
        <v>3531</v>
      </c>
      <c r="D128" s="8" t="s">
        <v>3345</v>
      </c>
      <c r="E128" s="11" t="s">
        <v>3567</v>
      </c>
      <c r="F128" s="8" t="s">
        <v>3269</v>
      </c>
      <c r="G128" s="8" t="s">
        <v>3359</v>
      </c>
      <c r="H128" s="8"/>
      <c r="I128" s="8" t="s">
        <v>3271</v>
      </c>
      <c r="J128" s="8" t="s">
        <v>3534</v>
      </c>
      <c r="K128" s="8" t="s">
        <v>3273</v>
      </c>
      <c r="L128" s="8" t="s">
        <v>3375</v>
      </c>
      <c r="M128" s="8" t="s">
        <v>3275</v>
      </c>
      <c r="N128" s="8"/>
      <c r="O128" s="8"/>
      <c r="P128" s="8" t="s">
        <v>3531</v>
      </c>
      <c r="Q128" s="8" t="s">
        <v>3275</v>
      </c>
      <c r="R128" s="8" t="s">
        <v>3536</v>
      </c>
      <c r="S128" s="8" t="s">
        <v>384</v>
      </c>
    </row>
    <row r="129" spans="1:19" ht="36.950000000000003" customHeight="1" x14ac:dyDescent="0.25">
      <c r="A129" s="8" t="s">
        <v>3568</v>
      </c>
      <c r="B129" s="8" t="s">
        <v>1867</v>
      </c>
      <c r="C129" s="8" t="s">
        <v>3569</v>
      </c>
      <c r="D129" s="8" t="s">
        <v>65</v>
      </c>
      <c r="E129" s="11" t="s">
        <v>3570</v>
      </c>
      <c r="F129" s="8" t="s">
        <v>3269</v>
      </c>
      <c r="G129" s="8" t="s">
        <v>3359</v>
      </c>
      <c r="H129" s="8"/>
      <c r="I129" s="8" t="s">
        <v>3271</v>
      </c>
      <c r="J129" s="8" t="s">
        <v>3571</v>
      </c>
      <c r="K129" s="8" t="s">
        <v>3273</v>
      </c>
      <c r="L129" s="8" t="s">
        <v>3572</v>
      </c>
      <c r="M129" s="8" t="s">
        <v>3275</v>
      </c>
      <c r="N129" s="8"/>
      <c r="O129" s="8"/>
      <c r="P129" s="8" t="s">
        <v>3276</v>
      </c>
      <c r="Q129" s="8" t="s">
        <v>3275</v>
      </c>
      <c r="R129" s="8" t="s">
        <v>3277</v>
      </c>
      <c r="S129" s="8" t="s">
        <v>3568</v>
      </c>
    </row>
    <row r="130" spans="1:19" ht="36.950000000000003" customHeight="1" x14ac:dyDescent="0.25">
      <c r="A130" s="8" t="s">
        <v>3573</v>
      </c>
      <c r="B130" s="8" t="s">
        <v>1867</v>
      </c>
      <c r="C130" s="8" t="s">
        <v>3569</v>
      </c>
      <c r="D130" s="8" t="s">
        <v>65</v>
      </c>
      <c r="E130" s="11" t="s">
        <v>3574</v>
      </c>
      <c r="F130" s="8" t="s">
        <v>3269</v>
      </c>
      <c r="G130" s="8" t="s">
        <v>3359</v>
      </c>
      <c r="H130" s="8"/>
      <c r="I130" s="8" t="s">
        <v>3271</v>
      </c>
      <c r="J130" s="8" t="s">
        <v>3571</v>
      </c>
      <c r="K130" s="8" t="s">
        <v>3273</v>
      </c>
      <c r="L130" s="8" t="s">
        <v>3575</v>
      </c>
      <c r="M130" s="8" t="s">
        <v>3275</v>
      </c>
      <c r="N130" s="8"/>
      <c r="O130" s="8"/>
      <c r="P130" s="8" t="s">
        <v>3276</v>
      </c>
      <c r="Q130" s="8" t="s">
        <v>3275</v>
      </c>
      <c r="R130" s="8" t="s">
        <v>3277</v>
      </c>
      <c r="S130" s="8" t="s">
        <v>3573</v>
      </c>
    </row>
    <row r="131" spans="1:19" ht="36.950000000000003" customHeight="1" x14ac:dyDescent="0.25">
      <c r="A131" s="8" t="s">
        <v>3576</v>
      </c>
      <c r="B131" s="8" t="s">
        <v>3577</v>
      </c>
      <c r="C131" s="8" t="s">
        <v>3569</v>
      </c>
      <c r="D131" s="8" t="s">
        <v>3532</v>
      </c>
      <c r="E131" s="11" t="s">
        <v>3578</v>
      </c>
      <c r="F131" s="8" t="s">
        <v>3269</v>
      </c>
      <c r="G131" s="8" t="s">
        <v>3270</v>
      </c>
      <c r="H131" s="15" t="s">
        <v>1685</v>
      </c>
      <c r="I131" s="8" t="s">
        <v>3271</v>
      </c>
      <c r="J131" s="8" t="s">
        <v>3571</v>
      </c>
      <c r="K131" s="8" t="s">
        <v>3273</v>
      </c>
      <c r="L131" s="8" t="s">
        <v>3579</v>
      </c>
      <c r="M131" s="8" t="s">
        <v>3312</v>
      </c>
      <c r="N131" s="8"/>
      <c r="O131" s="8"/>
      <c r="P131" s="8" t="s">
        <v>3580</v>
      </c>
      <c r="Q131" s="8" t="s">
        <v>3313</v>
      </c>
      <c r="R131" s="8" t="s">
        <v>3317</v>
      </c>
      <c r="S131" s="8" t="s">
        <v>3576</v>
      </c>
    </row>
    <row r="132" spans="1:19" ht="36.950000000000003" customHeight="1" x14ac:dyDescent="0.25">
      <c r="A132" s="8" t="s">
        <v>3581</v>
      </c>
      <c r="B132" s="8" t="s">
        <v>2839</v>
      </c>
      <c r="C132" s="8" t="s">
        <v>3569</v>
      </c>
      <c r="D132" s="8" t="s">
        <v>65</v>
      </c>
      <c r="E132" s="11" t="s">
        <v>3582</v>
      </c>
      <c r="F132" s="8" t="s">
        <v>3269</v>
      </c>
      <c r="G132" s="8" t="s">
        <v>3359</v>
      </c>
      <c r="H132" s="8"/>
      <c r="I132" s="8" t="s">
        <v>3271</v>
      </c>
      <c r="J132" s="8" t="s">
        <v>3571</v>
      </c>
      <c r="K132" s="8" t="s">
        <v>3273</v>
      </c>
      <c r="L132" s="8" t="s">
        <v>3583</v>
      </c>
      <c r="M132" s="8" t="s">
        <v>3275</v>
      </c>
      <c r="N132" s="8"/>
      <c r="O132" s="8"/>
      <c r="P132" s="8" t="s">
        <v>3276</v>
      </c>
      <c r="Q132" s="8" t="s">
        <v>3275</v>
      </c>
      <c r="R132" s="8" t="s">
        <v>3277</v>
      </c>
      <c r="S132" s="8" t="s">
        <v>3581</v>
      </c>
    </row>
    <row r="133" spans="1:19" ht="36.950000000000003" customHeight="1" x14ac:dyDescent="0.25">
      <c r="A133" s="8" t="s">
        <v>878</v>
      </c>
      <c r="B133" s="8" t="s">
        <v>3584</v>
      </c>
      <c r="C133" s="8" t="s">
        <v>3267</v>
      </c>
      <c r="D133" s="8" t="s">
        <v>3345</v>
      </c>
      <c r="E133" s="11" t="s">
        <v>3188</v>
      </c>
      <c r="F133" s="8" t="s">
        <v>3269</v>
      </c>
      <c r="G133" s="8" t="s">
        <v>3270</v>
      </c>
      <c r="H133" s="15" t="s">
        <v>1685</v>
      </c>
      <c r="I133" s="8" t="s">
        <v>3271</v>
      </c>
      <c r="J133" s="8" t="s">
        <v>3585</v>
      </c>
      <c r="K133" s="8" t="s">
        <v>3586</v>
      </c>
      <c r="L133" s="8" t="s">
        <v>3587</v>
      </c>
      <c r="M133" s="8" t="s">
        <v>3588</v>
      </c>
      <c r="N133" s="8"/>
      <c r="O133" s="8"/>
      <c r="P133" s="8" t="s">
        <v>3276</v>
      </c>
      <c r="Q133" s="8" t="s">
        <v>3275</v>
      </c>
      <c r="R133" s="8" t="s">
        <v>3277</v>
      </c>
      <c r="S133" s="8" t="s">
        <v>878</v>
      </c>
    </row>
    <row r="134" spans="1:19" ht="51" customHeight="1" x14ac:dyDescent="0.25">
      <c r="A134" s="8" t="s">
        <v>3589</v>
      </c>
      <c r="B134" s="8" t="s">
        <v>3590</v>
      </c>
      <c r="C134" s="8" t="s">
        <v>3267</v>
      </c>
      <c r="D134" s="8" t="s">
        <v>3302</v>
      </c>
      <c r="E134" s="11" t="s">
        <v>3591</v>
      </c>
      <c r="F134" s="8" t="s">
        <v>3269</v>
      </c>
      <c r="G134" s="8" t="s">
        <v>3270</v>
      </c>
      <c r="H134" s="15" t="s">
        <v>1685</v>
      </c>
      <c r="I134" s="8" t="s">
        <v>3271</v>
      </c>
      <c r="J134" s="8" t="s">
        <v>3592</v>
      </c>
      <c r="K134" s="8" t="s">
        <v>3586</v>
      </c>
      <c r="L134" s="8" t="s">
        <v>3593</v>
      </c>
      <c r="M134" s="8" t="s">
        <v>3588</v>
      </c>
      <c r="N134" s="8"/>
      <c r="O134" s="8"/>
      <c r="P134" s="8" t="s">
        <v>3276</v>
      </c>
      <c r="Q134" s="8" t="s">
        <v>3275</v>
      </c>
      <c r="R134" s="8" t="s">
        <v>3277</v>
      </c>
      <c r="S134" s="8" t="s">
        <v>3589</v>
      </c>
    </row>
    <row r="135" spans="1:19" ht="36.950000000000003" customHeight="1" x14ac:dyDescent="0.25">
      <c r="A135" s="8" t="s">
        <v>903</v>
      </c>
      <c r="B135" s="8" t="s">
        <v>3594</v>
      </c>
      <c r="C135" s="8" t="s">
        <v>3267</v>
      </c>
      <c r="D135" s="8" t="s">
        <v>3345</v>
      </c>
      <c r="E135" s="11" t="s">
        <v>3195</v>
      </c>
      <c r="F135" s="8" t="s">
        <v>3269</v>
      </c>
      <c r="G135" s="8" t="s">
        <v>3270</v>
      </c>
      <c r="H135" s="15" t="s">
        <v>1685</v>
      </c>
      <c r="I135" s="8" t="s">
        <v>3271</v>
      </c>
      <c r="J135" s="8" t="s">
        <v>3595</v>
      </c>
      <c r="K135" s="8" t="s">
        <v>3586</v>
      </c>
      <c r="L135" s="8" t="s">
        <v>3596</v>
      </c>
      <c r="M135" s="8" t="s">
        <v>3312</v>
      </c>
      <c r="N135" s="8"/>
      <c r="O135" s="8"/>
      <c r="P135" s="8" t="s">
        <v>3276</v>
      </c>
      <c r="Q135" s="8" t="s">
        <v>3313</v>
      </c>
      <c r="R135" s="8" t="s">
        <v>3317</v>
      </c>
      <c r="S135" s="8" t="s">
        <v>903</v>
      </c>
    </row>
    <row r="136" spans="1:19" ht="36.950000000000003" customHeight="1" x14ac:dyDescent="0.25">
      <c r="A136" s="8" t="s">
        <v>872</v>
      </c>
      <c r="B136" s="8" t="s">
        <v>2149</v>
      </c>
      <c r="C136" s="8" t="s">
        <v>3267</v>
      </c>
      <c r="D136" s="8" t="s">
        <v>3597</v>
      </c>
      <c r="E136" s="11" t="s">
        <v>3198</v>
      </c>
      <c r="F136" s="8" t="s">
        <v>3269</v>
      </c>
      <c r="G136" s="8" t="s">
        <v>3270</v>
      </c>
      <c r="H136" s="15" t="s">
        <v>1685</v>
      </c>
      <c r="I136" s="8" t="s">
        <v>3271</v>
      </c>
      <c r="J136" s="8" t="s">
        <v>3598</v>
      </c>
      <c r="K136" s="8" t="s">
        <v>3586</v>
      </c>
      <c r="L136" s="8" t="s">
        <v>3599</v>
      </c>
      <c r="M136" s="8" t="s">
        <v>3312</v>
      </c>
      <c r="N136" s="8"/>
      <c r="O136" s="8"/>
      <c r="P136" s="8" t="s">
        <v>3276</v>
      </c>
      <c r="Q136" s="8" t="s">
        <v>3313</v>
      </c>
      <c r="R136" s="8" t="s">
        <v>3317</v>
      </c>
      <c r="S136" s="8" t="s">
        <v>872</v>
      </c>
    </row>
    <row r="137" spans="1:19" ht="36.950000000000003" customHeight="1" x14ac:dyDescent="0.25">
      <c r="A137" s="8" t="s">
        <v>685</v>
      </c>
      <c r="B137" s="8" t="s">
        <v>3600</v>
      </c>
      <c r="C137" s="8" t="s">
        <v>3267</v>
      </c>
      <c r="D137" s="8" t="s">
        <v>3345</v>
      </c>
      <c r="E137" s="11" t="s">
        <v>3201</v>
      </c>
      <c r="F137" s="8" t="s">
        <v>3269</v>
      </c>
      <c r="G137" s="8" t="s">
        <v>3601</v>
      </c>
      <c r="H137" s="15" t="s">
        <v>1685</v>
      </c>
      <c r="I137" s="8" t="s">
        <v>3271</v>
      </c>
      <c r="J137" s="8" t="s">
        <v>3602</v>
      </c>
      <c r="K137" s="8" t="s">
        <v>3586</v>
      </c>
      <c r="L137" s="8" t="s">
        <v>3603</v>
      </c>
      <c r="M137" s="8" t="s">
        <v>3588</v>
      </c>
      <c r="N137" s="8"/>
      <c r="O137" s="8"/>
      <c r="P137" s="8" t="s">
        <v>3276</v>
      </c>
      <c r="Q137" s="8" t="s">
        <v>3275</v>
      </c>
      <c r="R137" s="8" t="s">
        <v>3277</v>
      </c>
      <c r="S137" s="8" t="s">
        <v>685</v>
      </c>
    </row>
    <row r="138" spans="1:19" ht="36.950000000000003" customHeight="1" x14ac:dyDescent="0.25">
      <c r="A138" s="8" t="s">
        <v>441</v>
      </c>
      <c r="B138" s="8" t="s">
        <v>3604</v>
      </c>
      <c r="C138" s="8" t="s">
        <v>3267</v>
      </c>
      <c r="D138" s="8" t="s">
        <v>3345</v>
      </c>
      <c r="E138" s="11" t="s">
        <v>3204</v>
      </c>
      <c r="F138" s="8" t="s">
        <v>3269</v>
      </c>
      <c r="G138" s="8" t="s">
        <v>3601</v>
      </c>
      <c r="H138" s="15" t="s">
        <v>1685</v>
      </c>
      <c r="I138" s="8" t="s">
        <v>3271</v>
      </c>
      <c r="J138" s="8" t="s">
        <v>3605</v>
      </c>
      <c r="K138" s="8" t="s">
        <v>3586</v>
      </c>
      <c r="L138" s="8" t="s">
        <v>3606</v>
      </c>
      <c r="M138" s="8" t="s">
        <v>3588</v>
      </c>
      <c r="N138" s="8"/>
      <c r="O138" s="8"/>
      <c r="P138" s="8" t="s">
        <v>3276</v>
      </c>
      <c r="Q138" s="8" t="s">
        <v>3275</v>
      </c>
      <c r="R138" s="8" t="s">
        <v>3277</v>
      </c>
      <c r="S138" s="8" t="s">
        <v>441</v>
      </c>
    </row>
    <row r="139" spans="1:19" ht="36.950000000000003" customHeight="1" x14ac:dyDescent="0.25">
      <c r="A139" s="8" t="s">
        <v>788</v>
      </c>
      <c r="B139" s="8" t="s">
        <v>787</v>
      </c>
      <c r="C139" s="8" t="s">
        <v>3267</v>
      </c>
      <c r="D139" s="8" t="s">
        <v>3345</v>
      </c>
      <c r="E139" s="11" t="s">
        <v>3207</v>
      </c>
      <c r="F139" s="8" t="s">
        <v>3269</v>
      </c>
      <c r="G139" s="8" t="s">
        <v>3270</v>
      </c>
      <c r="H139" s="15" t="s">
        <v>1685</v>
      </c>
      <c r="I139" s="8" t="s">
        <v>3271</v>
      </c>
      <c r="J139" s="8" t="s">
        <v>3607</v>
      </c>
      <c r="K139" s="8" t="s">
        <v>3586</v>
      </c>
      <c r="L139" s="8" t="s">
        <v>3608</v>
      </c>
      <c r="M139" s="8" t="s">
        <v>3588</v>
      </c>
      <c r="N139" s="8"/>
      <c r="O139" s="8"/>
      <c r="P139" s="8" t="s">
        <v>3276</v>
      </c>
      <c r="Q139" s="8" t="s">
        <v>3275</v>
      </c>
      <c r="R139" s="8" t="s">
        <v>3277</v>
      </c>
      <c r="S139" s="8" t="s">
        <v>788</v>
      </c>
    </row>
    <row r="140" spans="1:19" ht="36.950000000000003" customHeight="1" x14ac:dyDescent="0.25">
      <c r="A140" s="8" t="s">
        <v>982</v>
      </c>
      <c r="B140" s="8" t="s">
        <v>3609</v>
      </c>
      <c r="C140" s="8" t="s">
        <v>3267</v>
      </c>
      <c r="D140" s="8" t="s">
        <v>3345</v>
      </c>
      <c r="E140" s="11" t="s">
        <v>3610</v>
      </c>
      <c r="F140" s="8" t="s">
        <v>3269</v>
      </c>
      <c r="G140" s="8" t="s">
        <v>3270</v>
      </c>
      <c r="H140" s="15" t="s">
        <v>1685</v>
      </c>
      <c r="I140" s="8" t="s">
        <v>3271</v>
      </c>
      <c r="J140" s="8" t="s">
        <v>3611</v>
      </c>
      <c r="K140" s="8" t="s">
        <v>3586</v>
      </c>
      <c r="L140" s="8" t="s">
        <v>3612</v>
      </c>
      <c r="M140" s="8" t="s">
        <v>3588</v>
      </c>
      <c r="N140" s="8"/>
      <c r="O140" s="8"/>
      <c r="P140" s="8" t="s">
        <v>3276</v>
      </c>
      <c r="Q140" s="8" t="s">
        <v>3275</v>
      </c>
      <c r="R140" s="8" t="s">
        <v>3277</v>
      </c>
      <c r="S140" s="8" t="s">
        <v>982</v>
      </c>
    </row>
    <row r="141" spans="1:19" ht="36.950000000000003" customHeight="1" x14ac:dyDescent="0.25">
      <c r="A141" s="8" t="s">
        <v>660</v>
      </c>
      <c r="B141" s="8" t="s">
        <v>3613</v>
      </c>
      <c r="C141" s="8" t="s">
        <v>3267</v>
      </c>
      <c r="D141" s="8" t="s">
        <v>3345</v>
      </c>
      <c r="E141" s="11" t="s">
        <v>3014</v>
      </c>
      <c r="F141" s="8" t="s">
        <v>3269</v>
      </c>
      <c r="G141" s="8" t="s">
        <v>3270</v>
      </c>
      <c r="H141" s="15" t="s">
        <v>1685</v>
      </c>
      <c r="I141" s="8" t="s">
        <v>3271</v>
      </c>
      <c r="J141" s="8" t="s">
        <v>3611</v>
      </c>
      <c r="K141" s="8" t="s">
        <v>3586</v>
      </c>
      <c r="L141" s="8" t="s">
        <v>3614</v>
      </c>
      <c r="M141" s="8" t="s">
        <v>3588</v>
      </c>
      <c r="N141" s="8"/>
      <c r="O141" s="8"/>
      <c r="P141" s="8" t="s">
        <v>3276</v>
      </c>
      <c r="Q141" s="8" t="s">
        <v>3275</v>
      </c>
      <c r="R141" s="8" t="s">
        <v>3277</v>
      </c>
      <c r="S141" s="8" t="s">
        <v>660</v>
      </c>
    </row>
    <row r="142" spans="1:19" ht="36.950000000000003" customHeight="1" x14ac:dyDescent="0.25">
      <c r="A142" s="8" t="s">
        <v>365</v>
      </c>
      <c r="B142" s="8" t="s">
        <v>3615</v>
      </c>
      <c r="C142" s="8" t="s">
        <v>3267</v>
      </c>
      <c r="D142" s="8" t="s">
        <v>3345</v>
      </c>
      <c r="E142" s="11" t="s">
        <v>3211</v>
      </c>
      <c r="F142" s="8" t="s">
        <v>3269</v>
      </c>
      <c r="G142" s="8" t="s">
        <v>3270</v>
      </c>
      <c r="H142" s="15" t="s">
        <v>1685</v>
      </c>
      <c r="I142" s="8" t="s">
        <v>3271</v>
      </c>
      <c r="J142" s="8" t="s">
        <v>3595</v>
      </c>
      <c r="K142" s="8" t="s">
        <v>3586</v>
      </c>
      <c r="L142" s="8" t="s">
        <v>3616</v>
      </c>
      <c r="M142" s="8" t="s">
        <v>3312</v>
      </c>
      <c r="N142" s="8"/>
      <c r="O142" s="8"/>
      <c r="P142" s="8" t="s">
        <v>3276</v>
      </c>
      <c r="Q142" s="8" t="s">
        <v>3313</v>
      </c>
      <c r="R142" s="8" t="s">
        <v>3317</v>
      </c>
      <c r="S142" s="8" t="s">
        <v>365</v>
      </c>
    </row>
    <row r="143" spans="1:19" ht="36.950000000000003" customHeight="1" x14ac:dyDescent="0.25">
      <c r="A143" s="8" t="s">
        <v>3617</v>
      </c>
      <c r="B143" s="8" t="s">
        <v>3618</v>
      </c>
      <c r="C143" s="8" t="s">
        <v>3267</v>
      </c>
      <c r="D143" s="8" t="s">
        <v>3302</v>
      </c>
      <c r="E143" s="11" t="s">
        <v>3619</v>
      </c>
      <c r="F143" s="8" t="s">
        <v>3269</v>
      </c>
      <c r="G143" s="8" t="s">
        <v>3601</v>
      </c>
      <c r="H143" s="15" t="s">
        <v>1685</v>
      </c>
      <c r="I143" s="8" t="s">
        <v>3271</v>
      </c>
      <c r="J143" s="8" t="s">
        <v>3620</v>
      </c>
      <c r="K143" s="8" t="s">
        <v>3586</v>
      </c>
      <c r="L143" s="8" t="s">
        <v>3621</v>
      </c>
      <c r="M143" s="8" t="s">
        <v>3588</v>
      </c>
      <c r="N143" s="8"/>
      <c r="O143" s="8"/>
      <c r="P143" s="8" t="s">
        <v>3276</v>
      </c>
      <c r="Q143" s="8" t="s">
        <v>3275</v>
      </c>
      <c r="R143" s="8" t="s">
        <v>3277</v>
      </c>
      <c r="S143" s="8" t="s">
        <v>3617</v>
      </c>
    </row>
    <row r="144" spans="1:19" ht="36.950000000000003" customHeight="1" x14ac:dyDescent="0.25">
      <c r="A144" s="8" t="s">
        <v>2268</v>
      </c>
      <c r="B144" s="8" t="s">
        <v>3622</v>
      </c>
      <c r="C144" s="8" t="s">
        <v>3267</v>
      </c>
      <c r="D144" s="8" t="s">
        <v>3341</v>
      </c>
      <c r="E144" s="11" t="s">
        <v>2860</v>
      </c>
      <c r="F144" s="8" t="s">
        <v>3269</v>
      </c>
      <c r="G144" s="8" t="s">
        <v>3270</v>
      </c>
      <c r="H144" s="15" t="s">
        <v>1685</v>
      </c>
      <c r="I144" s="8" t="s">
        <v>3271</v>
      </c>
      <c r="J144" s="8" t="s">
        <v>3623</v>
      </c>
      <c r="K144" s="8" t="s">
        <v>3586</v>
      </c>
      <c r="L144" s="8" t="s">
        <v>3624</v>
      </c>
      <c r="M144" s="8" t="s">
        <v>3588</v>
      </c>
      <c r="N144" s="8"/>
      <c r="O144" s="8"/>
      <c r="P144" s="8" t="s">
        <v>3276</v>
      </c>
      <c r="Q144" s="8" t="s">
        <v>3275</v>
      </c>
      <c r="R144" s="8" t="s">
        <v>3277</v>
      </c>
      <c r="S144" s="8" t="s">
        <v>2268</v>
      </c>
    </row>
    <row r="145" spans="1:19" ht="36.950000000000003" customHeight="1" x14ac:dyDescent="0.25">
      <c r="A145" s="8" t="s">
        <v>653</v>
      </c>
      <c r="B145" s="8" t="s">
        <v>3625</v>
      </c>
      <c r="C145" s="8" t="s">
        <v>3267</v>
      </c>
      <c r="D145" s="8" t="s">
        <v>3345</v>
      </c>
      <c r="E145" s="11" t="s">
        <v>3214</v>
      </c>
      <c r="F145" s="8" t="s">
        <v>3269</v>
      </c>
      <c r="G145" s="8" t="s">
        <v>3270</v>
      </c>
      <c r="H145" s="15" t="s">
        <v>1685</v>
      </c>
      <c r="I145" s="8" t="s">
        <v>3271</v>
      </c>
      <c r="J145" s="8" t="s">
        <v>3595</v>
      </c>
      <c r="K145" s="8" t="s">
        <v>3586</v>
      </c>
      <c r="L145" s="8" t="s">
        <v>3626</v>
      </c>
      <c r="M145" s="8" t="s">
        <v>3588</v>
      </c>
      <c r="N145" s="8"/>
      <c r="O145" s="8"/>
      <c r="P145" s="8" t="s">
        <v>3276</v>
      </c>
      <c r="Q145" s="8" t="s">
        <v>3275</v>
      </c>
      <c r="R145" s="8" t="s">
        <v>3277</v>
      </c>
      <c r="S145" s="8" t="s">
        <v>653</v>
      </c>
    </row>
    <row r="146" spans="1:19" ht="36.950000000000003" customHeight="1" x14ac:dyDescent="0.25">
      <c r="A146" s="8" t="s">
        <v>866</v>
      </c>
      <c r="B146" s="8" t="s">
        <v>3627</v>
      </c>
      <c r="C146" s="8" t="s">
        <v>3267</v>
      </c>
      <c r="D146" s="8" t="s">
        <v>3345</v>
      </c>
      <c r="E146" s="11" t="s">
        <v>3217</v>
      </c>
      <c r="F146" s="8" t="s">
        <v>3269</v>
      </c>
      <c r="G146" s="8" t="s">
        <v>3601</v>
      </c>
      <c r="H146" s="15" t="s">
        <v>1685</v>
      </c>
      <c r="I146" s="8" t="s">
        <v>3271</v>
      </c>
      <c r="J146" s="8" t="s">
        <v>3628</v>
      </c>
      <c r="K146" s="8" t="s">
        <v>3586</v>
      </c>
      <c r="L146" s="8" t="s">
        <v>3629</v>
      </c>
      <c r="M146" s="8" t="s">
        <v>3588</v>
      </c>
      <c r="N146" s="8"/>
      <c r="O146" s="8"/>
      <c r="P146" s="8" t="s">
        <v>3276</v>
      </c>
      <c r="Q146" s="8" t="s">
        <v>3275</v>
      </c>
      <c r="R146" s="8" t="s">
        <v>3277</v>
      </c>
      <c r="S146" s="8" t="s">
        <v>866</v>
      </c>
    </row>
    <row r="147" spans="1:19" ht="51" customHeight="1" x14ac:dyDescent="0.25">
      <c r="A147" s="8" t="s">
        <v>894</v>
      </c>
      <c r="B147" s="8" t="s">
        <v>3630</v>
      </c>
      <c r="C147" s="8" t="s">
        <v>3267</v>
      </c>
      <c r="D147" s="8" t="s">
        <v>3631</v>
      </c>
      <c r="E147" s="11" t="s">
        <v>3220</v>
      </c>
      <c r="F147" s="8" t="s">
        <v>3269</v>
      </c>
      <c r="G147" s="8" t="s">
        <v>3270</v>
      </c>
      <c r="H147" s="15" t="s">
        <v>1685</v>
      </c>
      <c r="I147" s="8" t="s">
        <v>3271</v>
      </c>
      <c r="J147" s="8" t="s">
        <v>3632</v>
      </c>
      <c r="K147" s="8" t="s">
        <v>3586</v>
      </c>
      <c r="L147" s="8" t="s">
        <v>3633</v>
      </c>
      <c r="M147" s="8" t="s">
        <v>3312</v>
      </c>
      <c r="N147" s="8"/>
      <c r="O147" s="8"/>
      <c r="P147" s="8" t="s">
        <v>3580</v>
      </c>
      <c r="Q147" s="8" t="s">
        <v>3634</v>
      </c>
      <c r="R147" s="8" t="s">
        <v>3277</v>
      </c>
      <c r="S147" s="8" t="s">
        <v>894</v>
      </c>
    </row>
    <row r="148" spans="1:19" ht="36.950000000000003" customHeight="1" x14ac:dyDescent="0.25">
      <c r="A148" s="8" t="s">
        <v>3635</v>
      </c>
      <c r="B148" s="8" t="s">
        <v>3636</v>
      </c>
      <c r="C148" s="8" t="s">
        <v>3267</v>
      </c>
      <c r="D148" s="8" t="s">
        <v>3345</v>
      </c>
      <c r="E148" s="11" t="s">
        <v>3237</v>
      </c>
      <c r="F148" s="8" t="s">
        <v>3269</v>
      </c>
      <c r="G148" s="8" t="s">
        <v>3637</v>
      </c>
      <c r="H148" s="15" t="s">
        <v>1685</v>
      </c>
      <c r="I148" s="8" t="s">
        <v>3271</v>
      </c>
      <c r="J148" s="8" t="s">
        <v>3638</v>
      </c>
      <c r="K148" s="8" t="s">
        <v>3586</v>
      </c>
      <c r="L148" s="8" t="s">
        <v>3639</v>
      </c>
      <c r="M148" s="8" t="s">
        <v>3588</v>
      </c>
      <c r="N148" s="8"/>
      <c r="O148" s="8"/>
      <c r="P148" s="8" t="s">
        <v>3276</v>
      </c>
      <c r="Q148" s="8" t="s">
        <v>3275</v>
      </c>
      <c r="R148" s="8" t="s">
        <v>3277</v>
      </c>
      <c r="S148" s="8" t="s">
        <v>3635</v>
      </c>
    </row>
    <row r="149" spans="1:19" ht="51" customHeight="1" x14ac:dyDescent="0.25">
      <c r="A149" s="8" t="s">
        <v>2095</v>
      </c>
      <c r="B149" s="8" t="s">
        <v>2093</v>
      </c>
      <c r="C149" s="8" t="s">
        <v>3267</v>
      </c>
      <c r="D149" s="8" t="s">
        <v>96</v>
      </c>
      <c r="E149" s="11" t="s">
        <v>3640</v>
      </c>
      <c r="F149" s="8" t="s">
        <v>3269</v>
      </c>
      <c r="G149" s="8" t="s">
        <v>3601</v>
      </c>
      <c r="H149" s="15" t="s">
        <v>1685</v>
      </c>
      <c r="I149" s="8" t="s">
        <v>3271</v>
      </c>
      <c r="J149" s="8" t="s">
        <v>3641</v>
      </c>
      <c r="K149" s="8" t="s">
        <v>3586</v>
      </c>
      <c r="L149" s="8" t="s">
        <v>3642</v>
      </c>
      <c r="M149" s="8" t="s">
        <v>3588</v>
      </c>
      <c r="N149" s="8"/>
      <c r="O149" s="8"/>
      <c r="P149" s="8" t="s">
        <v>3276</v>
      </c>
      <c r="Q149" s="8" t="s">
        <v>3275</v>
      </c>
      <c r="R149" s="8" t="s">
        <v>3277</v>
      </c>
      <c r="S149" s="8" t="s">
        <v>2095</v>
      </c>
    </row>
    <row r="150" spans="1:19" ht="36.950000000000003" customHeight="1" x14ac:dyDescent="0.25">
      <c r="A150" s="8" t="s">
        <v>2109</v>
      </c>
      <c r="B150" s="8" t="s">
        <v>2106</v>
      </c>
      <c r="C150" s="8" t="s">
        <v>3267</v>
      </c>
      <c r="D150" s="8" t="s">
        <v>96</v>
      </c>
      <c r="E150" s="11" t="s">
        <v>3643</v>
      </c>
      <c r="F150" s="8" t="s">
        <v>3269</v>
      </c>
      <c r="G150" s="8" t="s">
        <v>3270</v>
      </c>
      <c r="H150" s="15" t="s">
        <v>1685</v>
      </c>
      <c r="I150" s="8" t="s">
        <v>3271</v>
      </c>
      <c r="J150" s="8" t="s">
        <v>3641</v>
      </c>
      <c r="K150" s="8" t="s">
        <v>3586</v>
      </c>
      <c r="L150" s="8" t="s">
        <v>3644</v>
      </c>
      <c r="M150" s="8" t="s">
        <v>3588</v>
      </c>
      <c r="N150" s="8"/>
      <c r="O150" s="8"/>
      <c r="P150" s="8" t="s">
        <v>3276</v>
      </c>
      <c r="Q150" s="8" t="s">
        <v>3275</v>
      </c>
      <c r="R150" s="8" t="s">
        <v>3277</v>
      </c>
      <c r="S150" s="8" t="s">
        <v>2109</v>
      </c>
    </row>
    <row r="151" spans="1:19" ht="36.950000000000003" customHeight="1" x14ac:dyDescent="0.25">
      <c r="A151" s="8" t="s">
        <v>2116</v>
      </c>
      <c r="B151" s="8" t="s">
        <v>2113</v>
      </c>
      <c r="C151" s="8" t="s">
        <v>3267</v>
      </c>
      <c r="D151" s="8" t="s">
        <v>96</v>
      </c>
      <c r="E151" s="11" t="s">
        <v>3645</v>
      </c>
      <c r="F151" s="8" t="s">
        <v>3269</v>
      </c>
      <c r="G151" s="8" t="s">
        <v>3270</v>
      </c>
      <c r="H151" s="15" t="s">
        <v>1685</v>
      </c>
      <c r="I151" s="8" t="s">
        <v>3271</v>
      </c>
      <c r="J151" s="8" t="s">
        <v>3641</v>
      </c>
      <c r="K151" s="8" t="s">
        <v>3586</v>
      </c>
      <c r="L151" s="8" t="s">
        <v>3646</v>
      </c>
      <c r="M151" s="8" t="s">
        <v>3588</v>
      </c>
      <c r="N151" s="8"/>
      <c r="O151" s="8"/>
      <c r="P151" s="8" t="s">
        <v>3276</v>
      </c>
      <c r="Q151" s="8" t="s">
        <v>3275</v>
      </c>
      <c r="R151" s="8" t="s">
        <v>3277</v>
      </c>
      <c r="S151" s="8" t="s">
        <v>2116</v>
      </c>
    </row>
    <row r="152" spans="1:19" ht="36.950000000000003" customHeight="1" x14ac:dyDescent="0.25">
      <c r="A152" s="8" t="s">
        <v>2123</v>
      </c>
      <c r="B152" s="8" t="s">
        <v>2120</v>
      </c>
      <c r="C152" s="8" t="s">
        <v>3267</v>
      </c>
      <c r="D152" s="8" t="s">
        <v>96</v>
      </c>
      <c r="E152" s="11" t="s">
        <v>3647</v>
      </c>
      <c r="F152" s="8" t="s">
        <v>3269</v>
      </c>
      <c r="G152" s="8" t="s">
        <v>3270</v>
      </c>
      <c r="H152" s="15" t="s">
        <v>1685</v>
      </c>
      <c r="I152" s="8" t="s">
        <v>3271</v>
      </c>
      <c r="J152" s="8" t="s">
        <v>3641</v>
      </c>
      <c r="K152" s="8" t="s">
        <v>3586</v>
      </c>
      <c r="L152" s="8" t="s">
        <v>3648</v>
      </c>
      <c r="M152" s="8" t="s">
        <v>3588</v>
      </c>
      <c r="N152" s="8"/>
      <c r="O152" s="8"/>
      <c r="P152" s="8" t="s">
        <v>3276</v>
      </c>
      <c r="Q152" s="8" t="s">
        <v>3275</v>
      </c>
      <c r="R152" s="8" t="s">
        <v>3277</v>
      </c>
      <c r="S152" s="8" t="s">
        <v>2123</v>
      </c>
    </row>
    <row r="153" spans="1:19" ht="36.950000000000003" customHeight="1" x14ac:dyDescent="0.25">
      <c r="A153" s="8" t="s">
        <v>2130</v>
      </c>
      <c r="B153" s="8" t="s">
        <v>2127</v>
      </c>
      <c r="C153" s="8" t="s">
        <v>3267</v>
      </c>
      <c r="D153" s="8" t="s">
        <v>96</v>
      </c>
      <c r="E153" s="11" t="s">
        <v>3649</v>
      </c>
      <c r="F153" s="8" t="s">
        <v>3269</v>
      </c>
      <c r="G153" s="8" t="s">
        <v>3270</v>
      </c>
      <c r="H153" s="15" t="s">
        <v>1685</v>
      </c>
      <c r="I153" s="8" t="s">
        <v>3271</v>
      </c>
      <c r="J153" s="8" t="s">
        <v>3641</v>
      </c>
      <c r="K153" s="8" t="s">
        <v>3586</v>
      </c>
      <c r="L153" s="8" t="s">
        <v>3650</v>
      </c>
      <c r="M153" s="8" t="s">
        <v>3588</v>
      </c>
      <c r="N153" s="8"/>
      <c r="O153" s="8"/>
      <c r="P153" s="8" t="s">
        <v>3276</v>
      </c>
      <c r="Q153" s="8" t="s">
        <v>3275</v>
      </c>
      <c r="R153" s="8" t="s">
        <v>3277</v>
      </c>
      <c r="S153" s="8" t="s">
        <v>2130</v>
      </c>
    </row>
    <row r="154" spans="1:19" ht="51" customHeight="1" x14ac:dyDescent="0.25">
      <c r="A154" s="8" t="s">
        <v>2138</v>
      </c>
      <c r="B154" s="8" t="s">
        <v>3651</v>
      </c>
      <c r="C154" s="8" t="s">
        <v>3267</v>
      </c>
      <c r="D154" s="8" t="s">
        <v>96</v>
      </c>
      <c r="E154" s="11" t="s">
        <v>3652</v>
      </c>
      <c r="F154" s="8" t="s">
        <v>3269</v>
      </c>
      <c r="G154" s="8" t="s">
        <v>3601</v>
      </c>
      <c r="H154" s="15" t="s">
        <v>1685</v>
      </c>
      <c r="I154" s="8" t="s">
        <v>3271</v>
      </c>
      <c r="J154" s="8" t="s">
        <v>3653</v>
      </c>
      <c r="K154" s="8" t="s">
        <v>3586</v>
      </c>
      <c r="L154" s="8" t="s">
        <v>3654</v>
      </c>
      <c r="M154" s="8" t="s">
        <v>3588</v>
      </c>
      <c r="N154" s="8"/>
      <c r="O154" s="8"/>
      <c r="P154" s="8" t="s">
        <v>3276</v>
      </c>
      <c r="Q154" s="8" t="s">
        <v>3275</v>
      </c>
      <c r="R154" s="8" t="s">
        <v>3277</v>
      </c>
      <c r="S154" s="8" t="s">
        <v>2138</v>
      </c>
    </row>
    <row r="155" spans="1:19" ht="36.950000000000003" customHeight="1" x14ac:dyDescent="0.25">
      <c r="A155" s="8" t="s">
        <v>2145</v>
      </c>
      <c r="B155" s="8" t="s">
        <v>2142</v>
      </c>
      <c r="C155" s="8" t="s">
        <v>3267</v>
      </c>
      <c r="D155" s="8" t="s">
        <v>96</v>
      </c>
      <c r="E155" s="11" t="s">
        <v>3655</v>
      </c>
      <c r="F155" s="8" t="s">
        <v>3269</v>
      </c>
      <c r="G155" s="8" t="s">
        <v>3601</v>
      </c>
      <c r="H155" s="15" t="s">
        <v>1685</v>
      </c>
      <c r="I155" s="8" t="s">
        <v>3271</v>
      </c>
      <c r="J155" s="8" t="s">
        <v>3656</v>
      </c>
      <c r="K155" s="8" t="s">
        <v>3586</v>
      </c>
      <c r="L155" s="8" t="s">
        <v>3657</v>
      </c>
      <c r="M155" s="8" t="s">
        <v>3588</v>
      </c>
      <c r="N155" s="8"/>
      <c r="O155" s="8"/>
      <c r="P155" s="8" t="s">
        <v>3276</v>
      </c>
      <c r="Q155" s="8" t="s">
        <v>3275</v>
      </c>
      <c r="R155" s="8" t="s">
        <v>3277</v>
      </c>
      <c r="S155" s="8" t="s">
        <v>2145</v>
      </c>
    </row>
    <row r="156" spans="1:19" ht="36.950000000000003" customHeight="1" x14ac:dyDescent="0.25">
      <c r="A156" s="8" t="s">
        <v>3658</v>
      </c>
      <c r="B156" s="8" t="s">
        <v>3659</v>
      </c>
      <c r="C156" s="8" t="s">
        <v>3267</v>
      </c>
      <c r="D156" s="8" t="s">
        <v>96</v>
      </c>
      <c r="E156" s="11" t="s">
        <v>3660</v>
      </c>
      <c r="F156" s="8" t="s">
        <v>3269</v>
      </c>
      <c r="G156" s="8" t="s">
        <v>3601</v>
      </c>
      <c r="H156" s="15" t="s">
        <v>1685</v>
      </c>
      <c r="I156" s="8" t="s">
        <v>3271</v>
      </c>
      <c r="J156" s="8" t="s">
        <v>3661</v>
      </c>
      <c r="K156" s="8" t="s">
        <v>3586</v>
      </c>
      <c r="L156" s="8" t="s">
        <v>3662</v>
      </c>
      <c r="M156" s="8" t="s">
        <v>3588</v>
      </c>
      <c r="N156" s="8"/>
      <c r="O156" s="8"/>
      <c r="P156" s="8" t="s">
        <v>3276</v>
      </c>
      <c r="Q156" s="8" t="s">
        <v>3275</v>
      </c>
      <c r="R156" s="8" t="s">
        <v>3277</v>
      </c>
      <c r="S156" s="8" t="s">
        <v>3658</v>
      </c>
    </row>
    <row r="157" spans="1:19" ht="65.099999999999994" customHeight="1" x14ac:dyDescent="0.25">
      <c r="A157" s="8" t="s">
        <v>1683</v>
      </c>
      <c r="B157" s="8" t="s">
        <v>1679</v>
      </c>
      <c r="C157" s="8" t="s">
        <v>3663</v>
      </c>
      <c r="D157" s="8" t="s">
        <v>3664</v>
      </c>
      <c r="E157" s="11" t="s">
        <v>3665</v>
      </c>
      <c r="F157" s="8" t="s">
        <v>3666</v>
      </c>
      <c r="G157" s="8" t="s">
        <v>3280</v>
      </c>
      <c r="H157" s="15" t="s">
        <v>1685</v>
      </c>
      <c r="I157" s="8" t="s">
        <v>3271</v>
      </c>
      <c r="J157" s="8" t="s">
        <v>1681</v>
      </c>
      <c r="K157" s="8" t="s">
        <v>3586</v>
      </c>
      <c r="L157" s="8" t="s">
        <v>1686</v>
      </c>
      <c r="M157" s="8" t="s">
        <v>3588</v>
      </c>
      <c r="N157" s="8" t="s">
        <v>3667</v>
      </c>
      <c r="O157" s="8" t="s">
        <v>3668</v>
      </c>
      <c r="P157" s="8" t="s">
        <v>3669</v>
      </c>
      <c r="Q157" s="8" t="s">
        <v>3275</v>
      </c>
      <c r="R157" s="8" t="s">
        <v>3277</v>
      </c>
      <c r="S157" s="8" t="s">
        <v>1683</v>
      </c>
    </row>
    <row r="158" spans="1:19" ht="36.950000000000003" customHeight="1" x14ac:dyDescent="0.25">
      <c r="A158" s="8" t="s">
        <v>1691</v>
      </c>
      <c r="B158" s="8" t="s">
        <v>1688</v>
      </c>
      <c r="C158" s="8" t="s">
        <v>3267</v>
      </c>
      <c r="D158" s="8" t="s">
        <v>77</v>
      </c>
      <c r="E158" s="11" t="s">
        <v>3670</v>
      </c>
      <c r="F158" s="8" t="s">
        <v>3309</v>
      </c>
      <c r="G158" s="8" t="s">
        <v>3270</v>
      </c>
      <c r="H158" s="15" t="s">
        <v>1685</v>
      </c>
      <c r="I158" s="8" t="s">
        <v>3271</v>
      </c>
      <c r="J158" s="8" t="s">
        <v>1689</v>
      </c>
      <c r="K158" s="8" t="s">
        <v>3586</v>
      </c>
      <c r="L158" s="8" t="s">
        <v>1692</v>
      </c>
      <c r="M158" s="8" t="s">
        <v>3312</v>
      </c>
      <c r="N158" s="8"/>
      <c r="O158" s="8"/>
      <c r="P158" s="8" t="s">
        <v>3580</v>
      </c>
      <c r="Q158" s="8" t="s">
        <v>3313</v>
      </c>
      <c r="R158" s="8" t="s">
        <v>3317</v>
      </c>
      <c r="S158" s="8" t="s">
        <v>1691</v>
      </c>
    </row>
    <row r="159" spans="1:19" ht="51" customHeight="1" x14ac:dyDescent="0.25">
      <c r="A159" s="8" t="s">
        <v>1696</v>
      </c>
      <c r="B159" s="8" t="s">
        <v>1694</v>
      </c>
      <c r="C159" s="8" t="s">
        <v>3267</v>
      </c>
      <c r="D159" s="8" t="s">
        <v>77</v>
      </c>
      <c r="E159" s="11" t="s">
        <v>3671</v>
      </c>
      <c r="F159" s="8" t="s">
        <v>3309</v>
      </c>
      <c r="G159" s="8" t="s">
        <v>3270</v>
      </c>
      <c r="H159" s="15" t="s">
        <v>1685</v>
      </c>
      <c r="I159" s="8" t="s">
        <v>3271</v>
      </c>
      <c r="J159" s="8" t="s">
        <v>1695</v>
      </c>
      <c r="K159" s="8" t="s">
        <v>3586</v>
      </c>
      <c r="L159" s="8" t="s">
        <v>3672</v>
      </c>
      <c r="M159" s="8" t="s">
        <v>3312</v>
      </c>
      <c r="N159" s="8"/>
      <c r="O159" s="8"/>
      <c r="P159" s="8" t="s">
        <v>3673</v>
      </c>
      <c r="Q159" s="8" t="s">
        <v>3313</v>
      </c>
      <c r="R159" s="8" t="s">
        <v>3317</v>
      </c>
      <c r="S159" s="8" t="s">
        <v>1696</v>
      </c>
    </row>
    <row r="160" spans="1:19" ht="65.099999999999994" customHeight="1" x14ac:dyDescent="0.25">
      <c r="A160" s="8" t="s">
        <v>1713</v>
      </c>
      <c r="B160" s="8" t="s">
        <v>1711</v>
      </c>
      <c r="C160" s="8" t="s">
        <v>3663</v>
      </c>
      <c r="D160" s="8" t="s">
        <v>3674</v>
      </c>
      <c r="E160" s="11" t="s">
        <v>3675</v>
      </c>
      <c r="F160" s="8" t="s">
        <v>3666</v>
      </c>
      <c r="G160" s="8" t="s">
        <v>3270</v>
      </c>
      <c r="H160" s="15" t="s">
        <v>1685</v>
      </c>
      <c r="I160" s="8" t="s">
        <v>3271</v>
      </c>
      <c r="J160" s="8" t="s">
        <v>1712</v>
      </c>
      <c r="K160" s="8" t="s">
        <v>3586</v>
      </c>
      <c r="L160" s="8" t="s">
        <v>1714</v>
      </c>
      <c r="M160" s="8" t="s">
        <v>3312</v>
      </c>
      <c r="N160" s="8" t="s">
        <v>3676</v>
      </c>
      <c r="O160" s="8" t="s">
        <v>3677</v>
      </c>
      <c r="P160" s="8" t="s">
        <v>3678</v>
      </c>
      <c r="Q160" s="8" t="s">
        <v>3313</v>
      </c>
      <c r="R160" s="8" t="s">
        <v>3317</v>
      </c>
      <c r="S160" s="8" t="s">
        <v>1713</v>
      </c>
    </row>
    <row r="161" spans="1:19" ht="51" customHeight="1" x14ac:dyDescent="0.25">
      <c r="A161" s="8" t="s">
        <v>1717</v>
      </c>
      <c r="B161" s="8" t="s">
        <v>1716</v>
      </c>
      <c r="C161" s="8" t="s">
        <v>3663</v>
      </c>
      <c r="D161" s="8" t="s">
        <v>3674</v>
      </c>
      <c r="E161" s="11" t="s">
        <v>3679</v>
      </c>
      <c r="F161" s="8" t="s">
        <v>3666</v>
      </c>
      <c r="G161" s="8" t="s">
        <v>3280</v>
      </c>
      <c r="H161" s="15" t="s">
        <v>1685</v>
      </c>
      <c r="I161" s="8" t="s">
        <v>3271</v>
      </c>
      <c r="J161" s="8" t="s">
        <v>1712</v>
      </c>
      <c r="K161" s="8" t="s">
        <v>3586</v>
      </c>
      <c r="L161" s="8" t="s">
        <v>1718</v>
      </c>
      <c r="M161" s="8" t="s">
        <v>3312</v>
      </c>
      <c r="N161" s="8" t="s">
        <v>3680</v>
      </c>
      <c r="O161" s="8" t="s">
        <v>3681</v>
      </c>
      <c r="P161" s="8" t="s">
        <v>3678</v>
      </c>
      <c r="Q161" s="8" t="s">
        <v>3682</v>
      </c>
      <c r="R161" s="8" t="s">
        <v>3277</v>
      </c>
      <c r="S161" s="8" t="s">
        <v>1717</v>
      </c>
    </row>
    <row r="162" spans="1:19" ht="51" customHeight="1" x14ac:dyDescent="0.25">
      <c r="A162" s="8" t="s">
        <v>1726</v>
      </c>
      <c r="B162" s="8" t="s">
        <v>1724</v>
      </c>
      <c r="C162" s="8" t="s">
        <v>3267</v>
      </c>
      <c r="D162" s="8" t="s">
        <v>3683</v>
      </c>
      <c r="E162" s="11" t="s">
        <v>3684</v>
      </c>
      <c r="F162" s="8" t="s">
        <v>3269</v>
      </c>
      <c r="G162" s="8" t="s">
        <v>3270</v>
      </c>
      <c r="H162" s="15" t="s">
        <v>1685</v>
      </c>
      <c r="I162" s="8" t="s">
        <v>3271</v>
      </c>
      <c r="J162" s="8" t="s">
        <v>1725</v>
      </c>
      <c r="K162" s="8" t="s">
        <v>3586</v>
      </c>
      <c r="L162" s="8" t="s">
        <v>1727</v>
      </c>
      <c r="M162" s="8" t="s">
        <v>3588</v>
      </c>
      <c r="N162" s="8"/>
      <c r="O162" s="8"/>
      <c r="P162" s="8" t="s">
        <v>3580</v>
      </c>
      <c r="Q162" s="8" t="s">
        <v>3275</v>
      </c>
      <c r="R162" s="8" t="s">
        <v>3277</v>
      </c>
      <c r="S162" s="8" t="s">
        <v>1726</v>
      </c>
    </row>
    <row r="163" spans="1:19" ht="65.099999999999994" customHeight="1" x14ac:dyDescent="0.25">
      <c r="A163" s="8" t="s">
        <v>1743</v>
      </c>
      <c r="B163" s="8" t="s">
        <v>1740</v>
      </c>
      <c r="C163" s="8" t="s">
        <v>3267</v>
      </c>
      <c r="D163" s="8" t="s">
        <v>3683</v>
      </c>
      <c r="E163" s="11" t="s">
        <v>3685</v>
      </c>
      <c r="F163" s="8" t="s">
        <v>3269</v>
      </c>
      <c r="G163" s="8" t="s">
        <v>3601</v>
      </c>
      <c r="H163" s="15" t="s">
        <v>1685</v>
      </c>
      <c r="I163" s="8" t="s">
        <v>3271</v>
      </c>
      <c r="J163" s="8" t="s">
        <v>1741</v>
      </c>
      <c r="K163" s="8" t="s">
        <v>3586</v>
      </c>
      <c r="L163" s="8" t="s">
        <v>1744</v>
      </c>
      <c r="M163" s="8" t="s">
        <v>3588</v>
      </c>
      <c r="N163" s="8"/>
      <c r="O163" s="8"/>
      <c r="P163" s="8" t="s">
        <v>3580</v>
      </c>
      <c r="Q163" s="8" t="s">
        <v>3275</v>
      </c>
      <c r="R163" s="8" t="s">
        <v>3277</v>
      </c>
      <c r="S163" s="8" t="s">
        <v>1743</v>
      </c>
    </row>
    <row r="164" spans="1:19" ht="36.950000000000003" customHeight="1" x14ac:dyDescent="0.25">
      <c r="A164" s="8" t="s">
        <v>1732</v>
      </c>
      <c r="B164" s="8" t="s">
        <v>1729</v>
      </c>
      <c r="C164" s="8" t="s">
        <v>3267</v>
      </c>
      <c r="D164" s="8" t="s">
        <v>3683</v>
      </c>
      <c r="E164" s="11" t="s">
        <v>3686</v>
      </c>
      <c r="F164" s="8" t="s">
        <v>3309</v>
      </c>
      <c r="G164" s="8" t="s">
        <v>3270</v>
      </c>
      <c r="H164" s="15" t="s">
        <v>1685</v>
      </c>
      <c r="I164" s="8" t="s">
        <v>3271</v>
      </c>
      <c r="J164" s="8" t="s">
        <v>1730</v>
      </c>
      <c r="K164" s="8" t="s">
        <v>3586</v>
      </c>
      <c r="L164" s="8" t="s">
        <v>1733</v>
      </c>
      <c r="M164" s="8" t="s">
        <v>3588</v>
      </c>
      <c r="N164" s="8"/>
      <c r="O164" s="8"/>
      <c r="P164" s="8" t="s">
        <v>3580</v>
      </c>
      <c r="Q164" s="8" t="s">
        <v>3275</v>
      </c>
      <c r="R164" s="8" t="s">
        <v>3277</v>
      </c>
      <c r="S164" s="8" t="s">
        <v>1732</v>
      </c>
    </row>
    <row r="165" spans="1:19" ht="36.950000000000003" customHeight="1" x14ac:dyDescent="0.25">
      <c r="A165" s="8" t="s">
        <v>1748</v>
      </c>
      <c r="B165" s="8" t="s">
        <v>1746</v>
      </c>
      <c r="C165" s="8" t="s">
        <v>3267</v>
      </c>
      <c r="D165" s="8" t="s">
        <v>3683</v>
      </c>
      <c r="E165" s="11" t="s">
        <v>3687</v>
      </c>
      <c r="F165" s="8" t="s">
        <v>3269</v>
      </c>
      <c r="G165" s="8" t="s">
        <v>3270</v>
      </c>
      <c r="H165" s="15" t="s">
        <v>1685</v>
      </c>
      <c r="I165" s="8" t="s">
        <v>3271</v>
      </c>
      <c r="J165" s="8" t="s">
        <v>1747</v>
      </c>
      <c r="K165" s="8" t="s">
        <v>3586</v>
      </c>
      <c r="L165" s="8" t="s">
        <v>1749</v>
      </c>
      <c r="M165" s="8" t="s">
        <v>3588</v>
      </c>
      <c r="N165" s="8"/>
      <c r="O165" s="8"/>
      <c r="P165" s="8" t="s">
        <v>3580</v>
      </c>
      <c r="Q165" s="8" t="s">
        <v>3275</v>
      </c>
      <c r="R165" s="8" t="s">
        <v>3277</v>
      </c>
      <c r="S165" s="8" t="s">
        <v>1748</v>
      </c>
    </row>
    <row r="166" spans="1:19" ht="36.950000000000003" customHeight="1" x14ac:dyDescent="0.25">
      <c r="A166" s="8" t="s">
        <v>1755</v>
      </c>
      <c r="B166" s="8" t="s">
        <v>1751</v>
      </c>
      <c r="C166" s="8" t="s">
        <v>3267</v>
      </c>
      <c r="D166" s="8" t="s">
        <v>3683</v>
      </c>
      <c r="E166" s="11" t="s">
        <v>3688</v>
      </c>
      <c r="F166" s="8" t="s">
        <v>3269</v>
      </c>
      <c r="G166" s="13" t="s">
        <v>3689</v>
      </c>
      <c r="H166" s="15" t="s">
        <v>1685</v>
      </c>
      <c r="I166" s="8" t="s">
        <v>3271</v>
      </c>
      <c r="J166" s="8" t="s">
        <v>1752</v>
      </c>
      <c r="K166" s="8" t="s">
        <v>3586</v>
      </c>
      <c r="L166" s="8" t="s">
        <v>3690</v>
      </c>
      <c r="M166" s="8" t="s">
        <v>3588</v>
      </c>
      <c r="N166" s="8"/>
      <c r="O166" s="8"/>
      <c r="P166" s="8" t="s">
        <v>3580</v>
      </c>
      <c r="Q166" s="8" t="s">
        <v>3275</v>
      </c>
      <c r="R166" s="8" t="s">
        <v>3277</v>
      </c>
      <c r="S166" s="8" t="s">
        <v>1755</v>
      </c>
    </row>
    <row r="167" spans="1:19" ht="36.950000000000003" customHeight="1" x14ac:dyDescent="0.25">
      <c r="A167" s="8" t="s">
        <v>1737</v>
      </c>
      <c r="B167" s="8" t="s">
        <v>1735</v>
      </c>
      <c r="C167" s="8" t="s">
        <v>3267</v>
      </c>
      <c r="D167" s="8" t="s">
        <v>91</v>
      </c>
      <c r="E167" s="11" t="s">
        <v>3691</v>
      </c>
      <c r="F167" s="8" t="s">
        <v>3309</v>
      </c>
      <c r="G167" s="8" t="s">
        <v>3270</v>
      </c>
      <c r="H167" s="15" t="s">
        <v>1685</v>
      </c>
      <c r="I167" s="8" t="s">
        <v>3271</v>
      </c>
      <c r="J167" s="8" t="s">
        <v>1736</v>
      </c>
      <c r="K167" s="8" t="s">
        <v>3586</v>
      </c>
      <c r="L167" s="8" t="s">
        <v>1738</v>
      </c>
      <c r="M167" s="8" t="s">
        <v>3588</v>
      </c>
      <c r="N167" s="8"/>
      <c r="O167" s="8"/>
      <c r="P167" s="8" t="s">
        <v>3580</v>
      </c>
      <c r="Q167" s="8" t="s">
        <v>3275</v>
      </c>
      <c r="R167" s="8" t="s">
        <v>3277</v>
      </c>
      <c r="S167" s="8" t="s">
        <v>1737</v>
      </c>
    </row>
    <row r="168" spans="1:19" ht="36.950000000000003" customHeight="1" x14ac:dyDescent="0.25">
      <c r="A168" s="8" t="s">
        <v>2723</v>
      </c>
      <c r="B168" s="8" t="s">
        <v>2721</v>
      </c>
      <c r="C168" s="8" t="s">
        <v>3267</v>
      </c>
      <c r="D168" s="8" t="s">
        <v>121</v>
      </c>
      <c r="E168" s="11" t="s">
        <v>3692</v>
      </c>
      <c r="F168" s="8" t="s">
        <v>3269</v>
      </c>
      <c r="G168" s="8" t="s">
        <v>3270</v>
      </c>
      <c r="H168" s="15" t="s">
        <v>1685</v>
      </c>
      <c r="I168" s="8" t="s">
        <v>3271</v>
      </c>
      <c r="J168" s="8" t="s">
        <v>2722</v>
      </c>
      <c r="K168" s="8" t="s">
        <v>3586</v>
      </c>
      <c r="L168" s="8" t="s">
        <v>2724</v>
      </c>
      <c r="M168" s="8" t="s">
        <v>3588</v>
      </c>
      <c r="N168" s="8"/>
      <c r="O168" s="8"/>
      <c r="P168" s="8" t="s">
        <v>3276</v>
      </c>
      <c r="Q168" s="8" t="s">
        <v>3275</v>
      </c>
      <c r="R168" s="8" t="s">
        <v>3277</v>
      </c>
      <c r="S168" s="8" t="s">
        <v>2723</v>
      </c>
    </row>
    <row r="169" spans="1:19" ht="36.950000000000003" customHeight="1" x14ac:dyDescent="0.25">
      <c r="A169" s="8" t="s">
        <v>2728</v>
      </c>
      <c r="B169" s="8" t="s">
        <v>2726</v>
      </c>
      <c r="C169" s="8" t="s">
        <v>3267</v>
      </c>
      <c r="D169" s="8" t="s">
        <v>121</v>
      </c>
      <c r="E169" s="11" t="s">
        <v>3693</v>
      </c>
      <c r="F169" s="8" t="s">
        <v>3269</v>
      </c>
      <c r="G169" s="8" t="s">
        <v>3270</v>
      </c>
      <c r="H169" s="15" t="s">
        <v>1685</v>
      </c>
      <c r="I169" s="8" t="s">
        <v>3271</v>
      </c>
      <c r="J169" s="8" t="s">
        <v>2727</v>
      </c>
      <c r="K169" s="8" t="s">
        <v>3586</v>
      </c>
      <c r="L169" s="8" t="s">
        <v>2729</v>
      </c>
      <c r="M169" s="8" t="s">
        <v>3588</v>
      </c>
      <c r="N169" s="8"/>
      <c r="O169" s="8"/>
      <c r="P169" s="8" t="s">
        <v>3580</v>
      </c>
      <c r="Q169" s="8" t="s">
        <v>3275</v>
      </c>
      <c r="R169" s="8" t="s">
        <v>3277</v>
      </c>
      <c r="S169" s="8" t="s">
        <v>2728</v>
      </c>
    </row>
    <row r="170" spans="1:19" ht="36.950000000000003" customHeight="1" x14ac:dyDescent="0.25">
      <c r="A170" s="8" t="s">
        <v>2733</v>
      </c>
      <c r="B170" s="8" t="s">
        <v>2731</v>
      </c>
      <c r="C170" s="8" t="s">
        <v>3267</v>
      </c>
      <c r="D170" s="8" t="s">
        <v>121</v>
      </c>
      <c r="E170" s="11" t="s">
        <v>3694</v>
      </c>
      <c r="F170" s="8" t="s">
        <v>3309</v>
      </c>
      <c r="G170" s="13" t="s">
        <v>3689</v>
      </c>
      <c r="H170" s="15" t="s">
        <v>1685</v>
      </c>
      <c r="I170" s="8" t="s">
        <v>3271</v>
      </c>
      <c r="J170" s="8" t="s">
        <v>2732</v>
      </c>
      <c r="K170" s="8" t="s">
        <v>3586</v>
      </c>
      <c r="L170" s="8" t="s">
        <v>2734</v>
      </c>
      <c r="M170" s="8" t="s">
        <v>3588</v>
      </c>
      <c r="N170" s="8"/>
      <c r="O170" s="8"/>
      <c r="P170" s="8" t="s">
        <v>3276</v>
      </c>
      <c r="Q170" s="8" t="s">
        <v>3275</v>
      </c>
      <c r="R170" s="8" t="s">
        <v>3277</v>
      </c>
      <c r="S170" s="8" t="s">
        <v>2733</v>
      </c>
    </row>
    <row r="171" spans="1:19" ht="36.950000000000003" customHeight="1" x14ac:dyDescent="0.25">
      <c r="A171" s="8" t="s">
        <v>2738</v>
      </c>
      <c r="B171" s="8" t="s">
        <v>2736</v>
      </c>
      <c r="C171" s="8" t="s">
        <v>3267</v>
      </c>
      <c r="D171" s="8" t="s">
        <v>121</v>
      </c>
      <c r="E171" s="11" t="s">
        <v>3695</v>
      </c>
      <c r="F171" s="8" t="s">
        <v>3309</v>
      </c>
      <c r="G171" s="8" t="s">
        <v>3601</v>
      </c>
      <c r="H171" s="15" t="s">
        <v>1685</v>
      </c>
      <c r="I171" s="8" t="s">
        <v>3271</v>
      </c>
      <c r="J171" s="8" t="s">
        <v>2737</v>
      </c>
      <c r="K171" s="8" t="s">
        <v>3586</v>
      </c>
      <c r="L171" s="8" t="s">
        <v>2739</v>
      </c>
      <c r="M171" s="8" t="s">
        <v>3588</v>
      </c>
      <c r="N171" s="8"/>
      <c r="O171" s="8"/>
      <c r="P171" s="8" t="s">
        <v>3580</v>
      </c>
      <c r="Q171" s="8" t="s">
        <v>3275</v>
      </c>
      <c r="R171" s="8" t="s">
        <v>3277</v>
      </c>
      <c r="S171" s="8" t="s">
        <v>2738</v>
      </c>
    </row>
    <row r="172" spans="1:19" ht="36.950000000000003" customHeight="1" x14ac:dyDescent="0.25">
      <c r="A172" s="8" t="s">
        <v>2752</v>
      </c>
      <c r="B172" s="8" t="s">
        <v>2750</v>
      </c>
      <c r="C172" s="8" t="s">
        <v>3267</v>
      </c>
      <c r="D172" s="8" t="s">
        <v>125</v>
      </c>
      <c r="E172" s="11" t="s">
        <v>3696</v>
      </c>
      <c r="F172" s="8" t="s">
        <v>3309</v>
      </c>
      <c r="G172" s="8" t="s">
        <v>3270</v>
      </c>
      <c r="H172" s="15" t="s">
        <v>1685</v>
      </c>
      <c r="I172" s="8" t="s">
        <v>3271</v>
      </c>
      <c r="J172" s="8" t="s">
        <v>2751</v>
      </c>
      <c r="K172" s="8" t="s">
        <v>3586</v>
      </c>
      <c r="L172" s="8" t="s">
        <v>2753</v>
      </c>
      <c r="M172" s="8" t="s">
        <v>3588</v>
      </c>
      <c r="N172" s="8"/>
      <c r="O172" s="8"/>
      <c r="P172" s="8" t="s">
        <v>3276</v>
      </c>
      <c r="Q172" s="8" t="s">
        <v>3275</v>
      </c>
      <c r="R172" s="8" t="s">
        <v>3277</v>
      </c>
      <c r="S172" s="8" t="s">
        <v>2752</v>
      </c>
    </row>
    <row r="173" spans="1:19" ht="36.950000000000003" customHeight="1" x14ac:dyDescent="0.25">
      <c r="A173" s="8" t="s">
        <v>2756</v>
      </c>
      <c r="B173" s="8" t="s">
        <v>2755</v>
      </c>
      <c r="C173" s="8" t="s">
        <v>3267</v>
      </c>
      <c r="D173" s="8" t="s">
        <v>125</v>
      </c>
      <c r="E173" s="11" t="s">
        <v>3697</v>
      </c>
      <c r="F173" s="8" t="s">
        <v>3309</v>
      </c>
      <c r="G173" s="8" t="s">
        <v>3270</v>
      </c>
      <c r="H173" s="15" t="s">
        <v>1685</v>
      </c>
      <c r="I173" s="8" t="s">
        <v>3271</v>
      </c>
      <c r="J173" s="8" t="s">
        <v>2751</v>
      </c>
      <c r="K173" s="8" t="s">
        <v>3586</v>
      </c>
      <c r="L173" s="8" t="s">
        <v>2757</v>
      </c>
      <c r="M173" s="8" t="s">
        <v>3588</v>
      </c>
      <c r="N173" s="8"/>
      <c r="O173" s="8"/>
      <c r="P173" s="8" t="s">
        <v>3276</v>
      </c>
      <c r="Q173" s="8" t="s">
        <v>3275</v>
      </c>
      <c r="R173" s="8" t="s">
        <v>3277</v>
      </c>
      <c r="S173" s="8" t="s">
        <v>2756</v>
      </c>
    </row>
    <row r="174" spans="1:19" ht="36.950000000000003" customHeight="1" x14ac:dyDescent="0.25">
      <c r="A174" s="8" t="s">
        <v>2761</v>
      </c>
      <c r="B174" s="8" t="s">
        <v>2759</v>
      </c>
      <c r="C174" s="8" t="s">
        <v>3267</v>
      </c>
      <c r="D174" s="8" t="s">
        <v>125</v>
      </c>
      <c r="E174" s="11" t="s">
        <v>3698</v>
      </c>
      <c r="F174" s="8" t="s">
        <v>3309</v>
      </c>
      <c r="G174" s="8" t="s">
        <v>3270</v>
      </c>
      <c r="H174" s="15" t="s">
        <v>1685</v>
      </c>
      <c r="I174" s="8" t="s">
        <v>3271</v>
      </c>
      <c r="J174" s="8" t="s">
        <v>2760</v>
      </c>
      <c r="K174" s="8" t="s">
        <v>3586</v>
      </c>
      <c r="L174" s="8" t="s">
        <v>2762</v>
      </c>
      <c r="M174" s="8" t="s">
        <v>3588</v>
      </c>
      <c r="N174" s="8"/>
      <c r="O174" s="8"/>
      <c r="P174" s="8" t="s">
        <v>3276</v>
      </c>
      <c r="Q174" s="8" t="s">
        <v>3275</v>
      </c>
      <c r="R174" s="8" t="s">
        <v>3277</v>
      </c>
      <c r="S174" s="8" t="s">
        <v>2761</v>
      </c>
    </row>
    <row r="175" spans="1:19" ht="36.950000000000003" customHeight="1" x14ac:dyDescent="0.25">
      <c r="A175" s="8" t="s">
        <v>2766</v>
      </c>
      <c r="B175" s="8" t="s">
        <v>2764</v>
      </c>
      <c r="C175" s="8" t="s">
        <v>3267</v>
      </c>
      <c r="D175" s="8" t="s">
        <v>131</v>
      </c>
      <c r="E175" s="11" t="s">
        <v>3699</v>
      </c>
      <c r="F175" s="8" t="s">
        <v>3269</v>
      </c>
      <c r="G175" s="8" t="s">
        <v>3270</v>
      </c>
      <c r="H175" s="15" t="s">
        <v>1685</v>
      </c>
      <c r="I175" s="8" t="s">
        <v>3271</v>
      </c>
      <c r="J175" s="8" t="s">
        <v>2765</v>
      </c>
      <c r="K175" s="8" t="s">
        <v>3586</v>
      </c>
      <c r="L175" s="8" t="s">
        <v>2767</v>
      </c>
      <c r="M175" s="8" t="s">
        <v>3588</v>
      </c>
      <c r="N175" s="8"/>
      <c r="O175" s="8"/>
      <c r="P175" s="8" t="s">
        <v>3580</v>
      </c>
      <c r="Q175" s="8" t="s">
        <v>3275</v>
      </c>
      <c r="R175" s="8" t="s">
        <v>3277</v>
      </c>
      <c r="S175" s="8" t="s">
        <v>2766</v>
      </c>
    </row>
    <row r="176" spans="1:19" ht="36.950000000000003" customHeight="1" x14ac:dyDescent="0.25">
      <c r="A176" s="8" t="s">
        <v>2771</v>
      </c>
      <c r="B176" s="8" t="s">
        <v>2769</v>
      </c>
      <c r="C176" s="8" t="s">
        <v>3267</v>
      </c>
      <c r="D176" s="8" t="s">
        <v>131</v>
      </c>
      <c r="E176" s="11" t="s">
        <v>3700</v>
      </c>
      <c r="F176" s="8" t="s">
        <v>3309</v>
      </c>
      <c r="G176" s="8" t="s">
        <v>3280</v>
      </c>
      <c r="H176" s="15" t="s">
        <v>1685</v>
      </c>
      <c r="I176" s="8" t="s">
        <v>3271</v>
      </c>
      <c r="J176" s="8" t="s">
        <v>2770</v>
      </c>
      <c r="K176" s="8" t="s">
        <v>3586</v>
      </c>
      <c r="L176" s="8" t="s">
        <v>2772</v>
      </c>
      <c r="M176" s="8" t="s">
        <v>3588</v>
      </c>
      <c r="N176" s="8"/>
      <c r="O176" s="8"/>
      <c r="P176" s="8" t="s">
        <v>3276</v>
      </c>
      <c r="Q176" s="8" t="s">
        <v>3275</v>
      </c>
      <c r="R176" s="8" t="s">
        <v>3277</v>
      </c>
      <c r="S176" s="8" t="s">
        <v>2771</v>
      </c>
    </row>
    <row r="177" spans="1:19" ht="36.950000000000003" customHeight="1" x14ac:dyDescent="0.25">
      <c r="A177" s="8" t="s">
        <v>2156</v>
      </c>
      <c r="B177" s="8" t="s">
        <v>2779</v>
      </c>
      <c r="C177" s="8" t="s">
        <v>3267</v>
      </c>
      <c r="D177" s="8" t="s">
        <v>3701</v>
      </c>
      <c r="E177" s="11" t="s">
        <v>3702</v>
      </c>
      <c r="F177" s="8" t="s">
        <v>3269</v>
      </c>
      <c r="G177" s="8" t="s">
        <v>3270</v>
      </c>
      <c r="H177" s="15" t="s">
        <v>1685</v>
      </c>
      <c r="I177" s="8" t="s">
        <v>3271</v>
      </c>
      <c r="J177" s="8" t="s">
        <v>2780</v>
      </c>
      <c r="K177" s="8" t="s">
        <v>3586</v>
      </c>
      <c r="L177" s="8" t="s">
        <v>2781</v>
      </c>
      <c r="M177" s="8" t="s">
        <v>3588</v>
      </c>
      <c r="N177" s="8"/>
      <c r="O177" s="8"/>
      <c r="P177" s="8" t="s">
        <v>3580</v>
      </c>
      <c r="Q177" s="8" t="s">
        <v>3275</v>
      </c>
      <c r="R177" s="8" t="s">
        <v>3277</v>
      </c>
      <c r="S177" s="8" t="s">
        <v>2156</v>
      </c>
    </row>
    <row r="178" spans="1:19" ht="36.950000000000003" customHeight="1" x14ac:dyDescent="0.25">
      <c r="A178" s="8" t="s">
        <v>2785</v>
      </c>
      <c r="B178" s="8" t="s">
        <v>2783</v>
      </c>
      <c r="C178" s="8" t="s">
        <v>3267</v>
      </c>
      <c r="D178" s="8" t="s">
        <v>136</v>
      </c>
      <c r="E178" s="11" t="s">
        <v>3703</v>
      </c>
      <c r="F178" s="8" t="s">
        <v>3269</v>
      </c>
      <c r="G178" s="8" t="s">
        <v>3270</v>
      </c>
      <c r="H178" s="15" t="s">
        <v>1685</v>
      </c>
      <c r="I178" s="8" t="s">
        <v>3271</v>
      </c>
      <c r="J178" s="8" t="s">
        <v>2784</v>
      </c>
      <c r="K178" s="8" t="s">
        <v>3586</v>
      </c>
      <c r="L178" s="8" t="s">
        <v>2786</v>
      </c>
      <c r="M178" s="8" t="s">
        <v>3588</v>
      </c>
      <c r="N178" s="8"/>
      <c r="O178" s="8"/>
      <c r="P178" s="8" t="s">
        <v>3276</v>
      </c>
      <c r="Q178" s="8" t="s">
        <v>3275</v>
      </c>
      <c r="R178" s="8" t="s">
        <v>3277</v>
      </c>
      <c r="S178" s="8" t="s">
        <v>2785</v>
      </c>
    </row>
    <row r="179" spans="1:19" ht="36.950000000000003" customHeight="1" x14ac:dyDescent="0.25">
      <c r="A179" s="8" t="s">
        <v>2790</v>
      </c>
      <c r="B179" s="8" t="s">
        <v>2788</v>
      </c>
      <c r="C179" s="8" t="s">
        <v>3267</v>
      </c>
      <c r="D179" s="8" t="s">
        <v>136</v>
      </c>
      <c r="E179" s="11" t="s">
        <v>3704</v>
      </c>
      <c r="F179" s="8" t="s">
        <v>3269</v>
      </c>
      <c r="G179" s="8" t="s">
        <v>3270</v>
      </c>
      <c r="H179" s="15" t="s">
        <v>1685</v>
      </c>
      <c r="I179" s="8" t="s">
        <v>3271</v>
      </c>
      <c r="J179" s="8" t="s">
        <v>2789</v>
      </c>
      <c r="K179" s="8" t="s">
        <v>3586</v>
      </c>
      <c r="L179" s="8" t="s">
        <v>2791</v>
      </c>
      <c r="M179" s="8" t="s">
        <v>3588</v>
      </c>
      <c r="N179" s="8"/>
      <c r="O179" s="8"/>
      <c r="P179" s="8" t="s">
        <v>3580</v>
      </c>
      <c r="Q179" s="8" t="s">
        <v>3275</v>
      </c>
      <c r="R179" s="8" t="s">
        <v>3277</v>
      </c>
      <c r="S179" s="8" t="s">
        <v>2790</v>
      </c>
    </row>
    <row r="180" spans="1:19" ht="36.950000000000003" customHeight="1" x14ac:dyDescent="0.25">
      <c r="A180" s="8" t="s">
        <v>2795</v>
      </c>
      <c r="B180" s="8" t="s">
        <v>2793</v>
      </c>
      <c r="C180" s="8" t="s">
        <v>3267</v>
      </c>
      <c r="D180" s="8" t="s">
        <v>136</v>
      </c>
      <c r="E180" s="11" t="s">
        <v>3705</v>
      </c>
      <c r="F180" s="8" t="s">
        <v>3309</v>
      </c>
      <c r="G180" s="8" t="s">
        <v>3601</v>
      </c>
      <c r="H180" s="15" t="s">
        <v>1685</v>
      </c>
      <c r="I180" s="8" t="s">
        <v>3271</v>
      </c>
      <c r="J180" s="8" t="s">
        <v>2794</v>
      </c>
      <c r="K180" s="8" t="s">
        <v>3586</v>
      </c>
      <c r="L180" s="8" t="s">
        <v>2796</v>
      </c>
      <c r="M180" s="8" t="s">
        <v>3588</v>
      </c>
      <c r="N180" s="8"/>
      <c r="O180" s="8"/>
      <c r="P180" s="8" t="s">
        <v>3276</v>
      </c>
      <c r="Q180" s="8" t="s">
        <v>3275</v>
      </c>
      <c r="R180" s="8" t="s">
        <v>3277</v>
      </c>
      <c r="S180" s="8" t="s">
        <v>2795</v>
      </c>
    </row>
    <row r="181" spans="1:19" ht="36.950000000000003" customHeight="1" x14ac:dyDescent="0.25">
      <c r="A181" s="8" t="s">
        <v>2800</v>
      </c>
      <c r="B181" s="8" t="s">
        <v>2798</v>
      </c>
      <c r="C181" s="8" t="s">
        <v>3267</v>
      </c>
      <c r="D181" s="8" t="s">
        <v>136</v>
      </c>
      <c r="E181" s="11" t="s">
        <v>3706</v>
      </c>
      <c r="F181" s="8" t="s">
        <v>3309</v>
      </c>
      <c r="G181" s="13" t="s">
        <v>3689</v>
      </c>
      <c r="H181" s="15" t="s">
        <v>1685</v>
      </c>
      <c r="I181" s="8" t="s">
        <v>3271</v>
      </c>
      <c r="J181" s="8" t="s">
        <v>2799</v>
      </c>
      <c r="K181" s="8" t="s">
        <v>3586</v>
      </c>
      <c r="L181" s="8" t="s">
        <v>2801</v>
      </c>
      <c r="M181" s="8" t="s">
        <v>3588</v>
      </c>
      <c r="N181" s="8"/>
      <c r="O181" s="8"/>
      <c r="P181" s="8" t="s">
        <v>3276</v>
      </c>
      <c r="Q181" s="8" t="s">
        <v>3275</v>
      </c>
      <c r="R181" s="8" t="s">
        <v>3277</v>
      </c>
      <c r="S181" s="8" t="s">
        <v>2800</v>
      </c>
    </row>
    <row r="182" spans="1:19" ht="36.950000000000003" customHeight="1" x14ac:dyDescent="0.25">
      <c r="A182" s="8" t="s">
        <v>2693</v>
      </c>
      <c r="B182" s="8" t="s">
        <v>2691</v>
      </c>
      <c r="C182" s="8" t="s">
        <v>3267</v>
      </c>
      <c r="D182" s="8" t="s">
        <v>116</v>
      </c>
      <c r="E182" s="11" t="s">
        <v>3707</v>
      </c>
      <c r="F182" s="8" t="s">
        <v>3269</v>
      </c>
      <c r="G182" s="8" t="s">
        <v>3270</v>
      </c>
      <c r="H182" s="15" t="s">
        <v>1685</v>
      </c>
      <c r="I182" s="8" t="s">
        <v>3271</v>
      </c>
      <c r="J182" s="8" t="s">
        <v>2692</v>
      </c>
      <c r="K182" s="8" t="s">
        <v>3586</v>
      </c>
      <c r="L182" s="8" t="s">
        <v>2694</v>
      </c>
      <c r="M182" s="8" t="s">
        <v>3588</v>
      </c>
      <c r="N182" s="8"/>
      <c r="O182" s="8"/>
      <c r="P182" s="8" t="s">
        <v>3276</v>
      </c>
      <c r="Q182" s="8" t="s">
        <v>3275</v>
      </c>
      <c r="R182" s="8" t="s">
        <v>3277</v>
      </c>
      <c r="S182" s="8" t="s">
        <v>2693</v>
      </c>
    </row>
    <row r="183" spans="1:19" ht="36.950000000000003" customHeight="1" x14ac:dyDescent="0.25">
      <c r="A183" s="8" t="s">
        <v>2697</v>
      </c>
      <c r="B183" s="8" t="s">
        <v>2696</v>
      </c>
      <c r="C183" s="8" t="s">
        <v>3267</v>
      </c>
      <c r="D183" s="8" t="s">
        <v>116</v>
      </c>
      <c r="E183" s="11" t="s">
        <v>3708</v>
      </c>
      <c r="F183" s="8" t="s">
        <v>3269</v>
      </c>
      <c r="G183" s="8" t="s">
        <v>3270</v>
      </c>
      <c r="H183" s="15" t="s">
        <v>1685</v>
      </c>
      <c r="I183" s="8" t="s">
        <v>3271</v>
      </c>
      <c r="J183" s="8" t="s">
        <v>2692</v>
      </c>
      <c r="K183" s="8" t="s">
        <v>3586</v>
      </c>
      <c r="L183" s="8" t="s">
        <v>2698</v>
      </c>
      <c r="M183" s="8" t="s">
        <v>3588</v>
      </c>
      <c r="N183" s="8"/>
      <c r="O183" s="8"/>
      <c r="P183" s="8" t="s">
        <v>3276</v>
      </c>
      <c r="Q183" s="8" t="s">
        <v>3275</v>
      </c>
      <c r="R183" s="8" t="s">
        <v>3277</v>
      </c>
      <c r="S183" s="8" t="s">
        <v>2697</v>
      </c>
    </row>
    <row r="184" spans="1:19" ht="36.950000000000003" customHeight="1" x14ac:dyDescent="0.25">
      <c r="A184" s="8" t="s">
        <v>2701</v>
      </c>
      <c r="B184" s="8" t="s">
        <v>2700</v>
      </c>
      <c r="C184" s="8" t="s">
        <v>3267</v>
      </c>
      <c r="D184" s="8" t="s">
        <v>116</v>
      </c>
      <c r="E184" s="11" t="s">
        <v>3709</v>
      </c>
      <c r="F184" s="8" t="s">
        <v>3269</v>
      </c>
      <c r="G184" s="8" t="s">
        <v>3270</v>
      </c>
      <c r="H184" s="15" t="s">
        <v>1685</v>
      </c>
      <c r="I184" s="8" t="s">
        <v>3271</v>
      </c>
      <c r="J184" s="8" t="s">
        <v>2692</v>
      </c>
      <c r="K184" s="8" t="s">
        <v>3586</v>
      </c>
      <c r="L184" s="8" t="s">
        <v>2702</v>
      </c>
      <c r="M184" s="8" t="s">
        <v>3588</v>
      </c>
      <c r="N184" s="8"/>
      <c r="O184" s="8"/>
      <c r="P184" s="8" t="s">
        <v>3276</v>
      </c>
      <c r="Q184" s="8" t="s">
        <v>3275</v>
      </c>
      <c r="R184" s="8" t="s">
        <v>3277</v>
      </c>
      <c r="S184" s="8" t="s">
        <v>2701</v>
      </c>
    </row>
    <row r="185" spans="1:19" ht="36.950000000000003" customHeight="1" x14ac:dyDescent="0.25">
      <c r="A185" s="8" t="s">
        <v>2705</v>
      </c>
      <c r="B185" s="8" t="s">
        <v>2704</v>
      </c>
      <c r="C185" s="8" t="s">
        <v>3267</v>
      </c>
      <c r="D185" s="8" t="s">
        <v>116</v>
      </c>
      <c r="E185" s="11" t="s">
        <v>3710</v>
      </c>
      <c r="F185" s="8" t="s">
        <v>3269</v>
      </c>
      <c r="G185" s="8" t="s">
        <v>3270</v>
      </c>
      <c r="H185" s="15" t="s">
        <v>1685</v>
      </c>
      <c r="I185" s="8" t="s">
        <v>3271</v>
      </c>
      <c r="J185" s="8" t="s">
        <v>2692</v>
      </c>
      <c r="K185" s="8" t="s">
        <v>3586</v>
      </c>
      <c r="L185" s="8" t="s">
        <v>2706</v>
      </c>
      <c r="M185" s="8" t="s">
        <v>3588</v>
      </c>
      <c r="N185" s="8"/>
      <c r="O185" s="8"/>
      <c r="P185" s="8" t="s">
        <v>3276</v>
      </c>
      <c r="Q185" s="8" t="s">
        <v>3275</v>
      </c>
      <c r="R185" s="8" t="s">
        <v>3277</v>
      </c>
      <c r="S185" s="8" t="s">
        <v>2705</v>
      </c>
    </row>
    <row r="186" spans="1:19" ht="36.950000000000003" customHeight="1" x14ac:dyDescent="0.25">
      <c r="A186" s="8" t="s">
        <v>2710</v>
      </c>
      <c r="B186" s="8" t="s">
        <v>2708</v>
      </c>
      <c r="C186" s="8" t="s">
        <v>3267</v>
      </c>
      <c r="D186" s="8" t="s">
        <v>116</v>
      </c>
      <c r="E186" s="11" t="s">
        <v>3711</v>
      </c>
      <c r="F186" s="8" t="s">
        <v>3269</v>
      </c>
      <c r="G186" s="8" t="s">
        <v>3270</v>
      </c>
      <c r="H186" s="15" t="s">
        <v>1685</v>
      </c>
      <c r="I186" s="8" t="s">
        <v>3271</v>
      </c>
      <c r="J186" s="8" t="s">
        <v>2692</v>
      </c>
      <c r="K186" s="8" t="s">
        <v>3586</v>
      </c>
      <c r="L186" s="8" t="s">
        <v>2711</v>
      </c>
      <c r="M186" s="8" t="s">
        <v>3588</v>
      </c>
      <c r="N186" s="8"/>
      <c r="O186" s="8"/>
      <c r="P186" s="8" t="s">
        <v>3276</v>
      </c>
      <c r="Q186" s="8" t="s">
        <v>3275</v>
      </c>
      <c r="R186" s="8" t="s">
        <v>3277</v>
      </c>
      <c r="S186" s="8" t="s">
        <v>2710</v>
      </c>
    </row>
    <row r="187" spans="1:19" ht="36.950000000000003" customHeight="1" x14ac:dyDescent="0.25">
      <c r="A187" s="8" t="s">
        <v>2714</v>
      </c>
      <c r="B187" s="8" t="s">
        <v>2713</v>
      </c>
      <c r="C187" s="8" t="s">
        <v>3267</v>
      </c>
      <c r="D187" s="8" t="s">
        <v>116</v>
      </c>
      <c r="E187" s="11" t="s">
        <v>3712</v>
      </c>
      <c r="F187" s="8" t="s">
        <v>3269</v>
      </c>
      <c r="G187" s="8" t="s">
        <v>3270</v>
      </c>
      <c r="H187" s="15" t="s">
        <v>1685</v>
      </c>
      <c r="I187" s="8" t="s">
        <v>3271</v>
      </c>
      <c r="J187" s="8" t="s">
        <v>2692</v>
      </c>
      <c r="K187" s="8" t="s">
        <v>3586</v>
      </c>
      <c r="L187" s="8" t="s">
        <v>2715</v>
      </c>
      <c r="M187" s="8" t="s">
        <v>3588</v>
      </c>
      <c r="N187" s="8"/>
      <c r="O187" s="8"/>
      <c r="P187" s="8" t="s">
        <v>3276</v>
      </c>
      <c r="Q187" s="8" t="s">
        <v>3275</v>
      </c>
      <c r="R187" s="8" t="s">
        <v>3277</v>
      </c>
      <c r="S187" s="8" t="s">
        <v>2714</v>
      </c>
    </row>
    <row r="188" spans="1:19" ht="36.950000000000003" customHeight="1" x14ac:dyDescent="0.25">
      <c r="A188" s="8" t="s">
        <v>3713</v>
      </c>
      <c r="B188" s="8" t="s">
        <v>3714</v>
      </c>
      <c r="C188" s="8" t="s">
        <v>3663</v>
      </c>
      <c r="D188" s="8" t="s">
        <v>3715</v>
      </c>
      <c r="E188" s="11" t="s">
        <v>3716</v>
      </c>
      <c r="F188" s="8" t="s">
        <v>3666</v>
      </c>
      <c r="G188" s="8" t="s">
        <v>3270</v>
      </c>
      <c r="H188" s="15" t="s">
        <v>1685</v>
      </c>
      <c r="I188" s="8" t="s">
        <v>3271</v>
      </c>
      <c r="J188" s="8" t="s">
        <v>3717</v>
      </c>
      <c r="K188" s="8" t="s">
        <v>3586</v>
      </c>
      <c r="L188" s="8" t="s">
        <v>3718</v>
      </c>
      <c r="M188" s="8" t="s">
        <v>3588</v>
      </c>
      <c r="N188" s="8"/>
      <c r="O188" s="8"/>
      <c r="P188" s="8" t="s">
        <v>3276</v>
      </c>
      <c r="Q188" s="8" t="s">
        <v>3275</v>
      </c>
      <c r="R188" s="8" t="s">
        <v>3277</v>
      </c>
      <c r="S188" s="8" t="s">
        <v>3713</v>
      </c>
    </row>
    <row r="189" spans="1:19" ht="36.950000000000003" customHeight="1" x14ac:dyDescent="0.25">
      <c r="A189" s="8" t="s">
        <v>3719</v>
      </c>
      <c r="B189" s="8" t="s">
        <v>3720</v>
      </c>
      <c r="C189" s="8" t="s">
        <v>3267</v>
      </c>
      <c r="D189" s="8" t="s">
        <v>3715</v>
      </c>
      <c r="E189" s="11" t="s">
        <v>3721</v>
      </c>
      <c r="F189" s="8" t="s">
        <v>3269</v>
      </c>
      <c r="G189" s="8" t="s">
        <v>3270</v>
      </c>
      <c r="H189" s="15" t="s">
        <v>1685</v>
      </c>
      <c r="I189" s="8" t="s">
        <v>3271</v>
      </c>
      <c r="J189" s="8" t="s">
        <v>3722</v>
      </c>
      <c r="K189" s="8" t="s">
        <v>3586</v>
      </c>
      <c r="L189" s="8" t="s">
        <v>3723</v>
      </c>
      <c r="M189" s="8" t="s">
        <v>3588</v>
      </c>
      <c r="N189" s="8"/>
      <c r="O189" s="8"/>
      <c r="P189" s="8" t="s">
        <v>3276</v>
      </c>
      <c r="Q189" s="8" t="s">
        <v>3275</v>
      </c>
      <c r="R189" s="8" t="s">
        <v>3277</v>
      </c>
      <c r="S189" s="8" t="s">
        <v>3719</v>
      </c>
    </row>
    <row r="190" spans="1:19" ht="36.950000000000003" customHeight="1" x14ac:dyDescent="0.25">
      <c r="A190" s="8" t="s">
        <v>1760</v>
      </c>
      <c r="B190" s="8" t="s">
        <v>1758</v>
      </c>
      <c r="C190" s="8" t="s">
        <v>3267</v>
      </c>
      <c r="D190" s="8" t="s">
        <v>91</v>
      </c>
      <c r="E190" s="11" t="s">
        <v>3724</v>
      </c>
      <c r="F190" s="8" t="s">
        <v>3269</v>
      </c>
      <c r="G190" s="8" t="s">
        <v>3270</v>
      </c>
      <c r="H190" s="15" t="s">
        <v>1685</v>
      </c>
      <c r="I190" s="8" t="s">
        <v>3271</v>
      </c>
      <c r="J190" s="8" t="s">
        <v>1759</v>
      </c>
      <c r="K190" s="8" t="s">
        <v>3586</v>
      </c>
      <c r="L190" s="8" t="s">
        <v>1761</v>
      </c>
      <c r="M190" s="8" t="s">
        <v>3588</v>
      </c>
      <c r="N190" s="8"/>
      <c r="O190" s="8"/>
      <c r="P190" s="8" t="s">
        <v>3580</v>
      </c>
      <c r="Q190" s="8" t="s">
        <v>3275</v>
      </c>
      <c r="R190" s="8" t="s">
        <v>3277</v>
      </c>
      <c r="S190" s="8" t="s">
        <v>1760</v>
      </c>
    </row>
    <row r="191" spans="1:19" ht="36.950000000000003" customHeight="1" x14ac:dyDescent="0.25">
      <c r="A191" s="8" t="s">
        <v>1765</v>
      </c>
      <c r="B191" s="8" t="s">
        <v>1763</v>
      </c>
      <c r="C191" s="8" t="s">
        <v>3267</v>
      </c>
      <c r="D191" s="8" t="s">
        <v>3683</v>
      </c>
      <c r="E191" s="11" t="s">
        <v>3725</v>
      </c>
      <c r="F191" s="8" t="s">
        <v>3269</v>
      </c>
      <c r="G191" s="8" t="s">
        <v>3601</v>
      </c>
      <c r="H191" s="15" t="s">
        <v>1685</v>
      </c>
      <c r="I191" s="8" t="s">
        <v>3271</v>
      </c>
      <c r="J191" s="8" t="s">
        <v>1764</v>
      </c>
      <c r="K191" s="8" t="s">
        <v>3586</v>
      </c>
      <c r="L191" s="8" t="s">
        <v>1766</v>
      </c>
      <c r="M191" s="8" t="s">
        <v>3588</v>
      </c>
      <c r="N191" s="8"/>
      <c r="O191" s="8"/>
      <c r="P191" s="8" t="s">
        <v>3580</v>
      </c>
      <c r="Q191" s="8" t="s">
        <v>3275</v>
      </c>
      <c r="R191" s="8" t="s">
        <v>3277</v>
      </c>
      <c r="S191" s="8" t="s">
        <v>1765</v>
      </c>
    </row>
    <row r="192" spans="1:19" ht="36.950000000000003" customHeight="1" x14ac:dyDescent="0.25">
      <c r="A192" s="8" t="s">
        <v>2743</v>
      </c>
      <c r="B192" s="8" t="s">
        <v>2741</v>
      </c>
      <c r="C192" s="8" t="s">
        <v>3267</v>
      </c>
      <c r="D192" s="8" t="s">
        <v>121</v>
      </c>
      <c r="E192" s="11" t="s">
        <v>3726</v>
      </c>
      <c r="F192" s="8" t="s">
        <v>3269</v>
      </c>
      <c r="G192" s="8" t="s">
        <v>3601</v>
      </c>
      <c r="H192" s="15" t="s">
        <v>1685</v>
      </c>
      <c r="I192" s="8" t="s">
        <v>3271</v>
      </c>
      <c r="J192" s="8" t="s">
        <v>2742</v>
      </c>
      <c r="K192" s="8" t="s">
        <v>3586</v>
      </c>
      <c r="L192" s="8" t="s">
        <v>2744</v>
      </c>
      <c r="M192" s="8" t="s">
        <v>3588</v>
      </c>
      <c r="N192" s="8"/>
      <c r="O192" s="8"/>
      <c r="P192" s="8" t="s">
        <v>3276</v>
      </c>
      <c r="Q192" s="8" t="s">
        <v>3275</v>
      </c>
      <c r="R192" s="8" t="s">
        <v>3277</v>
      </c>
      <c r="S192" s="8" t="s">
        <v>2743</v>
      </c>
    </row>
    <row r="193" spans="1:19" ht="65.099999999999994" customHeight="1" x14ac:dyDescent="0.25">
      <c r="A193" s="8" t="s">
        <v>1770</v>
      </c>
      <c r="B193" s="8" t="s">
        <v>1768</v>
      </c>
      <c r="C193" s="8" t="s">
        <v>3267</v>
      </c>
      <c r="D193" s="8" t="s">
        <v>3683</v>
      </c>
      <c r="E193" s="11" t="s">
        <v>3727</v>
      </c>
      <c r="F193" s="8" t="s">
        <v>3269</v>
      </c>
      <c r="G193" s="8" t="s">
        <v>3601</v>
      </c>
      <c r="H193" s="15" t="s">
        <v>1685</v>
      </c>
      <c r="I193" s="8" t="s">
        <v>3271</v>
      </c>
      <c r="J193" s="8" t="s">
        <v>1769</v>
      </c>
      <c r="K193" s="8" t="s">
        <v>3586</v>
      </c>
      <c r="L193" s="8" t="s">
        <v>1771</v>
      </c>
      <c r="M193" s="8" t="s">
        <v>3588</v>
      </c>
      <c r="N193" s="8"/>
      <c r="O193" s="8"/>
      <c r="P193" s="8" t="s">
        <v>3580</v>
      </c>
      <c r="Q193" s="8" t="s">
        <v>3275</v>
      </c>
      <c r="R193" s="8" t="s">
        <v>3277</v>
      </c>
      <c r="S193" s="8" t="s">
        <v>1770</v>
      </c>
    </row>
    <row r="194" spans="1:19" ht="51" customHeight="1" x14ac:dyDescent="0.25">
      <c r="A194" s="8" t="s">
        <v>712</v>
      </c>
      <c r="B194" s="8" t="s">
        <v>3728</v>
      </c>
      <c r="C194" s="8" t="s">
        <v>3267</v>
      </c>
      <c r="D194" s="8" t="s">
        <v>3302</v>
      </c>
      <c r="E194" s="11" t="s">
        <v>3729</v>
      </c>
      <c r="F194" s="8" t="s">
        <v>3269</v>
      </c>
      <c r="G194" s="8" t="s">
        <v>3270</v>
      </c>
      <c r="H194" s="15" t="s">
        <v>1685</v>
      </c>
      <c r="I194" s="8" t="s">
        <v>3271</v>
      </c>
      <c r="J194" s="8" t="s">
        <v>3730</v>
      </c>
      <c r="K194" s="8" t="s">
        <v>3586</v>
      </c>
      <c r="L194" s="8" t="s">
        <v>3731</v>
      </c>
      <c r="M194" s="8" t="s">
        <v>3312</v>
      </c>
      <c r="N194" s="8"/>
      <c r="O194" s="8"/>
      <c r="P194" s="8" t="s">
        <v>3306</v>
      </c>
      <c r="Q194" s="8" t="s">
        <v>3313</v>
      </c>
      <c r="R194" s="8" t="s">
        <v>3317</v>
      </c>
      <c r="S194" s="8" t="s">
        <v>712</v>
      </c>
    </row>
    <row r="195" spans="1:19" ht="51" customHeight="1" x14ac:dyDescent="0.25">
      <c r="A195" s="8" t="s">
        <v>953</v>
      </c>
      <c r="B195" s="8" t="s">
        <v>3732</v>
      </c>
      <c r="C195" s="8" t="s">
        <v>3267</v>
      </c>
      <c r="D195" s="8" t="s">
        <v>3302</v>
      </c>
      <c r="E195" s="11" t="s">
        <v>3733</v>
      </c>
      <c r="F195" s="8" t="s">
        <v>3734</v>
      </c>
      <c r="G195" s="8" t="s">
        <v>3270</v>
      </c>
      <c r="H195" s="15" t="s">
        <v>1685</v>
      </c>
      <c r="I195" s="8" t="s">
        <v>3271</v>
      </c>
      <c r="J195" s="8" t="s">
        <v>3735</v>
      </c>
      <c r="K195" s="8" t="s">
        <v>3736</v>
      </c>
      <c r="L195" s="8" t="s">
        <v>3737</v>
      </c>
      <c r="M195" s="8" t="s">
        <v>3312</v>
      </c>
      <c r="N195" s="8"/>
      <c r="O195" s="8"/>
      <c r="P195" s="8" t="s">
        <v>3738</v>
      </c>
      <c r="Q195" s="8" t="s">
        <v>3313</v>
      </c>
      <c r="R195" s="8" t="s">
        <v>3739</v>
      </c>
      <c r="S195" s="8" t="s">
        <v>953</v>
      </c>
    </row>
    <row r="196" spans="1:19" ht="36.950000000000003" customHeight="1" x14ac:dyDescent="0.25">
      <c r="A196" s="8" t="s">
        <v>1702</v>
      </c>
      <c r="B196" s="8" t="s">
        <v>3740</v>
      </c>
      <c r="C196" s="8" t="s">
        <v>3267</v>
      </c>
      <c r="D196" s="8" t="s">
        <v>3741</v>
      </c>
      <c r="E196" s="11" t="s">
        <v>3742</v>
      </c>
      <c r="F196" s="8" t="s">
        <v>3734</v>
      </c>
      <c r="G196" s="8" t="s">
        <v>3270</v>
      </c>
      <c r="H196" s="15" t="s">
        <v>1685</v>
      </c>
      <c r="I196" s="8" t="s">
        <v>3271</v>
      </c>
      <c r="J196" s="8" t="s">
        <v>3735</v>
      </c>
      <c r="K196" s="8" t="s">
        <v>3736</v>
      </c>
      <c r="L196" s="8" t="s">
        <v>1701</v>
      </c>
      <c r="M196" s="8" t="s">
        <v>3312</v>
      </c>
      <c r="N196" s="8"/>
      <c r="O196" s="8"/>
      <c r="P196" s="8" t="s">
        <v>3669</v>
      </c>
      <c r="Q196" s="8" t="s">
        <v>3313</v>
      </c>
      <c r="R196" s="8" t="s">
        <v>3317</v>
      </c>
      <c r="S196" s="8" t="s">
        <v>1702</v>
      </c>
    </row>
    <row r="197" spans="1:19" ht="36.950000000000003" customHeight="1" x14ac:dyDescent="0.25">
      <c r="A197" s="8" t="s">
        <v>1708</v>
      </c>
      <c r="B197" s="8" t="s">
        <v>3743</v>
      </c>
      <c r="C197" s="8" t="s">
        <v>3267</v>
      </c>
      <c r="D197" s="8" t="s">
        <v>3744</v>
      </c>
      <c r="E197" s="11" t="s">
        <v>3745</v>
      </c>
      <c r="F197" s="8" t="s">
        <v>3734</v>
      </c>
      <c r="G197" s="8" t="s">
        <v>3270</v>
      </c>
      <c r="H197" s="15" t="s">
        <v>1685</v>
      </c>
      <c r="I197" s="8" t="s">
        <v>3271</v>
      </c>
      <c r="J197" s="8" t="s">
        <v>3735</v>
      </c>
      <c r="K197" s="8" t="s">
        <v>3736</v>
      </c>
      <c r="L197" s="8" t="s">
        <v>1707</v>
      </c>
      <c r="M197" s="8" t="s">
        <v>3312</v>
      </c>
      <c r="N197" s="8"/>
      <c r="O197" s="8"/>
      <c r="P197" s="8" t="s">
        <v>3746</v>
      </c>
      <c r="Q197" s="8" t="s">
        <v>3313</v>
      </c>
      <c r="R197" s="8" t="s">
        <v>3317</v>
      </c>
      <c r="S197" s="8" t="s">
        <v>1708</v>
      </c>
    </row>
    <row r="198" spans="1:19" ht="36.950000000000003" customHeight="1" x14ac:dyDescent="0.25">
      <c r="A198" s="8" t="s">
        <v>1722</v>
      </c>
      <c r="B198" s="8" t="s">
        <v>3747</v>
      </c>
      <c r="C198" s="8" t="s">
        <v>3267</v>
      </c>
      <c r="D198" s="8" t="s">
        <v>3532</v>
      </c>
      <c r="E198" s="11" t="s">
        <v>3748</v>
      </c>
      <c r="F198" s="8" t="s">
        <v>3734</v>
      </c>
      <c r="G198" s="8" t="s">
        <v>3270</v>
      </c>
      <c r="H198" s="15" t="s">
        <v>1685</v>
      </c>
      <c r="I198" s="8" t="s">
        <v>3271</v>
      </c>
      <c r="J198" s="8" t="s">
        <v>3735</v>
      </c>
      <c r="K198" s="8" t="s">
        <v>3736</v>
      </c>
      <c r="L198" s="8" t="s">
        <v>1721</v>
      </c>
      <c r="M198" s="8" t="s">
        <v>3312</v>
      </c>
      <c r="N198" s="8"/>
      <c r="O198" s="8"/>
      <c r="P198" s="8" t="s">
        <v>3749</v>
      </c>
      <c r="Q198" s="8" t="s">
        <v>3313</v>
      </c>
      <c r="R198" s="8" t="s">
        <v>3317</v>
      </c>
      <c r="S198" s="8" t="s">
        <v>1722</v>
      </c>
    </row>
    <row r="199" spans="1:19" ht="36.950000000000003" customHeight="1" x14ac:dyDescent="0.25">
      <c r="A199" s="8" t="s">
        <v>2748</v>
      </c>
      <c r="B199" s="8" t="s">
        <v>3750</v>
      </c>
      <c r="C199" s="8" t="s">
        <v>3267</v>
      </c>
      <c r="D199" s="8" t="s">
        <v>121</v>
      </c>
      <c r="E199" s="11" t="s">
        <v>3751</v>
      </c>
      <c r="F199" s="8" t="s">
        <v>3734</v>
      </c>
      <c r="G199" s="8" t="s">
        <v>3270</v>
      </c>
      <c r="H199" s="15" t="s">
        <v>1685</v>
      </c>
      <c r="I199" s="8" t="s">
        <v>3271</v>
      </c>
      <c r="J199" s="8" t="s">
        <v>3735</v>
      </c>
      <c r="K199" s="8" t="s">
        <v>3736</v>
      </c>
      <c r="L199" s="8" t="s">
        <v>2747</v>
      </c>
      <c r="M199" s="8" t="s">
        <v>3312</v>
      </c>
      <c r="N199" s="8"/>
      <c r="O199" s="8"/>
      <c r="P199" s="8" t="s">
        <v>3752</v>
      </c>
      <c r="Q199" s="8" t="s">
        <v>3313</v>
      </c>
      <c r="R199" s="8" t="s">
        <v>3317</v>
      </c>
      <c r="S199" s="8" t="s">
        <v>2748</v>
      </c>
    </row>
    <row r="200" spans="1:19" ht="36.950000000000003" customHeight="1" x14ac:dyDescent="0.25">
      <c r="A200" s="8" t="s">
        <v>2719</v>
      </c>
      <c r="B200" s="8" t="s">
        <v>3753</v>
      </c>
      <c r="C200" s="8" t="s">
        <v>3267</v>
      </c>
      <c r="D200" s="8" t="s">
        <v>3754</v>
      </c>
      <c r="E200" s="11" t="s">
        <v>3755</v>
      </c>
      <c r="F200" s="8" t="s">
        <v>3734</v>
      </c>
      <c r="G200" s="8" t="s">
        <v>3270</v>
      </c>
      <c r="H200" s="15" t="s">
        <v>1685</v>
      </c>
      <c r="I200" s="8" t="s">
        <v>3271</v>
      </c>
      <c r="J200" s="8" t="s">
        <v>3735</v>
      </c>
      <c r="K200" s="8" t="s">
        <v>3736</v>
      </c>
      <c r="L200" s="8" t="s">
        <v>2718</v>
      </c>
      <c r="M200" s="8" t="s">
        <v>3312</v>
      </c>
      <c r="N200" s="8"/>
      <c r="O200" s="8"/>
      <c r="P200" s="8" t="s">
        <v>3756</v>
      </c>
      <c r="Q200" s="8" t="s">
        <v>3313</v>
      </c>
      <c r="R200" s="8" t="s">
        <v>3317</v>
      </c>
      <c r="S200" s="8" t="s">
        <v>2719</v>
      </c>
    </row>
    <row r="201" spans="1:19" ht="36.950000000000003" customHeight="1" x14ac:dyDescent="0.25">
      <c r="A201" s="8" t="s">
        <v>2805</v>
      </c>
      <c r="B201" s="8" t="s">
        <v>3757</v>
      </c>
      <c r="C201" s="8" t="s">
        <v>3267</v>
      </c>
      <c r="D201" s="8" t="s">
        <v>3758</v>
      </c>
      <c r="E201" s="11" t="s">
        <v>3759</v>
      </c>
      <c r="F201" s="8" t="s">
        <v>3734</v>
      </c>
      <c r="G201" s="8" t="s">
        <v>3270</v>
      </c>
      <c r="H201" s="15" t="s">
        <v>1685</v>
      </c>
      <c r="I201" s="8" t="s">
        <v>3271</v>
      </c>
      <c r="J201" s="8" t="s">
        <v>3735</v>
      </c>
      <c r="K201" s="8" t="s">
        <v>3736</v>
      </c>
      <c r="L201" s="8" t="s">
        <v>2804</v>
      </c>
      <c r="M201" s="8" t="s">
        <v>3312</v>
      </c>
      <c r="N201" s="8"/>
      <c r="O201" s="8"/>
      <c r="P201" s="8" t="s">
        <v>3760</v>
      </c>
      <c r="Q201" s="8" t="s">
        <v>3313</v>
      </c>
      <c r="R201" s="8" t="s">
        <v>3317</v>
      </c>
      <c r="S201" s="8" t="s">
        <v>2805</v>
      </c>
    </row>
    <row r="202" spans="1:19" ht="36.950000000000003" customHeight="1" x14ac:dyDescent="0.25">
      <c r="A202" s="8" t="s">
        <v>2809</v>
      </c>
      <c r="B202" s="8" t="s">
        <v>3761</v>
      </c>
      <c r="C202" s="8" t="s">
        <v>3267</v>
      </c>
      <c r="D202" s="8" t="s">
        <v>3758</v>
      </c>
      <c r="E202" s="11" t="s">
        <v>3762</v>
      </c>
      <c r="F202" s="8" t="s">
        <v>3734</v>
      </c>
      <c r="G202" s="8" t="s">
        <v>3270</v>
      </c>
      <c r="H202" s="15" t="s">
        <v>1685</v>
      </c>
      <c r="I202" s="8" t="s">
        <v>3271</v>
      </c>
      <c r="J202" s="8" t="s">
        <v>3735</v>
      </c>
      <c r="K202" s="8" t="s">
        <v>3736</v>
      </c>
      <c r="L202" s="8" t="s">
        <v>2808</v>
      </c>
      <c r="M202" s="8" t="s">
        <v>3312</v>
      </c>
      <c r="N202" s="8"/>
      <c r="O202" s="8"/>
      <c r="P202" s="8" t="s">
        <v>3760</v>
      </c>
      <c r="Q202" s="8" t="s">
        <v>3313</v>
      </c>
      <c r="R202" s="8" t="s">
        <v>3317</v>
      </c>
      <c r="S202" s="8" t="s">
        <v>2809</v>
      </c>
    </row>
    <row r="203" spans="1:19" ht="36.950000000000003" customHeight="1" x14ac:dyDescent="0.25">
      <c r="A203" s="8" t="s">
        <v>886</v>
      </c>
      <c r="B203" s="8" t="s">
        <v>3763</v>
      </c>
      <c r="C203" s="8" t="s">
        <v>3267</v>
      </c>
      <c r="D203" s="8" t="s">
        <v>3345</v>
      </c>
      <c r="E203" s="11" t="s">
        <v>3192</v>
      </c>
      <c r="F203" s="8" t="s">
        <v>3734</v>
      </c>
      <c r="G203" s="8" t="s">
        <v>3764</v>
      </c>
      <c r="H203" s="15" t="s">
        <v>1685</v>
      </c>
      <c r="I203" s="8" t="s">
        <v>3271</v>
      </c>
      <c r="J203" s="8" t="s">
        <v>3735</v>
      </c>
      <c r="K203" s="8" t="s">
        <v>3736</v>
      </c>
      <c r="L203" s="8" t="s">
        <v>3765</v>
      </c>
      <c r="M203" s="8" t="s">
        <v>3312</v>
      </c>
      <c r="N203" s="8"/>
      <c r="O203" s="8"/>
      <c r="P203" s="8" t="s">
        <v>3738</v>
      </c>
      <c r="Q203" s="8" t="s">
        <v>3682</v>
      </c>
      <c r="R203" s="8" t="s">
        <v>3277</v>
      </c>
      <c r="S203" s="8" t="s">
        <v>886</v>
      </c>
    </row>
    <row r="204" spans="1:19" ht="51" customHeight="1" x14ac:dyDescent="0.25">
      <c r="A204" s="8" t="s">
        <v>3766</v>
      </c>
      <c r="B204" s="8" t="s">
        <v>3767</v>
      </c>
      <c r="C204" s="8" t="s">
        <v>3267</v>
      </c>
      <c r="D204" s="8" t="s">
        <v>3532</v>
      </c>
      <c r="E204" s="11" t="s">
        <v>3768</v>
      </c>
      <c r="F204" s="8" t="s">
        <v>3734</v>
      </c>
      <c r="G204" s="8" t="s">
        <v>3270</v>
      </c>
      <c r="H204" s="15" t="s">
        <v>1685</v>
      </c>
      <c r="I204" s="8" t="s">
        <v>3271</v>
      </c>
      <c r="J204" s="8" t="s">
        <v>3735</v>
      </c>
      <c r="K204" s="8" t="s">
        <v>3736</v>
      </c>
      <c r="L204" s="8" t="s">
        <v>3769</v>
      </c>
      <c r="M204" s="8" t="s">
        <v>3312</v>
      </c>
      <c r="N204" s="8"/>
      <c r="O204" s="8"/>
      <c r="P204" s="8" t="s">
        <v>3738</v>
      </c>
      <c r="Q204" s="8" t="s">
        <v>3313</v>
      </c>
      <c r="R204" s="8" t="s">
        <v>3317</v>
      </c>
      <c r="S204" s="8" t="s">
        <v>3766</v>
      </c>
    </row>
    <row r="205" spans="1:19" ht="36.950000000000003" customHeight="1" x14ac:dyDescent="0.25">
      <c r="A205" s="8" t="s">
        <v>3770</v>
      </c>
      <c r="B205" s="8" t="s">
        <v>3771</v>
      </c>
      <c r="C205" s="8" t="s">
        <v>3267</v>
      </c>
      <c r="D205" s="8" t="s">
        <v>3772</v>
      </c>
      <c r="E205" s="11" t="s">
        <v>3773</v>
      </c>
      <c r="F205" s="8" t="s">
        <v>3734</v>
      </c>
      <c r="G205" s="8" t="s">
        <v>3270</v>
      </c>
      <c r="H205" s="15" t="s">
        <v>1685</v>
      </c>
      <c r="I205" s="8" t="s">
        <v>3271</v>
      </c>
      <c r="J205" s="8" t="s">
        <v>3735</v>
      </c>
      <c r="K205" s="8" t="s">
        <v>3736</v>
      </c>
      <c r="L205" s="8" t="s">
        <v>3774</v>
      </c>
      <c r="M205" s="8" t="s">
        <v>3312</v>
      </c>
      <c r="N205" s="8"/>
      <c r="O205" s="8"/>
      <c r="P205" s="8" t="s">
        <v>3580</v>
      </c>
      <c r="Q205" s="8" t="s">
        <v>3313</v>
      </c>
      <c r="R205" s="8" t="s">
        <v>3317</v>
      </c>
      <c r="S205" s="8" t="s">
        <v>3770</v>
      </c>
    </row>
    <row r="206" spans="1:19" ht="36.950000000000003" customHeight="1" x14ac:dyDescent="0.25">
      <c r="A206" s="8" t="s">
        <v>3775</v>
      </c>
      <c r="B206" s="8" t="s">
        <v>3776</v>
      </c>
      <c r="C206" s="8" t="s">
        <v>3267</v>
      </c>
      <c r="D206" s="8" t="s">
        <v>3744</v>
      </c>
      <c r="E206" s="11" t="s">
        <v>3777</v>
      </c>
      <c r="F206" s="8" t="s">
        <v>3734</v>
      </c>
      <c r="G206" s="8" t="s">
        <v>3270</v>
      </c>
      <c r="H206" s="15" t="s">
        <v>1685</v>
      </c>
      <c r="I206" s="8" t="s">
        <v>3271</v>
      </c>
      <c r="J206" s="8" t="s">
        <v>3735</v>
      </c>
      <c r="K206" s="8" t="s">
        <v>3736</v>
      </c>
      <c r="L206" s="8" t="s">
        <v>3778</v>
      </c>
      <c r="M206" s="8" t="s">
        <v>3312</v>
      </c>
      <c r="N206" s="8"/>
      <c r="O206" s="8"/>
      <c r="P206" s="8" t="s">
        <v>3779</v>
      </c>
      <c r="Q206" s="8" t="s">
        <v>3313</v>
      </c>
      <c r="R206" s="8" t="s">
        <v>3317</v>
      </c>
      <c r="S206" s="8" t="s">
        <v>3775</v>
      </c>
    </row>
    <row r="207" spans="1:19" ht="36.950000000000003" customHeight="1" x14ac:dyDescent="0.25">
      <c r="A207" s="8" t="s">
        <v>3780</v>
      </c>
      <c r="B207" s="8" t="s">
        <v>3781</v>
      </c>
      <c r="C207" s="8" t="s">
        <v>3267</v>
      </c>
      <c r="D207" s="8" t="s">
        <v>3782</v>
      </c>
      <c r="E207" s="11" t="s">
        <v>3783</v>
      </c>
      <c r="F207" s="8" t="s">
        <v>3734</v>
      </c>
      <c r="G207" s="8" t="s">
        <v>3270</v>
      </c>
      <c r="H207" s="15" t="s">
        <v>1685</v>
      </c>
      <c r="I207" s="8" t="s">
        <v>3271</v>
      </c>
      <c r="J207" s="8" t="s">
        <v>3735</v>
      </c>
      <c r="K207" s="8" t="s">
        <v>3736</v>
      </c>
      <c r="L207" s="8" t="s">
        <v>3784</v>
      </c>
      <c r="M207" s="8" t="s">
        <v>3312</v>
      </c>
      <c r="N207" s="8"/>
      <c r="O207" s="8"/>
      <c r="P207" s="8" t="s">
        <v>3779</v>
      </c>
      <c r="Q207" s="8" t="s">
        <v>3313</v>
      </c>
      <c r="R207" s="8" t="s">
        <v>3317</v>
      </c>
      <c r="S207" s="8" t="s">
        <v>3780</v>
      </c>
    </row>
    <row r="208" spans="1:19" ht="36.950000000000003" customHeight="1" x14ac:dyDescent="0.25">
      <c r="A208" s="8" t="s">
        <v>605</v>
      </c>
      <c r="B208" s="8" t="s">
        <v>3785</v>
      </c>
      <c r="C208" s="8" t="s">
        <v>3267</v>
      </c>
      <c r="D208" s="8" t="s">
        <v>3345</v>
      </c>
      <c r="E208" s="11" t="s">
        <v>3786</v>
      </c>
      <c r="F208" s="8" t="s">
        <v>3734</v>
      </c>
      <c r="G208" s="8" t="s">
        <v>3270</v>
      </c>
      <c r="H208" s="15" t="s">
        <v>1685</v>
      </c>
      <c r="I208" s="8" t="s">
        <v>3271</v>
      </c>
      <c r="J208" s="8" t="s">
        <v>3735</v>
      </c>
      <c r="K208" s="8" t="s">
        <v>3736</v>
      </c>
      <c r="L208" s="8" t="s">
        <v>3787</v>
      </c>
      <c r="M208" s="8" t="s">
        <v>3312</v>
      </c>
      <c r="N208" s="8"/>
      <c r="O208" s="8"/>
      <c r="P208" s="8" t="s">
        <v>3738</v>
      </c>
      <c r="Q208" s="8" t="s">
        <v>3313</v>
      </c>
      <c r="R208" s="8" t="s">
        <v>3317</v>
      </c>
      <c r="S208" s="8" t="s">
        <v>605</v>
      </c>
    </row>
    <row r="209" spans="1:19" ht="51" customHeight="1" x14ac:dyDescent="0.25">
      <c r="A209" s="8" t="s">
        <v>3788</v>
      </c>
      <c r="B209" s="8" t="s">
        <v>3789</v>
      </c>
      <c r="C209" s="8" t="s">
        <v>3267</v>
      </c>
      <c r="D209" s="8" t="s">
        <v>3741</v>
      </c>
      <c r="E209" s="11" t="s">
        <v>3790</v>
      </c>
      <c r="F209" s="8" t="s">
        <v>3734</v>
      </c>
      <c r="G209" s="8" t="s">
        <v>3270</v>
      </c>
      <c r="H209" s="15" t="s">
        <v>1685</v>
      </c>
      <c r="I209" s="8" t="s">
        <v>3271</v>
      </c>
      <c r="J209" s="8" t="s">
        <v>3735</v>
      </c>
      <c r="K209" s="8" t="s">
        <v>3736</v>
      </c>
      <c r="L209" s="8" t="s">
        <v>3791</v>
      </c>
      <c r="M209" s="8" t="s">
        <v>3312</v>
      </c>
      <c r="N209" s="8"/>
      <c r="O209" s="8"/>
      <c r="P209" s="8" t="s">
        <v>3792</v>
      </c>
      <c r="Q209" s="8" t="s">
        <v>3313</v>
      </c>
      <c r="R209" s="8" t="s">
        <v>3317</v>
      </c>
      <c r="S209" s="8" t="s">
        <v>3788</v>
      </c>
    </row>
    <row r="210" spans="1:19" ht="36.950000000000003" customHeight="1" x14ac:dyDescent="0.25">
      <c r="A210" s="8" t="s">
        <v>3793</v>
      </c>
      <c r="B210" s="8" t="s">
        <v>3794</v>
      </c>
      <c r="C210" s="8" t="s">
        <v>3267</v>
      </c>
      <c r="D210" s="8" t="s">
        <v>3795</v>
      </c>
      <c r="E210" s="11" t="s">
        <v>3796</v>
      </c>
      <c r="F210" s="8" t="s">
        <v>3734</v>
      </c>
      <c r="G210" s="8" t="s">
        <v>3270</v>
      </c>
      <c r="H210" s="15" t="s">
        <v>1685</v>
      </c>
      <c r="I210" s="8" t="s">
        <v>3271</v>
      </c>
      <c r="J210" s="8" t="s">
        <v>3735</v>
      </c>
      <c r="K210" s="8" t="s">
        <v>3736</v>
      </c>
      <c r="L210" s="8" t="s">
        <v>3797</v>
      </c>
      <c r="M210" s="8" t="s">
        <v>3312</v>
      </c>
      <c r="N210" s="8"/>
      <c r="O210" s="8"/>
      <c r="P210" s="8" t="s">
        <v>3798</v>
      </c>
      <c r="Q210" s="8" t="s">
        <v>3313</v>
      </c>
      <c r="R210" s="8" t="s">
        <v>3317</v>
      </c>
      <c r="S210" s="8" t="s">
        <v>3793</v>
      </c>
    </row>
    <row r="211" spans="1:19" ht="65.099999999999994" customHeight="1" x14ac:dyDescent="0.25">
      <c r="A211" s="8" t="s">
        <v>2607</v>
      </c>
      <c r="B211" s="8" t="s">
        <v>3799</v>
      </c>
      <c r="C211" s="8" t="s">
        <v>3267</v>
      </c>
      <c r="D211" s="8" t="s">
        <v>3345</v>
      </c>
      <c r="E211" s="11" t="s">
        <v>3800</v>
      </c>
      <c r="F211" s="8" t="s">
        <v>3734</v>
      </c>
      <c r="G211" s="8" t="s">
        <v>3270</v>
      </c>
      <c r="H211" s="15" t="s">
        <v>1685</v>
      </c>
      <c r="I211" s="8" t="s">
        <v>3271</v>
      </c>
      <c r="J211" s="8" t="s">
        <v>3735</v>
      </c>
      <c r="K211" s="8" t="s">
        <v>3736</v>
      </c>
      <c r="L211" s="8" t="s">
        <v>3801</v>
      </c>
      <c r="M211" s="8" t="s">
        <v>3312</v>
      </c>
      <c r="N211" s="8"/>
      <c r="O211" s="8"/>
      <c r="P211" s="8" t="s">
        <v>3738</v>
      </c>
      <c r="Q211" s="8" t="s">
        <v>3313</v>
      </c>
      <c r="R211" s="8" t="s">
        <v>3317</v>
      </c>
      <c r="S211" s="8" t="s">
        <v>2607</v>
      </c>
    </row>
    <row r="212" spans="1:19" ht="36.950000000000003" customHeight="1" x14ac:dyDescent="0.25">
      <c r="A212" s="8" t="s">
        <v>927</v>
      </c>
      <c r="B212" s="8" t="s">
        <v>3802</v>
      </c>
      <c r="C212" s="8" t="s">
        <v>3267</v>
      </c>
      <c r="D212" s="8" t="s">
        <v>3345</v>
      </c>
      <c r="E212" s="11" t="s">
        <v>3222</v>
      </c>
      <c r="F212" s="8" t="s">
        <v>3734</v>
      </c>
      <c r="G212" s="8" t="s">
        <v>3270</v>
      </c>
      <c r="H212" s="15" t="s">
        <v>1685</v>
      </c>
      <c r="I212" s="8" t="s">
        <v>3271</v>
      </c>
      <c r="J212" s="8" t="s">
        <v>3735</v>
      </c>
      <c r="K212" s="8" t="s">
        <v>3803</v>
      </c>
      <c r="L212" s="8" t="s">
        <v>3804</v>
      </c>
      <c r="M212" s="8" t="s">
        <v>3805</v>
      </c>
      <c r="N212" s="8"/>
      <c r="O212" s="8"/>
      <c r="P212" s="8" t="s">
        <v>3738</v>
      </c>
      <c r="Q212" s="8" t="s">
        <v>3313</v>
      </c>
      <c r="R212" s="8" t="s">
        <v>3317</v>
      </c>
      <c r="S212" s="8" t="s">
        <v>927</v>
      </c>
    </row>
    <row r="213" spans="1:19" ht="36.950000000000003" customHeight="1" x14ac:dyDescent="0.25">
      <c r="A213" s="8" t="s">
        <v>910</v>
      </c>
      <c r="B213" s="8" t="s">
        <v>3806</v>
      </c>
      <c r="C213" s="8" t="s">
        <v>3267</v>
      </c>
      <c r="D213" s="8" t="s">
        <v>3345</v>
      </c>
      <c r="E213" s="11" t="s">
        <v>3225</v>
      </c>
      <c r="F213" s="8" t="s">
        <v>3734</v>
      </c>
      <c r="G213" s="8" t="s">
        <v>3270</v>
      </c>
      <c r="H213" s="15" t="s">
        <v>1685</v>
      </c>
      <c r="I213" s="8" t="s">
        <v>3271</v>
      </c>
      <c r="J213" s="8" t="s">
        <v>3735</v>
      </c>
      <c r="K213" s="8" t="s">
        <v>3803</v>
      </c>
      <c r="L213" s="8" t="s">
        <v>3807</v>
      </c>
      <c r="M213" s="8" t="s">
        <v>3805</v>
      </c>
      <c r="N213" s="8"/>
      <c r="O213" s="8"/>
      <c r="P213" s="8" t="s">
        <v>3738</v>
      </c>
      <c r="Q213" s="8" t="s">
        <v>3313</v>
      </c>
      <c r="R213" s="8" t="s">
        <v>3317</v>
      </c>
      <c r="S213" s="8" t="s">
        <v>910</v>
      </c>
    </row>
    <row r="214" spans="1:19" ht="36.950000000000003" customHeight="1" x14ac:dyDescent="0.25">
      <c r="A214" s="8" t="s">
        <v>935</v>
      </c>
      <c r="B214" s="8" t="s">
        <v>3808</v>
      </c>
      <c r="C214" s="8" t="s">
        <v>3267</v>
      </c>
      <c r="D214" s="8" t="s">
        <v>3345</v>
      </c>
      <c r="E214" s="11" t="s">
        <v>3228</v>
      </c>
      <c r="F214" s="8" t="s">
        <v>3734</v>
      </c>
      <c r="G214" s="8" t="s">
        <v>3270</v>
      </c>
      <c r="H214" s="15" t="s">
        <v>1685</v>
      </c>
      <c r="I214" s="8" t="s">
        <v>3271</v>
      </c>
      <c r="J214" s="8" t="s">
        <v>3735</v>
      </c>
      <c r="K214" s="8" t="s">
        <v>3803</v>
      </c>
      <c r="L214" s="8" t="s">
        <v>3809</v>
      </c>
      <c r="M214" s="8" t="s">
        <v>3805</v>
      </c>
      <c r="N214" s="8"/>
      <c r="O214" s="8"/>
      <c r="P214" s="8" t="s">
        <v>3738</v>
      </c>
      <c r="Q214" s="8" t="s">
        <v>3313</v>
      </c>
      <c r="R214" s="8" t="s">
        <v>3317</v>
      </c>
      <c r="S214" s="8" t="s">
        <v>935</v>
      </c>
    </row>
    <row r="215" spans="1:19" ht="36.950000000000003" customHeight="1" x14ac:dyDescent="0.25">
      <c r="A215" s="8" t="s">
        <v>1046</v>
      </c>
      <c r="B215" s="8" t="s">
        <v>3810</v>
      </c>
      <c r="C215" s="8" t="s">
        <v>3267</v>
      </c>
      <c r="D215" s="8" t="s">
        <v>3345</v>
      </c>
      <c r="E215" s="11" t="s">
        <v>3231</v>
      </c>
      <c r="F215" s="8" t="s">
        <v>3734</v>
      </c>
      <c r="G215" s="8" t="s">
        <v>3270</v>
      </c>
      <c r="H215" s="15" t="s">
        <v>1685</v>
      </c>
      <c r="I215" s="8" t="s">
        <v>3271</v>
      </c>
      <c r="J215" s="8" t="s">
        <v>3735</v>
      </c>
      <c r="K215" s="8" t="s">
        <v>3803</v>
      </c>
      <c r="L215" s="8" t="s">
        <v>3811</v>
      </c>
      <c r="M215" s="8" t="s">
        <v>3805</v>
      </c>
      <c r="N215" s="8"/>
      <c r="O215" s="8"/>
      <c r="P215" s="8" t="s">
        <v>3738</v>
      </c>
      <c r="Q215" s="8" t="s">
        <v>3313</v>
      </c>
      <c r="R215" s="8" t="s">
        <v>3317</v>
      </c>
      <c r="S215" s="8" t="s">
        <v>1046</v>
      </c>
    </row>
    <row r="216" spans="1:19" ht="36.950000000000003" customHeight="1" x14ac:dyDescent="0.25">
      <c r="A216" s="8" t="s">
        <v>918</v>
      </c>
      <c r="B216" s="8" t="s">
        <v>3812</v>
      </c>
      <c r="C216" s="8" t="s">
        <v>3267</v>
      </c>
      <c r="D216" s="8" t="s">
        <v>3345</v>
      </c>
      <c r="E216" s="11" t="s">
        <v>3234</v>
      </c>
      <c r="F216" s="8" t="s">
        <v>3734</v>
      </c>
      <c r="G216" s="8" t="s">
        <v>3270</v>
      </c>
      <c r="H216" s="15" t="s">
        <v>1685</v>
      </c>
      <c r="I216" s="8" t="s">
        <v>3271</v>
      </c>
      <c r="J216" s="8" t="s">
        <v>3735</v>
      </c>
      <c r="K216" s="8" t="s">
        <v>3803</v>
      </c>
      <c r="L216" s="8" t="s">
        <v>3813</v>
      </c>
      <c r="M216" s="8" t="s">
        <v>3805</v>
      </c>
      <c r="N216" s="8"/>
      <c r="O216" s="8"/>
      <c r="P216" s="8" t="s">
        <v>3738</v>
      </c>
      <c r="Q216" s="8" t="s">
        <v>3313</v>
      </c>
      <c r="R216" s="8" t="s">
        <v>3317</v>
      </c>
      <c r="S216" s="8" t="s">
        <v>918</v>
      </c>
    </row>
    <row r="217" spans="1:19" ht="36.950000000000003" customHeight="1" x14ac:dyDescent="0.25">
      <c r="A217" s="8" t="s">
        <v>943</v>
      </c>
      <c r="B217" s="8" t="s">
        <v>3814</v>
      </c>
      <c r="C217" s="8" t="s">
        <v>3815</v>
      </c>
      <c r="D217" s="8" t="s">
        <v>3345</v>
      </c>
      <c r="E217" s="11" t="s">
        <v>3816</v>
      </c>
      <c r="F217" s="8" t="s">
        <v>3734</v>
      </c>
      <c r="G217" s="8" t="s">
        <v>3270</v>
      </c>
      <c r="H217" s="15" t="s">
        <v>1685</v>
      </c>
      <c r="I217" s="8" t="s">
        <v>3271</v>
      </c>
      <c r="J217" s="8" t="s">
        <v>3735</v>
      </c>
      <c r="K217" s="8" t="s">
        <v>3803</v>
      </c>
      <c r="L217" s="8" t="s">
        <v>3817</v>
      </c>
      <c r="M217" s="8" t="s">
        <v>3805</v>
      </c>
      <c r="N217" s="8"/>
      <c r="O217" s="8"/>
      <c r="P217" s="8" t="s">
        <v>3531</v>
      </c>
      <c r="Q217" s="8" t="s">
        <v>3313</v>
      </c>
      <c r="R217" s="8" t="s">
        <v>3317</v>
      </c>
      <c r="S217" s="8" t="s">
        <v>943</v>
      </c>
    </row>
    <row r="218" spans="1:19" ht="36.950000000000003" customHeight="1" x14ac:dyDescent="0.25">
      <c r="A218" s="8" t="s">
        <v>2196</v>
      </c>
      <c r="B218" s="8" t="s">
        <v>3818</v>
      </c>
      <c r="C218" s="8" t="s">
        <v>3267</v>
      </c>
      <c r="D218" s="8" t="s">
        <v>3597</v>
      </c>
      <c r="E218" s="11" t="s">
        <v>3241</v>
      </c>
      <c r="F218" s="8" t="s">
        <v>3734</v>
      </c>
      <c r="G218" s="8" t="s">
        <v>3270</v>
      </c>
      <c r="H218" s="15" t="s">
        <v>1685</v>
      </c>
      <c r="I218" s="8" t="s">
        <v>3271</v>
      </c>
      <c r="J218" s="8" t="s">
        <v>3735</v>
      </c>
      <c r="K218" s="8" t="s">
        <v>3803</v>
      </c>
      <c r="L218" s="8" t="s">
        <v>3819</v>
      </c>
      <c r="M218" s="8" t="s">
        <v>3805</v>
      </c>
      <c r="N218" s="8"/>
      <c r="O218" s="8"/>
      <c r="P218" s="8" t="s">
        <v>3738</v>
      </c>
      <c r="Q218" s="8" t="s">
        <v>3313</v>
      </c>
      <c r="R218" s="8" t="s">
        <v>3317</v>
      </c>
      <c r="S218" s="8" t="s">
        <v>2196</v>
      </c>
    </row>
    <row r="219" spans="1:19" ht="36.950000000000003" customHeight="1" x14ac:dyDescent="0.25">
      <c r="A219" s="8" t="s">
        <v>508</v>
      </c>
      <c r="B219" s="8" t="s">
        <v>3820</v>
      </c>
      <c r="C219" s="8" t="s">
        <v>3267</v>
      </c>
      <c r="D219" s="8" t="s">
        <v>65</v>
      </c>
      <c r="E219" s="11" t="s">
        <v>3821</v>
      </c>
      <c r="F219" s="8" t="s">
        <v>3734</v>
      </c>
      <c r="G219" s="8" t="s">
        <v>3270</v>
      </c>
      <c r="H219" s="15" t="s">
        <v>1685</v>
      </c>
      <c r="I219" s="8" t="s">
        <v>3271</v>
      </c>
      <c r="J219" s="8" t="s">
        <v>3735</v>
      </c>
      <c r="K219" s="8" t="s">
        <v>3803</v>
      </c>
      <c r="L219" s="8" t="s">
        <v>3822</v>
      </c>
      <c r="M219" s="8" t="s">
        <v>3805</v>
      </c>
      <c r="N219" s="8"/>
      <c r="O219" s="8"/>
      <c r="P219" s="8" t="s">
        <v>3738</v>
      </c>
      <c r="Q219" s="8" t="s">
        <v>3313</v>
      </c>
      <c r="R219" s="8" t="s">
        <v>3317</v>
      </c>
      <c r="S219" s="8" t="s">
        <v>508</v>
      </c>
    </row>
    <row r="220" spans="1:19" ht="51" customHeight="1" x14ac:dyDescent="0.25">
      <c r="A220" s="8" t="s">
        <v>858</v>
      </c>
      <c r="B220" s="8" t="s">
        <v>3823</v>
      </c>
      <c r="C220" s="8" t="s">
        <v>3267</v>
      </c>
      <c r="D220" s="8" t="s">
        <v>3345</v>
      </c>
      <c r="E220" s="11" t="s">
        <v>3064</v>
      </c>
      <c r="F220" s="8" t="s">
        <v>3734</v>
      </c>
      <c r="G220" s="8" t="s">
        <v>3270</v>
      </c>
      <c r="H220" s="15" t="s">
        <v>1685</v>
      </c>
      <c r="I220" s="8" t="s">
        <v>3271</v>
      </c>
      <c r="J220" s="8" t="s">
        <v>3735</v>
      </c>
      <c r="K220" s="8" t="s">
        <v>3803</v>
      </c>
      <c r="L220" s="8" t="s">
        <v>3824</v>
      </c>
      <c r="M220" s="8" t="s">
        <v>3805</v>
      </c>
      <c r="N220" s="8"/>
      <c r="O220" s="8"/>
      <c r="P220" s="8" t="s">
        <v>3738</v>
      </c>
      <c r="Q220" s="8" t="s">
        <v>3313</v>
      </c>
      <c r="R220" s="8" t="s">
        <v>3317</v>
      </c>
      <c r="S220" s="8" t="s">
        <v>858</v>
      </c>
    </row>
    <row r="221" spans="1:19" ht="36.950000000000003" customHeight="1" x14ac:dyDescent="0.25">
      <c r="A221" s="8" t="s">
        <v>697</v>
      </c>
      <c r="B221" s="8" t="s">
        <v>3825</v>
      </c>
      <c r="C221" s="8" t="s">
        <v>3267</v>
      </c>
      <c r="D221" s="8" t="s">
        <v>65</v>
      </c>
      <c r="E221" s="11" t="s">
        <v>2916</v>
      </c>
      <c r="F221" s="8" t="s">
        <v>3734</v>
      </c>
      <c r="G221" s="8" t="s">
        <v>3270</v>
      </c>
      <c r="H221" s="15" t="s">
        <v>1685</v>
      </c>
      <c r="I221" s="8" t="s">
        <v>3271</v>
      </c>
      <c r="J221" s="8" t="s">
        <v>3735</v>
      </c>
      <c r="K221" s="8" t="s">
        <v>3803</v>
      </c>
      <c r="L221" s="8" t="s">
        <v>3826</v>
      </c>
      <c r="M221" s="8" t="s">
        <v>3805</v>
      </c>
      <c r="N221" s="8"/>
      <c r="O221" s="8"/>
      <c r="P221" s="8" t="s">
        <v>3738</v>
      </c>
      <c r="Q221" s="8" t="s">
        <v>3313</v>
      </c>
      <c r="R221" s="8" t="s">
        <v>3317</v>
      </c>
      <c r="S221" s="8" t="s">
        <v>697</v>
      </c>
    </row>
    <row r="222" spans="1:19" ht="36.950000000000003" customHeight="1" x14ac:dyDescent="0.25">
      <c r="A222" s="8" t="s">
        <v>830</v>
      </c>
      <c r="B222" s="8" t="s">
        <v>3827</v>
      </c>
      <c r="C222" s="8" t="s">
        <v>3267</v>
      </c>
      <c r="D222" s="8" t="s">
        <v>65</v>
      </c>
      <c r="E222" s="11" t="s">
        <v>3131</v>
      </c>
      <c r="F222" s="8" t="s">
        <v>3734</v>
      </c>
      <c r="G222" s="8" t="s">
        <v>3270</v>
      </c>
      <c r="H222" s="15" t="s">
        <v>1685</v>
      </c>
      <c r="I222" s="8" t="s">
        <v>3271</v>
      </c>
      <c r="J222" s="8" t="s">
        <v>3735</v>
      </c>
      <c r="K222" s="8" t="s">
        <v>3803</v>
      </c>
      <c r="L222" s="8" t="s">
        <v>3828</v>
      </c>
      <c r="M222" s="8" t="s">
        <v>3805</v>
      </c>
      <c r="N222" s="8"/>
      <c r="O222" s="8"/>
      <c r="P222" s="8" t="s">
        <v>3738</v>
      </c>
      <c r="Q222" s="8" t="s">
        <v>3313</v>
      </c>
      <c r="R222" s="8" t="s">
        <v>3317</v>
      </c>
      <c r="S222" s="8" t="s">
        <v>830</v>
      </c>
    </row>
    <row r="223" spans="1:19" ht="36.950000000000003" customHeight="1" x14ac:dyDescent="0.25">
      <c r="A223" s="8" t="s">
        <v>523</v>
      </c>
      <c r="B223" s="8" t="s">
        <v>3829</v>
      </c>
      <c r="C223" s="8" t="s">
        <v>3267</v>
      </c>
      <c r="D223" s="8" t="s">
        <v>65</v>
      </c>
      <c r="E223" s="11" t="s">
        <v>2833</v>
      </c>
      <c r="F223" s="8" t="s">
        <v>3734</v>
      </c>
      <c r="G223" s="8" t="s">
        <v>3270</v>
      </c>
      <c r="H223" s="15" t="s">
        <v>1685</v>
      </c>
      <c r="I223" s="8" t="s">
        <v>3271</v>
      </c>
      <c r="J223" s="8" t="s">
        <v>3735</v>
      </c>
      <c r="K223" s="8" t="s">
        <v>3803</v>
      </c>
      <c r="L223" s="8" t="s">
        <v>3830</v>
      </c>
      <c r="M223" s="8" t="s">
        <v>3805</v>
      </c>
      <c r="N223" s="8"/>
      <c r="O223" s="8"/>
      <c r="P223" s="8" t="s">
        <v>3738</v>
      </c>
      <c r="Q223" s="8" t="s">
        <v>3313</v>
      </c>
      <c r="R223" s="8" t="s">
        <v>3317</v>
      </c>
      <c r="S223" s="8" t="s">
        <v>523</v>
      </c>
    </row>
    <row r="224" spans="1:19" ht="36.950000000000003" customHeight="1" x14ac:dyDescent="0.25">
      <c r="A224" s="8" t="s">
        <v>749</v>
      </c>
      <c r="B224" s="8" t="s">
        <v>3831</v>
      </c>
      <c r="C224" s="8" t="s">
        <v>3267</v>
      </c>
      <c r="D224" s="8" t="s">
        <v>65</v>
      </c>
      <c r="E224" s="11" t="s">
        <v>2911</v>
      </c>
      <c r="F224" s="8" t="s">
        <v>3734</v>
      </c>
      <c r="G224" s="8" t="s">
        <v>3270</v>
      </c>
      <c r="H224" s="15" t="s">
        <v>1685</v>
      </c>
      <c r="I224" s="8" t="s">
        <v>3271</v>
      </c>
      <c r="J224" s="8" t="s">
        <v>3735</v>
      </c>
      <c r="K224" s="8" t="s">
        <v>3803</v>
      </c>
      <c r="L224" s="8" t="s">
        <v>3832</v>
      </c>
      <c r="M224" s="8" t="s">
        <v>3805</v>
      </c>
      <c r="N224" s="8"/>
      <c r="O224" s="8"/>
      <c r="P224" s="8" t="s">
        <v>3306</v>
      </c>
      <c r="Q224" s="8" t="s">
        <v>3313</v>
      </c>
      <c r="R224" s="8" t="s">
        <v>3317</v>
      </c>
      <c r="S224" s="8" t="s">
        <v>749</v>
      </c>
    </row>
    <row r="225" spans="1:19" ht="36.950000000000003" customHeight="1" x14ac:dyDescent="0.25">
      <c r="A225" s="8" t="s">
        <v>538</v>
      </c>
      <c r="B225" s="8" t="s">
        <v>3833</v>
      </c>
      <c r="C225" s="8" t="s">
        <v>3267</v>
      </c>
      <c r="D225" s="8" t="s">
        <v>65</v>
      </c>
      <c r="E225" s="11" t="s">
        <v>2889</v>
      </c>
      <c r="F225" s="8" t="s">
        <v>3734</v>
      </c>
      <c r="G225" s="8" t="s">
        <v>3270</v>
      </c>
      <c r="H225" s="15" t="s">
        <v>1685</v>
      </c>
      <c r="I225" s="8" t="s">
        <v>3271</v>
      </c>
      <c r="J225" s="8" t="s">
        <v>3735</v>
      </c>
      <c r="K225" s="8" t="s">
        <v>3803</v>
      </c>
      <c r="L225" s="8" t="s">
        <v>3834</v>
      </c>
      <c r="M225" s="8" t="s">
        <v>3805</v>
      </c>
      <c r="N225" s="8"/>
      <c r="O225" s="8"/>
      <c r="P225" s="8" t="s">
        <v>3738</v>
      </c>
      <c r="Q225" s="8" t="s">
        <v>3313</v>
      </c>
      <c r="R225" s="8" t="s">
        <v>3317</v>
      </c>
      <c r="S225" s="8" t="s">
        <v>538</v>
      </c>
    </row>
    <row r="226" spans="1:19" ht="36.950000000000003" customHeight="1" x14ac:dyDescent="0.25">
      <c r="A226" s="8" t="s">
        <v>577</v>
      </c>
      <c r="B226" s="8" t="s">
        <v>3835</v>
      </c>
      <c r="C226" s="8" t="s">
        <v>3267</v>
      </c>
      <c r="D226" s="8" t="s">
        <v>65</v>
      </c>
      <c r="E226" s="11" t="s">
        <v>3010</v>
      </c>
      <c r="F226" s="8" t="s">
        <v>3734</v>
      </c>
      <c r="G226" s="8" t="s">
        <v>3270</v>
      </c>
      <c r="H226" s="15" t="s">
        <v>1685</v>
      </c>
      <c r="I226" s="8" t="s">
        <v>3271</v>
      </c>
      <c r="J226" s="8" t="s">
        <v>3735</v>
      </c>
      <c r="K226" s="8" t="s">
        <v>3803</v>
      </c>
      <c r="L226" s="8" t="s">
        <v>3836</v>
      </c>
      <c r="M226" s="8" t="s">
        <v>3805</v>
      </c>
      <c r="N226" s="8"/>
      <c r="O226" s="8"/>
      <c r="P226" s="8" t="s">
        <v>3738</v>
      </c>
      <c r="Q226" s="8" t="s">
        <v>3313</v>
      </c>
      <c r="R226" s="8" t="s">
        <v>3317</v>
      </c>
      <c r="S226" s="8" t="s">
        <v>577</v>
      </c>
    </row>
    <row r="227" spans="1:19" ht="36.950000000000003" customHeight="1" x14ac:dyDescent="0.25">
      <c r="A227" s="8" t="s">
        <v>1170</v>
      </c>
      <c r="B227" s="8" t="s">
        <v>3837</v>
      </c>
      <c r="C227" s="8" t="s">
        <v>3267</v>
      </c>
      <c r="D227" s="8" t="s">
        <v>65</v>
      </c>
      <c r="E227" s="11" t="s">
        <v>2822</v>
      </c>
      <c r="F227" s="8" t="s">
        <v>3734</v>
      </c>
      <c r="G227" s="8" t="s">
        <v>3270</v>
      </c>
      <c r="H227" s="15" t="s">
        <v>1685</v>
      </c>
      <c r="I227" s="8" t="s">
        <v>3271</v>
      </c>
      <c r="J227" s="8" t="s">
        <v>3735</v>
      </c>
      <c r="K227" s="8" t="s">
        <v>3803</v>
      </c>
      <c r="L227" s="8" t="s">
        <v>3838</v>
      </c>
      <c r="M227" s="8" t="s">
        <v>3805</v>
      </c>
      <c r="N227" s="8"/>
      <c r="O227" s="8"/>
      <c r="P227" s="8" t="s">
        <v>3738</v>
      </c>
      <c r="Q227" s="8" t="s">
        <v>3313</v>
      </c>
      <c r="R227" s="8" t="s">
        <v>3317</v>
      </c>
      <c r="S227" s="8" t="s">
        <v>1170</v>
      </c>
    </row>
    <row r="228" spans="1:19" ht="36.950000000000003" customHeight="1" x14ac:dyDescent="0.25">
      <c r="A228" s="8" t="s">
        <v>725</v>
      </c>
      <c r="B228" s="8" t="s">
        <v>3839</v>
      </c>
      <c r="C228" s="8" t="s">
        <v>3267</v>
      </c>
      <c r="D228" s="8" t="s">
        <v>3345</v>
      </c>
      <c r="E228" s="11" t="s">
        <v>3091</v>
      </c>
      <c r="F228" s="8" t="s">
        <v>3734</v>
      </c>
      <c r="G228" s="8" t="s">
        <v>3270</v>
      </c>
      <c r="H228" s="15" t="s">
        <v>1685</v>
      </c>
      <c r="I228" s="8" t="s">
        <v>3271</v>
      </c>
      <c r="J228" s="8" t="s">
        <v>3735</v>
      </c>
      <c r="K228" s="8" t="s">
        <v>3803</v>
      </c>
      <c r="L228" s="8" t="s">
        <v>3840</v>
      </c>
      <c r="M228" s="8" t="s">
        <v>3805</v>
      </c>
      <c r="N228" s="8"/>
      <c r="O228" s="8"/>
      <c r="P228" s="8" t="s">
        <v>3738</v>
      </c>
      <c r="Q228" s="8" t="s">
        <v>3313</v>
      </c>
      <c r="R228" s="8" t="s">
        <v>3317</v>
      </c>
      <c r="S228" s="8" t="s">
        <v>725</v>
      </c>
    </row>
    <row r="229" spans="1:19" ht="36.950000000000003" customHeight="1" x14ac:dyDescent="0.25">
      <c r="A229" s="8" t="s">
        <v>2163</v>
      </c>
      <c r="B229" s="8" t="s">
        <v>3841</v>
      </c>
      <c r="C229" s="8" t="s">
        <v>3267</v>
      </c>
      <c r="D229" s="8" t="s">
        <v>96</v>
      </c>
      <c r="E229" s="11" t="s">
        <v>3842</v>
      </c>
      <c r="F229" s="8" t="s">
        <v>3734</v>
      </c>
      <c r="G229" s="8" t="s">
        <v>3270</v>
      </c>
      <c r="H229" s="15" t="s">
        <v>1685</v>
      </c>
      <c r="I229" s="8" t="s">
        <v>3271</v>
      </c>
      <c r="J229" s="8" t="s">
        <v>3735</v>
      </c>
      <c r="K229" s="8" t="s">
        <v>3803</v>
      </c>
      <c r="L229" s="8" t="s">
        <v>3843</v>
      </c>
      <c r="M229" s="8" t="s">
        <v>3805</v>
      </c>
      <c r="N229" s="8"/>
      <c r="O229" s="8"/>
      <c r="P229" s="8" t="s">
        <v>3738</v>
      </c>
      <c r="Q229" s="8" t="s">
        <v>3313</v>
      </c>
      <c r="R229" s="8" t="s">
        <v>3317</v>
      </c>
      <c r="S229" s="8" t="s">
        <v>2163</v>
      </c>
    </row>
    <row r="230" spans="1:19" ht="36.950000000000003" customHeight="1" x14ac:dyDescent="0.25">
      <c r="A230" s="8" t="s">
        <v>2170</v>
      </c>
      <c r="B230" s="8" t="s">
        <v>3844</v>
      </c>
      <c r="C230" s="8" t="s">
        <v>3267</v>
      </c>
      <c r="D230" s="8" t="s">
        <v>96</v>
      </c>
      <c r="E230" s="11" t="s">
        <v>3845</v>
      </c>
      <c r="F230" s="8" t="s">
        <v>3734</v>
      </c>
      <c r="G230" s="8" t="s">
        <v>3270</v>
      </c>
      <c r="H230" s="15" t="s">
        <v>1685</v>
      </c>
      <c r="I230" s="8" t="s">
        <v>3271</v>
      </c>
      <c r="J230" s="8" t="s">
        <v>3735</v>
      </c>
      <c r="K230" s="8" t="s">
        <v>3803</v>
      </c>
      <c r="L230" s="8" t="s">
        <v>3846</v>
      </c>
      <c r="M230" s="8" t="s">
        <v>3805</v>
      </c>
      <c r="N230" s="8"/>
      <c r="O230" s="8"/>
      <c r="P230" s="8" t="s">
        <v>3738</v>
      </c>
      <c r="Q230" s="8" t="s">
        <v>3313</v>
      </c>
      <c r="R230" s="8" t="s">
        <v>3317</v>
      </c>
      <c r="S230" s="8" t="s">
        <v>2170</v>
      </c>
    </row>
    <row r="231" spans="1:19" ht="36.950000000000003" customHeight="1" x14ac:dyDescent="0.25">
      <c r="A231" s="8" t="s">
        <v>2176</v>
      </c>
      <c r="B231" s="8" t="s">
        <v>3847</v>
      </c>
      <c r="C231" s="8" t="s">
        <v>3267</v>
      </c>
      <c r="D231" s="8" t="s">
        <v>96</v>
      </c>
      <c r="E231" s="11" t="s">
        <v>3848</v>
      </c>
      <c r="F231" s="8" t="s">
        <v>3734</v>
      </c>
      <c r="G231" s="8" t="s">
        <v>3270</v>
      </c>
      <c r="H231" s="15" t="s">
        <v>1685</v>
      </c>
      <c r="I231" s="8" t="s">
        <v>3271</v>
      </c>
      <c r="J231" s="8" t="s">
        <v>3735</v>
      </c>
      <c r="K231" s="8" t="s">
        <v>3803</v>
      </c>
      <c r="L231" s="8" t="s">
        <v>3849</v>
      </c>
      <c r="M231" s="8" t="s">
        <v>3805</v>
      </c>
      <c r="N231" s="8"/>
      <c r="O231" s="8"/>
      <c r="P231" s="8" t="s">
        <v>3738</v>
      </c>
      <c r="Q231" s="8" t="s">
        <v>3313</v>
      </c>
      <c r="R231" s="8" t="s">
        <v>3317</v>
      </c>
      <c r="S231" s="8" t="s">
        <v>2176</v>
      </c>
    </row>
    <row r="232" spans="1:19" ht="51" customHeight="1" x14ac:dyDescent="0.25">
      <c r="A232" s="8" t="s">
        <v>2182</v>
      </c>
      <c r="B232" s="8" t="s">
        <v>3850</v>
      </c>
      <c r="C232" s="8" t="s">
        <v>3267</v>
      </c>
      <c r="D232" s="8" t="s">
        <v>96</v>
      </c>
      <c r="E232" s="11" t="s">
        <v>3851</v>
      </c>
      <c r="F232" s="8" t="s">
        <v>3734</v>
      </c>
      <c r="G232" s="8" t="s">
        <v>3270</v>
      </c>
      <c r="H232" s="15" t="s">
        <v>1685</v>
      </c>
      <c r="I232" s="8" t="s">
        <v>3271</v>
      </c>
      <c r="J232" s="8" t="s">
        <v>3735</v>
      </c>
      <c r="K232" s="8" t="s">
        <v>3803</v>
      </c>
      <c r="L232" s="8" t="s">
        <v>3852</v>
      </c>
      <c r="M232" s="8" t="s">
        <v>3805</v>
      </c>
      <c r="N232" s="8"/>
      <c r="O232" s="8"/>
      <c r="P232" s="8" t="s">
        <v>3738</v>
      </c>
      <c r="Q232" s="8" t="s">
        <v>3313</v>
      </c>
      <c r="R232" s="8" t="s">
        <v>3317</v>
      </c>
      <c r="S232" s="8" t="s">
        <v>2182</v>
      </c>
    </row>
    <row r="233" spans="1:19" ht="36.950000000000003" customHeight="1" x14ac:dyDescent="0.25">
      <c r="A233" s="8" t="s">
        <v>2189</v>
      </c>
      <c r="B233" s="8" t="s">
        <v>3853</v>
      </c>
      <c r="C233" s="8" t="s">
        <v>3267</v>
      </c>
      <c r="D233" s="8" t="s">
        <v>96</v>
      </c>
      <c r="E233" s="11" t="s">
        <v>3854</v>
      </c>
      <c r="F233" s="8" t="s">
        <v>3734</v>
      </c>
      <c r="G233" s="8" t="s">
        <v>3270</v>
      </c>
      <c r="H233" s="15" t="s">
        <v>1685</v>
      </c>
      <c r="I233" s="8" t="s">
        <v>3271</v>
      </c>
      <c r="J233" s="8" t="s">
        <v>3735</v>
      </c>
      <c r="K233" s="8" t="s">
        <v>3803</v>
      </c>
      <c r="L233" s="8" t="s">
        <v>3855</v>
      </c>
      <c r="M233" s="8" t="s">
        <v>3805</v>
      </c>
      <c r="N233" s="8"/>
      <c r="O233" s="8"/>
      <c r="P233" s="8" t="s">
        <v>3738</v>
      </c>
      <c r="Q233" s="8" t="s">
        <v>3313</v>
      </c>
      <c r="R233" s="8" t="s">
        <v>3317</v>
      </c>
      <c r="S233" s="8" t="s">
        <v>2189</v>
      </c>
    </row>
    <row r="234" spans="1:19" ht="36.950000000000003" customHeight="1" x14ac:dyDescent="0.25">
      <c r="A234" s="8" t="s">
        <v>3856</v>
      </c>
      <c r="B234" s="8" t="s">
        <v>3857</v>
      </c>
      <c r="C234" s="8" t="s">
        <v>3267</v>
      </c>
      <c r="D234" s="8" t="s">
        <v>65</v>
      </c>
      <c r="E234" s="11" t="s">
        <v>3858</v>
      </c>
      <c r="F234" s="8" t="s">
        <v>3734</v>
      </c>
      <c r="G234" s="8" t="s">
        <v>3270</v>
      </c>
      <c r="H234" s="15" t="s">
        <v>1685</v>
      </c>
      <c r="I234" s="8" t="s">
        <v>3271</v>
      </c>
      <c r="J234" s="8" t="s">
        <v>3735</v>
      </c>
      <c r="K234" s="8" t="s">
        <v>3803</v>
      </c>
      <c r="L234" s="8" t="s">
        <v>3859</v>
      </c>
      <c r="M234" s="8" t="s">
        <v>3805</v>
      </c>
      <c r="N234" s="8"/>
      <c r="O234" s="8"/>
      <c r="P234" s="8" t="s">
        <v>3798</v>
      </c>
      <c r="Q234" s="8" t="s">
        <v>3313</v>
      </c>
      <c r="R234" s="8" t="s">
        <v>3317</v>
      </c>
      <c r="S234" s="8" t="s">
        <v>3856</v>
      </c>
    </row>
    <row r="235" spans="1:19" ht="51" customHeight="1" x14ac:dyDescent="0.25">
      <c r="A235" s="8" t="s">
        <v>3860</v>
      </c>
      <c r="B235" s="8" t="s">
        <v>3861</v>
      </c>
      <c r="C235" s="8" t="s">
        <v>3267</v>
      </c>
      <c r="D235" s="8" t="s">
        <v>65</v>
      </c>
      <c r="E235" s="11" t="s">
        <v>3862</v>
      </c>
      <c r="F235" s="8" t="s">
        <v>3734</v>
      </c>
      <c r="G235" s="8" t="s">
        <v>3270</v>
      </c>
      <c r="H235" s="15" t="s">
        <v>1685</v>
      </c>
      <c r="I235" s="8" t="s">
        <v>3271</v>
      </c>
      <c r="J235" s="8" t="s">
        <v>3735</v>
      </c>
      <c r="K235" s="8" t="s">
        <v>3803</v>
      </c>
      <c r="L235" s="8" t="s">
        <v>3863</v>
      </c>
      <c r="M235" s="8" t="s">
        <v>3805</v>
      </c>
      <c r="N235" s="8"/>
      <c r="O235" s="8"/>
      <c r="P235" s="8" t="s">
        <v>3306</v>
      </c>
      <c r="Q235" s="8" t="s">
        <v>3313</v>
      </c>
      <c r="R235" s="8" t="s">
        <v>3317</v>
      </c>
      <c r="S235" s="8" t="s">
        <v>3860</v>
      </c>
    </row>
    <row r="236" spans="1:19" ht="36.950000000000003" customHeight="1" x14ac:dyDescent="0.25">
      <c r="A236" s="8" t="s">
        <v>1014</v>
      </c>
      <c r="B236" s="8" t="s">
        <v>3864</v>
      </c>
      <c r="C236" s="8" t="s">
        <v>3865</v>
      </c>
      <c r="D236" s="8" t="s">
        <v>3345</v>
      </c>
      <c r="E236" s="11" t="s">
        <v>3866</v>
      </c>
      <c r="F236" s="8" t="s">
        <v>3734</v>
      </c>
      <c r="G236" s="8" t="s">
        <v>3270</v>
      </c>
      <c r="H236" s="15" t="s">
        <v>1685</v>
      </c>
      <c r="I236" s="8" t="s">
        <v>3271</v>
      </c>
      <c r="J236" s="8" t="s">
        <v>3867</v>
      </c>
      <c r="K236" s="8" t="s">
        <v>3273</v>
      </c>
      <c r="L236" s="8" t="s">
        <v>3868</v>
      </c>
      <c r="M236" s="8" t="s">
        <v>3455</v>
      </c>
      <c r="N236" s="8"/>
      <c r="O236" s="8"/>
      <c r="P236" s="8" t="s">
        <v>3456</v>
      </c>
      <c r="Q236" s="8" t="s">
        <v>3313</v>
      </c>
      <c r="R236" s="8" t="s">
        <v>3458</v>
      </c>
      <c r="S236" s="8" t="s">
        <v>1014</v>
      </c>
    </row>
    <row r="237" spans="1:19" ht="51" customHeight="1" x14ac:dyDescent="0.25">
      <c r="A237" s="8" t="s">
        <v>350</v>
      </c>
      <c r="B237" s="8" t="s">
        <v>3869</v>
      </c>
      <c r="C237" s="8" t="s">
        <v>3865</v>
      </c>
      <c r="D237" s="8" t="s">
        <v>3345</v>
      </c>
      <c r="E237" s="11" t="s">
        <v>3870</v>
      </c>
      <c r="F237" s="8" t="s">
        <v>3734</v>
      </c>
      <c r="G237" s="8" t="s">
        <v>3270</v>
      </c>
      <c r="H237" s="15" t="s">
        <v>1685</v>
      </c>
      <c r="I237" s="8" t="s">
        <v>3271</v>
      </c>
      <c r="J237" s="8" t="s">
        <v>3867</v>
      </c>
      <c r="K237" s="8" t="s">
        <v>3273</v>
      </c>
      <c r="L237" s="8" t="s">
        <v>3871</v>
      </c>
      <c r="M237" s="8" t="s">
        <v>3455</v>
      </c>
      <c r="N237" s="8"/>
      <c r="O237" s="8"/>
      <c r="P237" s="8" t="s">
        <v>3456</v>
      </c>
      <c r="Q237" s="8" t="s">
        <v>3313</v>
      </c>
      <c r="R237" s="8" t="s">
        <v>3458</v>
      </c>
      <c r="S237" s="8" t="s">
        <v>350</v>
      </c>
    </row>
    <row r="238" spans="1:19" ht="51" customHeight="1" x14ac:dyDescent="0.25">
      <c r="A238" s="8" t="s">
        <v>3872</v>
      </c>
      <c r="B238" s="8" t="s">
        <v>3873</v>
      </c>
      <c r="C238" s="8" t="s">
        <v>3865</v>
      </c>
      <c r="D238" s="8" t="s">
        <v>3345</v>
      </c>
      <c r="E238" s="11" t="s">
        <v>3874</v>
      </c>
      <c r="F238" s="8" t="s">
        <v>3734</v>
      </c>
      <c r="G238" s="8" t="s">
        <v>3270</v>
      </c>
      <c r="H238" s="15" t="s">
        <v>1685</v>
      </c>
      <c r="I238" s="8" t="s">
        <v>3271</v>
      </c>
      <c r="J238" s="8" t="s">
        <v>3867</v>
      </c>
      <c r="K238" s="8" t="s">
        <v>3273</v>
      </c>
      <c r="L238" s="8" t="s">
        <v>3875</v>
      </c>
      <c r="M238" s="8" t="s">
        <v>3455</v>
      </c>
      <c r="N238" s="8"/>
      <c r="O238" s="8"/>
      <c r="P238" s="8" t="s">
        <v>3456</v>
      </c>
      <c r="Q238" s="8" t="s">
        <v>3313</v>
      </c>
      <c r="R238" s="8" t="s">
        <v>3458</v>
      </c>
      <c r="S238" s="8" t="s">
        <v>3872</v>
      </c>
    </row>
    <row r="239" spans="1:19" ht="36.950000000000003" customHeight="1" x14ac:dyDescent="0.25">
      <c r="A239" s="8" t="s">
        <v>1001</v>
      </c>
      <c r="B239" s="8" t="s">
        <v>3876</v>
      </c>
      <c r="C239" s="8" t="s">
        <v>3865</v>
      </c>
      <c r="D239" s="8" t="s">
        <v>3345</v>
      </c>
      <c r="E239" s="11" t="s">
        <v>3877</v>
      </c>
      <c r="F239" s="8" t="s">
        <v>3734</v>
      </c>
      <c r="G239" s="8" t="s">
        <v>3270</v>
      </c>
      <c r="H239" s="15" t="s">
        <v>1685</v>
      </c>
      <c r="I239" s="8" t="s">
        <v>3271</v>
      </c>
      <c r="J239" s="8" t="s">
        <v>3867</v>
      </c>
      <c r="K239" s="8" t="s">
        <v>3273</v>
      </c>
      <c r="L239" s="8" t="s">
        <v>3878</v>
      </c>
      <c r="M239" s="8" t="s">
        <v>3455</v>
      </c>
      <c r="N239" s="8"/>
      <c r="O239" s="8"/>
      <c r="P239" s="8" t="s">
        <v>3456</v>
      </c>
      <c r="Q239" s="8" t="s">
        <v>3313</v>
      </c>
      <c r="R239" s="8" t="s">
        <v>3458</v>
      </c>
      <c r="S239" s="8" t="s">
        <v>1001</v>
      </c>
    </row>
    <row r="240" spans="1:19" ht="51" customHeight="1" x14ac:dyDescent="0.25">
      <c r="A240" s="8" t="s">
        <v>562</v>
      </c>
      <c r="B240" s="8" t="s">
        <v>3879</v>
      </c>
      <c r="C240" s="8" t="s">
        <v>3865</v>
      </c>
      <c r="D240" s="8" t="s">
        <v>3345</v>
      </c>
      <c r="E240" s="11" t="s">
        <v>3880</v>
      </c>
      <c r="F240" s="8" t="s">
        <v>3734</v>
      </c>
      <c r="G240" s="8" t="s">
        <v>3270</v>
      </c>
      <c r="H240" s="15" t="s">
        <v>1685</v>
      </c>
      <c r="I240" s="8" t="s">
        <v>3271</v>
      </c>
      <c r="J240" s="8" t="s">
        <v>3867</v>
      </c>
      <c r="K240" s="8" t="s">
        <v>3273</v>
      </c>
      <c r="L240" s="8" t="s">
        <v>3881</v>
      </c>
      <c r="M240" s="8" t="s">
        <v>3455</v>
      </c>
      <c r="N240" s="8"/>
      <c r="O240" s="8"/>
      <c r="P240" s="8" t="s">
        <v>3882</v>
      </c>
      <c r="Q240" s="8" t="s">
        <v>3313</v>
      </c>
      <c r="R240" s="8" t="s">
        <v>3458</v>
      </c>
      <c r="S240" s="8" t="s">
        <v>562</v>
      </c>
    </row>
    <row r="241" spans="1:19" ht="51" customHeight="1" x14ac:dyDescent="0.25">
      <c r="A241" s="8" t="s">
        <v>3883</v>
      </c>
      <c r="B241" s="8" t="s">
        <v>3884</v>
      </c>
      <c r="C241" s="8" t="s">
        <v>3865</v>
      </c>
      <c r="D241" s="8" t="s">
        <v>3345</v>
      </c>
      <c r="E241" s="11" t="s">
        <v>3885</v>
      </c>
      <c r="F241" s="8" t="s">
        <v>3734</v>
      </c>
      <c r="G241" s="8" t="s">
        <v>3270</v>
      </c>
      <c r="H241" s="15" t="s">
        <v>1685</v>
      </c>
      <c r="I241" s="8" t="s">
        <v>3271</v>
      </c>
      <c r="J241" s="8" t="s">
        <v>3867</v>
      </c>
      <c r="K241" s="8" t="s">
        <v>3273</v>
      </c>
      <c r="L241" s="8" t="s">
        <v>3886</v>
      </c>
      <c r="M241" s="8" t="s">
        <v>3455</v>
      </c>
      <c r="N241" s="8"/>
      <c r="O241" s="8"/>
      <c r="P241" s="8" t="s">
        <v>3456</v>
      </c>
      <c r="Q241" s="8" t="s">
        <v>3313</v>
      </c>
      <c r="R241" s="8" t="s">
        <v>3458</v>
      </c>
      <c r="S241" s="8" t="s">
        <v>3883</v>
      </c>
    </row>
    <row r="242" spans="1:19" ht="51" customHeight="1" x14ac:dyDescent="0.25">
      <c r="A242" s="8" t="s">
        <v>759</v>
      </c>
      <c r="B242" s="8" t="s">
        <v>3887</v>
      </c>
      <c r="C242" s="8" t="s">
        <v>3865</v>
      </c>
      <c r="D242" s="8" t="s">
        <v>3345</v>
      </c>
      <c r="E242" s="11" t="s">
        <v>3888</v>
      </c>
      <c r="F242" s="8" t="s">
        <v>3734</v>
      </c>
      <c r="G242" s="8" t="s">
        <v>3270</v>
      </c>
      <c r="H242" s="15" t="s">
        <v>1685</v>
      </c>
      <c r="I242" s="8" t="s">
        <v>3271</v>
      </c>
      <c r="J242" s="8" t="s">
        <v>3867</v>
      </c>
      <c r="K242" s="8" t="s">
        <v>3273</v>
      </c>
      <c r="L242" s="8" t="s">
        <v>3889</v>
      </c>
      <c r="M242" s="8" t="s">
        <v>3455</v>
      </c>
      <c r="N242" s="8"/>
      <c r="O242" s="8"/>
      <c r="P242" s="8" t="s">
        <v>3456</v>
      </c>
      <c r="Q242" s="8" t="s">
        <v>3313</v>
      </c>
      <c r="R242" s="8" t="s">
        <v>3458</v>
      </c>
      <c r="S242" s="8" t="s">
        <v>759</v>
      </c>
    </row>
    <row r="243" spans="1:19" ht="36.950000000000003" customHeight="1" x14ac:dyDescent="0.25">
      <c r="A243" s="8" t="s">
        <v>3890</v>
      </c>
      <c r="B243" s="8" t="s">
        <v>3891</v>
      </c>
      <c r="C243" s="8" t="s">
        <v>3892</v>
      </c>
      <c r="D243" s="8" t="s">
        <v>3795</v>
      </c>
      <c r="E243" s="11" t="s">
        <v>3893</v>
      </c>
      <c r="F243" s="8" t="s">
        <v>3734</v>
      </c>
      <c r="G243" s="8" t="s">
        <v>3270</v>
      </c>
      <c r="H243" s="15" t="s">
        <v>1685</v>
      </c>
      <c r="I243" s="8" t="s">
        <v>3271</v>
      </c>
      <c r="J243" s="8" t="s">
        <v>3867</v>
      </c>
      <c r="K243" s="8" t="s">
        <v>3273</v>
      </c>
      <c r="L243" s="8" t="s">
        <v>3894</v>
      </c>
      <c r="M243" s="8" t="s">
        <v>3455</v>
      </c>
      <c r="N243" s="8"/>
      <c r="O243" s="8"/>
      <c r="P243" s="8" t="s">
        <v>3895</v>
      </c>
      <c r="Q243" s="8" t="s">
        <v>3313</v>
      </c>
      <c r="R243" s="8" t="s">
        <v>3458</v>
      </c>
      <c r="S243" s="8" t="s">
        <v>3890</v>
      </c>
    </row>
    <row r="244" spans="1:19" ht="51" customHeight="1" x14ac:dyDescent="0.25">
      <c r="A244" s="8" t="s">
        <v>2202</v>
      </c>
      <c r="B244" s="8" t="s">
        <v>3896</v>
      </c>
      <c r="C244" s="8" t="s">
        <v>1791</v>
      </c>
      <c r="D244" s="8" t="s">
        <v>96</v>
      </c>
      <c r="E244" s="11" t="s">
        <v>3897</v>
      </c>
      <c r="F244" s="8" t="s">
        <v>3734</v>
      </c>
      <c r="G244" s="8" t="s">
        <v>3270</v>
      </c>
      <c r="H244" s="15" t="s">
        <v>1685</v>
      </c>
      <c r="I244" s="8" t="s">
        <v>3271</v>
      </c>
      <c r="J244" s="8" t="s">
        <v>3867</v>
      </c>
      <c r="K244" s="8" t="s">
        <v>3273</v>
      </c>
      <c r="L244" s="8" t="s">
        <v>3898</v>
      </c>
      <c r="M244" s="8" t="s">
        <v>3455</v>
      </c>
      <c r="N244" s="8"/>
      <c r="O244" s="8"/>
      <c r="P244" s="8" t="s">
        <v>3899</v>
      </c>
      <c r="Q244" s="8" t="s">
        <v>3313</v>
      </c>
      <c r="R244" s="8" t="s">
        <v>3458</v>
      </c>
      <c r="S244" s="8" t="s">
        <v>2202</v>
      </c>
    </row>
    <row r="245" spans="1:19" ht="51" customHeight="1" x14ac:dyDescent="0.25">
      <c r="A245" s="8" t="s">
        <v>1776</v>
      </c>
      <c r="B245" s="8" t="s">
        <v>3900</v>
      </c>
      <c r="C245" s="8" t="s">
        <v>3892</v>
      </c>
      <c r="D245" s="8" t="s">
        <v>91</v>
      </c>
      <c r="E245" s="11" t="s">
        <v>3901</v>
      </c>
      <c r="F245" s="8" t="s">
        <v>3734</v>
      </c>
      <c r="G245" s="13" t="s">
        <v>3902</v>
      </c>
      <c r="H245" s="15" t="s">
        <v>1685</v>
      </c>
      <c r="I245" s="8" t="s">
        <v>3271</v>
      </c>
      <c r="J245" s="8" t="s">
        <v>3867</v>
      </c>
      <c r="K245" s="8" t="s">
        <v>3273</v>
      </c>
      <c r="L245" s="8" t="s">
        <v>3903</v>
      </c>
      <c r="M245" s="8" t="s">
        <v>3455</v>
      </c>
      <c r="N245" s="8"/>
      <c r="O245" s="8"/>
      <c r="P245" s="8" t="s">
        <v>3904</v>
      </c>
      <c r="Q245" s="8" t="s">
        <v>3682</v>
      </c>
      <c r="R245" s="8" t="s">
        <v>3905</v>
      </c>
      <c r="S245" s="8" t="s">
        <v>1776</v>
      </c>
    </row>
    <row r="246" spans="1:19" ht="51" customHeight="1" x14ac:dyDescent="0.25">
      <c r="A246" s="8" t="s">
        <v>3906</v>
      </c>
      <c r="B246" s="8" t="s">
        <v>3907</v>
      </c>
      <c r="C246" s="8" t="s">
        <v>3865</v>
      </c>
      <c r="D246" s="8" t="s">
        <v>3532</v>
      </c>
      <c r="E246" s="11" t="s">
        <v>3908</v>
      </c>
      <c r="F246" s="8" t="s">
        <v>3734</v>
      </c>
      <c r="G246" s="8" t="s">
        <v>3270</v>
      </c>
      <c r="H246" s="15" t="s">
        <v>1685</v>
      </c>
      <c r="I246" s="8" t="s">
        <v>3271</v>
      </c>
      <c r="J246" s="8" t="s">
        <v>3867</v>
      </c>
      <c r="K246" s="8" t="s">
        <v>3273</v>
      </c>
      <c r="L246" s="8" t="s">
        <v>3909</v>
      </c>
      <c r="M246" s="8" t="s">
        <v>3455</v>
      </c>
      <c r="N246" s="8"/>
      <c r="O246" s="8"/>
      <c r="P246" s="8" t="s">
        <v>3910</v>
      </c>
      <c r="Q246" s="8" t="s">
        <v>3313</v>
      </c>
      <c r="R246" s="8" t="s">
        <v>3458</v>
      </c>
      <c r="S246" s="8" t="s">
        <v>3906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8354A"/>
    <outlinePr summaryBelow="0" summaryRight="0"/>
    <pageSetUpPr fitToPage="1"/>
  </sheetPr>
  <dimension ref="A1:Q35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32" customWidth="1"/>
    <col min="3" max="3" width="29" customWidth="1"/>
    <col min="4" max="5" width="27" customWidth="1"/>
    <col min="6" max="12" width="32" customWidth="1"/>
    <col min="13" max="13" width="29" customWidth="1"/>
    <col min="14" max="14" width="52" customWidth="1"/>
    <col min="15" max="15" width="27" customWidth="1"/>
    <col min="16" max="16" width="29" customWidth="1"/>
    <col min="17" max="17" width="61" customWidth="1"/>
  </cols>
  <sheetData>
    <row r="1" spans="1:17" ht="42.95" customHeight="1" x14ac:dyDescent="0.25">
      <c r="A1" s="7" t="s">
        <v>3911</v>
      </c>
      <c r="B1" s="7" t="s">
        <v>3912</v>
      </c>
      <c r="C1" s="7" t="s">
        <v>3913</v>
      </c>
      <c r="D1" s="7" t="s">
        <v>3914</v>
      </c>
      <c r="E1" s="7" t="s">
        <v>3915</v>
      </c>
      <c r="F1" s="7" t="s">
        <v>331</v>
      </c>
      <c r="G1" s="7" t="s">
        <v>332</v>
      </c>
      <c r="H1" s="7" t="s">
        <v>333</v>
      </c>
      <c r="I1" s="7" t="s">
        <v>3916</v>
      </c>
      <c r="J1" s="7" t="s">
        <v>3917</v>
      </c>
      <c r="K1" s="7" t="s">
        <v>3918</v>
      </c>
      <c r="L1" s="7" t="s">
        <v>3919</v>
      </c>
      <c r="M1" s="7" t="s">
        <v>335</v>
      </c>
      <c r="N1" s="7" t="s">
        <v>3920</v>
      </c>
      <c r="O1" s="7" t="s">
        <v>3921</v>
      </c>
      <c r="P1" s="7" t="s">
        <v>3922</v>
      </c>
      <c r="Q1" s="7" t="s">
        <v>3923</v>
      </c>
    </row>
    <row r="2" spans="1:17" ht="65.099999999999994" customHeight="1" x14ac:dyDescent="0.25">
      <c r="A2" s="8" t="s">
        <v>3924</v>
      </c>
      <c r="B2" s="8" t="s">
        <v>847</v>
      </c>
      <c r="C2" s="8" t="s">
        <v>3925</v>
      </c>
      <c r="D2" s="8" t="s">
        <v>3926</v>
      </c>
      <c r="E2" s="8" t="s">
        <v>3927</v>
      </c>
      <c r="F2" s="8" t="s">
        <v>476</v>
      </c>
      <c r="G2" s="8" t="s">
        <v>644</v>
      </c>
      <c r="H2" s="8" t="s">
        <v>513</v>
      </c>
      <c r="I2" s="8" t="s">
        <v>3928</v>
      </c>
      <c r="J2" s="8" t="s">
        <v>3929</v>
      </c>
      <c r="K2" s="13" t="s">
        <v>372</v>
      </c>
      <c r="L2" s="8" t="s">
        <v>3930</v>
      </c>
      <c r="M2" s="8" t="s">
        <v>3343</v>
      </c>
      <c r="N2" s="11" t="s">
        <v>3931</v>
      </c>
      <c r="O2" s="15" t="s">
        <v>1685</v>
      </c>
      <c r="P2" s="8" t="s">
        <v>3932</v>
      </c>
      <c r="Q2" s="8" t="s">
        <v>3933</v>
      </c>
    </row>
    <row r="3" spans="1:17" ht="65.099999999999994" customHeight="1" x14ac:dyDescent="0.25">
      <c r="A3" s="8" t="s">
        <v>3934</v>
      </c>
      <c r="B3" s="8" t="s">
        <v>642</v>
      </c>
      <c r="C3" s="8" t="s">
        <v>3935</v>
      </c>
      <c r="D3" s="8" t="s">
        <v>3936</v>
      </c>
      <c r="E3" s="8" t="s">
        <v>3927</v>
      </c>
      <c r="F3" s="8" t="s">
        <v>476</v>
      </c>
      <c r="G3" s="8" t="s">
        <v>644</v>
      </c>
      <c r="H3" s="8" t="s">
        <v>3937</v>
      </c>
      <c r="I3" s="8" t="s">
        <v>3938</v>
      </c>
      <c r="J3" s="8" t="s">
        <v>3929</v>
      </c>
      <c r="K3" s="13" t="s">
        <v>372</v>
      </c>
      <c r="L3" s="8" t="s">
        <v>3930</v>
      </c>
      <c r="M3" s="8" t="s">
        <v>3788</v>
      </c>
      <c r="N3" s="11" t="s">
        <v>3790</v>
      </c>
      <c r="O3" s="15" t="s">
        <v>1685</v>
      </c>
      <c r="P3" s="8" t="s">
        <v>3932</v>
      </c>
      <c r="Q3" s="8" t="s">
        <v>3939</v>
      </c>
    </row>
    <row r="4" spans="1:17" ht="36.950000000000003" customHeight="1" x14ac:dyDescent="0.25">
      <c r="A4" s="8" t="s">
        <v>3940</v>
      </c>
      <c r="B4" s="8" t="s">
        <v>475</v>
      </c>
      <c r="C4" s="8" t="s">
        <v>3941</v>
      </c>
      <c r="D4" s="8" t="s">
        <v>3942</v>
      </c>
      <c r="E4" s="8" t="s">
        <v>3927</v>
      </c>
      <c r="F4" s="8" t="s">
        <v>476</v>
      </c>
      <c r="G4" s="8" t="s">
        <v>3943</v>
      </c>
      <c r="H4" s="8" t="s">
        <v>478</v>
      </c>
      <c r="I4" s="13" t="s">
        <v>372</v>
      </c>
      <c r="J4" s="8" t="s">
        <v>3944</v>
      </c>
      <c r="K4" s="13" t="s">
        <v>372</v>
      </c>
      <c r="L4" s="8" t="s">
        <v>3930</v>
      </c>
      <c r="M4" s="8" t="s">
        <v>480</v>
      </c>
      <c r="N4" s="11" t="s">
        <v>3319</v>
      </c>
      <c r="O4" s="15" t="s">
        <v>1685</v>
      </c>
      <c r="P4" s="8" t="s">
        <v>3932</v>
      </c>
      <c r="Q4" s="8" t="s">
        <v>3945</v>
      </c>
    </row>
    <row r="5" spans="1:17" ht="36.950000000000003" customHeight="1" x14ac:dyDescent="0.25">
      <c r="A5" s="8" t="s">
        <v>3946</v>
      </c>
      <c r="B5" s="8" t="s">
        <v>587</v>
      </c>
      <c r="C5" s="8"/>
      <c r="D5" s="8"/>
      <c r="E5" s="8" t="s">
        <v>3947</v>
      </c>
      <c r="F5" s="8" t="s">
        <v>588</v>
      </c>
      <c r="G5" s="8" t="s">
        <v>3948</v>
      </c>
      <c r="H5" s="8" t="s">
        <v>980</v>
      </c>
      <c r="I5" s="13" t="s">
        <v>372</v>
      </c>
      <c r="J5" s="13" t="s">
        <v>372</v>
      </c>
      <c r="K5" s="13" t="s">
        <v>372</v>
      </c>
      <c r="L5" s="8" t="s">
        <v>3949</v>
      </c>
      <c r="M5" s="8" t="s">
        <v>591</v>
      </c>
      <c r="N5" s="11" t="s">
        <v>3308</v>
      </c>
      <c r="O5" s="15" t="s">
        <v>1685</v>
      </c>
      <c r="P5" s="8" t="s">
        <v>3932</v>
      </c>
      <c r="Q5" s="8" t="s">
        <v>3950</v>
      </c>
    </row>
    <row r="6" spans="1:17" ht="36.950000000000003" customHeight="1" x14ac:dyDescent="0.25">
      <c r="A6" s="8" t="s">
        <v>3951</v>
      </c>
      <c r="B6" s="8" t="s">
        <v>957</v>
      </c>
      <c r="C6" s="8"/>
      <c r="D6" s="8"/>
      <c r="E6" s="8" t="s">
        <v>3947</v>
      </c>
      <c r="F6" s="8" t="s">
        <v>959</v>
      </c>
      <c r="G6" s="8" t="s">
        <v>960</v>
      </c>
      <c r="H6" s="8" t="s">
        <v>543</v>
      </c>
      <c r="I6" s="13" t="s">
        <v>372</v>
      </c>
      <c r="J6" s="13" t="s">
        <v>372</v>
      </c>
      <c r="K6" s="13" t="s">
        <v>372</v>
      </c>
      <c r="L6" s="8" t="s">
        <v>3930</v>
      </c>
      <c r="M6" s="8" t="s">
        <v>962</v>
      </c>
      <c r="N6" s="11" t="s">
        <v>3494</v>
      </c>
      <c r="O6" s="15" t="s">
        <v>1685</v>
      </c>
      <c r="P6" s="8" t="s">
        <v>3932</v>
      </c>
      <c r="Q6" s="8" t="s">
        <v>3950</v>
      </c>
    </row>
    <row r="7" spans="1:17" ht="36.950000000000003" customHeight="1" x14ac:dyDescent="0.25">
      <c r="A7" s="8" t="s">
        <v>3952</v>
      </c>
      <c r="B7" s="8" t="s">
        <v>599</v>
      </c>
      <c r="C7" s="8"/>
      <c r="D7" s="8"/>
      <c r="E7" s="8" t="s">
        <v>3947</v>
      </c>
      <c r="F7" s="8" t="s">
        <v>601</v>
      </c>
      <c r="G7" s="8" t="s">
        <v>602</v>
      </c>
      <c r="H7" s="8" t="s">
        <v>603</v>
      </c>
      <c r="I7" s="13" t="s">
        <v>372</v>
      </c>
      <c r="J7" s="13" t="s">
        <v>372</v>
      </c>
      <c r="K7" s="13" t="s">
        <v>372</v>
      </c>
      <c r="L7" s="8" t="s">
        <v>3930</v>
      </c>
      <c r="M7" s="8" t="s">
        <v>605</v>
      </c>
      <c r="N7" s="11" t="s">
        <v>3786</v>
      </c>
      <c r="O7" s="15" t="s">
        <v>1685</v>
      </c>
      <c r="P7" s="8" t="s">
        <v>3932</v>
      </c>
      <c r="Q7" s="8" t="s">
        <v>3950</v>
      </c>
    </row>
    <row r="8" spans="1:17" ht="36.950000000000003" customHeight="1" x14ac:dyDescent="0.25">
      <c r="A8" s="8" t="s">
        <v>3953</v>
      </c>
      <c r="B8" s="8" t="s">
        <v>898</v>
      </c>
      <c r="C8" s="8"/>
      <c r="D8" s="8"/>
      <c r="E8" s="8" t="s">
        <v>3947</v>
      </c>
      <c r="F8" s="8" t="s">
        <v>900</v>
      </c>
      <c r="G8" s="8" t="s">
        <v>901</v>
      </c>
      <c r="H8" s="8" t="s">
        <v>543</v>
      </c>
      <c r="I8" s="13" t="s">
        <v>372</v>
      </c>
      <c r="J8" s="13" t="s">
        <v>372</v>
      </c>
      <c r="K8" s="13" t="s">
        <v>372</v>
      </c>
      <c r="L8" s="8" t="s">
        <v>3930</v>
      </c>
      <c r="M8" s="8" t="s">
        <v>903</v>
      </c>
      <c r="N8" s="11" t="s">
        <v>3195</v>
      </c>
      <c r="O8" s="15" t="s">
        <v>1685</v>
      </c>
      <c r="P8" s="8" t="s">
        <v>3932</v>
      </c>
      <c r="Q8" s="8" t="s">
        <v>3950</v>
      </c>
    </row>
    <row r="9" spans="1:17" ht="51" customHeight="1" x14ac:dyDescent="0.25">
      <c r="A9" s="8" t="s">
        <v>3954</v>
      </c>
      <c r="B9" s="8" t="s">
        <v>976</v>
      </c>
      <c r="C9" s="8"/>
      <c r="D9" s="8"/>
      <c r="E9" s="8" t="s">
        <v>3947</v>
      </c>
      <c r="F9" s="8" t="s">
        <v>3955</v>
      </c>
      <c r="G9" s="8" t="s">
        <v>3956</v>
      </c>
      <c r="H9" s="8" t="s">
        <v>543</v>
      </c>
      <c r="I9" s="13" t="s">
        <v>372</v>
      </c>
      <c r="J9" s="13" t="s">
        <v>372</v>
      </c>
      <c r="K9" s="13" t="s">
        <v>372</v>
      </c>
      <c r="L9" s="8" t="s">
        <v>3930</v>
      </c>
      <c r="M9" s="8" t="s">
        <v>3766</v>
      </c>
      <c r="N9" s="11" t="s">
        <v>3768</v>
      </c>
      <c r="O9" s="15" t="s">
        <v>1685</v>
      </c>
      <c r="P9" s="8" t="s">
        <v>3932</v>
      </c>
      <c r="Q9" s="8" t="s">
        <v>3950</v>
      </c>
    </row>
    <row r="10" spans="1:17" ht="51" customHeight="1" x14ac:dyDescent="0.25">
      <c r="A10" s="8" t="s">
        <v>3957</v>
      </c>
      <c r="B10" s="8" t="s">
        <v>881</v>
      </c>
      <c r="C10" s="8"/>
      <c r="D10" s="8"/>
      <c r="E10" s="8" t="s">
        <v>3947</v>
      </c>
      <c r="F10" s="8" t="s">
        <v>883</v>
      </c>
      <c r="G10" s="8" t="s">
        <v>884</v>
      </c>
      <c r="H10" s="8" t="s">
        <v>543</v>
      </c>
      <c r="I10" s="13" t="s">
        <v>372</v>
      </c>
      <c r="J10" s="13" t="s">
        <v>372</v>
      </c>
      <c r="K10" s="13" t="s">
        <v>372</v>
      </c>
      <c r="L10" s="8" t="s">
        <v>3930</v>
      </c>
      <c r="M10" s="8" t="s">
        <v>3589</v>
      </c>
      <c r="N10" s="11" t="s">
        <v>3591</v>
      </c>
      <c r="O10" s="15" t="s">
        <v>1685</v>
      </c>
      <c r="P10" s="8" t="s">
        <v>3932</v>
      </c>
      <c r="Q10" s="8" t="s">
        <v>3958</v>
      </c>
    </row>
    <row r="11" spans="1:17" ht="36.950000000000003" customHeight="1" x14ac:dyDescent="0.25">
      <c r="A11" s="8" t="s">
        <v>3959</v>
      </c>
      <c r="B11" s="8" t="s">
        <v>398</v>
      </c>
      <c r="C11" s="8"/>
      <c r="D11" s="8"/>
      <c r="E11" s="8" t="s">
        <v>3947</v>
      </c>
      <c r="F11" s="8" t="s">
        <v>400</v>
      </c>
      <c r="G11" s="8" t="s">
        <v>401</v>
      </c>
      <c r="H11" s="8" t="s">
        <v>373</v>
      </c>
      <c r="I11" s="13" t="s">
        <v>372</v>
      </c>
      <c r="J11" s="8" t="s">
        <v>3960</v>
      </c>
      <c r="K11" s="13" t="s">
        <v>372</v>
      </c>
      <c r="L11" s="8" t="s">
        <v>3961</v>
      </c>
      <c r="M11" s="8" t="s">
        <v>403</v>
      </c>
      <c r="N11" s="11" t="s">
        <v>3315</v>
      </c>
      <c r="O11" s="15" t="s">
        <v>1685</v>
      </c>
      <c r="P11" s="8" t="s">
        <v>3932</v>
      </c>
      <c r="Q11" s="8" t="s">
        <v>3950</v>
      </c>
    </row>
    <row r="12" spans="1:17" ht="36.950000000000003" customHeight="1" x14ac:dyDescent="0.25">
      <c r="A12" s="8" t="s">
        <v>3962</v>
      </c>
      <c r="B12" s="8" t="s">
        <v>778</v>
      </c>
      <c r="C12" s="8" t="s">
        <v>3963</v>
      </c>
      <c r="D12" s="8" t="s">
        <v>3964</v>
      </c>
      <c r="E12" s="8" t="s">
        <v>3927</v>
      </c>
      <c r="F12" s="8" t="s">
        <v>588</v>
      </c>
      <c r="G12" s="8" t="s">
        <v>779</v>
      </c>
      <c r="H12" s="8" t="s">
        <v>3965</v>
      </c>
      <c r="I12" s="8" t="s">
        <v>3966</v>
      </c>
      <c r="J12" s="8" t="s">
        <v>3965</v>
      </c>
      <c r="K12" s="13" t="s">
        <v>372</v>
      </c>
      <c r="L12" s="8" t="s">
        <v>3930</v>
      </c>
      <c r="M12" s="8" t="s">
        <v>782</v>
      </c>
      <c r="N12" s="11" t="s">
        <v>3565</v>
      </c>
      <c r="O12" s="15" t="s">
        <v>1685</v>
      </c>
      <c r="P12" s="8" t="s">
        <v>3932</v>
      </c>
      <c r="Q12" s="8" t="s">
        <v>3950</v>
      </c>
    </row>
    <row r="13" spans="1:17" ht="36.950000000000003" customHeight="1" x14ac:dyDescent="0.25">
      <c r="A13" s="8" t="s">
        <v>3967</v>
      </c>
      <c r="B13" s="8" t="s">
        <v>358</v>
      </c>
      <c r="C13" s="8" t="s">
        <v>3968</v>
      </c>
      <c r="D13" s="8" t="s">
        <v>3969</v>
      </c>
      <c r="E13" s="8" t="s">
        <v>3927</v>
      </c>
      <c r="F13" s="8" t="s">
        <v>3970</v>
      </c>
      <c r="G13" s="8" t="s">
        <v>362</v>
      </c>
      <c r="H13" s="8" t="s">
        <v>543</v>
      </c>
      <c r="I13" s="8" t="s">
        <v>3971</v>
      </c>
      <c r="J13" s="8" t="s">
        <v>3972</v>
      </c>
      <c r="K13" s="8" t="s">
        <v>1148</v>
      </c>
      <c r="L13" s="8" t="s">
        <v>3930</v>
      </c>
      <c r="M13" s="8" t="s">
        <v>365</v>
      </c>
      <c r="N13" s="11" t="s">
        <v>3211</v>
      </c>
      <c r="O13" s="15" t="s">
        <v>1685</v>
      </c>
      <c r="P13" s="8" t="s">
        <v>3932</v>
      </c>
      <c r="Q13" s="8" t="s">
        <v>3950</v>
      </c>
    </row>
    <row r="14" spans="1:17" ht="36.950000000000003" customHeight="1" x14ac:dyDescent="0.25">
      <c r="A14" s="8" t="s">
        <v>3973</v>
      </c>
      <c r="B14" s="8" t="s">
        <v>3974</v>
      </c>
      <c r="C14" s="8" t="s">
        <v>3975</v>
      </c>
      <c r="D14" s="8" t="s">
        <v>3976</v>
      </c>
      <c r="E14" s="8" t="s">
        <v>3927</v>
      </c>
      <c r="F14" s="8" t="s">
        <v>709</v>
      </c>
      <c r="G14" s="8" t="s">
        <v>710</v>
      </c>
      <c r="H14" s="8" t="s">
        <v>543</v>
      </c>
      <c r="I14" s="13" t="s">
        <v>372</v>
      </c>
      <c r="J14" s="13" t="s">
        <v>372</v>
      </c>
      <c r="K14" s="8" t="s">
        <v>1148</v>
      </c>
      <c r="L14" s="8" t="s">
        <v>3930</v>
      </c>
      <c r="M14" s="8" t="s">
        <v>712</v>
      </c>
      <c r="N14" s="11" t="s">
        <v>3729</v>
      </c>
      <c r="O14" s="15" t="s">
        <v>1685</v>
      </c>
      <c r="P14" s="8" t="s">
        <v>3932</v>
      </c>
      <c r="Q14" s="8" t="s">
        <v>3950</v>
      </c>
    </row>
    <row r="15" spans="1:17" ht="36.950000000000003" customHeight="1" x14ac:dyDescent="0.25">
      <c r="A15" s="8" t="s">
        <v>3977</v>
      </c>
      <c r="B15" s="8" t="s">
        <v>889</v>
      </c>
      <c r="C15" s="8" t="s">
        <v>3978</v>
      </c>
      <c r="D15" s="8" t="s">
        <v>3979</v>
      </c>
      <c r="E15" s="8" t="s">
        <v>3927</v>
      </c>
      <c r="F15" s="8" t="s">
        <v>416</v>
      </c>
      <c r="G15" s="8" t="s">
        <v>891</v>
      </c>
      <c r="H15" s="8" t="s">
        <v>892</v>
      </c>
      <c r="I15" s="8" t="s">
        <v>3980</v>
      </c>
      <c r="J15" s="8" t="s">
        <v>3981</v>
      </c>
      <c r="K15" s="8" t="s">
        <v>3982</v>
      </c>
      <c r="L15" s="8" t="s">
        <v>3930</v>
      </c>
      <c r="M15" s="8" t="s">
        <v>894</v>
      </c>
      <c r="N15" s="11" t="s">
        <v>3983</v>
      </c>
      <c r="O15" s="15" t="s">
        <v>1685</v>
      </c>
      <c r="P15" s="8" t="s">
        <v>3932</v>
      </c>
      <c r="Q15" s="8" t="s">
        <v>3950</v>
      </c>
    </row>
    <row r="16" spans="1:17" ht="36.950000000000003" customHeight="1" x14ac:dyDescent="0.25">
      <c r="A16" s="8" t="s">
        <v>3984</v>
      </c>
      <c r="B16" s="8" t="s">
        <v>949</v>
      </c>
      <c r="C16" s="8"/>
      <c r="D16" s="8"/>
      <c r="E16" s="8" t="s">
        <v>3947</v>
      </c>
      <c r="F16" s="8" t="s">
        <v>951</v>
      </c>
      <c r="G16" s="8" t="s">
        <v>828</v>
      </c>
      <c r="H16" s="8" t="s">
        <v>409</v>
      </c>
      <c r="I16" s="13" t="s">
        <v>372</v>
      </c>
      <c r="J16" s="13" t="s">
        <v>372</v>
      </c>
      <c r="K16" s="13" t="s">
        <v>372</v>
      </c>
      <c r="L16" s="8" t="s">
        <v>3985</v>
      </c>
      <c r="M16" s="8" t="s">
        <v>953</v>
      </c>
      <c r="N16" s="11" t="s">
        <v>3733</v>
      </c>
      <c r="O16" s="15" t="s">
        <v>1685</v>
      </c>
      <c r="P16" s="8" t="s">
        <v>3932</v>
      </c>
      <c r="Q16" s="8" t="s">
        <v>3950</v>
      </c>
    </row>
    <row r="17" spans="1:17" ht="36.950000000000003" customHeight="1" x14ac:dyDescent="0.25">
      <c r="A17" s="8" t="s">
        <v>3986</v>
      </c>
      <c r="B17" s="8" t="s">
        <v>502</v>
      </c>
      <c r="C17" s="8" t="s">
        <v>3987</v>
      </c>
      <c r="D17" s="8" t="s">
        <v>3988</v>
      </c>
      <c r="E17" s="8" t="s">
        <v>3927</v>
      </c>
      <c r="F17" s="8" t="s">
        <v>476</v>
      </c>
      <c r="G17" s="8" t="s">
        <v>3989</v>
      </c>
      <c r="H17" s="8" t="s">
        <v>513</v>
      </c>
      <c r="I17" s="13" t="s">
        <v>372</v>
      </c>
      <c r="J17" s="8" t="s">
        <v>3929</v>
      </c>
      <c r="K17" s="13" t="s">
        <v>372</v>
      </c>
      <c r="L17" s="8" t="s">
        <v>3930</v>
      </c>
      <c r="M17" s="8" t="s">
        <v>508</v>
      </c>
      <c r="N17" s="11" t="s">
        <v>3821</v>
      </c>
      <c r="O17" s="15" t="s">
        <v>1685</v>
      </c>
      <c r="P17" s="8" t="s">
        <v>3932</v>
      </c>
      <c r="Q17" s="8" t="s">
        <v>3990</v>
      </c>
    </row>
    <row r="18" spans="1:17" ht="36.950000000000003" customHeight="1" x14ac:dyDescent="0.25">
      <c r="A18" s="8" t="s">
        <v>3991</v>
      </c>
      <c r="B18" s="8" t="s">
        <v>502</v>
      </c>
      <c r="C18" s="8" t="s">
        <v>3992</v>
      </c>
      <c r="D18" s="8" t="s">
        <v>3993</v>
      </c>
      <c r="E18" s="8" t="s">
        <v>3927</v>
      </c>
      <c r="F18" s="8" t="s">
        <v>476</v>
      </c>
      <c r="G18" s="8" t="s">
        <v>3989</v>
      </c>
      <c r="H18" s="8" t="s">
        <v>513</v>
      </c>
      <c r="I18" s="13" t="s">
        <v>372</v>
      </c>
      <c r="J18" s="8" t="s">
        <v>3929</v>
      </c>
      <c r="K18" s="13" t="s">
        <v>372</v>
      </c>
      <c r="L18" s="8" t="s">
        <v>3930</v>
      </c>
      <c r="M18" s="8" t="s">
        <v>508</v>
      </c>
      <c r="N18" s="11" t="s">
        <v>3821</v>
      </c>
      <c r="O18" s="15" t="s">
        <v>1685</v>
      </c>
      <c r="P18" s="8" t="s">
        <v>3932</v>
      </c>
      <c r="Q18" s="8" t="s">
        <v>3994</v>
      </c>
    </row>
    <row r="19" spans="1:17" ht="36.950000000000003" customHeight="1" x14ac:dyDescent="0.25">
      <c r="A19" s="8" t="s">
        <v>3995</v>
      </c>
      <c r="B19" s="8" t="s">
        <v>922</v>
      </c>
      <c r="C19" s="8" t="s">
        <v>3996</v>
      </c>
      <c r="D19" s="8" t="s">
        <v>3997</v>
      </c>
      <c r="E19" s="8" t="s">
        <v>3927</v>
      </c>
      <c r="F19" s="8" t="s">
        <v>3998</v>
      </c>
      <c r="G19" s="8" t="s">
        <v>925</v>
      </c>
      <c r="H19" s="8" t="s">
        <v>543</v>
      </c>
      <c r="I19" s="13" t="s">
        <v>372</v>
      </c>
      <c r="J19" s="13" t="s">
        <v>372</v>
      </c>
      <c r="K19" s="8" t="s">
        <v>1148</v>
      </c>
      <c r="L19" s="8" t="s">
        <v>3930</v>
      </c>
      <c r="M19" s="8" t="s">
        <v>927</v>
      </c>
      <c r="N19" s="11" t="s">
        <v>3222</v>
      </c>
      <c r="O19" s="15" t="s">
        <v>1685</v>
      </c>
      <c r="P19" s="8" t="s">
        <v>3932</v>
      </c>
      <c r="Q19" s="8" t="s">
        <v>3999</v>
      </c>
    </row>
    <row r="20" spans="1:17" ht="36.950000000000003" customHeight="1" x14ac:dyDescent="0.25">
      <c r="A20" s="8" t="s">
        <v>4000</v>
      </c>
      <c r="B20" s="8" t="s">
        <v>853</v>
      </c>
      <c r="C20" s="8" t="s">
        <v>4001</v>
      </c>
      <c r="D20" s="8" t="s">
        <v>4002</v>
      </c>
      <c r="E20" s="8" t="s">
        <v>3927</v>
      </c>
      <c r="F20" s="8" t="s">
        <v>4003</v>
      </c>
      <c r="G20" s="8" t="s">
        <v>884</v>
      </c>
      <c r="H20" s="8" t="s">
        <v>409</v>
      </c>
      <c r="I20" s="13" t="s">
        <v>372</v>
      </c>
      <c r="J20" s="13" t="s">
        <v>372</v>
      </c>
      <c r="K20" s="13" t="s">
        <v>372</v>
      </c>
      <c r="L20" s="8" t="s">
        <v>3985</v>
      </c>
      <c r="M20" s="8" t="s">
        <v>858</v>
      </c>
      <c r="N20" s="11" t="s">
        <v>3064</v>
      </c>
      <c r="O20" s="15" t="s">
        <v>1685</v>
      </c>
      <c r="P20" s="8" t="s">
        <v>3932</v>
      </c>
      <c r="Q20" s="8" t="s">
        <v>4004</v>
      </c>
    </row>
    <row r="21" spans="1:17" ht="36.950000000000003" customHeight="1" x14ac:dyDescent="0.25">
      <c r="A21" s="8" t="s">
        <v>4005</v>
      </c>
      <c r="B21" s="8" t="s">
        <v>692</v>
      </c>
      <c r="C21" s="8"/>
      <c r="D21" s="8" t="s">
        <v>4006</v>
      </c>
      <c r="E21" s="8" t="s">
        <v>3947</v>
      </c>
      <c r="F21" s="8" t="s">
        <v>900</v>
      </c>
      <c r="G21" s="8" t="s">
        <v>901</v>
      </c>
      <c r="H21" s="8" t="s">
        <v>409</v>
      </c>
      <c r="I21" s="13" t="s">
        <v>372</v>
      </c>
      <c r="J21" s="13" t="s">
        <v>372</v>
      </c>
      <c r="K21" s="13" t="s">
        <v>372</v>
      </c>
      <c r="L21" s="8" t="s">
        <v>3985</v>
      </c>
      <c r="M21" s="8" t="s">
        <v>697</v>
      </c>
      <c r="N21" s="11" t="s">
        <v>2916</v>
      </c>
      <c r="O21" s="15" t="s">
        <v>1685</v>
      </c>
      <c r="P21" s="8" t="s">
        <v>3932</v>
      </c>
      <c r="Q21" s="8" t="s">
        <v>4007</v>
      </c>
    </row>
    <row r="22" spans="1:17" ht="36.950000000000003" customHeight="1" x14ac:dyDescent="0.25">
      <c r="A22" s="8" t="s">
        <v>4008</v>
      </c>
      <c r="B22" s="8" t="s">
        <v>518</v>
      </c>
      <c r="C22" s="8" t="s">
        <v>4009</v>
      </c>
      <c r="D22" s="8" t="s">
        <v>4010</v>
      </c>
      <c r="E22" s="8" t="s">
        <v>3927</v>
      </c>
      <c r="F22" s="8" t="s">
        <v>745</v>
      </c>
      <c r="G22" s="8" t="s">
        <v>746</v>
      </c>
      <c r="H22" s="8" t="s">
        <v>543</v>
      </c>
      <c r="I22" s="13" t="s">
        <v>372</v>
      </c>
      <c r="J22" s="13" t="s">
        <v>372</v>
      </c>
      <c r="K22" s="13" t="s">
        <v>372</v>
      </c>
      <c r="L22" s="8" t="s">
        <v>3930</v>
      </c>
      <c r="M22" s="8" t="s">
        <v>523</v>
      </c>
      <c r="N22" s="11" t="s">
        <v>2833</v>
      </c>
      <c r="O22" s="15" t="s">
        <v>1685</v>
      </c>
      <c r="P22" s="8" t="s">
        <v>3932</v>
      </c>
      <c r="Q22" s="8" t="s">
        <v>4011</v>
      </c>
    </row>
    <row r="23" spans="1:17" ht="36.950000000000003" customHeight="1" x14ac:dyDescent="0.25">
      <c r="A23" s="8" t="s">
        <v>4012</v>
      </c>
      <c r="B23" s="8" t="s">
        <v>744</v>
      </c>
      <c r="C23" s="8" t="s">
        <v>4013</v>
      </c>
      <c r="D23" s="8" t="s">
        <v>4014</v>
      </c>
      <c r="E23" s="8" t="s">
        <v>3927</v>
      </c>
      <c r="F23" s="8" t="s">
        <v>745</v>
      </c>
      <c r="G23" s="8" t="s">
        <v>746</v>
      </c>
      <c r="H23" s="8" t="s">
        <v>409</v>
      </c>
      <c r="I23" s="13" t="s">
        <v>372</v>
      </c>
      <c r="J23" s="13" t="s">
        <v>372</v>
      </c>
      <c r="K23" s="13" t="s">
        <v>372</v>
      </c>
      <c r="L23" s="8" t="s">
        <v>3930</v>
      </c>
      <c r="M23" s="8" t="s">
        <v>749</v>
      </c>
      <c r="N23" s="11" t="s">
        <v>2911</v>
      </c>
      <c r="O23" s="15" t="s">
        <v>1685</v>
      </c>
      <c r="P23" s="8" t="s">
        <v>3932</v>
      </c>
      <c r="Q23" s="8" t="s">
        <v>4015</v>
      </c>
    </row>
    <row r="24" spans="1:17" ht="36.950000000000003" customHeight="1" x14ac:dyDescent="0.25">
      <c r="A24" s="8" t="s">
        <v>4016</v>
      </c>
      <c r="B24" s="8" t="s">
        <v>914</v>
      </c>
      <c r="C24" s="8" t="s">
        <v>4017</v>
      </c>
      <c r="D24" s="8" t="s">
        <v>4018</v>
      </c>
      <c r="E24" s="8" t="s">
        <v>3927</v>
      </c>
      <c r="F24" s="8" t="s">
        <v>4019</v>
      </c>
      <c r="G24" s="8" t="s">
        <v>828</v>
      </c>
      <c r="H24" s="8" t="s">
        <v>409</v>
      </c>
      <c r="I24" s="13" t="s">
        <v>372</v>
      </c>
      <c r="J24" s="13" t="s">
        <v>372</v>
      </c>
      <c r="K24" s="13" t="s">
        <v>372</v>
      </c>
      <c r="L24" s="8" t="s">
        <v>3985</v>
      </c>
      <c r="M24" s="8" t="s">
        <v>918</v>
      </c>
      <c r="N24" s="11" t="s">
        <v>3234</v>
      </c>
      <c r="O24" s="15" t="s">
        <v>1685</v>
      </c>
      <c r="P24" s="8" t="s">
        <v>3932</v>
      </c>
      <c r="Q24" s="8" t="s">
        <v>4020</v>
      </c>
    </row>
    <row r="25" spans="1:17" ht="36.950000000000003" customHeight="1" x14ac:dyDescent="0.25">
      <c r="A25" s="8" t="s">
        <v>4021</v>
      </c>
      <c r="B25" s="8" t="s">
        <v>914</v>
      </c>
      <c r="C25" s="8" t="s">
        <v>4022</v>
      </c>
      <c r="D25" s="8" t="s">
        <v>4023</v>
      </c>
      <c r="E25" s="8" t="s">
        <v>3927</v>
      </c>
      <c r="F25" s="8" t="s">
        <v>4024</v>
      </c>
      <c r="G25" s="8" t="s">
        <v>828</v>
      </c>
      <c r="H25" s="8" t="s">
        <v>409</v>
      </c>
      <c r="I25" s="13" t="s">
        <v>372</v>
      </c>
      <c r="J25" s="13" t="s">
        <v>372</v>
      </c>
      <c r="K25" s="13" t="s">
        <v>372</v>
      </c>
      <c r="L25" s="8" t="s">
        <v>3985</v>
      </c>
      <c r="M25" s="8" t="s">
        <v>918</v>
      </c>
      <c r="N25" s="11" t="s">
        <v>3234</v>
      </c>
      <c r="O25" s="15" t="s">
        <v>1685</v>
      </c>
      <c r="P25" s="8" t="s">
        <v>3932</v>
      </c>
      <c r="Q25" s="8" t="s">
        <v>4025</v>
      </c>
    </row>
    <row r="26" spans="1:17" ht="36.950000000000003" customHeight="1" x14ac:dyDescent="0.25">
      <c r="A26" s="8" t="s">
        <v>4026</v>
      </c>
      <c r="B26" s="8" t="s">
        <v>939</v>
      </c>
      <c r="C26" s="8" t="s">
        <v>4027</v>
      </c>
      <c r="D26" s="8" t="s">
        <v>4028</v>
      </c>
      <c r="E26" s="8" t="s">
        <v>3927</v>
      </c>
      <c r="F26" s="8" t="s">
        <v>940</v>
      </c>
      <c r="G26" s="8" t="s">
        <v>941</v>
      </c>
      <c r="H26" s="8" t="s">
        <v>543</v>
      </c>
      <c r="I26" s="13" t="s">
        <v>372</v>
      </c>
      <c r="J26" s="13" t="s">
        <v>372</v>
      </c>
      <c r="K26" s="13" t="s">
        <v>372</v>
      </c>
      <c r="L26" s="8" t="s">
        <v>3930</v>
      </c>
      <c r="M26" s="8" t="s">
        <v>943</v>
      </c>
      <c r="N26" s="11" t="s">
        <v>3816</v>
      </c>
      <c r="O26" s="15" t="s">
        <v>1685</v>
      </c>
      <c r="P26" s="8" t="s">
        <v>3932</v>
      </c>
      <c r="Q26" s="8" t="s">
        <v>4029</v>
      </c>
    </row>
    <row r="27" spans="1:17" ht="36.950000000000003" customHeight="1" x14ac:dyDescent="0.25">
      <c r="A27" s="8" t="s">
        <v>4030</v>
      </c>
      <c r="B27" s="8" t="s">
        <v>1011</v>
      </c>
      <c r="C27" s="8" t="s">
        <v>4031</v>
      </c>
      <c r="D27" s="8" t="s">
        <v>4032</v>
      </c>
      <c r="E27" s="8" t="s">
        <v>3927</v>
      </c>
      <c r="F27" s="8" t="s">
        <v>900</v>
      </c>
      <c r="G27" s="8" t="s">
        <v>901</v>
      </c>
      <c r="H27" s="8" t="s">
        <v>543</v>
      </c>
      <c r="I27" s="8" t="s">
        <v>4033</v>
      </c>
      <c r="J27" s="8" t="s">
        <v>4034</v>
      </c>
      <c r="K27" s="13" t="s">
        <v>372</v>
      </c>
      <c r="L27" s="8" t="s">
        <v>3930</v>
      </c>
      <c r="M27" s="8" t="s">
        <v>1014</v>
      </c>
      <c r="N27" s="11" t="s">
        <v>3866</v>
      </c>
      <c r="O27" s="15" t="s">
        <v>1685</v>
      </c>
      <c r="P27" s="8" t="s">
        <v>3932</v>
      </c>
      <c r="Q27" s="8" t="s">
        <v>4035</v>
      </c>
    </row>
    <row r="28" spans="1:17" ht="51" customHeight="1" x14ac:dyDescent="0.25">
      <c r="A28" s="8" t="s">
        <v>4036</v>
      </c>
      <c r="B28" s="8" t="s">
        <v>343</v>
      </c>
      <c r="C28" s="8" t="s">
        <v>4037</v>
      </c>
      <c r="D28" s="8" t="s">
        <v>192</v>
      </c>
      <c r="E28" s="8" t="s">
        <v>3927</v>
      </c>
      <c r="F28" s="8" t="s">
        <v>346</v>
      </c>
      <c r="G28" s="8" t="s">
        <v>347</v>
      </c>
      <c r="H28" s="8" t="s">
        <v>4038</v>
      </c>
      <c r="I28" s="8" t="s">
        <v>4039</v>
      </c>
      <c r="J28" s="8" t="s">
        <v>3944</v>
      </c>
      <c r="K28" s="13" t="s">
        <v>372</v>
      </c>
      <c r="L28" s="8" t="s">
        <v>4040</v>
      </c>
      <c r="M28" s="8" t="s">
        <v>350</v>
      </c>
      <c r="N28" s="11" t="s">
        <v>3870</v>
      </c>
      <c r="O28" s="15" t="s">
        <v>1685</v>
      </c>
      <c r="P28" s="8" t="s">
        <v>3932</v>
      </c>
      <c r="Q28" s="8" t="s">
        <v>4041</v>
      </c>
    </row>
    <row r="29" spans="1:17" ht="36.950000000000003" customHeight="1" x14ac:dyDescent="0.25">
      <c r="A29" s="8" t="s">
        <v>4042</v>
      </c>
      <c r="B29" s="8" t="s">
        <v>414</v>
      </c>
      <c r="C29" s="8" t="s">
        <v>4043</v>
      </c>
      <c r="D29" s="8" t="s">
        <v>4044</v>
      </c>
      <c r="E29" s="8" t="s">
        <v>3927</v>
      </c>
      <c r="F29" s="8" t="s">
        <v>416</v>
      </c>
      <c r="G29" s="8" t="s">
        <v>417</v>
      </c>
      <c r="H29" s="8" t="s">
        <v>4045</v>
      </c>
      <c r="I29" s="8" t="s">
        <v>3980</v>
      </c>
      <c r="J29" s="8" t="s">
        <v>4046</v>
      </c>
      <c r="K29" s="13" t="s">
        <v>372</v>
      </c>
      <c r="L29" s="8" t="s">
        <v>3985</v>
      </c>
      <c r="M29" s="8" t="s">
        <v>420</v>
      </c>
      <c r="N29" s="11" t="s">
        <v>3452</v>
      </c>
      <c r="O29" s="15" t="s">
        <v>1685</v>
      </c>
      <c r="P29" s="8" t="s">
        <v>3932</v>
      </c>
      <c r="Q29" s="8" t="s">
        <v>4047</v>
      </c>
    </row>
    <row r="30" spans="1:17" ht="36.950000000000003" customHeight="1" x14ac:dyDescent="0.25">
      <c r="A30" s="8" t="s">
        <v>4048</v>
      </c>
      <c r="B30" s="8" t="s">
        <v>502</v>
      </c>
      <c r="C30" s="8" t="s">
        <v>4049</v>
      </c>
      <c r="D30" s="8" t="s">
        <v>4050</v>
      </c>
      <c r="E30" s="8" t="s">
        <v>3927</v>
      </c>
      <c r="F30" s="8" t="s">
        <v>346</v>
      </c>
      <c r="G30" s="8" t="s">
        <v>4051</v>
      </c>
      <c r="H30" s="8" t="s">
        <v>513</v>
      </c>
      <c r="I30" s="8" t="s">
        <v>4052</v>
      </c>
      <c r="J30" s="8" t="s">
        <v>3929</v>
      </c>
      <c r="K30" s="8" t="s">
        <v>4053</v>
      </c>
      <c r="L30" s="8" t="s">
        <v>3930</v>
      </c>
      <c r="M30" s="8" t="s">
        <v>3872</v>
      </c>
      <c r="N30" s="11" t="s">
        <v>3874</v>
      </c>
      <c r="O30" s="15" t="s">
        <v>1685</v>
      </c>
      <c r="P30" s="8" t="s">
        <v>3932</v>
      </c>
      <c r="Q30" s="8" t="s">
        <v>4035</v>
      </c>
    </row>
    <row r="31" spans="1:17" ht="36.950000000000003" customHeight="1" x14ac:dyDescent="0.25">
      <c r="A31" s="8" t="s">
        <v>4054</v>
      </c>
      <c r="B31" s="8" t="s">
        <v>996</v>
      </c>
      <c r="C31" s="8" t="s">
        <v>4055</v>
      </c>
      <c r="D31" s="8" t="s">
        <v>4056</v>
      </c>
      <c r="E31" s="8" t="s">
        <v>3927</v>
      </c>
      <c r="F31" s="8" t="s">
        <v>4057</v>
      </c>
      <c r="G31" s="8" t="s">
        <v>4058</v>
      </c>
      <c r="H31" s="8" t="s">
        <v>409</v>
      </c>
      <c r="I31" s="8" t="s">
        <v>4059</v>
      </c>
      <c r="J31" s="8" t="s">
        <v>4046</v>
      </c>
      <c r="K31" s="13" t="s">
        <v>372</v>
      </c>
      <c r="L31" s="8" t="s">
        <v>3985</v>
      </c>
      <c r="M31" s="8" t="s">
        <v>1001</v>
      </c>
      <c r="N31" s="11" t="s">
        <v>3877</v>
      </c>
      <c r="O31" s="15" t="s">
        <v>1685</v>
      </c>
      <c r="P31" s="8" t="s">
        <v>3932</v>
      </c>
      <c r="Q31" s="8" t="s">
        <v>4060</v>
      </c>
    </row>
    <row r="32" spans="1:17" ht="51" customHeight="1" x14ac:dyDescent="0.25">
      <c r="A32" s="8" t="s">
        <v>4061</v>
      </c>
      <c r="B32" s="8" t="s">
        <v>555</v>
      </c>
      <c r="C32" s="8" t="s">
        <v>4062</v>
      </c>
      <c r="D32" s="8" t="s">
        <v>4063</v>
      </c>
      <c r="E32" s="8" t="s">
        <v>3927</v>
      </c>
      <c r="F32" s="8" t="s">
        <v>558</v>
      </c>
      <c r="G32" s="8" t="s">
        <v>559</v>
      </c>
      <c r="H32" s="8" t="s">
        <v>560</v>
      </c>
      <c r="I32" s="8" t="s">
        <v>4064</v>
      </c>
      <c r="J32" s="8" t="s">
        <v>4046</v>
      </c>
      <c r="K32" s="13" t="s">
        <v>372</v>
      </c>
      <c r="L32" s="8" t="s">
        <v>3985</v>
      </c>
      <c r="M32" s="8" t="s">
        <v>562</v>
      </c>
      <c r="N32" s="11" t="s">
        <v>3880</v>
      </c>
      <c r="O32" s="15" t="s">
        <v>1685</v>
      </c>
      <c r="P32" s="8" t="s">
        <v>3932</v>
      </c>
      <c r="Q32" s="8" t="s">
        <v>4065</v>
      </c>
    </row>
    <row r="33" spans="1:17" ht="51" customHeight="1" x14ac:dyDescent="0.25">
      <c r="A33" s="8" t="s">
        <v>4066</v>
      </c>
      <c r="B33" s="8" t="s">
        <v>976</v>
      </c>
      <c r="C33" s="8" t="s">
        <v>4067</v>
      </c>
      <c r="D33" s="8" t="s">
        <v>4068</v>
      </c>
      <c r="E33" s="8" t="s">
        <v>3927</v>
      </c>
      <c r="F33" s="8" t="s">
        <v>4069</v>
      </c>
      <c r="G33" s="8" t="s">
        <v>4070</v>
      </c>
      <c r="H33" s="8" t="s">
        <v>543</v>
      </c>
      <c r="I33" s="13" t="s">
        <v>372</v>
      </c>
      <c r="J33" s="8" t="s">
        <v>4071</v>
      </c>
      <c r="K33" s="13" t="s">
        <v>372</v>
      </c>
      <c r="L33" s="8" t="s">
        <v>3930</v>
      </c>
      <c r="M33" s="8" t="s">
        <v>3883</v>
      </c>
      <c r="N33" s="11" t="s">
        <v>3885</v>
      </c>
      <c r="O33" s="15" t="s">
        <v>1685</v>
      </c>
      <c r="P33" s="8" t="s">
        <v>3932</v>
      </c>
      <c r="Q33" s="8" t="s">
        <v>4072</v>
      </c>
    </row>
    <row r="34" spans="1:17" ht="36.950000000000003" customHeight="1" x14ac:dyDescent="0.25">
      <c r="A34" s="8" t="s">
        <v>4073</v>
      </c>
      <c r="B34" s="8" t="s">
        <v>753</v>
      </c>
      <c r="C34" s="8" t="s">
        <v>4074</v>
      </c>
      <c r="D34" s="8" t="s">
        <v>4075</v>
      </c>
      <c r="E34" s="8" t="s">
        <v>3927</v>
      </c>
      <c r="F34" s="8" t="s">
        <v>4076</v>
      </c>
      <c r="G34" s="8" t="s">
        <v>4077</v>
      </c>
      <c r="H34" s="8" t="s">
        <v>478</v>
      </c>
      <c r="I34" s="13" t="s">
        <v>372</v>
      </c>
      <c r="J34" s="8" t="s">
        <v>3944</v>
      </c>
      <c r="K34" s="8" t="s">
        <v>4078</v>
      </c>
      <c r="L34" s="8" t="s">
        <v>4079</v>
      </c>
      <c r="M34" s="8" t="s">
        <v>759</v>
      </c>
      <c r="N34" s="11" t="s">
        <v>3888</v>
      </c>
      <c r="O34" s="15" t="s">
        <v>1685</v>
      </c>
      <c r="P34" s="8" t="s">
        <v>3932</v>
      </c>
      <c r="Q34" s="8" t="s">
        <v>4080</v>
      </c>
    </row>
    <row r="35" spans="1:17" ht="51" customHeight="1" x14ac:dyDescent="0.25">
      <c r="A35" s="8" t="s">
        <v>4081</v>
      </c>
      <c r="B35" s="8" t="s">
        <v>466</v>
      </c>
      <c r="C35" s="8" t="s">
        <v>4082</v>
      </c>
      <c r="D35" s="8" t="s">
        <v>4083</v>
      </c>
      <c r="E35" s="8" t="s">
        <v>3927</v>
      </c>
      <c r="F35" s="8" t="s">
        <v>4084</v>
      </c>
      <c r="G35" s="8" t="s">
        <v>4085</v>
      </c>
      <c r="H35" s="8" t="s">
        <v>4086</v>
      </c>
      <c r="I35" s="8" t="s">
        <v>4087</v>
      </c>
      <c r="J35" s="8" t="s">
        <v>4088</v>
      </c>
      <c r="K35" s="13" t="s">
        <v>372</v>
      </c>
      <c r="L35" s="8" t="s">
        <v>3930</v>
      </c>
      <c r="M35" s="8" t="s">
        <v>3890</v>
      </c>
      <c r="N35" s="11" t="s">
        <v>3893</v>
      </c>
      <c r="O35" s="15" t="s">
        <v>1685</v>
      </c>
      <c r="P35" s="8" t="s">
        <v>3932</v>
      </c>
      <c r="Q35" s="8" t="s">
        <v>4089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8354A"/>
    <outlinePr summaryBelow="0" summaryRight="0"/>
    <pageSetUpPr fitToPage="1"/>
  </sheetPr>
  <dimension ref="A1:M39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29" customWidth="1"/>
    <col min="3" max="7" width="27" customWidth="1"/>
    <col min="8" max="8" width="20" customWidth="1"/>
    <col min="9" max="10" width="27" customWidth="1"/>
    <col min="11" max="11" width="32" customWidth="1"/>
    <col min="12" max="13" width="27" customWidth="1"/>
  </cols>
  <sheetData>
    <row r="1" spans="1:13" ht="42.95" customHeight="1" x14ac:dyDescent="0.25">
      <c r="A1" s="7" t="s">
        <v>4090</v>
      </c>
      <c r="B1" s="7" t="s">
        <v>48</v>
      </c>
      <c r="C1" s="7" t="s">
        <v>4091</v>
      </c>
      <c r="D1" s="7" t="s">
        <v>4092</v>
      </c>
      <c r="E1" s="7" t="s">
        <v>4093</v>
      </c>
      <c r="F1" s="7" t="s">
        <v>4094</v>
      </c>
      <c r="G1" s="7" t="s">
        <v>4095</v>
      </c>
      <c r="H1" s="7" t="s">
        <v>238</v>
      </c>
      <c r="I1" s="7" t="s">
        <v>4096</v>
      </c>
      <c r="J1" s="7" t="s">
        <v>4097</v>
      </c>
      <c r="K1" s="7" t="s">
        <v>4098</v>
      </c>
      <c r="L1" s="7" t="s">
        <v>4099</v>
      </c>
      <c r="M1" s="7" t="s">
        <v>4100</v>
      </c>
    </row>
    <row r="2" spans="1:13" ht="65.099999999999994" customHeight="1" x14ac:dyDescent="0.25">
      <c r="A2" s="8" t="s">
        <v>76</v>
      </c>
      <c r="B2" s="8" t="s">
        <v>65</v>
      </c>
      <c r="C2" s="8" t="s">
        <v>4101</v>
      </c>
      <c r="D2" s="8" t="s">
        <v>4102</v>
      </c>
      <c r="E2" s="8" t="s">
        <v>4103</v>
      </c>
      <c r="F2" s="8" t="s">
        <v>4104</v>
      </c>
      <c r="G2" s="10">
        <v>20</v>
      </c>
      <c r="H2" s="9" t="s">
        <v>352</v>
      </c>
      <c r="I2" s="8" t="s">
        <v>4105</v>
      </c>
      <c r="J2" s="8" t="s">
        <v>4106</v>
      </c>
      <c r="K2" s="8"/>
      <c r="L2" s="8"/>
      <c r="M2" s="8"/>
    </row>
    <row r="3" spans="1:13" ht="93" customHeight="1" x14ac:dyDescent="0.25">
      <c r="A3" s="8" t="s">
        <v>4107</v>
      </c>
      <c r="B3" s="8" t="s">
        <v>65</v>
      </c>
      <c r="C3" s="8" t="s">
        <v>1056</v>
      </c>
      <c r="D3" s="8" t="s">
        <v>4108</v>
      </c>
      <c r="E3" s="8" t="s">
        <v>4109</v>
      </c>
      <c r="F3" s="8" t="s">
        <v>4104</v>
      </c>
      <c r="G3" s="10">
        <v>20</v>
      </c>
      <c r="H3" s="9" t="s">
        <v>352</v>
      </c>
      <c r="I3" s="8" t="s">
        <v>4105</v>
      </c>
      <c r="J3" s="8" t="s">
        <v>4110</v>
      </c>
      <c r="K3" s="8"/>
      <c r="L3" s="8"/>
      <c r="M3" s="8"/>
    </row>
    <row r="4" spans="1:13" ht="93" customHeight="1" x14ac:dyDescent="0.25">
      <c r="A4" s="8" t="s">
        <v>4111</v>
      </c>
      <c r="B4" s="8" t="s">
        <v>65</v>
      </c>
      <c r="C4" s="8" t="s">
        <v>1056</v>
      </c>
      <c r="D4" s="8" t="s">
        <v>4112</v>
      </c>
      <c r="E4" s="8" t="s">
        <v>4109</v>
      </c>
      <c r="F4" s="8" t="s">
        <v>4113</v>
      </c>
      <c r="G4" s="10">
        <v>20</v>
      </c>
      <c r="H4" s="9" t="s">
        <v>352</v>
      </c>
      <c r="I4" s="8" t="s">
        <v>4105</v>
      </c>
      <c r="J4" s="8" t="s">
        <v>4114</v>
      </c>
      <c r="K4" s="8" t="s">
        <v>4115</v>
      </c>
      <c r="L4" s="8" t="s">
        <v>438</v>
      </c>
      <c r="M4" s="8" t="s">
        <v>438</v>
      </c>
    </row>
    <row r="5" spans="1:13" ht="65.099999999999994" customHeight="1" x14ac:dyDescent="0.25">
      <c r="A5" s="8" t="s">
        <v>84</v>
      </c>
      <c r="B5" s="8" t="s">
        <v>77</v>
      </c>
      <c r="C5" s="8" t="s">
        <v>4116</v>
      </c>
      <c r="D5" s="8" t="s">
        <v>4117</v>
      </c>
      <c r="E5" s="8" t="s">
        <v>4109</v>
      </c>
      <c r="F5" s="8" t="s">
        <v>4104</v>
      </c>
      <c r="G5" s="10">
        <v>20</v>
      </c>
      <c r="H5" s="9" t="s">
        <v>352</v>
      </c>
      <c r="I5" s="8" t="s">
        <v>4105</v>
      </c>
      <c r="J5" s="8" t="s">
        <v>4118</v>
      </c>
      <c r="K5" s="8"/>
      <c r="L5" s="8"/>
      <c r="M5" s="8"/>
    </row>
    <row r="6" spans="1:13" ht="51" customHeight="1" x14ac:dyDescent="0.25">
      <c r="A6" s="8" t="s">
        <v>4119</v>
      </c>
      <c r="B6" s="8" t="s">
        <v>77</v>
      </c>
      <c r="C6" s="8" t="s">
        <v>4116</v>
      </c>
      <c r="D6" s="8" t="s">
        <v>4120</v>
      </c>
      <c r="E6" s="8" t="s">
        <v>3914</v>
      </c>
      <c r="F6" s="8" t="s">
        <v>4104</v>
      </c>
      <c r="G6" s="10">
        <v>20</v>
      </c>
      <c r="H6" s="9" t="s">
        <v>352</v>
      </c>
      <c r="I6" s="8" t="s">
        <v>4105</v>
      </c>
      <c r="J6" s="8" t="s">
        <v>4121</v>
      </c>
      <c r="K6" s="8"/>
      <c r="L6" s="8"/>
      <c r="M6" s="8"/>
    </row>
    <row r="7" spans="1:13" ht="65.099999999999994" customHeight="1" x14ac:dyDescent="0.25">
      <c r="A7" s="8" t="s">
        <v>90</v>
      </c>
      <c r="B7" s="8" t="s">
        <v>85</v>
      </c>
      <c r="C7" s="8" t="s">
        <v>4122</v>
      </c>
      <c r="D7" s="8" t="s">
        <v>4123</v>
      </c>
      <c r="E7" s="8" t="s">
        <v>4124</v>
      </c>
      <c r="F7" s="8" t="s">
        <v>4104</v>
      </c>
      <c r="G7" s="10">
        <v>20</v>
      </c>
      <c r="H7" s="9" t="s">
        <v>352</v>
      </c>
      <c r="I7" s="8" t="s">
        <v>4105</v>
      </c>
      <c r="J7" s="8" t="s">
        <v>4125</v>
      </c>
      <c r="K7" s="8"/>
      <c r="L7" s="8"/>
      <c r="M7" s="8"/>
    </row>
    <row r="8" spans="1:13" ht="65.099999999999994" customHeight="1" x14ac:dyDescent="0.25">
      <c r="A8" s="8" t="s">
        <v>4126</v>
      </c>
      <c r="B8" s="8" t="s">
        <v>85</v>
      </c>
      <c r="C8" s="8" t="s">
        <v>1056</v>
      </c>
      <c r="D8" s="8" t="s">
        <v>4127</v>
      </c>
      <c r="E8" s="8" t="s">
        <v>4109</v>
      </c>
      <c r="F8" s="8" t="s">
        <v>4104</v>
      </c>
      <c r="G8" s="10">
        <v>20</v>
      </c>
      <c r="H8" s="9" t="s">
        <v>352</v>
      </c>
      <c r="I8" s="8" t="s">
        <v>4105</v>
      </c>
      <c r="J8" s="8" t="s">
        <v>4128</v>
      </c>
      <c r="K8" s="8"/>
      <c r="L8" s="8"/>
      <c r="M8" s="8"/>
    </row>
    <row r="9" spans="1:13" ht="65.099999999999994" customHeight="1" x14ac:dyDescent="0.25">
      <c r="A9" s="8" t="s">
        <v>95</v>
      </c>
      <c r="B9" s="8" t="s">
        <v>91</v>
      </c>
      <c r="C9" s="8" t="s">
        <v>4129</v>
      </c>
      <c r="D9" s="8" t="s">
        <v>4130</v>
      </c>
      <c r="E9" s="8" t="s">
        <v>4131</v>
      </c>
      <c r="F9" s="8" t="s">
        <v>4104</v>
      </c>
      <c r="G9" s="10">
        <v>20</v>
      </c>
      <c r="H9" s="9" t="s">
        <v>352</v>
      </c>
      <c r="I9" s="8" t="s">
        <v>4105</v>
      </c>
      <c r="J9" s="8" t="s">
        <v>4132</v>
      </c>
      <c r="K9" s="8"/>
      <c r="L9" s="8"/>
      <c r="M9" s="8"/>
    </row>
    <row r="10" spans="1:13" ht="51" customHeight="1" x14ac:dyDescent="0.25">
      <c r="A10" s="8" t="s">
        <v>101</v>
      </c>
      <c r="B10" s="8" t="s">
        <v>96</v>
      </c>
      <c r="C10" s="8" t="s">
        <v>4133</v>
      </c>
      <c r="D10" s="8" t="s">
        <v>4134</v>
      </c>
      <c r="E10" s="8" t="s">
        <v>4135</v>
      </c>
      <c r="F10" s="8" t="s">
        <v>4104</v>
      </c>
      <c r="G10" s="10">
        <v>20</v>
      </c>
      <c r="H10" s="9" t="s">
        <v>352</v>
      </c>
      <c r="I10" s="8" t="s">
        <v>4105</v>
      </c>
      <c r="J10" s="8" t="s">
        <v>4136</v>
      </c>
      <c r="K10" s="8"/>
      <c r="L10" s="8"/>
      <c r="M10" s="8"/>
    </row>
    <row r="11" spans="1:13" ht="65.099999999999994" customHeight="1" x14ac:dyDescent="0.25">
      <c r="A11" s="8" t="s">
        <v>4137</v>
      </c>
      <c r="B11" s="8" t="s">
        <v>96</v>
      </c>
      <c r="C11" s="8" t="s">
        <v>1056</v>
      </c>
      <c r="D11" s="8" t="s">
        <v>4138</v>
      </c>
      <c r="E11" s="8" t="s">
        <v>4139</v>
      </c>
      <c r="F11" s="8" t="s">
        <v>4104</v>
      </c>
      <c r="G11" s="10">
        <v>20</v>
      </c>
      <c r="H11" s="9" t="s">
        <v>352</v>
      </c>
      <c r="I11" s="8" t="s">
        <v>4105</v>
      </c>
      <c r="J11" s="8" t="s">
        <v>4140</v>
      </c>
      <c r="K11" s="8"/>
      <c r="L11" s="8"/>
      <c r="M11" s="8"/>
    </row>
    <row r="12" spans="1:13" ht="65.099999999999994" customHeight="1" x14ac:dyDescent="0.25">
      <c r="A12" s="8" t="s">
        <v>107</v>
      </c>
      <c r="B12" s="8" t="s">
        <v>102</v>
      </c>
      <c r="C12" s="8" t="s">
        <v>4101</v>
      </c>
      <c r="D12" s="8" t="s">
        <v>4141</v>
      </c>
      <c r="E12" s="8" t="s">
        <v>4142</v>
      </c>
      <c r="F12" s="8" t="s">
        <v>4104</v>
      </c>
      <c r="G12" s="10">
        <v>20</v>
      </c>
      <c r="H12" s="9" t="s">
        <v>352</v>
      </c>
      <c r="I12" s="8" t="s">
        <v>4105</v>
      </c>
      <c r="J12" s="8" t="s">
        <v>4143</v>
      </c>
      <c r="K12" s="8"/>
      <c r="L12" s="8"/>
      <c r="M12" s="8"/>
    </row>
    <row r="13" spans="1:13" ht="65.099999999999994" customHeight="1" x14ac:dyDescent="0.25">
      <c r="A13" s="8" t="s">
        <v>4144</v>
      </c>
      <c r="B13" s="8" t="s">
        <v>102</v>
      </c>
      <c r="C13" s="8" t="s">
        <v>1056</v>
      </c>
      <c r="D13" s="8" t="s">
        <v>4145</v>
      </c>
      <c r="E13" s="8" t="s">
        <v>4139</v>
      </c>
      <c r="F13" s="8" t="s">
        <v>4104</v>
      </c>
      <c r="G13" s="10">
        <v>20</v>
      </c>
      <c r="H13" s="9" t="s">
        <v>352</v>
      </c>
      <c r="I13" s="8" t="s">
        <v>4105</v>
      </c>
      <c r="J13" s="8" t="s">
        <v>4146</v>
      </c>
      <c r="K13" s="8"/>
      <c r="L13" s="8"/>
      <c r="M13" s="8"/>
    </row>
    <row r="14" spans="1:13" ht="65.099999999999994" customHeight="1" x14ac:dyDescent="0.25">
      <c r="A14" s="8" t="s">
        <v>115</v>
      </c>
      <c r="B14" s="8" t="s">
        <v>108</v>
      </c>
      <c r="C14" s="8" t="s">
        <v>4101</v>
      </c>
      <c r="D14" s="8" t="s">
        <v>4147</v>
      </c>
      <c r="E14" s="8" t="s">
        <v>328</v>
      </c>
      <c r="F14" s="8" t="s">
        <v>4104</v>
      </c>
      <c r="G14" s="10">
        <v>20</v>
      </c>
      <c r="H14" s="9" t="s">
        <v>352</v>
      </c>
      <c r="I14" s="8" t="s">
        <v>4105</v>
      </c>
      <c r="J14" s="8" t="s">
        <v>4148</v>
      </c>
      <c r="K14" s="8"/>
      <c r="L14" s="8"/>
      <c r="M14" s="8"/>
    </row>
    <row r="15" spans="1:13" ht="51" customHeight="1" x14ac:dyDescent="0.25">
      <c r="A15" s="8" t="s">
        <v>120</v>
      </c>
      <c r="B15" s="8" t="s">
        <v>116</v>
      </c>
      <c r="C15" s="8" t="s">
        <v>4149</v>
      </c>
      <c r="D15" s="8" t="s">
        <v>4150</v>
      </c>
      <c r="E15" s="8" t="s">
        <v>1673</v>
      </c>
      <c r="F15" s="8" t="s">
        <v>4104</v>
      </c>
      <c r="G15" s="10">
        <v>20</v>
      </c>
      <c r="H15" s="9" t="s">
        <v>352</v>
      </c>
      <c r="I15" s="8" t="s">
        <v>4105</v>
      </c>
      <c r="J15" s="8" t="s">
        <v>4151</v>
      </c>
      <c r="K15" s="8"/>
      <c r="L15" s="8"/>
      <c r="M15" s="8"/>
    </row>
    <row r="16" spans="1:13" ht="65.099999999999994" customHeight="1" x14ac:dyDescent="0.25">
      <c r="A16" s="8" t="s">
        <v>123</v>
      </c>
      <c r="B16" s="8" t="s">
        <v>121</v>
      </c>
      <c r="C16" s="8" t="s">
        <v>4152</v>
      </c>
      <c r="D16" s="8" t="s">
        <v>4153</v>
      </c>
      <c r="E16" s="8" t="s">
        <v>4109</v>
      </c>
      <c r="F16" s="8" t="s">
        <v>4104</v>
      </c>
      <c r="G16" s="10">
        <v>20</v>
      </c>
      <c r="H16" s="9" t="s">
        <v>352</v>
      </c>
      <c r="I16" s="8" t="s">
        <v>4105</v>
      </c>
      <c r="J16" s="8" t="s">
        <v>4154</v>
      </c>
      <c r="K16" s="8"/>
      <c r="L16" s="8"/>
      <c r="M16" s="8"/>
    </row>
    <row r="17" spans="1:13" ht="65.099999999999994" customHeight="1" x14ac:dyDescent="0.25">
      <c r="A17" s="8" t="s">
        <v>130</v>
      </c>
      <c r="B17" s="8" t="s">
        <v>125</v>
      </c>
      <c r="C17" s="8" t="s">
        <v>4155</v>
      </c>
      <c r="D17" s="8" t="s">
        <v>4156</v>
      </c>
      <c r="E17" s="8" t="s">
        <v>4157</v>
      </c>
      <c r="F17" s="8" t="s">
        <v>4104</v>
      </c>
      <c r="G17" s="10">
        <v>20</v>
      </c>
      <c r="H17" s="9" t="s">
        <v>352</v>
      </c>
      <c r="I17" s="8" t="s">
        <v>4105</v>
      </c>
      <c r="J17" s="8" t="s">
        <v>4158</v>
      </c>
      <c r="K17" s="8"/>
      <c r="L17" s="8"/>
      <c r="M17" s="8"/>
    </row>
    <row r="18" spans="1:13" ht="65.099999999999994" customHeight="1" x14ac:dyDescent="0.25">
      <c r="A18" s="8" t="s">
        <v>133</v>
      </c>
      <c r="B18" s="8" t="s">
        <v>131</v>
      </c>
      <c r="C18" s="8" t="s">
        <v>1822</v>
      </c>
      <c r="D18" s="8" t="s">
        <v>4159</v>
      </c>
      <c r="E18" s="8" t="s">
        <v>4160</v>
      </c>
      <c r="F18" s="8" t="s">
        <v>4104</v>
      </c>
      <c r="G18" s="10">
        <v>20</v>
      </c>
      <c r="H18" s="9" t="s">
        <v>352</v>
      </c>
      <c r="I18" s="8" t="s">
        <v>4105</v>
      </c>
      <c r="J18" s="8" t="s">
        <v>4161</v>
      </c>
      <c r="K18" s="8"/>
      <c r="L18" s="8"/>
      <c r="M18" s="8"/>
    </row>
    <row r="19" spans="1:13" ht="65.099999999999994" customHeight="1" x14ac:dyDescent="0.25">
      <c r="A19" s="8" t="s">
        <v>140</v>
      </c>
      <c r="B19" s="8" t="s">
        <v>136</v>
      </c>
      <c r="C19" s="8" t="s">
        <v>4162</v>
      </c>
      <c r="D19" s="8" t="s">
        <v>4163</v>
      </c>
      <c r="E19" s="8" t="s">
        <v>4164</v>
      </c>
      <c r="F19" s="8" t="s">
        <v>4104</v>
      </c>
      <c r="G19" s="10">
        <v>20</v>
      </c>
      <c r="H19" s="9" t="s">
        <v>352</v>
      </c>
      <c r="I19" s="8" t="s">
        <v>4105</v>
      </c>
      <c r="J19" s="8" t="s">
        <v>4165</v>
      </c>
      <c r="K19" s="8"/>
      <c r="L19" s="8"/>
      <c r="M19" s="8"/>
    </row>
    <row r="20" spans="1:13" ht="65.099999999999994" customHeight="1" x14ac:dyDescent="0.25">
      <c r="A20" s="8" t="s">
        <v>4166</v>
      </c>
      <c r="B20" s="8" t="s">
        <v>77</v>
      </c>
      <c r="C20" s="8" t="s">
        <v>1056</v>
      </c>
      <c r="D20" s="8" t="s">
        <v>4167</v>
      </c>
      <c r="E20" s="8" t="s">
        <v>4168</v>
      </c>
      <c r="F20" s="8" t="s">
        <v>4169</v>
      </c>
      <c r="G20" s="10">
        <v>20</v>
      </c>
      <c r="H20" s="9" t="s">
        <v>352</v>
      </c>
      <c r="I20" s="8" t="s">
        <v>4105</v>
      </c>
      <c r="J20" s="8" t="s">
        <v>4170</v>
      </c>
      <c r="K20" s="8"/>
      <c r="L20" s="8"/>
      <c r="M20" s="8"/>
    </row>
    <row r="21" spans="1:13" ht="65.099999999999994" customHeight="1" x14ac:dyDescent="0.25">
      <c r="A21" s="8" t="s">
        <v>4171</v>
      </c>
      <c r="B21" s="8" t="s">
        <v>91</v>
      </c>
      <c r="C21" s="8" t="s">
        <v>1056</v>
      </c>
      <c r="D21" s="8" t="s">
        <v>4172</v>
      </c>
      <c r="E21" s="8" t="s">
        <v>4168</v>
      </c>
      <c r="F21" s="8" t="s">
        <v>4169</v>
      </c>
      <c r="G21" s="10">
        <v>20</v>
      </c>
      <c r="H21" s="9" t="s">
        <v>352</v>
      </c>
      <c r="I21" s="8" t="s">
        <v>4105</v>
      </c>
      <c r="J21" s="8" t="s">
        <v>4170</v>
      </c>
      <c r="K21" s="8"/>
      <c r="L21" s="8"/>
      <c r="M21" s="8"/>
    </row>
    <row r="22" spans="1:13" ht="65.099999999999994" customHeight="1" x14ac:dyDescent="0.25">
      <c r="A22" s="8" t="s">
        <v>4173</v>
      </c>
      <c r="B22" s="8" t="s">
        <v>108</v>
      </c>
      <c r="C22" s="8" t="s">
        <v>1056</v>
      </c>
      <c r="D22" s="8" t="s">
        <v>4174</v>
      </c>
      <c r="E22" s="8" t="s">
        <v>4168</v>
      </c>
      <c r="F22" s="8" t="s">
        <v>4169</v>
      </c>
      <c r="G22" s="10">
        <v>20</v>
      </c>
      <c r="H22" s="9" t="s">
        <v>352</v>
      </c>
      <c r="I22" s="8" t="s">
        <v>4105</v>
      </c>
      <c r="J22" s="8" t="s">
        <v>4170</v>
      </c>
      <c r="K22" s="8"/>
      <c r="L22" s="8"/>
      <c r="M22" s="8"/>
    </row>
    <row r="23" spans="1:13" ht="65.099999999999994" customHeight="1" x14ac:dyDescent="0.25">
      <c r="A23" s="8" t="s">
        <v>4175</v>
      </c>
      <c r="B23" s="8" t="s">
        <v>116</v>
      </c>
      <c r="C23" s="8" t="s">
        <v>1056</v>
      </c>
      <c r="D23" s="8" t="s">
        <v>4176</v>
      </c>
      <c r="E23" s="8" t="s">
        <v>4168</v>
      </c>
      <c r="F23" s="8" t="s">
        <v>4169</v>
      </c>
      <c r="G23" s="10">
        <v>20</v>
      </c>
      <c r="H23" s="9" t="s">
        <v>352</v>
      </c>
      <c r="I23" s="8" t="s">
        <v>4105</v>
      </c>
      <c r="J23" s="8" t="s">
        <v>4170</v>
      </c>
      <c r="K23" s="8"/>
      <c r="L23" s="8"/>
      <c r="M23" s="8"/>
    </row>
    <row r="24" spans="1:13" ht="65.099999999999994" customHeight="1" x14ac:dyDescent="0.25">
      <c r="A24" s="8" t="s">
        <v>4177</v>
      </c>
      <c r="B24" s="8" t="s">
        <v>121</v>
      </c>
      <c r="C24" s="8" t="s">
        <v>1056</v>
      </c>
      <c r="D24" s="8" t="s">
        <v>4178</v>
      </c>
      <c r="E24" s="8" t="s">
        <v>4168</v>
      </c>
      <c r="F24" s="8" t="s">
        <v>4169</v>
      </c>
      <c r="G24" s="10">
        <v>20</v>
      </c>
      <c r="H24" s="9" t="s">
        <v>352</v>
      </c>
      <c r="I24" s="8" t="s">
        <v>4105</v>
      </c>
      <c r="J24" s="8" t="s">
        <v>4170</v>
      </c>
      <c r="K24" s="8"/>
      <c r="L24" s="8"/>
      <c r="M24" s="8"/>
    </row>
    <row r="25" spans="1:13" ht="65.099999999999994" customHeight="1" x14ac:dyDescent="0.25">
      <c r="A25" s="8" t="s">
        <v>4179</v>
      </c>
      <c r="B25" s="8" t="s">
        <v>125</v>
      </c>
      <c r="C25" s="8" t="s">
        <v>1056</v>
      </c>
      <c r="D25" s="8" t="s">
        <v>4180</v>
      </c>
      <c r="E25" s="8" t="s">
        <v>4168</v>
      </c>
      <c r="F25" s="8" t="s">
        <v>4169</v>
      </c>
      <c r="G25" s="10">
        <v>20</v>
      </c>
      <c r="H25" s="9" t="s">
        <v>352</v>
      </c>
      <c r="I25" s="8" t="s">
        <v>4105</v>
      </c>
      <c r="J25" s="8" t="s">
        <v>4170</v>
      </c>
      <c r="K25" s="8"/>
      <c r="L25" s="8"/>
      <c r="M25" s="8"/>
    </row>
    <row r="26" spans="1:13" ht="65.099999999999994" customHeight="1" x14ac:dyDescent="0.25">
      <c r="A26" s="8" t="s">
        <v>4181</v>
      </c>
      <c r="B26" s="8" t="s">
        <v>131</v>
      </c>
      <c r="C26" s="8" t="s">
        <v>1056</v>
      </c>
      <c r="D26" s="8" t="s">
        <v>4182</v>
      </c>
      <c r="E26" s="8" t="s">
        <v>4168</v>
      </c>
      <c r="F26" s="8" t="s">
        <v>4169</v>
      </c>
      <c r="G26" s="10">
        <v>20</v>
      </c>
      <c r="H26" s="9" t="s">
        <v>352</v>
      </c>
      <c r="I26" s="8" t="s">
        <v>4105</v>
      </c>
      <c r="J26" s="8" t="s">
        <v>4170</v>
      </c>
      <c r="K26" s="8"/>
      <c r="L26" s="8"/>
      <c r="M26" s="8"/>
    </row>
    <row r="27" spans="1:13" ht="78.95" customHeight="1" x14ac:dyDescent="0.25">
      <c r="A27" s="8" t="s">
        <v>4183</v>
      </c>
      <c r="B27" s="8" t="s">
        <v>136</v>
      </c>
      <c r="C27" s="8" t="s">
        <v>1056</v>
      </c>
      <c r="D27" s="8" t="s">
        <v>4184</v>
      </c>
      <c r="E27" s="8" t="s">
        <v>4168</v>
      </c>
      <c r="F27" s="8" t="s">
        <v>4169</v>
      </c>
      <c r="G27" s="10">
        <v>20</v>
      </c>
      <c r="H27" s="9" t="s">
        <v>352</v>
      </c>
      <c r="I27" s="8" t="s">
        <v>4105</v>
      </c>
      <c r="J27" s="8" t="s">
        <v>4170</v>
      </c>
      <c r="K27" s="8"/>
      <c r="L27" s="8"/>
      <c r="M27" s="8"/>
    </row>
    <row r="28" spans="1:13" ht="65.099999999999994" customHeight="1" x14ac:dyDescent="0.25">
      <c r="A28" s="8" t="s">
        <v>4185</v>
      </c>
      <c r="B28" s="8" t="s">
        <v>77</v>
      </c>
      <c r="C28" s="8" t="s">
        <v>1056</v>
      </c>
      <c r="D28" s="8" t="s">
        <v>4186</v>
      </c>
      <c r="E28" s="8" t="s">
        <v>4187</v>
      </c>
      <c r="F28" s="8" t="s">
        <v>4104</v>
      </c>
      <c r="G28" s="10">
        <v>20</v>
      </c>
      <c r="H28" s="9" t="s">
        <v>352</v>
      </c>
      <c r="I28" s="8" t="s">
        <v>4105</v>
      </c>
      <c r="J28" s="8" t="s">
        <v>4188</v>
      </c>
      <c r="K28" s="8"/>
      <c r="L28" s="8"/>
      <c r="M28" s="8"/>
    </row>
    <row r="29" spans="1:13" ht="65.099999999999994" customHeight="1" x14ac:dyDescent="0.25">
      <c r="A29" s="8" t="s">
        <v>4189</v>
      </c>
      <c r="B29" s="8" t="s">
        <v>85</v>
      </c>
      <c r="C29" s="8" t="s">
        <v>1056</v>
      </c>
      <c r="D29" s="8" t="s">
        <v>4190</v>
      </c>
      <c r="E29" s="8" t="s">
        <v>4109</v>
      </c>
      <c r="F29" s="8" t="s">
        <v>4104</v>
      </c>
      <c r="G29" s="10">
        <v>20</v>
      </c>
      <c r="H29" s="9" t="s">
        <v>352</v>
      </c>
      <c r="I29" s="8" t="s">
        <v>4105</v>
      </c>
      <c r="J29" s="8" t="s">
        <v>4188</v>
      </c>
      <c r="K29" s="8"/>
      <c r="L29" s="8"/>
      <c r="M29" s="8"/>
    </row>
    <row r="30" spans="1:13" ht="65.099999999999994" customHeight="1" x14ac:dyDescent="0.25">
      <c r="A30" s="8" t="s">
        <v>4191</v>
      </c>
      <c r="B30" s="8" t="s">
        <v>91</v>
      </c>
      <c r="C30" s="8" t="s">
        <v>1056</v>
      </c>
      <c r="D30" s="8" t="s">
        <v>4192</v>
      </c>
      <c r="E30" s="8" t="s">
        <v>4160</v>
      </c>
      <c r="F30" s="8" t="s">
        <v>4104</v>
      </c>
      <c r="G30" s="10">
        <v>20</v>
      </c>
      <c r="H30" s="9" t="s">
        <v>352</v>
      </c>
      <c r="I30" s="8" t="s">
        <v>4105</v>
      </c>
      <c r="J30" s="8" t="s">
        <v>4188</v>
      </c>
      <c r="K30" s="8"/>
      <c r="L30" s="8"/>
      <c r="M30" s="8"/>
    </row>
    <row r="31" spans="1:13" ht="65.099999999999994" customHeight="1" x14ac:dyDescent="0.25">
      <c r="A31" s="8" t="s">
        <v>4193</v>
      </c>
      <c r="B31" s="8" t="s">
        <v>96</v>
      </c>
      <c r="C31" s="8" t="s">
        <v>1056</v>
      </c>
      <c r="D31" s="8" t="s">
        <v>4194</v>
      </c>
      <c r="E31" s="8" t="s">
        <v>4195</v>
      </c>
      <c r="F31" s="8" t="s">
        <v>4104</v>
      </c>
      <c r="G31" s="10">
        <v>20</v>
      </c>
      <c r="H31" s="9" t="s">
        <v>352</v>
      </c>
      <c r="I31" s="8" t="s">
        <v>4105</v>
      </c>
      <c r="J31" s="8" t="s">
        <v>4188</v>
      </c>
      <c r="K31" s="8"/>
      <c r="L31" s="8"/>
      <c r="M31" s="8"/>
    </row>
    <row r="32" spans="1:13" ht="65.099999999999994" customHeight="1" x14ac:dyDescent="0.25">
      <c r="A32" s="8" t="s">
        <v>4196</v>
      </c>
      <c r="B32" s="8" t="s">
        <v>102</v>
      </c>
      <c r="C32" s="8" t="s">
        <v>1056</v>
      </c>
      <c r="D32" s="8" t="s">
        <v>4197</v>
      </c>
      <c r="E32" s="8" t="s">
        <v>4187</v>
      </c>
      <c r="F32" s="8" t="s">
        <v>4104</v>
      </c>
      <c r="G32" s="10">
        <v>20</v>
      </c>
      <c r="H32" s="9" t="s">
        <v>352</v>
      </c>
      <c r="I32" s="8" t="s">
        <v>4105</v>
      </c>
      <c r="J32" s="8" t="s">
        <v>4188</v>
      </c>
      <c r="K32" s="8"/>
      <c r="L32" s="8"/>
      <c r="M32" s="8"/>
    </row>
    <row r="33" spans="1:13" ht="78.95" customHeight="1" x14ac:dyDescent="0.25">
      <c r="A33" s="8" t="s">
        <v>4198</v>
      </c>
      <c r="B33" s="8" t="s">
        <v>108</v>
      </c>
      <c r="C33" s="8" t="s">
        <v>1056</v>
      </c>
      <c r="D33" s="8" t="s">
        <v>4199</v>
      </c>
      <c r="E33" s="8" t="s">
        <v>4195</v>
      </c>
      <c r="F33" s="8" t="s">
        <v>4104</v>
      </c>
      <c r="G33" s="10">
        <v>20</v>
      </c>
      <c r="H33" s="9" t="s">
        <v>352</v>
      </c>
      <c r="I33" s="8" t="s">
        <v>4105</v>
      </c>
      <c r="J33" s="8" t="s">
        <v>4188</v>
      </c>
      <c r="K33" s="8"/>
      <c r="L33" s="8"/>
      <c r="M33" s="8"/>
    </row>
    <row r="34" spans="1:13" ht="65.099999999999994" customHeight="1" x14ac:dyDescent="0.25">
      <c r="A34" s="8" t="s">
        <v>4200</v>
      </c>
      <c r="B34" s="8" t="s">
        <v>116</v>
      </c>
      <c r="C34" s="8" t="s">
        <v>1056</v>
      </c>
      <c r="D34" s="8" t="s">
        <v>4201</v>
      </c>
      <c r="E34" s="8" t="s">
        <v>4160</v>
      </c>
      <c r="F34" s="8" t="s">
        <v>4104</v>
      </c>
      <c r="G34" s="10">
        <v>20</v>
      </c>
      <c r="H34" s="9" t="s">
        <v>352</v>
      </c>
      <c r="I34" s="8" t="s">
        <v>4105</v>
      </c>
      <c r="J34" s="8" t="s">
        <v>4188</v>
      </c>
      <c r="K34" s="8"/>
      <c r="L34" s="8"/>
      <c r="M34" s="8"/>
    </row>
    <row r="35" spans="1:13" ht="65.099999999999994" customHeight="1" x14ac:dyDescent="0.25">
      <c r="A35" s="8" t="s">
        <v>4202</v>
      </c>
      <c r="B35" s="8" t="s">
        <v>121</v>
      </c>
      <c r="C35" s="8" t="s">
        <v>1056</v>
      </c>
      <c r="D35" s="8" t="s">
        <v>4203</v>
      </c>
      <c r="E35" s="8" t="s">
        <v>4109</v>
      </c>
      <c r="F35" s="8" t="s">
        <v>4104</v>
      </c>
      <c r="G35" s="10">
        <v>20</v>
      </c>
      <c r="H35" s="9" t="s">
        <v>352</v>
      </c>
      <c r="I35" s="8" t="s">
        <v>4105</v>
      </c>
      <c r="J35" s="8" t="s">
        <v>4188</v>
      </c>
      <c r="K35" s="8"/>
      <c r="L35" s="8"/>
      <c r="M35" s="8"/>
    </row>
    <row r="36" spans="1:13" ht="65.099999999999994" customHeight="1" x14ac:dyDescent="0.25">
      <c r="A36" s="8" t="s">
        <v>4204</v>
      </c>
      <c r="B36" s="8" t="s">
        <v>125</v>
      </c>
      <c r="C36" s="8" t="s">
        <v>1056</v>
      </c>
      <c r="D36" s="8" t="s">
        <v>4205</v>
      </c>
      <c r="E36" s="8" t="s">
        <v>4206</v>
      </c>
      <c r="F36" s="8" t="s">
        <v>4104</v>
      </c>
      <c r="G36" s="10">
        <v>20</v>
      </c>
      <c r="H36" s="9" t="s">
        <v>352</v>
      </c>
      <c r="I36" s="8" t="s">
        <v>4105</v>
      </c>
      <c r="J36" s="8" t="s">
        <v>4188</v>
      </c>
      <c r="K36" s="8"/>
      <c r="L36" s="8"/>
      <c r="M36" s="8"/>
    </row>
    <row r="37" spans="1:13" ht="65.099999999999994" customHeight="1" x14ac:dyDescent="0.25">
      <c r="A37" s="8" t="s">
        <v>4207</v>
      </c>
      <c r="B37" s="8" t="s">
        <v>131</v>
      </c>
      <c r="C37" s="8" t="s">
        <v>1056</v>
      </c>
      <c r="D37" s="8" t="s">
        <v>4208</v>
      </c>
      <c r="E37" s="8" t="s">
        <v>4160</v>
      </c>
      <c r="F37" s="8" t="s">
        <v>4104</v>
      </c>
      <c r="G37" s="10">
        <v>20</v>
      </c>
      <c r="H37" s="9" t="s">
        <v>352</v>
      </c>
      <c r="I37" s="8" t="s">
        <v>4105</v>
      </c>
      <c r="J37" s="8" t="s">
        <v>4188</v>
      </c>
      <c r="K37" s="8"/>
      <c r="L37" s="8"/>
      <c r="M37" s="8"/>
    </row>
    <row r="38" spans="1:13" ht="65.099999999999994" customHeight="1" x14ac:dyDescent="0.25">
      <c r="A38" s="8" t="s">
        <v>4209</v>
      </c>
      <c r="B38" s="8" t="s">
        <v>136</v>
      </c>
      <c r="C38" s="8" t="s">
        <v>1056</v>
      </c>
      <c r="D38" s="8" t="s">
        <v>4210</v>
      </c>
      <c r="E38" s="8" t="s">
        <v>4160</v>
      </c>
      <c r="F38" s="8" t="s">
        <v>4104</v>
      </c>
      <c r="G38" s="10">
        <v>20</v>
      </c>
      <c r="H38" s="9" t="s">
        <v>352</v>
      </c>
      <c r="I38" s="8" t="s">
        <v>4105</v>
      </c>
      <c r="J38" s="8" t="s">
        <v>4188</v>
      </c>
      <c r="K38" s="8"/>
      <c r="L38" s="8"/>
      <c r="M38" s="8"/>
    </row>
    <row r="39" spans="1:13" ht="65.099999999999994" customHeight="1" x14ac:dyDescent="0.25">
      <c r="A39" s="8" t="s">
        <v>4211</v>
      </c>
      <c r="B39" s="8" t="s">
        <v>85</v>
      </c>
      <c r="C39" s="8" t="s">
        <v>1056</v>
      </c>
      <c r="D39" s="8" t="s">
        <v>4212</v>
      </c>
      <c r="E39" s="8" t="s">
        <v>4187</v>
      </c>
      <c r="F39" s="8" t="s">
        <v>4104</v>
      </c>
      <c r="G39" s="10">
        <v>20</v>
      </c>
      <c r="H39" s="9" t="s">
        <v>352</v>
      </c>
      <c r="I39" s="8" t="s">
        <v>4105</v>
      </c>
      <c r="J39" s="8" t="s">
        <v>4213</v>
      </c>
      <c r="K39" s="8"/>
      <c r="L39" s="8"/>
      <c r="M39" s="8"/>
    </row>
  </sheetData>
  <dataValidations count="1">
    <dataValidation type="list" showErrorMessage="1" errorTitle="Controlled value required" error="Select a defined value; do not invent a tag." sqref="H2:H500" xr:uid="{00000000-0002-0000-1300-000000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8354A"/>
    <outlinePr summaryBelow="0" summaryRight="0"/>
    <pageSetUpPr fitToPage="1"/>
  </sheetPr>
  <dimension ref="A1:K17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27" customWidth="1"/>
    <col min="3" max="3" width="38" customWidth="1"/>
    <col min="4" max="6" width="32" customWidth="1"/>
    <col min="7" max="7" width="27" customWidth="1"/>
    <col min="8" max="8" width="61" customWidth="1"/>
    <col min="9" max="11" width="27" customWidth="1"/>
  </cols>
  <sheetData>
    <row r="1" spans="1:11" ht="42.95" customHeight="1" x14ac:dyDescent="0.25">
      <c r="A1" s="7" t="s">
        <v>4214</v>
      </c>
      <c r="B1" s="7" t="s">
        <v>4215</v>
      </c>
      <c r="C1" s="7" t="s">
        <v>4216</v>
      </c>
      <c r="D1" s="7" t="s">
        <v>4217</v>
      </c>
      <c r="E1" s="7" t="s">
        <v>4098</v>
      </c>
      <c r="F1" s="7" t="s">
        <v>3912</v>
      </c>
      <c r="G1" s="7" t="s">
        <v>4218</v>
      </c>
      <c r="H1" s="7" t="s">
        <v>151</v>
      </c>
      <c r="I1" s="7" t="s">
        <v>4219</v>
      </c>
      <c r="J1" s="7" t="s">
        <v>4220</v>
      </c>
      <c r="K1" s="7" t="s">
        <v>4221</v>
      </c>
    </row>
    <row r="2" spans="1:11" ht="36.950000000000003" customHeight="1" x14ac:dyDescent="0.25">
      <c r="A2" s="8" t="s">
        <v>4222</v>
      </c>
      <c r="B2" s="8" t="s">
        <v>4223</v>
      </c>
      <c r="C2" s="8" t="s">
        <v>4224</v>
      </c>
      <c r="D2" s="8" t="s">
        <v>1235</v>
      </c>
      <c r="E2" s="8" t="s">
        <v>4225</v>
      </c>
      <c r="F2" s="8" t="s">
        <v>398</v>
      </c>
      <c r="G2" s="8" t="s">
        <v>4226</v>
      </c>
      <c r="H2" s="8" t="s">
        <v>4227</v>
      </c>
      <c r="I2" s="8" t="s">
        <v>351</v>
      </c>
      <c r="J2" s="8" t="s">
        <v>4228</v>
      </c>
      <c r="K2" s="15" t="s">
        <v>1685</v>
      </c>
    </row>
    <row r="3" spans="1:11" ht="51" customHeight="1" x14ac:dyDescent="0.25">
      <c r="A3" s="8" t="s">
        <v>4229</v>
      </c>
      <c r="B3" s="8" t="s">
        <v>4223</v>
      </c>
      <c r="C3" s="8" t="s">
        <v>4230</v>
      </c>
      <c r="D3" s="8" t="s">
        <v>999</v>
      </c>
      <c r="E3" s="8" t="s">
        <v>4231</v>
      </c>
      <c r="F3" s="8" t="s">
        <v>4232</v>
      </c>
      <c r="G3" s="8" t="s">
        <v>4226</v>
      </c>
      <c r="H3" s="8" t="s">
        <v>4233</v>
      </c>
      <c r="I3" s="8" t="s">
        <v>351</v>
      </c>
      <c r="J3" s="8" t="s">
        <v>4228</v>
      </c>
      <c r="K3" s="15" t="s">
        <v>1685</v>
      </c>
    </row>
    <row r="4" spans="1:11" ht="51" customHeight="1" x14ac:dyDescent="0.25">
      <c r="A4" s="8" t="s">
        <v>4234</v>
      </c>
      <c r="B4" s="8" t="s">
        <v>4223</v>
      </c>
      <c r="C4" s="8" t="s">
        <v>588</v>
      </c>
      <c r="D4" s="8" t="s">
        <v>588</v>
      </c>
      <c r="E4" s="8" t="s">
        <v>4235</v>
      </c>
      <c r="F4" s="8" t="s">
        <v>4236</v>
      </c>
      <c r="G4" s="8" t="s">
        <v>4226</v>
      </c>
      <c r="H4" s="8" t="s">
        <v>4237</v>
      </c>
      <c r="I4" s="8" t="s">
        <v>351</v>
      </c>
      <c r="J4" s="8" t="s">
        <v>4228</v>
      </c>
      <c r="K4" s="15" t="s">
        <v>1685</v>
      </c>
    </row>
    <row r="5" spans="1:11" ht="36.950000000000003" customHeight="1" x14ac:dyDescent="0.25">
      <c r="A5" s="8" t="s">
        <v>4238</v>
      </c>
      <c r="B5" s="8" t="s">
        <v>4223</v>
      </c>
      <c r="C5" s="8" t="s">
        <v>4239</v>
      </c>
      <c r="D5" s="8" t="s">
        <v>1148</v>
      </c>
      <c r="E5" s="8" t="s">
        <v>4240</v>
      </c>
      <c r="F5" s="8" t="s">
        <v>4241</v>
      </c>
      <c r="G5" s="8" t="s">
        <v>4226</v>
      </c>
      <c r="H5" s="8" t="s">
        <v>4242</v>
      </c>
      <c r="I5" s="8" t="s">
        <v>351</v>
      </c>
      <c r="J5" s="8" t="s">
        <v>4228</v>
      </c>
      <c r="K5" s="15" t="s">
        <v>1685</v>
      </c>
    </row>
    <row r="6" spans="1:11" ht="36.950000000000003" customHeight="1" x14ac:dyDescent="0.25">
      <c r="A6" s="8" t="s">
        <v>4243</v>
      </c>
      <c r="B6" s="8" t="s">
        <v>4223</v>
      </c>
      <c r="C6" s="8" t="s">
        <v>4244</v>
      </c>
      <c r="D6" s="8" t="s">
        <v>381</v>
      </c>
      <c r="E6" s="8" t="s">
        <v>4245</v>
      </c>
      <c r="F6" s="8" t="s">
        <v>4246</v>
      </c>
      <c r="G6" s="8" t="s">
        <v>4226</v>
      </c>
      <c r="H6" s="8" t="s">
        <v>4247</v>
      </c>
      <c r="I6" s="8" t="s">
        <v>351</v>
      </c>
      <c r="J6" s="8" t="s">
        <v>4228</v>
      </c>
      <c r="K6" s="15" t="s">
        <v>1685</v>
      </c>
    </row>
    <row r="7" spans="1:11" ht="36.950000000000003" customHeight="1" x14ac:dyDescent="0.25">
      <c r="A7" s="8" t="s">
        <v>4248</v>
      </c>
      <c r="B7" s="8" t="s">
        <v>4223</v>
      </c>
      <c r="C7" s="8" t="s">
        <v>4249</v>
      </c>
      <c r="D7" s="8" t="s">
        <v>4250</v>
      </c>
      <c r="E7" s="8" t="s">
        <v>4251</v>
      </c>
      <c r="F7" s="8" t="s">
        <v>4252</v>
      </c>
      <c r="G7" s="8" t="s">
        <v>4226</v>
      </c>
      <c r="H7" s="8" t="s">
        <v>4253</v>
      </c>
      <c r="I7" s="8" t="s">
        <v>351</v>
      </c>
      <c r="J7" s="8" t="s">
        <v>4228</v>
      </c>
      <c r="K7" s="15" t="s">
        <v>1685</v>
      </c>
    </row>
    <row r="8" spans="1:11" ht="36.950000000000003" customHeight="1" x14ac:dyDescent="0.25">
      <c r="A8" s="8" t="s">
        <v>4254</v>
      </c>
      <c r="B8" s="8" t="s">
        <v>4223</v>
      </c>
      <c r="C8" s="8" t="s">
        <v>4255</v>
      </c>
      <c r="D8" s="8" t="s">
        <v>4256</v>
      </c>
      <c r="E8" s="8" t="s">
        <v>4257</v>
      </c>
      <c r="F8" s="8" t="s">
        <v>949</v>
      </c>
      <c r="G8" s="8" t="s">
        <v>4226</v>
      </c>
      <c r="H8" s="8" t="s">
        <v>4258</v>
      </c>
      <c r="I8" s="8" t="s">
        <v>351</v>
      </c>
      <c r="J8" s="8" t="s">
        <v>4228</v>
      </c>
      <c r="K8" s="15" t="s">
        <v>1685</v>
      </c>
    </row>
    <row r="9" spans="1:11" ht="36.950000000000003" customHeight="1" x14ac:dyDescent="0.25">
      <c r="A9" s="8" t="s">
        <v>4259</v>
      </c>
      <c r="B9" s="8" t="s">
        <v>4223</v>
      </c>
      <c r="C9" s="8" t="s">
        <v>4260</v>
      </c>
      <c r="D9" s="8" t="s">
        <v>4261</v>
      </c>
      <c r="E9" s="8" t="s">
        <v>4262</v>
      </c>
      <c r="F9" s="8" t="s">
        <v>4263</v>
      </c>
      <c r="G9" s="8" t="s">
        <v>4226</v>
      </c>
      <c r="H9" s="8" t="s">
        <v>4264</v>
      </c>
      <c r="I9" s="8" t="s">
        <v>351</v>
      </c>
      <c r="J9" s="8" t="s">
        <v>4228</v>
      </c>
      <c r="K9" s="15" t="s">
        <v>1685</v>
      </c>
    </row>
    <row r="10" spans="1:11" ht="36.950000000000003" customHeight="1" x14ac:dyDescent="0.25">
      <c r="A10" s="8" t="s">
        <v>4265</v>
      </c>
      <c r="B10" s="8" t="s">
        <v>4223</v>
      </c>
      <c r="C10" s="8" t="s">
        <v>4266</v>
      </c>
      <c r="D10" s="8" t="s">
        <v>4267</v>
      </c>
      <c r="E10" s="8" t="s">
        <v>4268</v>
      </c>
      <c r="F10" s="8" t="s">
        <v>898</v>
      </c>
      <c r="G10" s="8" t="s">
        <v>4226</v>
      </c>
      <c r="H10" s="8" t="s">
        <v>4269</v>
      </c>
      <c r="I10" s="8" t="s">
        <v>351</v>
      </c>
      <c r="J10" s="8" t="s">
        <v>4228</v>
      </c>
      <c r="K10" s="15" t="s">
        <v>1685</v>
      </c>
    </row>
    <row r="11" spans="1:11" ht="36.950000000000003" customHeight="1" x14ac:dyDescent="0.25">
      <c r="A11" s="8" t="s">
        <v>4270</v>
      </c>
      <c r="B11" s="8" t="s">
        <v>4271</v>
      </c>
      <c r="C11" s="8" t="s">
        <v>4272</v>
      </c>
      <c r="D11" s="8" t="s">
        <v>513</v>
      </c>
      <c r="E11" s="8" t="s">
        <v>4273</v>
      </c>
      <c r="F11" s="8" t="s">
        <v>4274</v>
      </c>
      <c r="G11" s="8" t="s">
        <v>4226</v>
      </c>
      <c r="H11" s="8" t="s">
        <v>4275</v>
      </c>
      <c r="I11" s="8" t="s">
        <v>351</v>
      </c>
      <c r="J11" s="8" t="s">
        <v>4276</v>
      </c>
      <c r="K11" s="15" t="s">
        <v>1685</v>
      </c>
    </row>
    <row r="12" spans="1:11" ht="36.950000000000003" customHeight="1" x14ac:dyDescent="0.25">
      <c r="A12" s="8" t="s">
        <v>4277</v>
      </c>
      <c r="B12" s="8" t="s">
        <v>4271</v>
      </c>
      <c r="C12" s="8" t="s">
        <v>4278</v>
      </c>
      <c r="D12" s="8" t="s">
        <v>382</v>
      </c>
      <c r="E12" s="8" t="s">
        <v>4279</v>
      </c>
      <c r="F12" s="8" t="s">
        <v>4280</v>
      </c>
      <c r="G12" s="8" t="s">
        <v>4226</v>
      </c>
      <c r="H12" s="8" t="s">
        <v>4281</v>
      </c>
      <c r="I12" s="8" t="s">
        <v>351</v>
      </c>
      <c r="J12" s="8" t="s">
        <v>4276</v>
      </c>
      <c r="K12" s="15" t="s">
        <v>1685</v>
      </c>
    </row>
    <row r="13" spans="1:11" ht="51" customHeight="1" x14ac:dyDescent="0.25">
      <c r="A13" s="8" t="s">
        <v>4282</v>
      </c>
      <c r="B13" s="8" t="s">
        <v>4271</v>
      </c>
      <c r="C13" s="8" t="s">
        <v>4283</v>
      </c>
      <c r="D13" s="8" t="s">
        <v>4284</v>
      </c>
      <c r="E13" s="8" t="s">
        <v>4285</v>
      </c>
      <c r="F13" s="8" t="s">
        <v>4286</v>
      </c>
      <c r="G13" s="8" t="s">
        <v>4226</v>
      </c>
      <c r="H13" s="8" t="s">
        <v>4287</v>
      </c>
      <c r="I13" s="8" t="s">
        <v>351</v>
      </c>
      <c r="J13" s="8" t="s">
        <v>4276</v>
      </c>
      <c r="K13" s="15" t="s">
        <v>1685</v>
      </c>
    </row>
    <row r="14" spans="1:11" ht="36.950000000000003" customHeight="1" x14ac:dyDescent="0.25">
      <c r="A14" s="8" t="s">
        <v>4288</v>
      </c>
      <c r="B14" s="8" t="s">
        <v>4271</v>
      </c>
      <c r="C14" s="8" t="s">
        <v>4289</v>
      </c>
      <c r="D14" s="8" t="s">
        <v>373</v>
      </c>
      <c r="E14" s="8" t="s">
        <v>4290</v>
      </c>
      <c r="F14" s="8" t="s">
        <v>4291</v>
      </c>
      <c r="G14" s="8" t="s">
        <v>4226</v>
      </c>
      <c r="H14" s="8" t="s">
        <v>4292</v>
      </c>
      <c r="I14" s="8" t="s">
        <v>351</v>
      </c>
      <c r="J14" s="8" t="s">
        <v>4276</v>
      </c>
      <c r="K14" s="15" t="s">
        <v>1685</v>
      </c>
    </row>
    <row r="15" spans="1:11" ht="51" customHeight="1" x14ac:dyDescent="0.25">
      <c r="A15" s="8" t="s">
        <v>4293</v>
      </c>
      <c r="B15" s="8" t="s">
        <v>4271</v>
      </c>
      <c r="C15" s="8" t="s">
        <v>4294</v>
      </c>
      <c r="D15" s="8" t="s">
        <v>543</v>
      </c>
      <c r="E15" s="8" t="s">
        <v>4295</v>
      </c>
      <c r="F15" s="8" t="s">
        <v>4296</v>
      </c>
      <c r="G15" s="8" t="s">
        <v>4226</v>
      </c>
      <c r="H15" s="8" t="s">
        <v>4297</v>
      </c>
      <c r="I15" s="8" t="s">
        <v>351</v>
      </c>
      <c r="J15" s="8" t="s">
        <v>4276</v>
      </c>
      <c r="K15" s="15" t="s">
        <v>1685</v>
      </c>
    </row>
    <row r="16" spans="1:11" ht="36.950000000000003" customHeight="1" x14ac:dyDescent="0.25">
      <c r="A16" s="8" t="s">
        <v>4298</v>
      </c>
      <c r="B16" s="8" t="s">
        <v>4271</v>
      </c>
      <c r="C16" s="8" t="s">
        <v>4299</v>
      </c>
      <c r="D16" s="8" t="s">
        <v>409</v>
      </c>
      <c r="E16" s="8" t="s">
        <v>4300</v>
      </c>
      <c r="F16" s="8" t="s">
        <v>4301</v>
      </c>
      <c r="G16" s="8" t="s">
        <v>4226</v>
      </c>
      <c r="H16" s="8" t="s">
        <v>4302</v>
      </c>
      <c r="I16" s="8" t="s">
        <v>351</v>
      </c>
      <c r="J16" s="8" t="s">
        <v>4276</v>
      </c>
      <c r="K16" s="15" t="s">
        <v>1685</v>
      </c>
    </row>
    <row r="17" spans="1:11" ht="36.950000000000003" customHeight="1" x14ac:dyDescent="0.25">
      <c r="A17" s="8" t="s">
        <v>4303</v>
      </c>
      <c r="B17" s="8" t="s">
        <v>4271</v>
      </c>
      <c r="C17" s="8" t="s">
        <v>4304</v>
      </c>
      <c r="D17" s="8" t="s">
        <v>801</v>
      </c>
      <c r="E17" s="8" t="s">
        <v>4305</v>
      </c>
      <c r="F17" s="8" t="s">
        <v>4306</v>
      </c>
      <c r="G17" s="8" t="s">
        <v>4226</v>
      </c>
      <c r="H17" s="8" t="s">
        <v>4307</v>
      </c>
      <c r="I17" s="8" t="s">
        <v>351</v>
      </c>
      <c r="J17" s="8" t="s">
        <v>4276</v>
      </c>
      <c r="K17" s="15" t="s">
        <v>1685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8354A"/>
    <outlinePr summaryBelow="0" summaryRight="0"/>
    <pageSetUpPr fitToPage="1"/>
  </sheetPr>
  <dimension ref="A1:J168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27" customWidth="1"/>
    <col min="3" max="3" width="29" customWidth="1"/>
    <col min="4" max="4" width="27" customWidth="1"/>
    <col min="5" max="5" width="61" customWidth="1"/>
    <col min="6" max="6" width="27" customWidth="1"/>
    <col min="7" max="7" width="20" customWidth="1"/>
    <col min="8" max="8" width="52" customWidth="1"/>
    <col min="9" max="10" width="27" customWidth="1"/>
  </cols>
  <sheetData>
    <row r="1" spans="1:10" ht="42.95" customHeight="1" x14ac:dyDescent="0.25">
      <c r="A1" s="7" t="s">
        <v>4308</v>
      </c>
      <c r="B1" s="7" t="s">
        <v>4309</v>
      </c>
      <c r="C1" s="7" t="s">
        <v>326</v>
      </c>
      <c r="D1" s="7" t="s">
        <v>4310</v>
      </c>
      <c r="E1" s="7" t="s">
        <v>4311</v>
      </c>
      <c r="F1" s="7" t="s">
        <v>4312</v>
      </c>
      <c r="G1" s="7" t="s">
        <v>238</v>
      </c>
      <c r="H1" s="7" t="s">
        <v>340</v>
      </c>
      <c r="I1" s="7" t="s">
        <v>4221</v>
      </c>
      <c r="J1" s="7" t="s">
        <v>3260</v>
      </c>
    </row>
    <row r="2" spans="1:10" ht="36.950000000000003" customHeight="1" x14ac:dyDescent="0.25">
      <c r="A2" s="8" t="s">
        <v>4313</v>
      </c>
      <c r="B2" s="8" t="s">
        <v>4314</v>
      </c>
      <c r="C2" s="8" t="s">
        <v>2265</v>
      </c>
      <c r="D2" s="8" t="s">
        <v>4315</v>
      </c>
      <c r="E2" s="8" t="s">
        <v>4316</v>
      </c>
      <c r="F2" s="8" t="s">
        <v>4317</v>
      </c>
      <c r="G2" s="14" t="s">
        <v>4318</v>
      </c>
      <c r="H2" s="11" t="s">
        <v>3445</v>
      </c>
      <c r="I2" s="15" t="s">
        <v>1685</v>
      </c>
      <c r="J2" s="8" t="s">
        <v>3275</v>
      </c>
    </row>
    <row r="3" spans="1:10" ht="36.950000000000003" customHeight="1" x14ac:dyDescent="0.25">
      <c r="A3" s="8" t="s">
        <v>4319</v>
      </c>
      <c r="B3" s="8" t="s">
        <v>4320</v>
      </c>
      <c r="C3" s="8" t="s">
        <v>1852</v>
      </c>
      <c r="D3" s="8" t="s">
        <v>4315</v>
      </c>
      <c r="E3" s="8" t="s">
        <v>4321</v>
      </c>
      <c r="F3" s="8" t="s">
        <v>4322</v>
      </c>
      <c r="G3" s="14" t="s">
        <v>4318</v>
      </c>
      <c r="H3" s="11" t="s">
        <v>3382</v>
      </c>
      <c r="I3" s="15" t="s">
        <v>1685</v>
      </c>
      <c r="J3" s="8" t="s">
        <v>3275</v>
      </c>
    </row>
    <row r="4" spans="1:10" ht="36.950000000000003" customHeight="1" x14ac:dyDescent="0.25">
      <c r="A4" s="8" t="s">
        <v>4323</v>
      </c>
      <c r="B4" s="8" t="s">
        <v>4320</v>
      </c>
      <c r="C4" s="8" t="s">
        <v>1857</v>
      </c>
      <c r="D4" s="8" t="s">
        <v>4315</v>
      </c>
      <c r="E4" s="8" t="s">
        <v>4321</v>
      </c>
      <c r="F4" s="8" t="s">
        <v>4322</v>
      </c>
      <c r="G4" s="14" t="s">
        <v>4318</v>
      </c>
      <c r="H4" s="11" t="s">
        <v>3383</v>
      </c>
      <c r="I4" s="15" t="s">
        <v>1685</v>
      </c>
      <c r="J4" s="8" t="s">
        <v>3275</v>
      </c>
    </row>
    <row r="5" spans="1:10" ht="36.950000000000003" customHeight="1" x14ac:dyDescent="0.25">
      <c r="A5" s="8" t="s">
        <v>4324</v>
      </c>
      <c r="B5" s="8" t="s">
        <v>4320</v>
      </c>
      <c r="C5" s="8" t="s">
        <v>1864</v>
      </c>
      <c r="D5" s="8" t="s">
        <v>4315</v>
      </c>
      <c r="E5" s="8" t="s">
        <v>4321</v>
      </c>
      <c r="F5" s="8" t="s">
        <v>4322</v>
      </c>
      <c r="G5" s="14" t="s">
        <v>4318</v>
      </c>
      <c r="H5" s="11" t="s">
        <v>3384</v>
      </c>
      <c r="I5" s="15" t="s">
        <v>1685</v>
      </c>
      <c r="J5" s="8" t="s">
        <v>3275</v>
      </c>
    </row>
    <row r="6" spans="1:10" ht="36.950000000000003" customHeight="1" x14ac:dyDescent="0.25">
      <c r="A6" s="8" t="s">
        <v>4325</v>
      </c>
      <c r="B6" s="8" t="s">
        <v>4320</v>
      </c>
      <c r="C6" s="8" t="s">
        <v>1902</v>
      </c>
      <c r="D6" s="8" t="s">
        <v>4315</v>
      </c>
      <c r="E6" s="8" t="s">
        <v>4321</v>
      </c>
      <c r="F6" s="8" t="s">
        <v>4322</v>
      </c>
      <c r="G6" s="14" t="s">
        <v>4318</v>
      </c>
      <c r="H6" s="11" t="s">
        <v>3390</v>
      </c>
      <c r="I6" s="15" t="s">
        <v>1685</v>
      </c>
      <c r="J6" s="8" t="s">
        <v>3275</v>
      </c>
    </row>
    <row r="7" spans="1:10" ht="36.950000000000003" customHeight="1" x14ac:dyDescent="0.25">
      <c r="A7" s="8" t="s">
        <v>4326</v>
      </c>
      <c r="B7" s="8" t="s">
        <v>4320</v>
      </c>
      <c r="C7" s="8" t="s">
        <v>2071</v>
      </c>
      <c r="D7" s="8" t="s">
        <v>4315</v>
      </c>
      <c r="E7" s="8" t="s">
        <v>4321</v>
      </c>
      <c r="F7" s="8" t="s">
        <v>4322</v>
      </c>
      <c r="G7" s="14" t="s">
        <v>4318</v>
      </c>
      <c r="H7" s="11" t="s">
        <v>3418</v>
      </c>
      <c r="I7" s="15" t="s">
        <v>1685</v>
      </c>
      <c r="J7" s="8" t="s">
        <v>3275</v>
      </c>
    </row>
    <row r="8" spans="1:10" ht="36.950000000000003" customHeight="1" x14ac:dyDescent="0.25">
      <c r="A8" s="8" t="s">
        <v>4327</v>
      </c>
      <c r="B8" s="8" t="s">
        <v>4328</v>
      </c>
      <c r="C8" s="8" t="s">
        <v>2539</v>
      </c>
      <c r="D8" s="8" t="s">
        <v>4315</v>
      </c>
      <c r="E8" s="8" t="s">
        <v>4329</v>
      </c>
      <c r="F8" s="8" t="s">
        <v>4330</v>
      </c>
      <c r="G8" s="14" t="s">
        <v>4318</v>
      </c>
      <c r="H8" s="11" t="s">
        <v>3524</v>
      </c>
      <c r="I8" s="15" t="s">
        <v>1685</v>
      </c>
      <c r="J8" s="8" t="s">
        <v>3275</v>
      </c>
    </row>
    <row r="9" spans="1:10" ht="51" customHeight="1" x14ac:dyDescent="0.25">
      <c r="A9" s="8" t="s">
        <v>4331</v>
      </c>
      <c r="B9" s="8" t="s">
        <v>4332</v>
      </c>
      <c r="C9" s="8" t="s">
        <v>4333</v>
      </c>
      <c r="D9" s="8" t="s">
        <v>4315</v>
      </c>
      <c r="E9" s="8" t="s">
        <v>4334</v>
      </c>
      <c r="F9" s="8" t="s">
        <v>4335</v>
      </c>
      <c r="G9" s="14" t="s">
        <v>4318</v>
      </c>
      <c r="H9" s="11"/>
      <c r="I9" s="15" t="s">
        <v>1685</v>
      </c>
      <c r="J9" s="8" t="s">
        <v>3275</v>
      </c>
    </row>
    <row r="10" spans="1:10" ht="51" customHeight="1" x14ac:dyDescent="0.25">
      <c r="A10" s="8" t="s">
        <v>4336</v>
      </c>
      <c r="B10" s="8" t="s">
        <v>4337</v>
      </c>
      <c r="C10" s="8" t="s">
        <v>4338</v>
      </c>
      <c r="D10" s="8" t="s">
        <v>4315</v>
      </c>
      <c r="E10" s="8" t="s">
        <v>4339</v>
      </c>
      <c r="F10" s="8" t="s">
        <v>4340</v>
      </c>
      <c r="G10" s="14" t="s">
        <v>4318</v>
      </c>
      <c r="H10" s="11"/>
      <c r="I10" s="15" t="s">
        <v>1685</v>
      </c>
      <c r="J10" s="8" t="s">
        <v>3275</v>
      </c>
    </row>
    <row r="11" spans="1:10" ht="51" customHeight="1" x14ac:dyDescent="0.25">
      <c r="A11" s="8" t="s">
        <v>4341</v>
      </c>
      <c r="B11" s="8" t="s">
        <v>4342</v>
      </c>
      <c r="C11" s="8" t="s">
        <v>2098</v>
      </c>
      <c r="D11" s="8" t="s">
        <v>4343</v>
      </c>
      <c r="E11" s="8" t="s">
        <v>4344</v>
      </c>
      <c r="F11" s="8" t="s">
        <v>4345</v>
      </c>
      <c r="G11" s="14" t="s">
        <v>4318</v>
      </c>
      <c r="H11" s="11"/>
      <c r="I11" s="15" t="s">
        <v>1685</v>
      </c>
      <c r="J11" s="8" t="s">
        <v>3275</v>
      </c>
    </row>
    <row r="12" spans="1:10" ht="65.099999999999994" customHeight="1" x14ac:dyDescent="0.25">
      <c r="A12" s="8" t="s">
        <v>4346</v>
      </c>
      <c r="B12" s="8" t="s">
        <v>4347</v>
      </c>
      <c r="C12" s="8" t="s">
        <v>4348</v>
      </c>
      <c r="D12" s="8" t="s">
        <v>4343</v>
      </c>
      <c r="E12" s="8" t="s">
        <v>4349</v>
      </c>
      <c r="F12" s="8" t="s">
        <v>4350</v>
      </c>
      <c r="G12" s="14" t="s">
        <v>4318</v>
      </c>
      <c r="H12" s="11"/>
      <c r="I12" s="15" t="s">
        <v>1685</v>
      </c>
      <c r="J12" s="8" t="s">
        <v>3275</v>
      </c>
    </row>
    <row r="13" spans="1:10" ht="51" customHeight="1" x14ac:dyDescent="0.25">
      <c r="A13" s="8" t="s">
        <v>4351</v>
      </c>
      <c r="B13" s="8" t="s">
        <v>4352</v>
      </c>
      <c r="C13" s="8" t="s">
        <v>4353</v>
      </c>
      <c r="D13" s="8" t="s">
        <v>4315</v>
      </c>
      <c r="E13" s="8" t="s">
        <v>4354</v>
      </c>
      <c r="F13" s="8" t="s">
        <v>4355</v>
      </c>
      <c r="G13" s="14" t="s">
        <v>4318</v>
      </c>
      <c r="H13" s="11" t="s">
        <v>3237</v>
      </c>
      <c r="I13" s="15" t="s">
        <v>1685</v>
      </c>
      <c r="J13" s="8" t="s">
        <v>4356</v>
      </c>
    </row>
    <row r="14" spans="1:10" ht="78.95" customHeight="1" x14ac:dyDescent="0.25">
      <c r="A14" s="8" t="s">
        <v>4357</v>
      </c>
      <c r="B14" s="8" t="s">
        <v>309</v>
      </c>
      <c r="C14" s="8" t="s">
        <v>886</v>
      </c>
      <c r="D14" s="8" t="s">
        <v>4343</v>
      </c>
      <c r="E14" s="8" t="s">
        <v>4358</v>
      </c>
      <c r="F14" s="8" t="s">
        <v>4359</v>
      </c>
      <c r="G14" s="14" t="s">
        <v>4318</v>
      </c>
      <c r="H14" s="11" t="s">
        <v>3192</v>
      </c>
      <c r="I14" s="15" t="s">
        <v>1685</v>
      </c>
      <c r="J14" s="8" t="s">
        <v>4360</v>
      </c>
    </row>
    <row r="15" spans="1:10" ht="78.95" customHeight="1" x14ac:dyDescent="0.25">
      <c r="A15" s="8" t="s">
        <v>4361</v>
      </c>
      <c r="B15" s="8" t="s">
        <v>4362</v>
      </c>
      <c r="C15" s="8" t="s">
        <v>1201</v>
      </c>
      <c r="D15" s="8" t="s">
        <v>4363</v>
      </c>
      <c r="E15" s="8" t="s">
        <v>4364</v>
      </c>
      <c r="F15" s="8" t="s">
        <v>4365</v>
      </c>
      <c r="G15" s="14" t="s">
        <v>4318</v>
      </c>
      <c r="H15" s="11"/>
      <c r="I15" s="15" t="s">
        <v>1685</v>
      </c>
      <c r="J15" s="8" t="s">
        <v>3275</v>
      </c>
    </row>
    <row r="16" spans="1:10" ht="78.95" customHeight="1" x14ac:dyDescent="0.25">
      <c r="A16" s="8" t="s">
        <v>4366</v>
      </c>
      <c r="B16" s="8" t="s">
        <v>4362</v>
      </c>
      <c r="C16" s="8" t="s">
        <v>1072</v>
      </c>
      <c r="D16" s="8" t="s">
        <v>4363</v>
      </c>
      <c r="E16" s="8" t="s">
        <v>4364</v>
      </c>
      <c r="F16" s="8" t="s">
        <v>4365</v>
      </c>
      <c r="G16" s="14" t="s">
        <v>4318</v>
      </c>
      <c r="H16" s="11"/>
      <c r="I16" s="15" t="s">
        <v>1685</v>
      </c>
      <c r="J16" s="8" t="s">
        <v>3275</v>
      </c>
    </row>
    <row r="17" spans="1:10" ht="78.95" customHeight="1" x14ac:dyDescent="0.25">
      <c r="A17" s="8" t="s">
        <v>4367</v>
      </c>
      <c r="B17" s="8" t="s">
        <v>4362</v>
      </c>
      <c r="C17" s="8" t="s">
        <v>1174</v>
      </c>
      <c r="D17" s="8" t="s">
        <v>4363</v>
      </c>
      <c r="E17" s="8" t="s">
        <v>4364</v>
      </c>
      <c r="F17" s="8" t="s">
        <v>4365</v>
      </c>
      <c r="G17" s="14" t="s">
        <v>4318</v>
      </c>
      <c r="H17" s="11"/>
      <c r="I17" s="15" t="s">
        <v>1685</v>
      </c>
      <c r="J17" s="8" t="s">
        <v>3275</v>
      </c>
    </row>
    <row r="18" spans="1:10" ht="78.95" customHeight="1" x14ac:dyDescent="0.25">
      <c r="A18" s="8" t="s">
        <v>4368</v>
      </c>
      <c r="B18" s="8" t="s">
        <v>4362</v>
      </c>
      <c r="C18" s="8" t="s">
        <v>1151</v>
      </c>
      <c r="D18" s="8" t="s">
        <v>4363</v>
      </c>
      <c r="E18" s="8" t="s">
        <v>4364</v>
      </c>
      <c r="F18" s="8" t="s">
        <v>4365</v>
      </c>
      <c r="G18" s="14" t="s">
        <v>4318</v>
      </c>
      <c r="H18" s="11"/>
      <c r="I18" s="15" t="s">
        <v>1685</v>
      </c>
      <c r="J18" s="8" t="s">
        <v>3275</v>
      </c>
    </row>
    <row r="19" spans="1:10" ht="78.95" customHeight="1" x14ac:dyDescent="0.25">
      <c r="A19" s="8" t="s">
        <v>4369</v>
      </c>
      <c r="B19" s="8" t="s">
        <v>4362</v>
      </c>
      <c r="C19" s="8" t="s">
        <v>1108</v>
      </c>
      <c r="D19" s="8" t="s">
        <v>4363</v>
      </c>
      <c r="E19" s="8" t="s">
        <v>4364</v>
      </c>
      <c r="F19" s="8" t="s">
        <v>4365</v>
      </c>
      <c r="G19" s="14" t="s">
        <v>4318</v>
      </c>
      <c r="H19" s="11"/>
      <c r="I19" s="15" t="s">
        <v>1685</v>
      </c>
      <c r="J19" s="8" t="s">
        <v>3275</v>
      </c>
    </row>
    <row r="20" spans="1:10" ht="78.95" customHeight="1" x14ac:dyDescent="0.25">
      <c r="A20" s="8" t="s">
        <v>4370</v>
      </c>
      <c r="B20" s="8" t="s">
        <v>4362</v>
      </c>
      <c r="C20" s="8" t="s">
        <v>1090</v>
      </c>
      <c r="D20" s="8" t="s">
        <v>4363</v>
      </c>
      <c r="E20" s="8" t="s">
        <v>4364</v>
      </c>
      <c r="F20" s="8" t="s">
        <v>4365</v>
      </c>
      <c r="G20" s="14" t="s">
        <v>4318</v>
      </c>
      <c r="H20" s="11"/>
      <c r="I20" s="15" t="s">
        <v>1685</v>
      </c>
      <c r="J20" s="8" t="s">
        <v>3275</v>
      </c>
    </row>
    <row r="21" spans="1:10" ht="78.95" customHeight="1" x14ac:dyDescent="0.25">
      <c r="A21" s="8" t="s">
        <v>4371</v>
      </c>
      <c r="B21" s="8" t="s">
        <v>4362</v>
      </c>
      <c r="C21" s="8" t="s">
        <v>1187</v>
      </c>
      <c r="D21" s="8" t="s">
        <v>4363</v>
      </c>
      <c r="E21" s="8" t="s">
        <v>4364</v>
      </c>
      <c r="F21" s="8" t="s">
        <v>4365</v>
      </c>
      <c r="G21" s="14" t="s">
        <v>4318</v>
      </c>
      <c r="H21" s="11"/>
      <c r="I21" s="15" t="s">
        <v>1685</v>
      </c>
      <c r="J21" s="8" t="s">
        <v>3275</v>
      </c>
    </row>
    <row r="22" spans="1:10" ht="78.95" customHeight="1" x14ac:dyDescent="0.25">
      <c r="A22" s="8" t="s">
        <v>4372</v>
      </c>
      <c r="B22" s="8" t="s">
        <v>4362</v>
      </c>
      <c r="C22" s="8" t="s">
        <v>1132</v>
      </c>
      <c r="D22" s="8" t="s">
        <v>4363</v>
      </c>
      <c r="E22" s="8" t="s">
        <v>4364</v>
      </c>
      <c r="F22" s="8" t="s">
        <v>4365</v>
      </c>
      <c r="G22" s="14" t="s">
        <v>4318</v>
      </c>
      <c r="H22" s="11"/>
      <c r="I22" s="15" t="s">
        <v>1685</v>
      </c>
      <c r="J22" s="8" t="s">
        <v>3275</v>
      </c>
    </row>
    <row r="23" spans="1:10" ht="78.95" customHeight="1" x14ac:dyDescent="0.25">
      <c r="A23" s="8" t="s">
        <v>4373</v>
      </c>
      <c r="B23" s="8" t="s">
        <v>4362</v>
      </c>
      <c r="C23" s="8" t="s">
        <v>1117</v>
      </c>
      <c r="D23" s="8" t="s">
        <v>4363</v>
      </c>
      <c r="E23" s="8" t="s">
        <v>4364</v>
      </c>
      <c r="F23" s="8" t="s">
        <v>4365</v>
      </c>
      <c r="G23" s="14" t="s">
        <v>4318</v>
      </c>
      <c r="H23" s="11"/>
      <c r="I23" s="15" t="s">
        <v>1685</v>
      </c>
      <c r="J23" s="8" t="s">
        <v>3275</v>
      </c>
    </row>
    <row r="24" spans="1:10" ht="78.95" customHeight="1" x14ac:dyDescent="0.25">
      <c r="A24" s="8" t="s">
        <v>4374</v>
      </c>
      <c r="B24" s="8" t="s">
        <v>4362</v>
      </c>
      <c r="C24" s="8" t="s">
        <v>1122</v>
      </c>
      <c r="D24" s="8" t="s">
        <v>4363</v>
      </c>
      <c r="E24" s="8" t="s">
        <v>4364</v>
      </c>
      <c r="F24" s="8" t="s">
        <v>4365</v>
      </c>
      <c r="G24" s="14" t="s">
        <v>4318</v>
      </c>
      <c r="H24" s="11"/>
      <c r="I24" s="15" t="s">
        <v>1685</v>
      </c>
      <c r="J24" s="8" t="s">
        <v>3275</v>
      </c>
    </row>
    <row r="25" spans="1:10" ht="78.95" customHeight="1" x14ac:dyDescent="0.25">
      <c r="A25" s="8" t="s">
        <v>4375</v>
      </c>
      <c r="B25" s="8" t="s">
        <v>4362</v>
      </c>
      <c r="C25" s="8" t="s">
        <v>1233</v>
      </c>
      <c r="D25" s="8" t="s">
        <v>4363</v>
      </c>
      <c r="E25" s="8" t="s">
        <v>4364</v>
      </c>
      <c r="F25" s="8" t="s">
        <v>4365</v>
      </c>
      <c r="G25" s="14" t="s">
        <v>4318</v>
      </c>
      <c r="H25" s="11"/>
      <c r="I25" s="15" t="s">
        <v>1685</v>
      </c>
      <c r="J25" s="8" t="s">
        <v>3275</v>
      </c>
    </row>
    <row r="26" spans="1:10" ht="78.95" customHeight="1" x14ac:dyDescent="0.25">
      <c r="A26" s="8" t="s">
        <v>4376</v>
      </c>
      <c r="B26" s="8" t="s">
        <v>4362</v>
      </c>
      <c r="C26" s="8" t="s">
        <v>1081</v>
      </c>
      <c r="D26" s="8" t="s">
        <v>4363</v>
      </c>
      <c r="E26" s="8" t="s">
        <v>4364</v>
      </c>
      <c r="F26" s="8" t="s">
        <v>4365</v>
      </c>
      <c r="G26" s="14" t="s">
        <v>4318</v>
      </c>
      <c r="H26" s="11"/>
      <c r="I26" s="15" t="s">
        <v>1685</v>
      </c>
      <c r="J26" s="8" t="s">
        <v>3275</v>
      </c>
    </row>
    <row r="27" spans="1:10" ht="78.95" customHeight="1" x14ac:dyDescent="0.25">
      <c r="A27" s="8" t="s">
        <v>4377</v>
      </c>
      <c r="B27" s="8" t="s">
        <v>4362</v>
      </c>
      <c r="C27" s="8" t="s">
        <v>1127</v>
      </c>
      <c r="D27" s="8" t="s">
        <v>4363</v>
      </c>
      <c r="E27" s="8" t="s">
        <v>4364</v>
      </c>
      <c r="F27" s="8" t="s">
        <v>4365</v>
      </c>
      <c r="G27" s="14" t="s">
        <v>4318</v>
      </c>
      <c r="H27" s="11"/>
      <c r="I27" s="15" t="s">
        <v>1685</v>
      </c>
      <c r="J27" s="8" t="s">
        <v>3275</v>
      </c>
    </row>
    <row r="28" spans="1:10" ht="78.95" customHeight="1" x14ac:dyDescent="0.25">
      <c r="A28" s="8" t="s">
        <v>4378</v>
      </c>
      <c r="B28" s="8" t="s">
        <v>4362</v>
      </c>
      <c r="C28" s="8" t="s">
        <v>1049</v>
      </c>
      <c r="D28" s="8" t="s">
        <v>4363</v>
      </c>
      <c r="E28" s="8" t="s">
        <v>4364</v>
      </c>
      <c r="F28" s="8" t="s">
        <v>4365</v>
      </c>
      <c r="G28" s="14" t="s">
        <v>4318</v>
      </c>
      <c r="H28" s="11"/>
      <c r="I28" s="15" t="s">
        <v>1685</v>
      </c>
      <c r="J28" s="8" t="s">
        <v>3275</v>
      </c>
    </row>
    <row r="29" spans="1:10" ht="78.95" customHeight="1" x14ac:dyDescent="0.25">
      <c r="A29" s="8" t="s">
        <v>4379</v>
      </c>
      <c r="B29" s="8" t="s">
        <v>4362</v>
      </c>
      <c r="C29" s="8" t="s">
        <v>1183</v>
      </c>
      <c r="D29" s="8" t="s">
        <v>4363</v>
      </c>
      <c r="E29" s="8" t="s">
        <v>4364</v>
      </c>
      <c r="F29" s="8" t="s">
        <v>4365</v>
      </c>
      <c r="G29" s="14" t="s">
        <v>4318</v>
      </c>
      <c r="H29" s="11"/>
      <c r="I29" s="15" t="s">
        <v>1685</v>
      </c>
      <c r="J29" s="8" t="s">
        <v>3275</v>
      </c>
    </row>
    <row r="30" spans="1:10" ht="78.95" customHeight="1" x14ac:dyDescent="0.25">
      <c r="A30" s="8" t="s">
        <v>4380</v>
      </c>
      <c r="B30" s="8" t="s">
        <v>4362</v>
      </c>
      <c r="C30" s="8" t="s">
        <v>1205</v>
      </c>
      <c r="D30" s="8" t="s">
        <v>4363</v>
      </c>
      <c r="E30" s="8" t="s">
        <v>4364</v>
      </c>
      <c r="F30" s="8" t="s">
        <v>4365</v>
      </c>
      <c r="G30" s="14" t="s">
        <v>4318</v>
      </c>
      <c r="H30" s="11"/>
      <c r="I30" s="15" t="s">
        <v>1685</v>
      </c>
      <c r="J30" s="8" t="s">
        <v>3275</v>
      </c>
    </row>
    <row r="31" spans="1:10" ht="78.95" customHeight="1" x14ac:dyDescent="0.25">
      <c r="A31" s="8" t="s">
        <v>4381</v>
      </c>
      <c r="B31" s="8" t="s">
        <v>4362</v>
      </c>
      <c r="C31" s="8" t="s">
        <v>1137</v>
      </c>
      <c r="D31" s="8" t="s">
        <v>4363</v>
      </c>
      <c r="E31" s="8" t="s">
        <v>4364</v>
      </c>
      <c r="F31" s="8" t="s">
        <v>4365</v>
      </c>
      <c r="G31" s="14" t="s">
        <v>4318</v>
      </c>
      <c r="H31" s="11"/>
      <c r="I31" s="15" t="s">
        <v>1685</v>
      </c>
      <c r="J31" s="8" t="s">
        <v>3275</v>
      </c>
    </row>
    <row r="32" spans="1:10" ht="78.95" customHeight="1" x14ac:dyDescent="0.25">
      <c r="A32" s="8" t="s">
        <v>4382</v>
      </c>
      <c r="B32" s="8" t="s">
        <v>4362</v>
      </c>
      <c r="C32" s="8" t="s">
        <v>1156</v>
      </c>
      <c r="D32" s="8" t="s">
        <v>4363</v>
      </c>
      <c r="E32" s="8" t="s">
        <v>4364</v>
      </c>
      <c r="F32" s="8" t="s">
        <v>4365</v>
      </c>
      <c r="G32" s="14" t="s">
        <v>4318</v>
      </c>
      <c r="H32" s="11"/>
      <c r="I32" s="15" t="s">
        <v>1685</v>
      </c>
      <c r="J32" s="8" t="s">
        <v>3275</v>
      </c>
    </row>
    <row r="33" spans="1:10" ht="78.95" customHeight="1" x14ac:dyDescent="0.25">
      <c r="A33" s="8" t="s">
        <v>4383</v>
      </c>
      <c r="B33" s="8" t="s">
        <v>4362</v>
      </c>
      <c r="C33" s="8" t="s">
        <v>1104</v>
      </c>
      <c r="D33" s="8" t="s">
        <v>4363</v>
      </c>
      <c r="E33" s="8" t="s">
        <v>4364</v>
      </c>
      <c r="F33" s="8" t="s">
        <v>4365</v>
      </c>
      <c r="G33" s="14" t="s">
        <v>4318</v>
      </c>
      <c r="H33" s="11"/>
      <c r="I33" s="15" t="s">
        <v>1685</v>
      </c>
      <c r="J33" s="8" t="s">
        <v>3275</v>
      </c>
    </row>
    <row r="34" spans="1:10" ht="78.95" customHeight="1" x14ac:dyDescent="0.25">
      <c r="A34" s="8" t="s">
        <v>4384</v>
      </c>
      <c r="B34" s="8" t="s">
        <v>4362</v>
      </c>
      <c r="C34" s="8" t="s">
        <v>1113</v>
      </c>
      <c r="D34" s="8" t="s">
        <v>4363</v>
      </c>
      <c r="E34" s="8" t="s">
        <v>4364</v>
      </c>
      <c r="F34" s="8" t="s">
        <v>4365</v>
      </c>
      <c r="G34" s="14" t="s">
        <v>4318</v>
      </c>
      <c r="H34" s="11"/>
      <c r="I34" s="15" t="s">
        <v>1685</v>
      </c>
      <c r="J34" s="8" t="s">
        <v>3275</v>
      </c>
    </row>
    <row r="35" spans="1:10" ht="78.95" customHeight="1" x14ac:dyDescent="0.25">
      <c r="A35" s="8" t="s">
        <v>4385</v>
      </c>
      <c r="B35" s="8" t="s">
        <v>4362</v>
      </c>
      <c r="C35" s="8" t="s">
        <v>1209</v>
      </c>
      <c r="D35" s="8" t="s">
        <v>4363</v>
      </c>
      <c r="E35" s="8" t="s">
        <v>4364</v>
      </c>
      <c r="F35" s="8" t="s">
        <v>4365</v>
      </c>
      <c r="G35" s="14" t="s">
        <v>4318</v>
      </c>
      <c r="H35" s="11"/>
      <c r="I35" s="15" t="s">
        <v>1685</v>
      </c>
      <c r="J35" s="8" t="s">
        <v>3275</v>
      </c>
    </row>
    <row r="36" spans="1:10" ht="78.95" customHeight="1" x14ac:dyDescent="0.25">
      <c r="A36" s="8" t="s">
        <v>4386</v>
      </c>
      <c r="B36" s="8" t="s">
        <v>4362</v>
      </c>
      <c r="C36" s="8" t="s">
        <v>1179</v>
      </c>
      <c r="D36" s="8" t="s">
        <v>4363</v>
      </c>
      <c r="E36" s="8" t="s">
        <v>4364</v>
      </c>
      <c r="F36" s="8" t="s">
        <v>4365</v>
      </c>
      <c r="G36" s="14" t="s">
        <v>4318</v>
      </c>
      <c r="H36" s="11"/>
      <c r="I36" s="15" t="s">
        <v>1685</v>
      </c>
      <c r="J36" s="8" t="s">
        <v>3275</v>
      </c>
    </row>
    <row r="37" spans="1:10" ht="78.95" customHeight="1" x14ac:dyDescent="0.25">
      <c r="A37" s="8" t="s">
        <v>4387</v>
      </c>
      <c r="B37" s="8" t="s">
        <v>4362</v>
      </c>
      <c r="C37" s="8" t="s">
        <v>1100</v>
      </c>
      <c r="D37" s="8" t="s">
        <v>4363</v>
      </c>
      <c r="E37" s="8" t="s">
        <v>4364</v>
      </c>
      <c r="F37" s="8" t="s">
        <v>4365</v>
      </c>
      <c r="G37" s="14" t="s">
        <v>4318</v>
      </c>
      <c r="H37" s="11"/>
      <c r="I37" s="15" t="s">
        <v>1685</v>
      </c>
      <c r="J37" s="8" t="s">
        <v>3275</v>
      </c>
    </row>
    <row r="38" spans="1:10" ht="78.95" customHeight="1" x14ac:dyDescent="0.25">
      <c r="A38" s="8" t="s">
        <v>4388</v>
      </c>
      <c r="B38" s="8" t="s">
        <v>4362</v>
      </c>
      <c r="C38" s="8" t="s">
        <v>1141</v>
      </c>
      <c r="D38" s="8" t="s">
        <v>4363</v>
      </c>
      <c r="E38" s="8" t="s">
        <v>4364</v>
      </c>
      <c r="F38" s="8" t="s">
        <v>4365</v>
      </c>
      <c r="G38" s="14" t="s">
        <v>4318</v>
      </c>
      <c r="H38" s="11"/>
      <c r="I38" s="15" t="s">
        <v>1685</v>
      </c>
      <c r="J38" s="8" t="s">
        <v>3275</v>
      </c>
    </row>
    <row r="39" spans="1:10" ht="78.95" customHeight="1" x14ac:dyDescent="0.25">
      <c r="A39" s="8" t="s">
        <v>4389</v>
      </c>
      <c r="B39" s="8" t="s">
        <v>4362</v>
      </c>
      <c r="C39" s="8" t="s">
        <v>1228</v>
      </c>
      <c r="D39" s="8" t="s">
        <v>4363</v>
      </c>
      <c r="E39" s="8" t="s">
        <v>4364</v>
      </c>
      <c r="F39" s="8" t="s">
        <v>4365</v>
      </c>
      <c r="G39" s="14" t="s">
        <v>4318</v>
      </c>
      <c r="H39" s="11"/>
      <c r="I39" s="15" t="s">
        <v>1685</v>
      </c>
      <c r="J39" s="8" t="s">
        <v>3275</v>
      </c>
    </row>
    <row r="40" spans="1:10" ht="78.95" customHeight="1" x14ac:dyDescent="0.25">
      <c r="A40" s="8" t="s">
        <v>4390</v>
      </c>
      <c r="B40" s="8" t="s">
        <v>4362</v>
      </c>
      <c r="C40" s="8" t="s">
        <v>1057</v>
      </c>
      <c r="D40" s="8" t="s">
        <v>4363</v>
      </c>
      <c r="E40" s="8" t="s">
        <v>4364</v>
      </c>
      <c r="F40" s="8" t="s">
        <v>4365</v>
      </c>
      <c r="G40" s="14" t="s">
        <v>4318</v>
      </c>
      <c r="H40" s="11"/>
      <c r="I40" s="15" t="s">
        <v>1685</v>
      </c>
      <c r="J40" s="8" t="s">
        <v>3275</v>
      </c>
    </row>
    <row r="41" spans="1:10" ht="78.95" customHeight="1" x14ac:dyDescent="0.25">
      <c r="A41" s="8" t="s">
        <v>4391</v>
      </c>
      <c r="B41" s="8" t="s">
        <v>4362</v>
      </c>
      <c r="C41" s="8" t="s">
        <v>1223</v>
      </c>
      <c r="D41" s="8" t="s">
        <v>4363</v>
      </c>
      <c r="E41" s="8" t="s">
        <v>4364</v>
      </c>
      <c r="F41" s="8" t="s">
        <v>4365</v>
      </c>
      <c r="G41" s="14" t="s">
        <v>4318</v>
      </c>
      <c r="H41" s="11"/>
      <c r="I41" s="15" t="s">
        <v>1685</v>
      </c>
      <c r="J41" s="8" t="s">
        <v>3275</v>
      </c>
    </row>
    <row r="42" spans="1:10" ht="78.95" customHeight="1" x14ac:dyDescent="0.25">
      <c r="A42" s="8" t="s">
        <v>4392</v>
      </c>
      <c r="B42" s="8" t="s">
        <v>4362</v>
      </c>
      <c r="C42" s="8" t="s">
        <v>1085</v>
      </c>
      <c r="D42" s="8" t="s">
        <v>4363</v>
      </c>
      <c r="E42" s="8" t="s">
        <v>4364</v>
      </c>
      <c r="F42" s="8" t="s">
        <v>4365</v>
      </c>
      <c r="G42" s="14" t="s">
        <v>4318</v>
      </c>
      <c r="H42" s="11"/>
      <c r="I42" s="15" t="s">
        <v>1685</v>
      </c>
      <c r="J42" s="8" t="s">
        <v>3275</v>
      </c>
    </row>
    <row r="43" spans="1:10" ht="78.95" customHeight="1" x14ac:dyDescent="0.25">
      <c r="A43" s="8" t="s">
        <v>4393</v>
      </c>
      <c r="B43" s="8" t="s">
        <v>4362</v>
      </c>
      <c r="C43" s="8" t="s">
        <v>1161</v>
      </c>
      <c r="D43" s="8" t="s">
        <v>4363</v>
      </c>
      <c r="E43" s="8" t="s">
        <v>4364</v>
      </c>
      <c r="F43" s="8" t="s">
        <v>4365</v>
      </c>
      <c r="G43" s="14" t="s">
        <v>4318</v>
      </c>
      <c r="H43" s="11"/>
      <c r="I43" s="15" t="s">
        <v>1685</v>
      </c>
      <c r="J43" s="8" t="s">
        <v>3275</v>
      </c>
    </row>
    <row r="44" spans="1:10" ht="78.95" customHeight="1" x14ac:dyDescent="0.25">
      <c r="A44" s="8" t="s">
        <v>4394</v>
      </c>
      <c r="B44" s="8" t="s">
        <v>4362</v>
      </c>
      <c r="C44" s="8" t="s">
        <v>1095</v>
      </c>
      <c r="D44" s="8" t="s">
        <v>4363</v>
      </c>
      <c r="E44" s="8" t="s">
        <v>4364</v>
      </c>
      <c r="F44" s="8" t="s">
        <v>4365</v>
      </c>
      <c r="G44" s="14" t="s">
        <v>4318</v>
      </c>
      <c r="H44" s="11"/>
      <c r="I44" s="15" t="s">
        <v>1685</v>
      </c>
      <c r="J44" s="8" t="s">
        <v>3275</v>
      </c>
    </row>
    <row r="45" spans="1:10" ht="78.95" customHeight="1" x14ac:dyDescent="0.25">
      <c r="A45" s="8" t="s">
        <v>4395</v>
      </c>
      <c r="B45" s="8" t="s">
        <v>4362</v>
      </c>
      <c r="C45" s="8" t="s">
        <v>1218</v>
      </c>
      <c r="D45" s="8" t="s">
        <v>4363</v>
      </c>
      <c r="E45" s="8" t="s">
        <v>4364</v>
      </c>
      <c r="F45" s="8" t="s">
        <v>4365</v>
      </c>
      <c r="G45" s="14" t="s">
        <v>4318</v>
      </c>
      <c r="H45" s="11"/>
      <c r="I45" s="15" t="s">
        <v>1685</v>
      </c>
      <c r="J45" s="8" t="s">
        <v>3275</v>
      </c>
    </row>
    <row r="46" spans="1:10" ht="78.95" customHeight="1" x14ac:dyDescent="0.25">
      <c r="A46" s="8" t="s">
        <v>4396</v>
      </c>
      <c r="B46" s="8" t="s">
        <v>4362</v>
      </c>
      <c r="C46" s="8" t="s">
        <v>1067</v>
      </c>
      <c r="D46" s="8" t="s">
        <v>4363</v>
      </c>
      <c r="E46" s="8" t="s">
        <v>4364</v>
      </c>
      <c r="F46" s="8" t="s">
        <v>4365</v>
      </c>
      <c r="G46" s="14" t="s">
        <v>4318</v>
      </c>
      <c r="H46" s="11"/>
      <c r="I46" s="15" t="s">
        <v>1685</v>
      </c>
      <c r="J46" s="8" t="s">
        <v>3275</v>
      </c>
    </row>
    <row r="47" spans="1:10" ht="78.95" customHeight="1" x14ac:dyDescent="0.25">
      <c r="A47" s="8" t="s">
        <v>4397</v>
      </c>
      <c r="B47" s="8" t="s">
        <v>4362</v>
      </c>
      <c r="C47" s="8" t="s">
        <v>1192</v>
      </c>
      <c r="D47" s="8" t="s">
        <v>4363</v>
      </c>
      <c r="E47" s="8" t="s">
        <v>4364</v>
      </c>
      <c r="F47" s="8" t="s">
        <v>4365</v>
      </c>
      <c r="G47" s="14" t="s">
        <v>4318</v>
      </c>
      <c r="H47" s="11"/>
      <c r="I47" s="15" t="s">
        <v>1685</v>
      </c>
      <c r="J47" s="8" t="s">
        <v>3275</v>
      </c>
    </row>
    <row r="48" spans="1:10" ht="78.95" customHeight="1" x14ac:dyDescent="0.25">
      <c r="A48" s="8" t="s">
        <v>4398</v>
      </c>
      <c r="B48" s="8" t="s">
        <v>4362</v>
      </c>
      <c r="C48" s="8" t="s">
        <v>1062</v>
      </c>
      <c r="D48" s="8" t="s">
        <v>4363</v>
      </c>
      <c r="E48" s="8" t="s">
        <v>4364</v>
      </c>
      <c r="F48" s="8" t="s">
        <v>4365</v>
      </c>
      <c r="G48" s="14" t="s">
        <v>4318</v>
      </c>
      <c r="H48" s="11"/>
      <c r="I48" s="15" t="s">
        <v>1685</v>
      </c>
      <c r="J48" s="8" t="s">
        <v>3275</v>
      </c>
    </row>
    <row r="49" spans="1:10" ht="78.95" customHeight="1" x14ac:dyDescent="0.25">
      <c r="A49" s="8" t="s">
        <v>4399</v>
      </c>
      <c r="B49" s="8" t="s">
        <v>4362</v>
      </c>
      <c r="C49" s="8" t="s">
        <v>1214</v>
      </c>
      <c r="D49" s="8" t="s">
        <v>4363</v>
      </c>
      <c r="E49" s="8" t="s">
        <v>4364</v>
      </c>
      <c r="F49" s="8" t="s">
        <v>4365</v>
      </c>
      <c r="G49" s="14" t="s">
        <v>4318</v>
      </c>
      <c r="H49" s="11"/>
      <c r="I49" s="15" t="s">
        <v>1685</v>
      </c>
      <c r="J49" s="8" t="s">
        <v>3275</v>
      </c>
    </row>
    <row r="50" spans="1:10" ht="78.95" customHeight="1" x14ac:dyDescent="0.25">
      <c r="A50" s="8" t="s">
        <v>4400</v>
      </c>
      <c r="B50" s="8" t="s">
        <v>4362</v>
      </c>
      <c r="C50" s="8" t="s">
        <v>1146</v>
      </c>
      <c r="D50" s="8" t="s">
        <v>4363</v>
      </c>
      <c r="E50" s="8" t="s">
        <v>4364</v>
      </c>
      <c r="F50" s="8" t="s">
        <v>4365</v>
      </c>
      <c r="G50" s="14" t="s">
        <v>4318</v>
      </c>
      <c r="H50" s="11"/>
      <c r="I50" s="15" t="s">
        <v>1685</v>
      </c>
      <c r="J50" s="8" t="s">
        <v>3275</v>
      </c>
    </row>
    <row r="51" spans="1:10" ht="78.95" customHeight="1" x14ac:dyDescent="0.25">
      <c r="A51" s="8" t="s">
        <v>4401</v>
      </c>
      <c r="B51" s="8" t="s">
        <v>4362</v>
      </c>
      <c r="C51" s="8" t="s">
        <v>1238</v>
      </c>
      <c r="D51" s="8" t="s">
        <v>4363</v>
      </c>
      <c r="E51" s="8" t="s">
        <v>4364</v>
      </c>
      <c r="F51" s="8" t="s">
        <v>4365</v>
      </c>
      <c r="G51" s="14" t="s">
        <v>4318</v>
      </c>
      <c r="H51" s="11"/>
      <c r="I51" s="15" t="s">
        <v>1685</v>
      </c>
      <c r="J51" s="8" t="s">
        <v>3275</v>
      </c>
    </row>
    <row r="52" spans="1:10" ht="78.95" customHeight="1" x14ac:dyDescent="0.25">
      <c r="A52" s="8" t="s">
        <v>4402</v>
      </c>
      <c r="B52" s="8" t="s">
        <v>4362</v>
      </c>
      <c r="C52" s="8" t="s">
        <v>1197</v>
      </c>
      <c r="D52" s="8" t="s">
        <v>4363</v>
      </c>
      <c r="E52" s="8" t="s">
        <v>4364</v>
      </c>
      <c r="F52" s="8" t="s">
        <v>4365</v>
      </c>
      <c r="G52" s="14" t="s">
        <v>4318</v>
      </c>
      <c r="H52" s="11"/>
      <c r="I52" s="15" t="s">
        <v>1685</v>
      </c>
      <c r="J52" s="8" t="s">
        <v>3275</v>
      </c>
    </row>
    <row r="53" spans="1:10" ht="78.95" customHeight="1" x14ac:dyDescent="0.25">
      <c r="A53" s="8" t="s">
        <v>4403</v>
      </c>
      <c r="B53" s="8" t="s">
        <v>4362</v>
      </c>
      <c r="C53" s="8" t="s">
        <v>1077</v>
      </c>
      <c r="D53" s="8" t="s">
        <v>4363</v>
      </c>
      <c r="E53" s="8" t="s">
        <v>4364</v>
      </c>
      <c r="F53" s="8" t="s">
        <v>4365</v>
      </c>
      <c r="G53" s="14" t="s">
        <v>4318</v>
      </c>
      <c r="H53" s="11"/>
      <c r="I53" s="15" t="s">
        <v>1685</v>
      </c>
      <c r="J53" s="8" t="s">
        <v>3275</v>
      </c>
    </row>
    <row r="54" spans="1:10" ht="78.95" customHeight="1" x14ac:dyDescent="0.25">
      <c r="A54" s="8" t="s">
        <v>4404</v>
      </c>
      <c r="B54" s="8" t="s">
        <v>4362</v>
      </c>
      <c r="C54" s="8" t="s">
        <v>1330</v>
      </c>
      <c r="D54" s="8" t="s">
        <v>4363</v>
      </c>
      <c r="E54" s="8" t="s">
        <v>4364</v>
      </c>
      <c r="F54" s="8" t="s">
        <v>4365</v>
      </c>
      <c r="G54" s="14" t="s">
        <v>4318</v>
      </c>
      <c r="H54" s="11"/>
      <c r="I54" s="15" t="s">
        <v>1685</v>
      </c>
      <c r="J54" s="8" t="s">
        <v>3275</v>
      </c>
    </row>
    <row r="55" spans="1:10" ht="78.95" customHeight="1" x14ac:dyDescent="0.25">
      <c r="A55" s="8" t="s">
        <v>4405</v>
      </c>
      <c r="B55" s="8" t="s">
        <v>4362</v>
      </c>
      <c r="C55" s="8" t="s">
        <v>1252</v>
      </c>
      <c r="D55" s="8" t="s">
        <v>4363</v>
      </c>
      <c r="E55" s="8" t="s">
        <v>4364</v>
      </c>
      <c r="F55" s="8" t="s">
        <v>4365</v>
      </c>
      <c r="G55" s="14" t="s">
        <v>4318</v>
      </c>
      <c r="H55" s="11"/>
      <c r="I55" s="15" t="s">
        <v>1685</v>
      </c>
      <c r="J55" s="8" t="s">
        <v>3275</v>
      </c>
    </row>
    <row r="56" spans="1:10" ht="78.95" customHeight="1" x14ac:dyDescent="0.25">
      <c r="A56" s="8" t="s">
        <v>4406</v>
      </c>
      <c r="B56" s="8" t="s">
        <v>4362</v>
      </c>
      <c r="C56" s="8" t="s">
        <v>1464</v>
      </c>
      <c r="D56" s="8" t="s">
        <v>4363</v>
      </c>
      <c r="E56" s="8" t="s">
        <v>4364</v>
      </c>
      <c r="F56" s="8" t="s">
        <v>4365</v>
      </c>
      <c r="G56" s="14" t="s">
        <v>4318</v>
      </c>
      <c r="H56" s="11"/>
      <c r="I56" s="15" t="s">
        <v>1685</v>
      </c>
      <c r="J56" s="8" t="s">
        <v>3275</v>
      </c>
    </row>
    <row r="57" spans="1:10" ht="78.95" customHeight="1" x14ac:dyDescent="0.25">
      <c r="A57" s="8" t="s">
        <v>4407</v>
      </c>
      <c r="B57" s="8" t="s">
        <v>4362</v>
      </c>
      <c r="C57" s="8" t="s">
        <v>1473</v>
      </c>
      <c r="D57" s="8" t="s">
        <v>4363</v>
      </c>
      <c r="E57" s="8" t="s">
        <v>4364</v>
      </c>
      <c r="F57" s="8" t="s">
        <v>4365</v>
      </c>
      <c r="G57" s="14" t="s">
        <v>4318</v>
      </c>
      <c r="H57" s="11"/>
      <c r="I57" s="15" t="s">
        <v>1685</v>
      </c>
      <c r="J57" s="8" t="s">
        <v>3275</v>
      </c>
    </row>
    <row r="58" spans="1:10" ht="78.95" customHeight="1" x14ac:dyDescent="0.25">
      <c r="A58" s="8" t="s">
        <v>4408</v>
      </c>
      <c r="B58" s="8" t="s">
        <v>4362</v>
      </c>
      <c r="C58" s="8" t="s">
        <v>1247</v>
      </c>
      <c r="D58" s="8" t="s">
        <v>4363</v>
      </c>
      <c r="E58" s="8" t="s">
        <v>4364</v>
      </c>
      <c r="F58" s="8" t="s">
        <v>4365</v>
      </c>
      <c r="G58" s="14" t="s">
        <v>4318</v>
      </c>
      <c r="H58" s="11"/>
      <c r="I58" s="15" t="s">
        <v>1685</v>
      </c>
      <c r="J58" s="8" t="s">
        <v>3275</v>
      </c>
    </row>
    <row r="59" spans="1:10" ht="78.95" customHeight="1" x14ac:dyDescent="0.25">
      <c r="A59" s="8" t="s">
        <v>4409</v>
      </c>
      <c r="B59" s="8" t="s">
        <v>4362</v>
      </c>
      <c r="C59" s="8" t="s">
        <v>1614</v>
      </c>
      <c r="D59" s="8" t="s">
        <v>4363</v>
      </c>
      <c r="E59" s="8" t="s">
        <v>4364</v>
      </c>
      <c r="F59" s="8" t="s">
        <v>4365</v>
      </c>
      <c r="G59" s="14" t="s">
        <v>4318</v>
      </c>
      <c r="H59" s="11"/>
      <c r="I59" s="15" t="s">
        <v>1685</v>
      </c>
      <c r="J59" s="8" t="s">
        <v>3275</v>
      </c>
    </row>
    <row r="60" spans="1:10" ht="78.95" customHeight="1" x14ac:dyDescent="0.25">
      <c r="A60" s="8" t="s">
        <v>4410</v>
      </c>
      <c r="B60" s="8" t="s">
        <v>4362</v>
      </c>
      <c r="C60" s="8" t="s">
        <v>1425</v>
      </c>
      <c r="D60" s="8" t="s">
        <v>4363</v>
      </c>
      <c r="E60" s="8" t="s">
        <v>4364</v>
      </c>
      <c r="F60" s="8" t="s">
        <v>4365</v>
      </c>
      <c r="G60" s="14" t="s">
        <v>4318</v>
      </c>
      <c r="H60" s="11"/>
      <c r="I60" s="15" t="s">
        <v>1685</v>
      </c>
      <c r="J60" s="8" t="s">
        <v>3275</v>
      </c>
    </row>
    <row r="61" spans="1:10" ht="78.95" customHeight="1" x14ac:dyDescent="0.25">
      <c r="A61" s="8" t="s">
        <v>4411</v>
      </c>
      <c r="B61" s="8" t="s">
        <v>4362</v>
      </c>
      <c r="C61" s="8" t="s">
        <v>1661</v>
      </c>
      <c r="D61" s="8" t="s">
        <v>4363</v>
      </c>
      <c r="E61" s="8" t="s">
        <v>4364</v>
      </c>
      <c r="F61" s="8" t="s">
        <v>4365</v>
      </c>
      <c r="G61" s="14" t="s">
        <v>4318</v>
      </c>
      <c r="H61" s="11"/>
      <c r="I61" s="15" t="s">
        <v>1685</v>
      </c>
      <c r="J61" s="8" t="s">
        <v>3275</v>
      </c>
    </row>
    <row r="62" spans="1:10" ht="78.95" customHeight="1" x14ac:dyDescent="0.25">
      <c r="A62" s="8" t="s">
        <v>4412</v>
      </c>
      <c r="B62" s="8" t="s">
        <v>4362</v>
      </c>
      <c r="C62" s="8" t="s">
        <v>1377</v>
      </c>
      <c r="D62" s="8" t="s">
        <v>4363</v>
      </c>
      <c r="E62" s="8" t="s">
        <v>4364</v>
      </c>
      <c r="F62" s="8" t="s">
        <v>4365</v>
      </c>
      <c r="G62" s="14" t="s">
        <v>4318</v>
      </c>
      <c r="H62" s="11"/>
      <c r="I62" s="15" t="s">
        <v>1685</v>
      </c>
      <c r="J62" s="8" t="s">
        <v>3275</v>
      </c>
    </row>
    <row r="63" spans="1:10" ht="78.95" customHeight="1" x14ac:dyDescent="0.25">
      <c r="A63" s="8" t="s">
        <v>4413</v>
      </c>
      <c r="B63" s="8" t="s">
        <v>4362</v>
      </c>
      <c r="C63" s="8" t="s">
        <v>1261</v>
      </c>
      <c r="D63" s="8" t="s">
        <v>4363</v>
      </c>
      <c r="E63" s="8" t="s">
        <v>4364</v>
      </c>
      <c r="F63" s="8" t="s">
        <v>4365</v>
      </c>
      <c r="G63" s="14" t="s">
        <v>4318</v>
      </c>
      <c r="H63" s="11"/>
      <c r="I63" s="15" t="s">
        <v>1685</v>
      </c>
      <c r="J63" s="8" t="s">
        <v>3275</v>
      </c>
    </row>
    <row r="64" spans="1:10" ht="78.95" customHeight="1" x14ac:dyDescent="0.25">
      <c r="A64" s="8" t="s">
        <v>4414</v>
      </c>
      <c r="B64" s="8" t="s">
        <v>4362</v>
      </c>
      <c r="C64" s="8" t="s">
        <v>1543</v>
      </c>
      <c r="D64" s="8" t="s">
        <v>4363</v>
      </c>
      <c r="E64" s="8" t="s">
        <v>4364</v>
      </c>
      <c r="F64" s="8" t="s">
        <v>4365</v>
      </c>
      <c r="G64" s="14" t="s">
        <v>4318</v>
      </c>
      <c r="H64" s="11"/>
      <c r="I64" s="15" t="s">
        <v>1685</v>
      </c>
      <c r="J64" s="8" t="s">
        <v>3275</v>
      </c>
    </row>
    <row r="65" spans="1:10" ht="78.95" customHeight="1" x14ac:dyDescent="0.25">
      <c r="A65" s="8" t="s">
        <v>4415</v>
      </c>
      <c r="B65" s="8" t="s">
        <v>4362</v>
      </c>
      <c r="C65" s="8" t="s">
        <v>1390</v>
      </c>
      <c r="D65" s="8" t="s">
        <v>4363</v>
      </c>
      <c r="E65" s="8" t="s">
        <v>4364</v>
      </c>
      <c r="F65" s="8" t="s">
        <v>4365</v>
      </c>
      <c r="G65" s="14" t="s">
        <v>4318</v>
      </c>
      <c r="H65" s="11"/>
      <c r="I65" s="15" t="s">
        <v>1685</v>
      </c>
      <c r="J65" s="8" t="s">
        <v>3275</v>
      </c>
    </row>
    <row r="66" spans="1:10" ht="78.95" customHeight="1" x14ac:dyDescent="0.25">
      <c r="A66" s="8" t="s">
        <v>4416</v>
      </c>
      <c r="B66" s="8" t="s">
        <v>4362</v>
      </c>
      <c r="C66" s="8" t="s">
        <v>1448</v>
      </c>
      <c r="D66" s="8" t="s">
        <v>4363</v>
      </c>
      <c r="E66" s="8" t="s">
        <v>4364</v>
      </c>
      <c r="F66" s="8" t="s">
        <v>4365</v>
      </c>
      <c r="G66" s="14" t="s">
        <v>4318</v>
      </c>
      <c r="H66" s="11"/>
      <c r="I66" s="15" t="s">
        <v>1685</v>
      </c>
      <c r="J66" s="8" t="s">
        <v>3275</v>
      </c>
    </row>
    <row r="67" spans="1:10" ht="78.95" customHeight="1" x14ac:dyDescent="0.25">
      <c r="A67" s="8" t="s">
        <v>4417</v>
      </c>
      <c r="B67" s="8" t="s">
        <v>4362</v>
      </c>
      <c r="C67" s="8" t="s">
        <v>1287</v>
      </c>
      <c r="D67" s="8" t="s">
        <v>4363</v>
      </c>
      <c r="E67" s="8" t="s">
        <v>4364</v>
      </c>
      <c r="F67" s="8" t="s">
        <v>4365</v>
      </c>
      <c r="G67" s="14" t="s">
        <v>4318</v>
      </c>
      <c r="H67" s="11"/>
      <c r="I67" s="15" t="s">
        <v>1685</v>
      </c>
      <c r="J67" s="8" t="s">
        <v>3275</v>
      </c>
    </row>
    <row r="68" spans="1:10" ht="78.95" customHeight="1" x14ac:dyDescent="0.25">
      <c r="A68" s="8" t="s">
        <v>4418</v>
      </c>
      <c r="B68" s="8" t="s">
        <v>4362</v>
      </c>
      <c r="C68" s="8" t="s">
        <v>1365</v>
      </c>
      <c r="D68" s="8" t="s">
        <v>4363</v>
      </c>
      <c r="E68" s="8" t="s">
        <v>4364</v>
      </c>
      <c r="F68" s="8" t="s">
        <v>4365</v>
      </c>
      <c r="G68" s="14" t="s">
        <v>4318</v>
      </c>
      <c r="H68" s="11"/>
      <c r="I68" s="15" t="s">
        <v>1685</v>
      </c>
      <c r="J68" s="8" t="s">
        <v>3275</v>
      </c>
    </row>
    <row r="69" spans="1:10" ht="78.95" customHeight="1" x14ac:dyDescent="0.25">
      <c r="A69" s="8" t="s">
        <v>4419</v>
      </c>
      <c r="B69" s="8" t="s">
        <v>4362</v>
      </c>
      <c r="C69" s="8" t="s">
        <v>1468</v>
      </c>
      <c r="D69" s="8" t="s">
        <v>4363</v>
      </c>
      <c r="E69" s="8" t="s">
        <v>4364</v>
      </c>
      <c r="F69" s="8" t="s">
        <v>4365</v>
      </c>
      <c r="G69" s="14" t="s">
        <v>4318</v>
      </c>
      <c r="H69" s="11"/>
      <c r="I69" s="15" t="s">
        <v>1685</v>
      </c>
      <c r="J69" s="8" t="s">
        <v>3275</v>
      </c>
    </row>
    <row r="70" spans="1:10" ht="78.95" customHeight="1" x14ac:dyDescent="0.25">
      <c r="A70" s="8" t="s">
        <v>4420</v>
      </c>
      <c r="B70" s="8" t="s">
        <v>4362</v>
      </c>
      <c r="C70" s="8" t="s">
        <v>1381</v>
      </c>
      <c r="D70" s="8" t="s">
        <v>4363</v>
      </c>
      <c r="E70" s="8" t="s">
        <v>4364</v>
      </c>
      <c r="F70" s="8" t="s">
        <v>4365</v>
      </c>
      <c r="G70" s="14" t="s">
        <v>4318</v>
      </c>
      <c r="H70" s="11"/>
      <c r="I70" s="15" t="s">
        <v>1685</v>
      </c>
      <c r="J70" s="8" t="s">
        <v>3275</v>
      </c>
    </row>
    <row r="71" spans="1:10" ht="78.95" customHeight="1" x14ac:dyDescent="0.25">
      <c r="A71" s="8" t="s">
        <v>4421</v>
      </c>
      <c r="B71" s="8" t="s">
        <v>4362</v>
      </c>
      <c r="C71" s="8" t="s">
        <v>1325</v>
      </c>
      <c r="D71" s="8" t="s">
        <v>4363</v>
      </c>
      <c r="E71" s="8" t="s">
        <v>4364</v>
      </c>
      <c r="F71" s="8" t="s">
        <v>4365</v>
      </c>
      <c r="G71" s="14" t="s">
        <v>4318</v>
      </c>
      <c r="H71" s="11"/>
      <c r="I71" s="15" t="s">
        <v>1685</v>
      </c>
      <c r="J71" s="8" t="s">
        <v>3275</v>
      </c>
    </row>
    <row r="72" spans="1:10" ht="78.95" customHeight="1" x14ac:dyDescent="0.25">
      <c r="A72" s="8" t="s">
        <v>4422</v>
      </c>
      <c r="B72" s="8" t="s">
        <v>4362</v>
      </c>
      <c r="C72" s="8" t="s">
        <v>1531</v>
      </c>
      <c r="D72" s="8" t="s">
        <v>4363</v>
      </c>
      <c r="E72" s="8" t="s">
        <v>4364</v>
      </c>
      <c r="F72" s="8" t="s">
        <v>4365</v>
      </c>
      <c r="G72" s="14" t="s">
        <v>4318</v>
      </c>
      <c r="H72" s="11"/>
      <c r="I72" s="15" t="s">
        <v>1685</v>
      </c>
      <c r="J72" s="8" t="s">
        <v>3275</v>
      </c>
    </row>
    <row r="73" spans="1:10" ht="78.95" customHeight="1" x14ac:dyDescent="0.25">
      <c r="A73" s="8" t="s">
        <v>4423</v>
      </c>
      <c r="B73" s="8" t="s">
        <v>4362</v>
      </c>
      <c r="C73" s="8" t="s">
        <v>1580</v>
      </c>
      <c r="D73" s="8" t="s">
        <v>4363</v>
      </c>
      <c r="E73" s="8" t="s">
        <v>4364</v>
      </c>
      <c r="F73" s="8" t="s">
        <v>4365</v>
      </c>
      <c r="G73" s="14" t="s">
        <v>4318</v>
      </c>
      <c r="H73" s="11"/>
      <c r="I73" s="15" t="s">
        <v>1685</v>
      </c>
      <c r="J73" s="8" t="s">
        <v>3275</v>
      </c>
    </row>
    <row r="74" spans="1:10" ht="78.95" customHeight="1" x14ac:dyDescent="0.25">
      <c r="A74" s="8" t="s">
        <v>4424</v>
      </c>
      <c r="B74" s="8" t="s">
        <v>4362</v>
      </c>
      <c r="C74" s="8" t="s">
        <v>1610</v>
      </c>
      <c r="D74" s="8" t="s">
        <v>4363</v>
      </c>
      <c r="E74" s="8" t="s">
        <v>4364</v>
      </c>
      <c r="F74" s="8" t="s">
        <v>4365</v>
      </c>
      <c r="G74" s="14" t="s">
        <v>4318</v>
      </c>
      <c r="H74" s="11"/>
      <c r="I74" s="15" t="s">
        <v>1685</v>
      </c>
      <c r="J74" s="8" t="s">
        <v>3275</v>
      </c>
    </row>
    <row r="75" spans="1:10" ht="78.95" customHeight="1" x14ac:dyDescent="0.25">
      <c r="A75" s="8" t="s">
        <v>4425</v>
      </c>
      <c r="B75" s="8" t="s">
        <v>4362</v>
      </c>
      <c r="C75" s="8" t="s">
        <v>1627</v>
      </c>
      <c r="D75" s="8" t="s">
        <v>4363</v>
      </c>
      <c r="E75" s="8" t="s">
        <v>4364</v>
      </c>
      <c r="F75" s="8" t="s">
        <v>4365</v>
      </c>
      <c r="G75" s="14" t="s">
        <v>4318</v>
      </c>
      <c r="H75" s="11"/>
      <c r="I75" s="15" t="s">
        <v>1685</v>
      </c>
      <c r="J75" s="8" t="s">
        <v>3275</v>
      </c>
    </row>
    <row r="76" spans="1:10" ht="78.95" customHeight="1" x14ac:dyDescent="0.25">
      <c r="A76" s="8" t="s">
        <v>4426</v>
      </c>
      <c r="B76" s="8" t="s">
        <v>4362</v>
      </c>
      <c r="C76" s="8" t="s">
        <v>1257</v>
      </c>
      <c r="D76" s="8" t="s">
        <v>4363</v>
      </c>
      <c r="E76" s="8" t="s">
        <v>4364</v>
      </c>
      <c r="F76" s="8" t="s">
        <v>4365</v>
      </c>
      <c r="G76" s="14" t="s">
        <v>4318</v>
      </c>
      <c r="H76" s="11"/>
      <c r="I76" s="15" t="s">
        <v>1685</v>
      </c>
      <c r="J76" s="8" t="s">
        <v>3275</v>
      </c>
    </row>
    <row r="77" spans="1:10" ht="78.95" customHeight="1" x14ac:dyDescent="0.25">
      <c r="A77" s="8" t="s">
        <v>4427</v>
      </c>
      <c r="B77" s="8" t="s">
        <v>4362</v>
      </c>
      <c r="C77" s="8" t="s">
        <v>1527</v>
      </c>
      <c r="D77" s="8" t="s">
        <v>4363</v>
      </c>
      <c r="E77" s="8" t="s">
        <v>4364</v>
      </c>
      <c r="F77" s="8" t="s">
        <v>4365</v>
      </c>
      <c r="G77" s="14" t="s">
        <v>4318</v>
      </c>
      <c r="H77" s="11"/>
      <c r="I77" s="15" t="s">
        <v>1685</v>
      </c>
      <c r="J77" s="8" t="s">
        <v>3275</v>
      </c>
    </row>
    <row r="78" spans="1:10" ht="78.95" customHeight="1" x14ac:dyDescent="0.25">
      <c r="A78" s="8" t="s">
        <v>4428</v>
      </c>
      <c r="B78" s="8" t="s">
        <v>4362</v>
      </c>
      <c r="C78" s="8" t="s">
        <v>1412</v>
      </c>
      <c r="D78" s="8" t="s">
        <v>4363</v>
      </c>
      <c r="E78" s="8" t="s">
        <v>4364</v>
      </c>
      <c r="F78" s="8" t="s">
        <v>4365</v>
      </c>
      <c r="G78" s="14" t="s">
        <v>4318</v>
      </c>
      <c r="H78" s="11"/>
      <c r="I78" s="15" t="s">
        <v>1685</v>
      </c>
      <c r="J78" s="8" t="s">
        <v>3275</v>
      </c>
    </row>
    <row r="79" spans="1:10" ht="78.95" customHeight="1" x14ac:dyDescent="0.25">
      <c r="A79" s="8" t="s">
        <v>4429</v>
      </c>
      <c r="B79" s="8" t="s">
        <v>4362</v>
      </c>
      <c r="C79" s="8" t="s">
        <v>1311</v>
      </c>
      <c r="D79" s="8" t="s">
        <v>4363</v>
      </c>
      <c r="E79" s="8" t="s">
        <v>4364</v>
      </c>
      <c r="F79" s="8" t="s">
        <v>4365</v>
      </c>
      <c r="G79" s="14" t="s">
        <v>4318</v>
      </c>
      <c r="H79" s="11"/>
      <c r="I79" s="15" t="s">
        <v>1685</v>
      </c>
      <c r="J79" s="8" t="s">
        <v>3275</v>
      </c>
    </row>
    <row r="80" spans="1:10" ht="78.95" customHeight="1" x14ac:dyDescent="0.25">
      <c r="A80" s="8" t="s">
        <v>4430</v>
      </c>
      <c r="B80" s="8" t="s">
        <v>4362</v>
      </c>
      <c r="C80" s="8" t="s">
        <v>1303</v>
      </c>
      <c r="D80" s="8" t="s">
        <v>4363</v>
      </c>
      <c r="E80" s="8" t="s">
        <v>4364</v>
      </c>
      <c r="F80" s="8" t="s">
        <v>4365</v>
      </c>
      <c r="G80" s="14" t="s">
        <v>4318</v>
      </c>
      <c r="H80" s="11"/>
      <c r="I80" s="15" t="s">
        <v>1685</v>
      </c>
      <c r="J80" s="8" t="s">
        <v>3275</v>
      </c>
    </row>
    <row r="81" spans="1:10" ht="78.95" customHeight="1" x14ac:dyDescent="0.25">
      <c r="A81" s="8" t="s">
        <v>4431</v>
      </c>
      <c r="B81" s="8" t="s">
        <v>4362</v>
      </c>
      <c r="C81" s="8" t="s">
        <v>1416</v>
      </c>
      <c r="D81" s="8" t="s">
        <v>4363</v>
      </c>
      <c r="E81" s="8" t="s">
        <v>4364</v>
      </c>
      <c r="F81" s="8" t="s">
        <v>4365</v>
      </c>
      <c r="G81" s="14" t="s">
        <v>4318</v>
      </c>
      <c r="H81" s="11"/>
      <c r="I81" s="15" t="s">
        <v>1685</v>
      </c>
      <c r="J81" s="8" t="s">
        <v>3275</v>
      </c>
    </row>
    <row r="82" spans="1:10" ht="78.95" customHeight="1" x14ac:dyDescent="0.25">
      <c r="A82" s="8" t="s">
        <v>4432</v>
      </c>
      <c r="B82" s="8" t="s">
        <v>4362</v>
      </c>
      <c r="C82" s="8" t="s">
        <v>1618</v>
      </c>
      <c r="D82" s="8" t="s">
        <v>4363</v>
      </c>
      <c r="E82" s="8" t="s">
        <v>4364</v>
      </c>
      <c r="F82" s="8" t="s">
        <v>4365</v>
      </c>
      <c r="G82" s="14" t="s">
        <v>4318</v>
      </c>
      <c r="H82" s="11"/>
      <c r="I82" s="15" t="s">
        <v>1685</v>
      </c>
      <c r="J82" s="8" t="s">
        <v>3275</v>
      </c>
    </row>
    <row r="83" spans="1:10" ht="78.95" customHeight="1" x14ac:dyDescent="0.25">
      <c r="A83" s="8" t="s">
        <v>4433</v>
      </c>
      <c r="B83" s="8" t="s">
        <v>4362</v>
      </c>
      <c r="C83" s="8" t="s">
        <v>1291</v>
      </c>
      <c r="D83" s="8" t="s">
        <v>4363</v>
      </c>
      <c r="E83" s="8" t="s">
        <v>4364</v>
      </c>
      <c r="F83" s="8" t="s">
        <v>4365</v>
      </c>
      <c r="G83" s="14" t="s">
        <v>4318</v>
      </c>
      <c r="H83" s="11"/>
      <c r="I83" s="15" t="s">
        <v>1685</v>
      </c>
      <c r="J83" s="8" t="s">
        <v>3275</v>
      </c>
    </row>
    <row r="84" spans="1:10" ht="78.95" customHeight="1" x14ac:dyDescent="0.25">
      <c r="A84" s="8" t="s">
        <v>4434</v>
      </c>
      <c r="B84" s="8" t="s">
        <v>4362</v>
      </c>
      <c r="C84" s="8" t="s">
        <v>1278</v>
      </c>
      <c r="D84" s="8" t="s">
        <v>4363</v>
      </c>
      <c r="E84" s="8" t="s">
        <v>4364</v>
      </c>
      <c r="F84" s="8" t="s">
        <v>4365</v>
      </c>
      <c r="G84" s="14" t="s">
        <v>4318</v>
      </c>
      <c r="H84" s="11"/>
      <c r="I84" s="15" t="s">
        <v>1685</v>
      </c>
      <c r="J84" s="8" t="s">
        <v>3275</v>
      </c>
    </row>
    <row r="85" spans="1:10" ht="78.95" customHeight="1" x14ac:dyDescent="0.25">
      <c r="A85" s="8" t="s">
        <v>4435</v>
      </c>
      <c r="B85" s="8" t="s">
        <v>4362</v>
      </c>
      <c r="C85" s="8" t="s">
        <v>1556</v>
      </c>
      <c r="D85" s="8" t="s">
        <v>4363</v>
      </c>
      <c r="E85" s="8" t="s">
        <v>4364</v>
      </c>
      <c r="F85" s="8" t="s">
        <v>4365</v>
      </c>
      <c r="G85" s="14" t="s">
        <v>4318</v>
      </c>
      <c r="H85" s="11"/>
      <c r="I85" s="15" t="s">
        <v>1685</v>
      </c>
      <c r="J85" s="8" t="s">
        <v>3275</v>
      </c>
    </row>
    <row r="86" spans="1:10" ht="78.95" customHeight="1" x14ac:dyDescent="0.25">
      <c r="A86" s="8" t="s">
        <v>4436</v>
      </c>
      <c r="B86" s="8" t="s">
        <v>4362</v>
      </c>
      <c r="C86" s="8" t="s">
        <v>1429</v>
      </c>
      <c r="D86" s="8" t="s">
        <v>4363</v>
      </c>
      <c r="E86" s="8" t="s">
        <v>4364</v>
      </c>
      <c r="F86" s="8" t="s">
        <v>4365</v>
      </c>
      <c r="G86" s="14" t="s">
        <v>4318</v>
      </c>
      <c r="H86" s="11"/>
      <c r="I86" s="15" t="s">
        <v>1685</v>
      </c>
      <c r="J86" s="8" t="s">
        <v>3275</v>
      </c>
    </row>
    <row r="87" spans="1:10" ht="78.95" customHeight="1" x14ac:dyDescent="0.25">
      <c r="A87" s="8" t="s">
        <v>4437</v>
      </c>
      <c r="B87" s="8" t="s">
        <v>4362</v>
      </c>
      <c r="C87" s="8" t="s">
        <v>1669</v>
      </c>
      <c r="D87" s="8" t="s">
        <v>4363</v>
      </c>
      <c r="E87" s="8" t="s">
        <v>4364</v>
      </c>
      <c r="F87" s="8" t="s">
        <v>4365</v>
      </c>
      <c r="G87" s="14" t="s">
        <v>4318</v>
      </c>
      <c r="H87" s="11"/>
      <c r="I87" s="15" t="s">
        <v>1685</v>
      </c>
      <c r="J87" s="8" t="s">
        <v>3275</v>
      </c>
    </row>
    <row r="88" spans="1:10" ht="78.95" customHeight="1" x14ac:dyDescent="0.25">
      <c r="A88" s="8" t="s">
        <v>4438</v>
      </c>
      <c r="B88" s="8" t="s">
        <v>4362</v>
      </c>
      <c r="C88" s="8" t="s">
        <v>1653</v>
      </c>
      <c r="D88" s="8" t="s">
        <v>4363</v>
      </c>
      <c r="E88" s="8" t="s">
        <v>4364</v>
      </c>
      <c r="F88" s="8" t="s">
        <v>4365</v>
      </c>
      <c r="G88" s="14" t="s">
        <v>4318</v>
      </c>
      <c r="H88" s="11"/>
      <c r="I88" s="15" t="s">
        <v>1685</v>
      </c>
      <c r="J88" s="8" t="s">
        <v>3275</v>
      </c>
    </row>
    <row r="89" spans="1:10" ht="78.95" customHeight="1" x14ac:dyDescent="0.25">
      <c r="A89" s="8" t="s">
        <v>4439</v>
      </c>
      <c r="B89" s="8" t="s">
        <v>4362</v>
      </c>
      <c r="C89" s="8" t="s">
        <v>1299</v>
      </c>
      <c r="D89" s="8" t="s">
        <v>4363</v>
      </c>
      <c r="E89" s="8" t="s">
        <v>4364</v>
      </c>
      <c r="F89" s="8" t="s">
        <v>4365</v>
      </c>
      <c r="G89" s="14" t="s">
        <v>4318</v>
      </c>
      <c r="H89" s="11"/>
      <c r="I89" s="15" t="s">
        <v>1685</v>
      </c>
      <c r="J89" s="8" t="s">
        <v>3275</v>
      </c>
    </row>
    <row r="90" spans="1:10" ht="78.95" customHeight="1" x14ac:dyDescent="0.25">
      <c r="A90" s="8" t="s">
        <v>4440</v>
      </c>
      <c r="B90" s="8" t="s">
        <v>4362</v>
      </c>
      <c r="C90" s="8" t="s">
        <v>1456</v>
      </c>
      <c r="D90" s="8" t="s">
        <v>4363</v>
      </c>
      <c r="E90" s="8" t="s">
        <v>4364</v>
      </c>
      <c r="F90" s="8" t="s">
        <v>4365</v>
      </c>
      <c r="G90" s="14" t="s">
        <v>4318</v>
      </c>
      <c r="H90" s="11"/>
      <c r="I90" s="15" t="s">
        <v>1685</v>
      </c>
      <c r="J90" s="8" t="s">
        <v>3275</v>
      </c>
    </row>
    <row r="91" spans="1:10" ht="78.95" customHeight="1" x14ac:dyDescent="0.25">
      <c r="A91" s="8" t="s">
        <v>4441</v>
      </c>
      <c r="B91" s="8" t="s">
        <v>4362</v>
      </c>
      <c r="C91" s="8" t="s">
        <v>1399</v>
      </c>
      <c r="D91" s="8" t="s">
        <v>4363</v>
      </c>
      <c r="E91" s="8" t="s">
        <v>4364</v>
      </c>
      <c r="F91" s="8" t="s">
        <v>4365</v>
      </c>
      <c r="G91" s="14" t="s">
        <v>4318</v>
      </c>
      <c r="H91" s="11"/>
      <c r="I91" s="15" t="s">
        <v>1685</v>
      </c>
      <c r="J91" s="8" t="s">
        <v>3275</v>
      </c>
    </row>
    <row r="92" spans="1:10" ht="78.95" customHeight="1" x14ac:dyDescent="0.25">
      <c r="A92" s="8" t="s">
        <v>4442</v>
      </c>
      <c r="B92" s="8" t="s">
        <v>4362</v>
      </c>
      <c r="C92" s="8" t="s">
        <v>1514</v>
      </c>
      <c r="D92" s="8" t="s">
        <v>4363</v>
      </c>
      <c r="E92" s="8" t="s">
        <v>4364</v>
      </c>
      <c r="F92" s="8" t="s">
        <v>4365</v>
      </c>
      <c r="G92" s="14" t="s">
        <v>4318</v>
      </c>
      <c r="H92" s="11"/>
      <c r="I92" s="15" t="s">
        <v>1685</v>
      </c>
      <c r="J92" s="8" t="s">
        <v>3275</v>
      </c>
    </row>
    <row r="93" spans="1:10" ht="78.95" customHeight="1" x14ac:dyDescent="0.25">
      <c r="A93" s="8" t="s">
        <v>4443</v>
      </c>
      <c r="B93" s="8" t="s">
        <v>4362</v>
      </c>
      <c r="C93" s="8" t="s">
        <v>1373</v>
      </c>
      <c r="D93" s="8" t="s">
        <v>4363</v>
      </c>
      <c r="E93" s="8" t="s">
        <v>4364</v>
      </c>
      <c r="F93" s="8" t="s">
        <v>4365</v>
      </c>
      <c r="G93" s="14" t="s">
        <v>4318</v>
      </c>
      <c r="H93" s="11"/>
      <c r="I93" s="15" t="s">
        <v>1685</v>
      </c>
      <c r="J93" s="8" t="s">
        <v>3275</v>
      </c>
    </row>
    <row r="94" spans="1:10" ht="78.95" customHeight="1" x14ac:dyDescent="0.25">
      <c r="A94" s="8" t="s">
        <v>4444</v>
      </c>
      <c r="B94" s="8" t="s">
        <v>4362</v>
      </c>
      <c r="C94" s="8" t="s">
        <v>1539</v>
      </c>
      <c r="D94" s="8" t="s">
        <v>4363</v>
      </c>
      <c r="E94" s="8" t="s">
        <v>4364</v>
      </c>
      <c r="F94" s="8" t="s">
        <v>4365</v>
      </c>
      <c r="G94" s="14" t="s">
        <v>4318</v>
      </c>
      <c r="H94" s="11"/>
      <c r="I94" s="15" t="s">
        <v>1685</v>
      </c>
      <c r="J94" s="8" t="s">
        <v>3275</v>
      </c>
    </row>
    <row r="95" spans="1:10" ht="78.95" customHeight="1" x14ac:dyDescent="0.25">
      <c r="A95" s="8" t="s">
        <v>4445</v>
      </c>
      <c r="B95" s="8" t="s">
        <v>4362</v>
      </c>
      <c r="C95" s="8" t="s">
        <v>1242</v>
      </c>
      <c r="D95" s="8" t="s">
        <v>4363</v>
      </c>
      <c r="E95" s="8" t="s">
        <v>4364</v>
      </c>
      <c r="F95" s="8" t="s">
        <v>4365</v>
      </c>
      <c r="G95" s="14" t="s">
        <v>4318</v>
      </c>
      <c r="H95" s="11"/>
      <c r="I95" s="15" t="s">
        <v>1685</v>
      </c>
      <c r="J95" s="8" t="s">
        <v>3275</v>
      </c>
    </row>
    <row r="96" spans="1:10" ht="78.95" customHeight="1" x14ac:dyDescent="0.25">
      <c r="A96" s="8" t="s">
        <v>4446</v>
      </c>
      <c r="B96" s="8" t="s">
        <v>4362</v>
      </c>
      <c r="C96" s="8" t="s">
        <v>1485</v>
      </c>
      <c r="D96" s="8" t="s">
        <v>4363</v>
      </c>
      <c r="E96" s="8" t="s">
        <v>4364</v>
      </c>
      <c r="F96" s="8" t="s">
        <v>4365</v>
      </c>
      <c r="G96" s="14" t="s">
        <v>4318</v>
      </c>
      <c r="H96" s="11"/>
      <c r="I96" s="15" t="s">
        <v>1685</v>
      </c>
      <c r="J96" s="8" t="s">
        <v>3275</v>
      </c>
    </row>
    <row r="97" spans="1:10" ht="78.95" customHeight="1" x14ac:dyDescent="0.25">
      <c r="A97" s="8" t="s">
        <v>4447</v>
      </c>
      <c r="B97" s="8" t="s">
        <v>4362</v>
      </c>
      <c r="C97" s="8" t="s">
        <v>1369</v>
      </c>
      <c r="D97" s="8" t="s">
        <v>4363</v>
      </c>
      <c r="E97" s="8" t="s">
        <v>4364</v>
      </c>
      <c r="F97" s="8" t="s">
        <v>4365</v>
      </c>
      <c r="G97" s="14" t="s">
        <v>4318</v>
      </c>
      <c r="H97" s="11"/>
      <c r="I97" s="15" t="s">
        <v>1685</v>
      </c>
      <c r="J97" s="8" t="s">
        <v>3275</v>
      </c>
    </row>
    <row r="98" spans="1:10" ht="78.95" customHeight="1" x14ac:dyDescent="0.25">
      <c r="A98" s="8" t="s">
        <v>4448</v>
      </c>
      <c r="B98" s="8" t="s">
        <v>4362</v>
      </c>
      <c r="C98" s="8" t="s">
        <v>1274</v>
      </c>
      <c r="D98" s="8" t="s">
        <v>4363</v>
      </c>
      <c r="E98" s="8" t="s">
        <v>4364</v>
      </c>
      <c r="F98" s="8" t="s">
        <v>4365</v>
      </c>
      <c r="G98" s="14" t="s">
        <v>4318</v>
      </c>
      <c r="H98" s="11"/>
      <c r="I98" s="15" t="s">
        <v>1685</v>
      </c>
      <c r="J98" s="8" t="s">
        <v>3275</v>
      </c>
    </row>
    <row r="99" spans="1:10" ht="78.95" customHeight="1" x14ac:dyDescent="0.25">
      <c r="A99" s="8" t="s">
        <v>4449</v>
      </c>
      <c r="B99" s="8" t="s">
        <v>4362</v>
      </c>
      <c r="C99" s="8" t="s">
        <v>1357</v>
      </c>
      <c r="D99" s="8" t="s">
        <v>4363</v>
      </c>
      <c r="E99" s="8" t="s">
        <v>4364</v>
      </c>
      <c r="F99" s="8" t="s">
        <v>4365</v>
      </c>
      <c r="G99" s="14" t="s">
        <v>4318</v>
      </c>
      <c r="H99" s="11"/>
      <c r="I99" s="15" t="s">
        <v>1685</v>
      </c>
      <c r="J99" s="8" t="s">
        <v>3275</v>
      </c>
    </row>
    <row r="100" spans="1:10" ht="78.95" customHeight="1" x14ac:dyDescent="0.25">
      <c r="A100" s="8" t="s">
        <v>4450</v>
      </c>
      <c r="B100" s="8" t="s">
        <v>4362</v>
      </c>
      <c r="C100" s="8" t="s">
        <v>1588</v>
      </c>
      <c r="D100" s="8" t="s">
        <v>4363</v>
      </c>
      <c r="E100" s="8" t="s">
        <v>4364</v>
      </c>
      <c r="F100" s="8" t="s">
        <v>4365</v>
      </c>
      <c r="G100" s="14" t="s">
        <v>4318</v>
      </c>
      <c r="H100" s="11"/>
      <c r="I100" s="15" t="s">
        <v>1685</v>
      </c>
      <c r="J100" s="8" t="s">
        <v>3275</v>
      </c>
    </row>
    <row r="101" spans="1:10" ht="78.95" customHeight="1" x14ac:dyDescent="0.25">
      <c r="A101" s="8" t="s">
        <v>4451</v>
      </c>
      <c r="B101" s="8" t="s">
        <v>4362</v>
      </c>
      <c r="C101" s="8" t="s">
        <v>1352</v>
      </c>
      <c r="D101" s="8" t="s">
        <v>4363</v>
      </c>
      <c r="E101" s="8" t="s">
        <v>4364</v>
      </c>
      <c r="F101" s="8" t="s">
        <v>4365</v>
      </c>
      <c r="G101" s="14" t="s">
        <v>4318</v>
      </c>
      <c r="H101" s="11"/>
      <c r="I101" s="15" t="s">
        <v>1685</v>
      </c>
      <c r="J101" s="8" t="s">
        <v>3275</v>
      </c>
    </row>
    <row r="102" spans="1:10" ht="78.95" customHeight="1" x14ac:dyDescent="0.25">
      <c r="A102" s="8" t="s">
        <v>4452</v>
      </c>
      <c r="B102" s="8" t="s">
        <v>4362</v>
      </c>
      <c r="C102" s="8" t="s">
        <v>1518</v>
      </c>
      <c r="D102" s="8" t="s">
        <v>4363</v>
      </c>
      <c r="E102" s="8" t="s">
        <v>4364</v>
      </c>
      <c r="F102" s="8" t="s">
        <v>4365</v>
      </c>
      <c r="G102" s="14" t="s">
        <v>4318</v>
      </c>
      <c r="H102" s="11"/>
      <c r="I102" s="15" t="s">
        <v>1685</v>
      </c>
      <c r="J102" s="8" t="s">
        <v>3275</v>
      </c>
    </row>
    <row r="103" spans="1:10" ht="78.95" customHeight="1" x14ac:dyDescent="0.25">
      <c r="A103" s="8" t="s">
        <v>4453</v>
      </c>
      <c r="B103" s="8" t="s">
        <v>4362</v>
      </c>
      <c r="C103" s="8" t="s">
        <v>1641</v>
      </c>
      <c r="D103" s="8" t="s">
        <v>4363</v>
      </c>
      <c r="E103" s="8" t="s">
        <v>4364</v>
      </c>
      <c r="F103" s="8" t="s">
        <v>4365</v>
      </c>
      <c r="G103" s="14" t="s">
        <v>4318</v>
      </c>
      <c r="H103" s="11"/>
      <c r="I103" s="15" t="s">
        <v>1685</v>
      </c>
      <c r="J103" s="8" t="s">
        <v>3275</v>
      </c>
    </row>
    <row r="104" spans="1:10" ht="78.95" customHeight="1" x14ac:dyDescent="0.25">
      <c r="A104" s="8" t="s">
        <v>4454</v>
      </c>
      <c r="B104" s="8" t="s">
        <v>4362</v>
      </c>
      <c r="C104" s="8" t="s">
        <v>1385</v>
      </c>
      <c r="D104" s="8" t="s">
        <v>4363</v>
      </c>
      <c r="E104" s="8" t="s">
        <v>4364</v>
      </c>
      <c r="F104" s="8" t="s">
        <v>4365</v>
      </c>
      <c r="G104" s="14" t="s">
        <v>4318</v>
      </c>
      <c r="H104" s="11"/>
      <c r="I104" s="15" t="s">
        <v>1685</v>
      </c>
      <c r="J104" s="8" t="s">
        <v>3275</v>
      </c>
    </row>
    <row r="105" spans="1:10" ht="78.95" customHeight="1" x14ac:dyDescent="0.25">
      <c r="A105" s="8" t="s">
        <v>4455</v>
      </c>
      <c r="B105" s="8" t="s">
        <v>4362</v>
      </c>
      <c r="C105" s="8" t="s">
        <v>1265</v>
      </c>
      <c r="D105" s="8" t="s">
        <v>4363</v>
      </c>
      <c r="E105" s="8" t="s">
        <v>4364</v>
      </c>
      <c r="F105" s="8" t="s">
        <v>4365</v>
      </c>
      <c r="G105" s="14" t="s">
        <v>4318</v>
      </c>
      <c r="H105" s="11"/>
      <c r="I105" s="15" t="s">
        <v>1685</v>
      </c>
      <c r="J105" s="8" t="s">
        <v>3275</v>
      </c>
    </row>
    <row r="106" spans="1:10" ht="78.95" customHeight="1" x14ac:dyDescent="0.25">
      <c r="A106" s="8" t="s">
        <v>4456</v>
      </c>
      <c r="B106" s="8" t="s">
        <v>4362</v>
      </c>
      <c r="C106" s="8" t="s">
        <v>1481</v>
      </c>
      <c r="D106" s="8" t="s">
        <v>4363</v>
      </c>
      <c r="E106" s="8" t="s">
        <v>4364</v>
      </c>
      <c r="F106" s="8" t="s">
        <v>4365</v>
      </c>
      <c r="G106" s="14" t="s">
        <v>4318</v>
      </c>
      <c r="H106" s="11"/>
      <c r="I106" s="15" t="s">
        <v>1685</v>
      </c>
      <c r="J106" s="8" t="s">
        <v>3275</v>
      </c>
    </row>
    <row r="107" spans="1:10" ht="78.95" customHeight="1" x14ac:dyDescent="0.25">
      <c r="A107" s="8" t="s">
        <v>4457</v>
      </c>
      <c r="B107" s="8" t="s">
        <v>4362</v>
      </c>
      <c r="C107" s="8" t="s">
        <v>1665</v>
      </c>
      <c r="D107" s="8" t="s">
        <v>4363</v>
      </c>
      <c r="E107" s="8" t="s">
        <v>4364</v>
      </c>
      <c r="F107" s="8" t="s">
        <v>4365</v>
      </c>
      <c r="G107" s="14" t="s">
        <v>4318</v>
      </c>
      <c r="H107" s="11"/>
      <c r="I107" s="15" t="s">
        <v>1685</v>
      </c>
      <c r="J107" s="8" t="s">
        <v>3275</v>
      </c>
    </row>
    <row r="108" spans="1:10" ht="78.95" customHeight="1" x14ac:dyDescent="0.25">
      <c r="A108" s="8" t="s">
        <v>4458</v>
      </c>
      <c r="B108" s="8" t="s">
        <v>4362</v>
      </c>
      <c r="C108" s="8" t="s">
        <v>1576</v>
      </c>
      <c r="D108" s="8" t="s">
        <v>4363</v>
      </c>
      <c r="E108" s="8" t="s">
        <v>4364</v>
      </c>
      <c r="F108" s="8" t="s">
        <v>4365</v>
      </c>
      <c r="G108" s="14" t="s">
        <v>4318</v>
      </c>
      <c r="H108" s="11"/>
      <c r="I108" s="15" t="s">
        <v>1685</v>
      </c>
      <c r="J108" s="8" t="s">
        <v>3275</v>
      </c>
    </row>
    <row r="109" spans="1:10" ht="78.95" customHeight="1" x14ac:dyDescent="0.25">
      <c r="A109" s="8" t="s">
        <v>4459</v>
      </c>
      <c r="B109" s="8" t="s">
        <v>4362</v>
      </c>
      <c r="C109" s="8" t="s">
        <v>1334</v>
      </c>
      <c r="D109" s="8" t="s">
        <v>4363</v>
      </c>
      <c r="E109" s="8" t="s">
        <v>4364</v>
      </c>
      <c r="F109" s="8" t="s">
        <v>4365</v>
      </c>
      <c r="G109" s="14" t="s">
        <v>4318</v>
      </c>
      <c r="H109" s="11"/>
      <c r="I109" s="15" t="s">
        <v>1685</v>
      </c>
      <c r="J109" s="8" t="s">
        <v>3275</v>
      </c>
    </row>
    <row r="110" spans="1:10" ht="78.95" customHeight="1" x14ac:dyDescent="0.25">
      <c r="A110" s="8" t="s">
        <v>4460</v>
      </c>
      <c r="B110" s="8" t="s">
        <v>4362</v>
      </c>
      <c r="C110" s="8" t="s">
        <v>1407</v>
      </c>
      <c r="D110" s="8" t="s">
        <v>4363</v>
      </c>
      <c r="E110" s="8" t="s">
        <v>4364</v>
      </c>
      <c r="F110" s="8" t="s">
        <v>4365</v>
      </c>
      <c r="G110" s="14" t="s">
        <v>4318</v>
      </c>
      <c r="H110" s="11"/>
      <c r="I110" s="15" t="s">
        <v>1685</v>
      </c>
      <c r="J110" s="8" t="s">
        <v>3275</v>
      </c>
    </row>
    <row r="111" spans="1:10" ht="78.95" customHeight="1" x14ac:dyDescent="0.25">
      <c r="A111" s="8" t="s">
        <v>4461</v>
      </c>
      <c r="B111" s="8" t="s">
        <v>4362</v>
      </c>
      <c r="C111" s="8" t="s">
        <v>1493</v>
      </c>
      <c r="D111" s="8" t="s">
        <v>4363</v>
      </c>
      <c r="E111" s="8" t="s">
        <v>4364</v>
      </c>
      <c r="F111" s="8" t="s">
        <v>4365</v>
      </c>
      <c r="G111" s="14" t="s">
        <v>4318</v>
      </c>
      <c r="H111" s="11"/>
      <c r="I111" s="15" t="s">
        <v>1685</v>
      </c>
      <c r="J111" s="8" t="s">
        <v>3275</v>
      </c>
    </row>
    <row r="112" spans="1:10" ht="78.95" customHeight="1" x14ac:dyDescent="0.25">
      <c r="A112" s="8" t="s">
        <v>4462</v>
      </c>
      <c r="B112" s="8" t="s">
        <v>4362</v>
      </c>
      <c r="C112" s="8" t="s">
        <v>1535</v>
      </c>
      <c r="D112" s="8" t="s">
        <v>4363</v>
      </c>
      <c r="E112" s="8" t="s">
        <v>4364</v>
      </c>
      <c r="F112" s="8" t="s">
        <v>4365</v>
      </c>
      <c r="G112" s="14" t="s">
        <v>4318</v>
      </c>
      <c r="H112" s="11"/>
      <c r="I112" s="15" t="s">
        <v>1685</v>
      </c>
      <c r="J112" s="8" t="s">
        <v>3275</v>
      </c>
    </row>
    <row r="113" spans="1:10" ht="78.95" customHeight="1" x14ac:dyDescent="0.25">
      <c r="A113" s="8" t="s">
        <v>4463</v>
      </c>
      <c r="B113" s="8" t="s">
        <v>4362</v>
      </c>
      <c r="C113" s="8" t="s">
        <v>1320</v>
      </c>
      <c r="D113" s="8" t="s">
        <v>4363</v>
      </c>
      <c r="E113" s="8" t="s">
        <v>4364</v>
      </c>
      <c r="F113" s="8" t="s">
        <v>4365</v>
      </c>
      <c r="G113" s="14" t="s">
        <v>4318</v>
      </c>
      <c r="H113" s="11"/>
      <c r="I113" s="15" t="s">
        <v>1685</v>
      </c>
      <c r="J113" s="8" t="s">
        <v>3275</v>
      </c>
    </row>
    <row r="114" spans="1:10" ht="78.95" customHeight="1" x14ac:dyDescent="0.25">
      <c r="A114" s="8" t="s">
        <v>4464</v>
      </c>
      <c r="B114" s="8" t="s">
        <v>4362</v>
      </c>
      <c r="C114" s="8" t="s">
        <v>1316</v>
      </c>
      <c r="D114" s="8" t="s">
        <v>4363</v>
      </c>
      <c r="E114" s="8" t="s">
        <v>4364</v>
      </c>
      <c r="F114" s="8" t="s">
        <v>4365</v>
      </c>
      <c r="G114" s="14" t="s">
        <v>4318</v>
      </c>
      <c r="H114" s="11"/>
      <c r="I114" s="15" t="s">
        <v>1685</v>
      </c>
      <c r="J114" s="8" t="s">
        <v>3275</v>
      </c>
    </row>
    <row r="115" spans="1:10" ht="78.95" customHeight="1" x14ac:dyDescent="0.25">
      <c r="A115" s="8" t="s">
        <v>4465</v>
      </c>
      <c r="B115" s="8" t="s">
        <v>4362</v>
      </c>
      <c r="C115" s="8" t="s">
        <v>1270</v>
      </c>
      <c r="D115" s="8" t="s">
        <v>4363</v>
      </c>
      <c r="E115" s="8" t="s">
        <v>4364</v>
      </c>
      <c r="F115" s="8" t="s">
        <v>4365</v>
      </c>
      <c r="G115" s="14" t="s">
        <v>4318</v>
      </c>
      <c r="H115" s="11"/>
      <c r="I115" s="15" t="s">
        <v>1685</v>
      </c>
      <c r="J115" s="8" t="s">
        <v>3275</v>
      </c>
    </row>
    <row r="116" spans="1:10" ht="78.95" customHeight="1" x14ac:dyDescent="0.25">
      <c r="A116" s="8" t="s">
        <v>4466</v>
      </c>
      <c r="B116" s="8" t="s">
        <v>4362</v>
      </c>
      <c r="C116" s="8" t="s">
        <v>1501</v>
      </c>
      <c r="D116" s="8" t="s">
        <v>4363</v>
      </c>
      <c r="E116" s="8" t="s">
        <v>4364</v>
      </c>
      <c r="F116" s="8" t="s">
        <v>4365</v>
      </c>
      <c r="G116" s="14" t="s">
        <v>4318</v>
      </c>
      <c r="H116" s="11"/>
      <c r="I116" s="15" t="s">
        <v>1685</v>
      </c>
      <c r="J116" s="8" t="s">
        <v>3275</v>
      </c>
    </row>
    <row r="117" spans="1:10" ht="78.95" customHeight="1" x14ac:dyDescent="0.25">
      <c r="A117" s="8" t="s">
        <v>4467</v>
      </c>
      <c r="B117" s="8" t="s">
        <v>4362</v>
      </c>
      <c r="C117" s="8" t="s">
        <v>1460</v>
      </c>
      <c r="D117" s="8" t="s">
        <v>4363</v>
      </c>
      <c r="E117" s="8" t="s">
        <v>4364</v>
      </c>
      <c r="F117" s="8" t="s">
        <v>4365</v>
      </c>
      <c r="G117" s="14" t="s">
        <v>4318</v>
      </c>
      <c r="H117" s="11"/>
      <c r="I117" s="15" t="s">
        <v>1685</v>
      </c>
      <c r="J117" s="8" t="s">
        <v>3275</v>
      </c>
    </row>
    <row r="118" spans="1:10" ht="78.95" customHeight="1" x14ac:dyDescent="0.25">
      <c r="A118" s="8" t="s">
        <v>4468</v>
      </c>
      <c r="B118" s="8" t="s">
        <v>4362</v>
      </c>
      <c r="C118" s="8" t="s">
        <v>1338</v>
      </c>
      <c r="D118" s="8" t="s">
        <v>4363</v>
      </c>
      <c r="E118" s="8" t="s">
        <v>4364</v>
      </c>
      <c r="F118" s="8" t="s">
        <v>4365</v>
      </c>
      <c r="G118" s="14" t="s">
        <v>4318</v>
      </c>
      <c r="H118" s="11"/>
      <c r="I118" s="15" t="s">
        <v>1685</v>
      </c>
      <c r="J118" s="8" t="s">
        <v>3275</v>
      </c>
    </row>
    <row r="119" spans="1:10" ht="78.95" customHeight="1" x14ac:dyDescent="0.25">
      <c r="A119" s="8" t="s">
        <v>4469</v>
      </c>
      <c r="B119" s="8" t="s">
        <v>4362</v>
      </c>
      <c r="C119" s="8" t="s">
        <v>1489</v>
      </c>
      <c r="D119" s="8" t="s">
        <v>4363</v>
      </c>
      <c r="E119" s="8" t="s">
        <v>4364</v>
      </c>
      <c r="F119" s="8" t="s">
        <v>4365</v>
      </c>
      <c r="G119" s="14" t="s">
        <v>4318</v>
      </c>
      <c r="H119" s="11"/>
      <c r="I119" s="15" t="s">
        <v>1685</v>
      </c>
      <c r="J119" s="8" t="s">
        <v>3275</v>
      </c>
    </row>
    <row r="120" spans="1:10" ht="78.95" customHeight="1" x14ac:dyDescent="0.25">
      <c r="A120" s="8" t="s">
        <v>4470</v>
      </c>
      <c r="B120" s="8" t="s">
        <v>4362</v>
      </c>
      <c r="C120" s="8" t="s">
        <v>1342</v>
      </c>
      <c r="D120" s="8" t="s">
        <v>4363</v>
      </c>
      <c r="E120" s="8" t="s">
        <v>4364</v>
      </c>
      <c r="F120" s="8" t="s">
        <v>4365</v>
      </c>
      <c r="G120" s="14" t="s">
        <v>4318</v>
      </c>
      <c r="H120" s="11"/>
      <c r="I120" s="15" t="s">
        <v>1685</v>
      </c>
      <c r="J120" s="8" t="s">
        <v>3275</v>
      </c>
    </row>
    <row r="121" spans="1:10" ht="78.95" customHeight="1" x14ac:dyDescent="0.25">
      <c r="A121" s="8" t="s">
        <v>4471</v>
      </c>
      <c r="B121" s="8" t="s">
        <v>4362</v>
      </c>
      <c r="C121" s="8" t="s">
        <v>1510</v>
      </c>
      <c r="D121" s="8" t="s">
        <v>4363</v>
      </c>
      <c r="E121" s="8" t="s">
        <v>4364</v>
      </c>
      <c r="F121" s="8" t="s">
        <v>4365</v>
      </c>
      <c r="G121" s="14" t="s">
        <v>4318</v>
      </c>
      <c r="H121" s="11"/>
      <c r="I121" s="15" t="s">
        <v>1685</v>
      </c>
      <c r="J121" s="8" t="s">
        <v>3275</v>
      </c>
    </row>
    <row r="122" spans="1:10" ht="78.95" customHeight="1" x14ac:dyDescent="0.25">
      <c r="A122" s="8" t="s">
        <v>4472</v>
      </c>
      <c r="B122" s="8" t="s">
        <v>4362</v>
      </c>
      <c r="C122" s="8" t="s">
        <v>1564</v>
      </c>
      <c r="D122" s="8" t="s">
        <v>4363</v>
      </c>
      <c r="E122" s="8" t="s">
        <v>4364</v>
      </c>
      <c r="F122" s="8" t="s">
        <v>4365</v>
      </c>
      <c r="G122" s="14" t="s">
        <v>4318</v>
      </c>
      <c r="H122" s="11"/>
      <c r="I122" s="15" t="s">
        <v>1685</v>
      </c>
      <c r="J122" s="8" t="s">
        <v>3275</v>
      </c>
    </row>
    <row r="123" spans="1:10" ht="78.95" customHeight="1" x14ac:dyDescent="0.25">
      <c r="A123" s="8" t="s">
        <v>4473</v>
      </c>
      <c r="B123" s="8" t="s">
        <v>4362</v>
      </c>
      <c r="C123" s="8" t="s">
        <v>1622</v>
      </c>
      <c r="D123" s="8" t="s">
        <v>4363</v>
      </c>
      <c r="E123" s="8" t="s">
        <v>4364</v>
      </c>
      <c r="F123" s="8" t="s">
        <v>4365</v>
      </c>
      <c r="G123" s="14" t="s">
        <v>4318</v>
      </c>
      <c r="H123" s="11"/>
      <c r="I123" s="15" t="s">
        <v>1685</v>
      </c>
      <c r="J123" s="8" t="s">
        <v>3275</v>
      </c>
    </row>
    <row r="124" spans="1:10" ht="78.95" customHeight="1" x14ac:dyDescent="0.25">
      <c r="A124" s="8" t="s">
        <v>4474</v>
      </c>
      <c r="B124" s="8" t="s">
        <v>4362</v>
      </c>
      <c r="C124" s="8" t="s">
        <v>1632</v>
      </c>
      <c r="D124" s="8" t="s">
        <v>4363</v>
      </c>
      <c r="E124" s="8" t="s">
        <v>4364</v>
      </c>
      <c r="F124" s="8" t="s">
        <v>4365</v>
      </c>
      <c r="G124" s="14" t="s">
        <v>4318</v>
      </c>
      <c r="H124" s="11"/>
      <c r="I124" s="15" t="s">
        <v>1685</v>
      </c>
      <c r="J124" s="8" t="s">
        <v>3275</v>
      </c>
    </row>
    <row r="125" spans="1:10" ht="78.95" customHeight="1" x14ac:dyDescent="0.25">
      <c r="A125" s="8" t="s">
        <v>4475</v>
      </c>
      <c r="B125" s="8" t="s">
        <v>4362</v>
      </c>
      <c r="C125" s="8" t="s">
        <v>1505</v>
      </c>
      <c r="D125" s="8" t="s">
        <v>4363</v>
      </c>
      <c r="E125" s="8" t="s">
        <v>4364</v>
      </c>
      <c r="F125" s="8" t="s">
        <v>4365</v>
      </c>
      <c r="G125" s="14" t="s">
        <v>4318</v>
      </c>
      <c r="H125" s="11"/>
      <c r="I125" s="15" t="s">
        <v>1685</v>
      </c>
      <c r="J125" s="8" t="s">
        <v>3275</v>
      </c>
    </row>
    <row r="126" spans="1:10" ht="78.95" customHeight="1" x14ac:dyDescent="0.25">
      <c r="A126" s="8" t="s">
        <v>4476</v>
      </c>
      <c r="B126" s="8" t="s">
        <v>4362</v>
      </c>
      <c r="C126" s="8" t="s">
        <v>1572</v>
      </c>
      <c r="D126" s="8" t="s">
        <v>4363</v>
      </c>
      <c r="E126" s="8" t="s">
        <v>4364</v>
      </c>
      <c r="F126" s="8" t="s">
        <v>4365</v>
      </c>
      <c r="G126" s="14" t="s">
        <v>4318</v>
      </c>
      <c r="H126" s="11"/>
      <c r="I126" s="15" t="s">
        <v>1685</v>
      </c>
      <c r="J126" s="8" t="s">
        <v>3275</v>
      </c>
    </row>
    <row r="127" spans="1:10" ht="78.95" customHeight="1" x14ac:dyDescent="0.25">
      <c r="A127" s="8" t="s">
        <v>4477</v>
      </c>
      <c r="B127" s="8" t="s">
        <v>4362</v>
      </c>
      <c r="C127" s="8" t="s">
        <v>1282</v>
      </c>
      <c r="D127" s="8" t="s">
        <v>4363</v>
      </c>
      <c r="E127" s="8" t="s">
        <v>4364</v>
      </c>
      <c r="F127" s="8" t="s">
        <v>4365</v>
      </c>
      <c r="G127" s="14" t="s">
        <v>4318</v>
      </c>
      <c r="H127" s="11"/>
      <c r="I127" s="15" t="s">
        <v>1685</v>
      </c>
      <c r="J127" s="8" t="s">
        <v>3275</v>
      </c>
    </row>
    <row r="128" spans="1:10" ht="78.95" customHeight="1" x14ac:dyDescent="0.25">
      <c r="A128" s="8" t="s">
        <v>4478</v>
      </c>
      <c r="B128" s="8" t="s">
        <v>4362</v>
      </c>
      <c r="C128" s="8" t="s">
        <v>1307</v>
      </c>
      <c r="D128" s="8" t="s">
        <v>4363</v>
      </c>
      <c r="E128" s="8" t="s">
        <v>4364</v>
      </c>
      <c r="F128" s="8" t="s">
        <v>4365</v>
      </c>
      <c r="G128" s="14" t="s">
        <v>4318</v>
      </c>
      <c r="H128" s="11"/>
      <c r="I128" s="15" t="s">
        <v>1685</v>
      </c>
      <c r="J128" s="8" t="s">
        <v>3275</v>
      </c>
    </row>
    <row r="129" spans="1:10" ht="78.95" customHeight="1" x14ac:dyDescent="0.25">
      <c r="A129" s="8" t="s">
        <v>4479</v>
      </c>
      <c r="B129" s="8" t="s">
        <v>4362</v>
      </c>
      <c r="C129" s="8" t="s">
        <v>1497</v>
      </c>
      <c r="D129" s="8" t="s">
        <v>4363</v>
      </c>
      <c r="E129" s="8" t="s">
        <v>4364</v>
      </c>
      <c r="F129" s="8" t="s">
        <v>4365</v>
      </c>
      <c r="G129" s="14" t="s">
        <v>4318</v>
      </c>
      <c r="H129" s="11"/>
      <c r="I129" s="15" t="s">
        <v>1685</v>
      </c>
      <c r="J129" s="8" t="s">
        <v>3275</v>
      </c>
    </row>
    <row r="130" spans="1:10" ht="78.95" customHeight="1" x14ac:dyDescent="0.25">
      <c r="A130" s="8" t="s">
        <v>4480</v>
      </c>
      <c r="B130" s="8" t="s">
        <v>4362</v>
      </c>
      <c r="C130" s="8" t="s">
        <v>1395</v>
      </c>
      <c r="D130" s="8" t="s">
        <v>4363</v>
      </c>
      <c r="E130" s="8" t="s">
        <v>4364</v>
      </c>
      <c r="F130" s="8" t="s">
        <v>4365</v>
      </c>
      <c r="G130" s="14" t="s">
        <v>4318</v>
      </c>
      <c r="H130" s="11"/>
      <c r="I130" s="15" t="s">
        <v>1685</v>
      </c>
      <c r="J130" s="8" t="s">
        <v>3275</v>
      </c>
    </row>
    <row r="131" spans="1:10" ht="78.95" customHeight="1" x14ac:dyDescent="0.25">
      <c r="A131" s="8" t="s">
        <v>4481</v>
      </c>
      <c r="B131" s="8" t="s">
        <v>4362</v>
      </c>
      <c r="C131" s="8" t="s">
        <v>1602</v>
      </c>
      <c r="D131" s="8" t="s">
        <v>4363</v>
      </c>
      <c r="E131" s="8" t="s">
        <v>4364</v>
      </c>
      <c r="F131" s="8" t="s">
        <v>4365</v>
      </c>
      <c r="G131" s="14" t="s">
        <v>4318</v>
      </c>
      <c r="H131" s="11"/>
      <c r="I131" s="15" t="s">
        <v>1685</v>
      </c>
      <c r="J131" s="8" t="s">
        <v>3275</v>
      </c>
    </row>
    <row r="132" spans="1:10" ht="78.95" customHeight="1" x14ac:dyDescent="0.25">
      <c r="A132" s="8" t="s">
        <v>4482</v>
      </c>
      <c r="B132" s="8" t="s">
        <v>4362</v>
      </c>
      <c r="C132" s="8" t="s">
        <v>1547</v>
      </c>
      <c r="D132" s="8" t="s">
        <v>4363</v>
      </c>
      <c r="E132" s="8" t="s">
        <v>4364</v>
      </c>
      <c r="F132" s="8" t="s">
        <v>4365</v>
      </c>
      <c r="G132" s="14" t="s">
        <v>4318</v>
      </c>
      <c r="H132" s="11"/>
      <c r="I132" s="15" t="s">
        <v>1685</v>
      </c>
      <c r="J132" s="8" t="s">
        <v>3275</v>
      </c>
    </row>
    <row r="133" spans="1:10" ht="78.95" customHeight="1" x14ac:dyDescent="0.25">
      <c r="A133" s="8" t="s">
        <v>4483</v>
      </c>
      <c r="B133" s="8" t="s">
        <v>4362</v>
      </c>
      <c r="C133" s="8" t="s">
        <v>1560</v>
      </c>
      <c r="D133" s="8" t="s">
        <v>4363</v>
      </c>
      <c r="E133" s="8" t="s">
        <v>4364</v>
      </c>
      <c r="F133" s="8" t="s">
        <v>4365</v>
      </c>
      <c r="G133" s="14" t="s">
        <v>4318</v>
      </c>
      <c r="H133" s="11"/>
      <c r="I133" s="15" t="s">
        <v>1685</v>
      </c>
      <c r="J133" s="8" t="s">
        <v>3275</v>
      </c>
    </row>
    <row r="134" spans="1:10" ht="78.95" customHeight="1" x14ac:dyDescent="0.25">
      <c r="A134" s="8" t="s">
        <v>4484</v>
      </c>
      <c r="B134" s="8" t="s">
        <v>4362</v>
      </c>
      <c r="C134" s="8" t="s">
        <v>1443</v>
      </c>
      <c r="D134" s="8" t="s">
        <v>4363</v>
      </c>
      <c r="E134" s="8" t="s">
        <v>4364</v>
      </c>
      <c r="F134" s="8" t="s">
        <v>4365</v>
      </c>
      <c r="G134" s="14" t="s">
        <v>4318</v>
      </c>
      <c r="H134" s="11"/>
      <c r="I134" s="15" t="s">
        <v>1685</v>
      </c>
      <c r="J134" s="8" t="s">
        <v>3275</v>
      </c>
    </row>
    <row r="135" spans="1:10" ht="78.95" customHeight="1" x14ac:dyDescent="0.25">
      <c r="A135" s="8" t="s">
        <v>4485</v>
      </c>
      <c r="B135" s="8" t="s">
        <v>4362</v>
      </c>
      <c r="C135" s="8" t="s">
        <v>1434</v>
      </c>
      <c r="D135" s="8" t="s">
        <v>4363</v>
      </c>
      <c r="E135" s="8" t="s">
        <v>4364</v>
      </c>
      <c r="F135" s="8" t="s">
        <v>4365</v>
      </c>
      <c r="G135" s="14" t="s">
        <v>4318</v>
      </c>
      <c r="H135" s="11"/>
      <c r="I135" s="15" t="s">
        <v>1685</v>
      </c>
      <c r="J135" s="8" t="s">
        <v>3275</v>
      </c>
    </row>
    <row r="136" spans="1:10" ht="78.95" customHeight="1" x14ac:dyDescent="0.25">
      <c r="A136" s="8" t="s">
        <v>4486</v>
      </c>
      <c r="B136" s="8" t="s">
        <v>4362</v>
      </c>
      <c r="C136" s="8" t="s">
        <v>1347</v>
      </c>
      <c r="D136" s="8" t="s">
        <v>4363</v>
      </c>
      <c r="E136" s="8" t="s">
        <v>4364</v>
      </c>
      <c r="F136" s="8" t="s">
        <v>4365</v>
      </c>
      <c r="G136" s="14" t="s">
        <v>4318</v>
      </c>
      <c r="H136" s="11"/>
      <c r="I136" s="15" t="s">
        <v>1685</v>
      </c>
      <c r="J136" s="8" t="s">
        <v>3275</v>
      </c>
    </row>
    <row r="137" spans="1:10" ht="78.95" customHeight="1" x14ac:dyDescent="0.25">
      <c r="A137" s="8" t="s">
        <v>4487</v>
      </c>
      <c r="B137" s="8" t="s">
        <v>4362</v>
      </c>
      <c r="C137" s="8" t="s">
        <v>1361</v>
      </c>
      <c r="D137" s="8" t="s">
        <v>4363</v>
      </c>
      <c r="E137" s="8" t="s">
        <v>4364</v>
      </c>
      <c r="F137" s="8" t="s">
        <v>4365</v>
      </c>
      <c r="G137" s="14" t="s">
        <v>4318</v>
      </c>
      <c r="H137" s="11"/>
      <c r="I137" s="15" t="s">
        <v>1685</v>
      </c>
      <c r="J137" s="8" t="s">
        <v>3275</v>
      </c>
    </row>
    <row r="138" spans="1:10" ht="78.95" customHeight="1" x14ac:dyDescent="0.25">
      <c r="A138" s="8" t="s">
        <v>4488</v>
      </c>
      <c r="B138" s="8" t="s">
        <v>4362</v>
      </c>
      <c r="C138" s="8" t="s">
        <v>1552</v>
      </c>
      <c r="D138" s="8" t="s">
        <v>4363</v>
      </c>
      <c r="E138" s="8" t="s">
        <v>4364</v>
      </c>
      <c r="F138" s="8" t="s">
        <v>4365</v>
      </c>
      <c r="G138" s="14" t="s">
        <v>4318</v>
      </c>
      <c r="H138" s="11"/>
      <c r="I138" s="15" t="s">
        <v>1685</v>
      </c>
      <c r="J138" s="8" t="s">
        <v>3275</v>
      </c>
    </row>
    <row r="139" spans="1:10" ht="78.95" customHeight="1" x14ac:dyDescent="0.25">
      <c r="A139" s="8" t="s">
        <v>4489</v>
      </c>
      <c r="B139" s="8" t="s">
        <v>4362</v>
      </c>
      <c r="C139" s="8" t="s">
        <v>1522</v>
      </c>
      <c r="D139" s="8" t="s">
        <v>4363</v>
      </c>
      <c r="E139" s="8" t="s">
        <v>4364</v>
      </c>
      <c r="F139" s="8" t="s">
        <v>4365</v>
      </c>
      <c r="G139" s="14" t="s">
        <v>4318</v>
      </c>
      <c r="H139" s="11"/>
      <c r="I139" s="15" t="s">
        <v>1685</v>
      </c>
      <c r="J139" s="8" t="s">
        <v>3275</v>
      </c>
    </row>
    <row r="140" spans="1:10" ht="78.95" customHeight="1" x14ac:dyDescent="0.25">
      <c r="A140" s="8" t="s">
        <v>4490</v>
      </c>
      <c r="B140" s="8" t="s">
        <v>4362</v>
      </c>
      <c r="C140" s="8" t="s">
        <v>1403</v>
      </c>
      <c r="D140" s="8" t="s">
        <v>4363</v>
      </c>
      <c r="E140" s="8" t="s">
        <v>4364</v>
      </c>
      <c r="F140" s="8" t="s">
        <v>4365</v>
      </c>
      <c r="G140" s="14" t="s">
        <v>4318</v>
      </c>
      <c r="H140" s="11"/>
      <c r="I140" s="15" t="s">
        <v>1685</v>
      </c>
      <c r="J140" s="8" t="s">
        <v>3275</v>
      </c>
    </row>
    <row r="141" spans="1:10" ht="78.95" customHeight="1" x14ac:dyDescent="0.25">
      <c r="A141" s="8" t="s">
        <v>4491</v>
      </c>
      <c r="B141" s="8" t="s">
        <v>4362</v>
      </c>
      <c r="C141" s="8" t="s">
        <v>1597</v>
      </c>
      <c r="D141" s="8" t="s">
        <v>4363</v>
      </c>
      <c r="E141" s="8" t="s">
        <v>4364</v>
      </c>
      <c r="F141" s="8" t="s">
        <v>4365</v>
      </c>
      <c r="G141" s="14" t="s">
        <v>4318</v>
      </c>
      <c r="H141" s="11"/>
      <c r="I141" s="15" t="s">
        <v>1685</v>
      </c>
      <c r="J141" s="8" t="s">
        <v>3275</v>
      </c>
    </row>
    <row r="142" spans="1:10" ht="78.95" customHeight="1" x14ac:dyDescent="0.25">
      <c r="A142" s="8" t="s">
        <v>4492</v>
      </c>
      <c r="B142" s="8" t="s">
        <v>4362</v>
      </c>
      <c r="C142" s="8" t="s">
        <v>1438</v>
      </c>
      <c r="D142" s="8" t="s">
        <v>4363</v>
      </c>
      <c r="E142" s="8" t="s">
        <v>4364</v>
      </c>
      <c r="F142" s="8" t="s">
        <v>4365</v>
      </c>
      <c r="G142" s="14" t="s">
        <v>4318</v>
      </c>
      <c r="H142" s="11"/>
      <c r="I142" s="15" t="s">
        <v>1685</v>
      </c>
      <c r="J142" s="8" t="s">
        <v>3275</v>
      </c>
    </row>
    <row r="143" spans="1:10" ht="78.95" customHeight="1" x14ac:dyDescent="0.25">
      <c r="A143" s="8" t="s">
        <v>4493</v>
      </c>
      <c r="B143" s="8" t="s">
        <v>4362</v>
      </c>
      <c r="C143" s="8" t="s">
        <v>1649</v>
      </c>
      <c r="D143" s="8" t="s">
        <v>4363</v>
      </c>
      <c r="E143" s="8" t="s">
        <v>4364</v>
      </c>
      <c r="F143" s="8" t="s">
        <v>4365</v>
      </c>
      <c r="G143" s="14" t="s">
        <v>4318</v>
      </c>
      <c r="H143" s="11"/>
      <c r="I143" s="15" t="s">
        <v>1685</v>
      </c>
      <c r="J143" s="8" t="s">
        <v>3275</v>
      </c>
    </row>
    <row r="144" spans="1:10" ht="78.95" customHeight="1" x14ac:dyDescent="0.25">
      <c r="A144" s="8" t="s">
        <v>4494</v>
      </c>
      <c r="B144" s="8" t="s">
        <v>4362</v>
      </c>
      <c r="C144" s="8" t="s">
        <v>1593</v>
      </c>
      <c r="D144" s="8" t="s">
        <v>4363</v>
      </c>
      <c r="E144" s="8" t="s">
        <v>4364</v>
      </c>
      <c r="F144" s="8" t="s">
        <v>4365</v>
      </c>
      <c r="G144" s="14" t="s">
        <v>4318</v>
      </c>
      <c r="H144" s="11"/>
      <c r="I144" s="15" t="s">
        <v>1685</v>
      </c>
      <c r="J144" s="8" t="s">
        <v>3275</v>
      </c>
    </row>
    <row r="145" spans="1:10" ht="78.95" customHeight="1" x14ac:dyDescent="0.25">
      <c r="A145" s="8" t="s">
        <v>4495</v>
      </c>
      <c r="B145" s="8" t="s">
        <v>4362</v>
      </c>
      <c r="C145" s="8" t="s">
        <v>1477</v>
      </c>
      <c r="D145" s="8" t="s">
        <v>4363</v>
      </c>
      <c r="E145" s="8" t="s">
        <v>4364</v>
      </c>
      <c r="F145" s="8" t="s">
        <v>4365</v>
      </c>
      <c r="G145" s="14" t="s">
        <v>4318</v>
      </c>
      <c r="H145" s="11"/>
      <c r="I145" s="15" t="s">
        <v>1685</v>
      </c>
      <c r="J145" s="8" t="s">
        <v>3275</v>
      </c>
    </row>
    <row r="146" spans="1:10" ht="78.95" customHeight="1" x14ac:dyDescent="0.25">
      <c r="A146" s="8" t="s">
        <v>4496</v>
      </c>
      <c r="B146" s="8" t="s">
        <v>4362</v>
      </c>
      <c r="C146" s="8" t="s">
        <v>1606</v>
      </c>
      <c r="D146" s="8" t="s">
        <v>4363</v>
      </c>
      <c r="E146" s="8" t="s">
        <v>4364</v>
      </c>
      <c r="F146" s="8" t="s">
        <v>4365</v>
      </c>
      <c r="G146" s="14" t="s">
        <v>4318</v>
      </c>
      <c r="H146" s="11"/>
      <c r="I146" s="15" t="s">
        <v>1685</v>
      </c>
      <c r="J146" s="8" t="s">
        <v>3275</v>
      </c>
    </row>
    <row r="147" spans="1:10" ht="78.95" customHeight="1" x14ac:dyDescent="0.25">
      <c r="A147" s="8" t="s">
        <v>4497</v>
      </c>
      <c r="B147" s="8" t="s">
        <v>4362</v>
      </c>
      <c r="C147" s="8" t="s">
        <v>1295</v>
      </c>
      <c r="D147" s="8" t="s">
        <v>4363</v>
      </c>
      <c r="E147" s="8" t="s">
        <v>4364</v>
      </c>
      <c r="F147" s="8" t="s">
        <v>4365</v>
      </c>
      <c r="G147" s="14" t="s">
        <v>4318</v>
      </c>
      <c r="H147" s="11"/>
      <c r="I147" s="15" t="s">
        <v>1685</v>
      </c>
      <c r="J147" s="8" t="s">
        <v>3275</v>
      </c>
    </row>
    <row r="148" spans="1:10" ht="78.95" customHeight="1" x14ac:dyDescent="0.25">
      <c r="A148" s="8" t="s">
        <v>4498</v>
      </c>
      <c r="B148" s="8" t="s">
        <v>4362</v>
      </c>
      <c r="C148" s="8" t="s">
        <v>1421</v>
      </c>
      <c r="D148" s="8" t="s">
        <v>4363</v>
      </c>
      <c r="E148" s="8" t="s">
        <v>4364</v>
      </c>
      <c r="F148" s="8" t="s">
        <v>4365</v>
      </c>
      <c r="G148" s="14" t="s">
        <v>4318</v>
      </c>
      <c r="H148" s="11"/>
      <c r="I148" s="15" t="s">
        <v>1685</v>
      </c>
      <c r="J148" s="8" t="s">
        <v>3275</v>
      </c>
    </row>
    <row r="149" spans="1:10" ht="78.95" customHeight="1" x14ac:dyDescent="0.25">
      <c r="A149" s="8" t="s">
        <v>4499</v>
      </c>
      <c r="B149" s="8" t="s">
        <v>4362</v>
      </c>
      <c r="C149" s="8" t="s">
        <v>1657</v>
      </c>
      <c r="D149" s="8" t="s">
        <v>4363</v>
      </c>
      <c r="E149" s="8" t="s">
        <v>4364</v>
      </c>
      <c r="F149" s="8" t="s">
        <v>4365</v>
      </c>
      <c r="G149" s="14" t="s">
        <v>4318</v>
      </c>
      <c r="H149" s="11"/>
      <c r="I149" s="15" t="s">
        <v>1685</v>
      </c>
      <c r="J149" s="8" t="s">
        <v>3275</v>
      </c>
    </row>
    <row r="150" spans="1:10" ht="78.95" customHeight="1" x14ac:dyDescent="0.25">
      <c r="A150" s="8" t="s">
        <v>4500</v>
      </c>
      <c r="B150" s="8" t="s">
        <v>4362</v>
      </c>
      <c r="C150" s="8" t="s">
        <v>1452</v>
      </c>
      <c r="D150" s="8" t="s">
        <v>4363</v>
      </c>
      <c r="E150" s="8" t="s">
        <v>4364</v>
      </c>
      <c r="F150" s="8" t="s">
        <v>4365</v>
      </c>
      <c r="G150" s="14" t="s">
        <v>4318</v>
      </c>
      <c r="H150" s="11"/>
      <c r="I150" s="15" t="s">
        <v>1685</v>
      </c>
      <c r="J150" s="8" t="s">
        <v>3275</v>
      </c>
    </row>
    <row r="151" spans="1:10" ht="78.95" customHeight="1" x14ac:dyDescent="0.25">
      <c r="A151" s="8" t="s">
        <v>4501</v>
      </c>
      <c r="B151" s="8" t="s">
        <v>4362</v>
      </c>
      <c r="C151" s="8" t="s">
        <v>1637</v>
      </c>
      <c r="D151" s="8" t="s">
        <v>4363</v>
      </c>
      <c r="E151" s="8" t="s">
        <v>4364</v>
      </c>
      <c r="F151" s="8" t="s">
        <v>4365</v>
      </c>
      <c r="G151" s="14" t="s">
        <v>4318</v>
      </c>
      <c r="H151" s="11"/>
      <c r="I151" s="15" t="s">
        <v>1685</v>
      </c>
      <c r="J151" s="8" t="s">
        <v>3275</v>
      </c>
    </row>
    <row r="152" spans="1:10" ht="78.95" customHeight="1" x14ac:dyDescent="0.25">
      <c r="A152" s="8" t="s">
        <v>4502</v>
      </c>
      <c r="B152" s="8" t="s">
        <v>4362</v>
      </c>
      <c r="C152" s="8" t="s">
        <v>1645</v>
      </c>
      <c r="D152" s="8" t="s">
        <v>4363</v>
      </c>
      <c r="E152" s="8" t="s">
        <v>4364</v>
      </c>
      <c r="F152" s="8" t="s">
        <v>4365</v>
      </c>
      <c r="G152" s="14" t="s">
        <v>4318</v>
      </c>
      <c r="H152" s="11"/>
      <c r="I152" s="15" t="s">
        <v>1685</v>
      </c>
      <c r="J152" s="8" t="s">
        <v>3275</v>
      </c>
    </row>
    <row r="153" spans="1:10" ht="78.95" customHeight="1" x14ac:dyDescent="0.25">
      <c r="A153" s="8" t="s">
        <v>4503</v>
      </c>
      <c r="B153" s="8" t="s">
        <v>4362</v>
      </c>
      <c r="C153" s="8" t="s">
        <v>1568</v>
      </c>
      <c r="D153" s="8" t="s">
        <v>4363</v>
      </c>
      <c r="E153" s="8" t="s">
        <v>4364</v>
      </c>
      <c r="F153" s="8" t="s">
        <v>4365</v>
      </c>
      <c r="G153" s="14" t="s">
        <v>4318</v>
      </c>
      <c r="H153" s="11"/>
      <c r="I153" s="15" t="s">
        <v>1685</v>
      </c>
      <c r="J153" s="8" t="s">
        <v>3275</v>
      </c>
    </row>
    <row r="154" spans="1:10" ht="78.95" customHeight="1" x14ac:dyDescent="0.25">
      <c r="A154" s="8" t="s">
        <v>4504</v>
      </c>
      <c r="B154" s="8" t="s">
        <v>4362</v>
      </c>
      <c r="C154" s="8" t="s">
        <v>1584</v>
      </c>
      <c r="D154" s="8" t="s">
        <v>4363</v>
      </c>
      <c r="E154" s="8" t="s">
        <v>4364</v>
      </c>
      <c r="F154" s="8" t="s">
        <v>4365</v>
      </c>
      <c r="G154" s="14" t="s">
        <v>4318</v>
      </c>
      <c r="H154" s="11"/>
      <c r="I154" s="15" t="s">
        <v>1685</v>
      </c>
      <c r="J154" s="8" t="s">
        <v>3275</v>
      </c>
    </row>
    <row r="155" spans="1:10" ht="65.099999999999994" customHeight="1" x14ac:dyDescent="0.25">
      <c r="A155" s="8" t="s">
        <v>4505</v>
      </c>
      <c r="B155" s="8" t="s">
        <v>4362</v>
      </c>
      <c r="C155" s="8" t="s">
        <v>691</v>
      </c>
      <c r="D155" s="8" t="s">
        <v>4363</v>
      </c>
      <c r="E155" s="8" t="s">
        <v>4364</v>
      </c>
      <c r="F155" s="8" t="s">
        <v>4506</v>
      </c>
      <c r="G155" s="9" t="s">
        <v>4507</v>
      </c>
      <c r="H155" s="11" t="s">
        <v>2916</v>
      </c>
      <c r="I155" s="15" t="s">
        <v>1685</v>
      </c>
      <c r="J155" s="8" t="s">
        <v>3275</v>
      </c>
    </row>
    <row r="156" spans="1:10" ht="65.099999999999994" customHeight="1" x14ac:dyDescent="0.25">
      <c r="A156" s="8" t="s">
        <v>4508</v>
      </c>
      <c r="B156" s="8" t="s">
        <v>4362</v>
      </c>
      <c r="C156" s="8" t="s">
        <v>533</v>
      </c>
      <c r="D156" s="8" t="s">
        <v>4363</v>
      </c>
      <c r="E156" s="8" t="s">
        <v>4364</v>
      </c>
      <c r="F156" s="8" t="s">
        <v>4506</v>
      </c>
      <c r="G156" s="9" t="s">
        <v>4507</v>
      </c>
      <c r="H156" s="11" t="s">
        <v>2889</v>
      </c>
      <c r="I156" s="15" t="s">
        <v>1685</v>
      </c>
      <c r="J156" s="8" t="s">
        <v>3275</v>
      </c>
    </row>
    <row r="157" spans="1:10" ht="65.099999999999994" customHeight="1" x14ac:dyDescent="0.25">
      <c r="A157" s="8" t="s">
        <v>4509</v>
      </c>
      <c r="B157" s="8" t="s">
        <v>4362</v>
      </c>
      <c r="C157" s="8" t="s">
        <v>852</v>
      </c>
      <c r="D157" s="8" t="s">
        <v>4363</v>
      </c>
      <c r="E157" s="8" t="s">
        <v>4364</v>
      </c>
      <c r="F157" s="8" t="s">
        <v>4506</v>
      </c>
      <c r="G157" s="9" t="s">
        <v>4507</v>
      </c>
      <c r="H157" s="11" t="s">
        <v>3064</v>
      </c>
      <c r="I157" s="15" t="s">
        <v>1685</v>
      </c>
      <c r="J157" s="8" t="s">
        <v>3275</v>
      </c>
    </row>
    <row r="158" spans="1:10" ht="65.099999999999994" customHeight="1" x14ac:dyDescent="0.25">
      <c r="A158" s="8" t="s">
        <v>4510</v>
      </c>
      <c r="B158" s="8" t="s">
        <v>4362</v>
      </c>
      <c r="C158" s="8" t="s">
        <v>1166</v>
      </c>
      <c r="D158" s="8" t="s">
        <v>4363</v>
      </c>
      <c r="E158" s="8" t="s">
        <v>4364</v>
      </c>
      <c r="F158" s="8" t="s">
        <v>4506</v>
      </c>
      <c r="G158" s="9" t="s">
        <v>4507</v>
      </c>
      <c r="H158" s="11" t="s">
        <v>2822</v>
      </c>
      <c r="I158" s="15" t="s">
        <v>1685</v>
      </c>
      <c r="J158" s="8" t="s">
        <v>3275</v>
      </c>
    </row>
    <row r="159" spans="1:10" ht="65.099999999999994" customHeight="1" x14ac:dyDescent="0.25">
      <c r="A159" s="8" t="s">
        <v>4511</v>
      </c>
      <c r="B159" s="8" t="s">
        <v>4362</v>
      </c>
      <c r="C159" s="8" t="s">
        <v>743</v>
      </c>
      <c r="D159" s="8" t="s">
        <v>4363</v>
      </c>
      <c r="E159" s="8" t="s">
        <v>4364</v>
      </c>
      <c r="F159" s="8" t="s">
        <v>4506</v>
      </c>
      <c r="G159" s="9" t="s">
        <v>4507</v>
      </c>
      <c r="H159" s="11" t="s">
        <v>2911</v>
      </c>
      <c r="I159" s="15" t="s">
        <v>1685</v>
      </c>
      <c r="J159" s="8" t="s">
        <v>3275</v>
      </c>
    </row>
    <row r="160" spans="1:10" ht="65.099999999999994" customHeight="1" x14ac:dyDescent="0.25">
      <c r="A160" s="8" t="s">
        <v>4512</v>
      </c>
      <c r="B160" s="8" t="s">
        <v>4362</v>
      </c>
      <c r="C160" s="8" t="s">
        <v>571</v>
      </c>
      <c r="D160" s="8" t="s">
        <v>4363</v>
      </c>
      <c r="E160" s="8" t="s">
        <v>4364</v>
      </c>
      <c r="F160" s="8" t="s">
        <v>4506</v>
      </c>
      <c r="G160" s="9" t="s">
        <v>4507</v>
      </c>
      <c r="H160" s="11" t="s">
        <v>3010</v>
      </c>
      <c r="I160" s="15" t="s">
        <v>1685</v>
      </c>
      <c r="J160" s="8" t="s">
        <v>3275</v>
      </c>
    </row>
    <row r="161" spans="1:10" ht="65.099999999999994" customHeight="1" x14ac:dyDescent="0.25">
      <c r="A161" s="8" t="s">
        <v>4513</v>
      </c>
      <c r="B161" s="8" t="s">
        <v>4362</v>
      </c>
      <c r="C161" s="8" t="s">
        <v>824</v>
      </c>
      <c r="D161" s="8" t="s">
        <v>4363</v>
      </c>
      <c r="E161" s="8" t="s">
        <v>4364</v>
      </c>
      <c r="F161" s="8" t="s">
        <v>4506</v>
      </c>
      <c r="G161" s="9" t="s">
        <v>4507</v>
      </c>
      <c r="H161" s="11" t="s">
        <v>3131</v>
      </c>
      <c r="I161" s="15" t="s">
        <v>1685</v>
      </c>
      <c r="J161" s="8" t="s">
        <v>3275</v>
      </c>
    </row>
    <row r="162" spans="1:10" ht="65.099999999999994" customHeight="1" x14ac:dyDescent="0.25">
      <c r="A162" s="8" t="s">
        <v>4514</v>
      </c>
      <c r="B162" s="8" t="s">
        <v>4362</v>
      </c>
      <c r="C162" s="8" t="s">
        <v>517</v>
      </c>
      <c r="D162" s="8" t="s">
        <v>4363</v>
      </c>
      <c r="E162" s="8" t="s">
        <v>4364</v>
      </c>
      <c r="F162" s="8" t="s">
        <v>4506</v>
      </c>
      <c r="G162" s="9" t="s">
        <v>4507</v>
      </c>
      <c r="H162" s="11" t="s">
        <v>2833</v>
      </c>
      <c r="I162" s="15" t="s">
        <v>1685</v>
      </c>
      <c r="J162" s="8" t="s">
        <v>3275</v>
      </c>
    </row>
    <row r="163" spans="1:10" ht="65.099999999999994" customHeight="1" x14ac:dyDescent="0.25">
      <c r="A163" s="8" t="s">
        <v>4515</v>
      </c>
      <c r="B163" s="8" t="s">
        <v>4362</v>
      </c>
      <c r="C163" s="8" t="s">
        <v>501</v>
      </c>
      <c r="D163" s="8" t="s">
        <v>4363</v>
      </c>
      <c r="E163" s="8" t="s">
        <v>4364</v>
      </c>
      <c r="F163" s="8" t="s">
        <v>4506</v>
      </c>
      <c r="G163" s="9" t="s">
        <v>4507</v>
      </c>
      <c r="H163" s="11" t="s">
        <v>3821</v>
      </c>
      <c r="I163" s="15" t="s">
        <v>1685</v>
      </c>
      <c r="J163" s="8" t="s">
        <v>4516</v>
      </c>
    </row>
    <row r="164" spans="1:10" ht="65.099999999999994" customHeight="1" x14ac:dyDescent="0.25">
      <c r="A164" s="8" t="s">
        <v>4517</v>
      </c>
      <c r="B164" s="8" t="s">
        <v>4362</v>
      </c>
      <c r="C164" s="8" t="s">
        <v>598</v>
      </c>
      <c r="D164" s="8" t="s">
        <v>4363</v>
      </c>
      <c r="E164" s="8" t="s">
        <v>4364</v>
      </c>
      <c r="F164" s="8" t="s">
        <v>4506</v>
      </c>
      <c r="G164" s="9" t="s">
        <v>4507</v>
      </c>
      <c r="H164" s="11" t="s">
        <v>3786</v>
      </c>
      <c r="I164" s="15" t="s">
        <v>1685</v>
      </c>
      <c r="J164" s="8" t="s">
        <v>3275</v>
      </c>
    </row>
    <row r="165" spans="1:10" ht="65.099999999999994" customHeight="1" x14ac:dyDescent="0.25">
      <c r="A165" s="8" t="s">
        <v>4518</v>
      </c>
      <c r="B165" s="8" t="s">
        <v>4362</v>
      </c>
      <c r="C165" s="8" t="s">
        <v>655</v>
      </c>
      <c r="D165" s="8" t="s">
        <v>4363</v>
      </c>
      <c r="E165" s="8" t="s">
        <v>4364</v>
      </c>
      <c r="F165" s="8" t="s">
        <v>4506</v>
      </c>
      <c r="G165" s="9" t="s">
        <v>4507</v>
      </c>
      <c r="H165" s="11" t="s">
        <v>3014</v>
      </c>
      <c r="I165" s="15" t="s">
        <v>1685</v>
      </c>
      <c r="J165" s="8" t="s">
        <v>4356</v>
      </c>
    </row>
    <row r="166" spans="1:10" ht="65.099999999999994" customHeight="1" x14ac:dyDescent="0.25">
      <c r="A166" s="8" t="s">
        <v>4519</v>
      </c>
      <c r="B166" s="8" t="s">
        <v>4362</v>
      </c>
      <c r="C166" s="8" t="s">
        <v>995</v>
      </c>
      <c r="D166" s="8" t="s">
        <v>4363</v>
      </c>
      <c r="E166" s="8" t="s">
        <v>4364</v>
      </c>
      <c r="F166" s="8" t="s">
        <v>4506</v>
      </c>
      <c r="G166" s="9" t="s">
        <v>4507</v>
      </c>
      <c r="H166" s="11" t="s">
        <v>3877</v>
      </c>
      <c r="I166" s="15" t="s">
        <v>1685</v>
      </c>
      <c r="J166" s="8" t="s">
        <v>4516</v>
      </c>
    </row>
    <row r="167" spans="1:10" ht="65.099999999999994" customHeight="1" x14ac:dyDescent="0.25">
      <c r="A167" s="8" t="s">
        <v>4520</v>
      </c>
      <c r="B167" s="8" t="s">
        <v>4362</v>
      </c>
      <c r="C167" s="8" t="s">
        <v>975</v>
      </c>
      <c r="D167" s="8" t="s">
        <v>4363</v>
      </c>
      <c r="E167" s="8" t="s">
        <v>4364</v>
      </c>
      <c r="F167" s="8" t="s">
        <v>4506</v>
      </c>
      <c r="G167" s="9" t="s">
        <v>4507</v>
      </c>
      <c r="H167" s="11" t="s">
        <v>3610</v>
      </c>
      <c r="I167" s="15" t="s">
        <v>1685</v>
      </c>
      <c r="J167" s="8" t="s">
        <v>4516</v>
      </c>
    </row>
    <row r="168" spans="1:10" ht="65.099999999999994" customHeight="1" x14ac:dyDescent="0.25">
      <c r="A168" s="8" t="s">
        <v>4521</v>
      </c>
      <c r="B168" s="8" t="s">
        <v>4362</v>
      </c>
      <c r="C168" s="8" t="s">
        <v>1010</v>
      </c>
      <c r="D168" s="8" t="s">
        <v>4363</v>
      </c>
      <c r="E168" s="8" t="s">
        <v>4364</v>
      </c>
      <c r="F168" s="8" t="s">
        <v>4506</v>
      </c>
      <c r="G168" s="9" t="s">
        <v>4507</v>
      </c>
      <c r="H168" s="11" t="s">
        <v>3866</v>
      </c>
      <c r="I168" s="15" t="s">
        <v>1685</v>
      </c>
      <c r="J168" s="8" t="s">
        <v>4516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8354A"/>
    <outlinePr summaryBelow="0" summaryRight="0"/>
    <pageSetUpPr fitToPage="1"/>
  </sheetPr>
  <dimension ref="A1:H135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3" width="27" customWidth="1"/>
    <col min="4" max="4" width="29" customWidth="1"/>
    <col min="5" max="5" width="61" customWidth="1"/>
    <col min="6" max="6" width="27" customWidth="1"/>
    <col min="7" max="7" width="52" customWidth="1"/>
    <col min="8" max="8" width="27" customWidth="1"/>
  </cols>
  <sheetData>
    <row r="1" spans="1:8" ht="42.95" customHeight="1" x14ac:dyDescent="0.25">
      <c r="A1" s="7" t="s">
        <v>4522</v>
      </c>
      <c r="B1" s="7" t="s">
        <v>4523</v>
      </c>
      <c r="C1" s="7" t="s">
        <v>50</v>
      </c>
      <c r="D1" s="7" t="s">
        <v>326</v>
      </c>
      <c r="E1" s="7" t="s">
        <v>236</v>
      </c>
      <c r="F1" s="7" t="s">
        <v>4524</v>
      </c>
      <c r="G1" s="7" t="s">
        <v>4525</v>
      </c>
      <c r="H1" s="7" t="s">
        <v>4526</v>
      </c>
    </row>
    <row r="2" spans="1:8" ht="65.099999999999994" customHeight="1" x14ac:dyDescent="0.25">
      <c r="A2" s="8" t="s">
        <v>4527</v>
      </c>
      <c r="B2" s="15" t="s">
        <v>1685</v>
      </c>
      <c r="C2" s="8" t="s">
        <v>2098</v>
      </c>
      <c r="D2" s="8" t="s">
        <v>4528</v>
      </c>
      <c r="E2" s="8" t="s">
        <v>4529</v>
      </c>
      <c r="F2" s="8" t="s">
        <v>4530</v>
      </c>
      <c r="G2" s="11"/>
      <c r="H2" s="8" t="s">
        <v>4531</v>
      </c>
    </row>
    <row r="3" spans="1:8" ht="51" customHeight="1" x14ac:dyDescent="0.25">
      <c r="A3" s="8" t="s">
        <v>4532</v>
      </c>
      <c r="B3" s="15" t="s">
        <v>1685</v>
      </c>
      <c r="C3" s="8" t="s">
        <v>104</v>
      </c>
      <c r="D3" s="8" t="s">
        <v>2539</v>
      </c>
      <c r="E3" s="8" t="s">
        <v>4533</v>
      </c>
      <c r="F3" s="8" t="s">
        <v>4534</v>
      </c>
      <c r="G3" s="11" t="s">
        <v>3338</v>
      </c>
      <c r="H3" s="8" t="s">
        <v>4531</v>
      </c>
    </row>
    <row r="4" spans="1:8" ht="51" customHeight="1" x14ac:dyDescent="0.25">
      <c r="A4" s="8"/>
      <c r="B4" s="15" t="s">
        <v>1685</v>
      </c>
      <c r="C4" s="8" t="s">
        <v>2098</v>
      </c>
      <c r="D4" s="8" t="s">
        <v>4535</v>
      </c>
      <c r="E4" s="8"/>
      <c r="F4" s="8" t="s">
        <v>4536</v>
      </c>
      <c r="G4" s="11"/>
      <c r="H4" s="8"/>
    </row>
    <row r="5" spans="1:8" ht="78.95" customHeight="1" x14ac:dyDescent="0.25">
      <c r="A5" s="8" t="s">
        <v>4537</v>
      </c>
      <c r="B5" s="15" t="s">
        <v>1685</v>
      </c>
      <c r="C5" s="8" t="s">
        <v>2098</v>
      </c>
      <c r="D5" s="8"/>
      <c r="E5" s="8" t="s">
        <v>4538</v>
      </c>
      <c r="F5" s="8" t="s">
        <v>4539</v>
      </c>
      <c r="G5" s="11"/>
      <c r="H5" s="8" t="s">
        <v>4540</v>
      </c>
    </row>
    <row r="6" spans="1:8" ht="93" customHeight="1" x14ac:dyDescent="0.25">
      <c r="A6" s="8" t="s">
        <v>4541</v>
      </c>
      <c r="B6" s="15" t="s">
        <v>1685</v>
      </c>
      <c r="C6" s="8" t="s">
        <v>4542</v>
      </c>
      <c r="D6" s="8" t="s">
        <v>953</v>
      </c>
      <c r="E6" s="8" t="s">
        <v>4543</v>
      </c>
      <c r="F6" s="8" t="s">
        <v>3737</v>
      </c>
      <c r="G6" s="11" t="s">
        <v>3733</v>
      </c>
      <c r="H6" s="8" t="s">
        <v>4544</v>
      </c>
    </row>
    <row r="7" spans="1:8" ht="51" customHeight="1" x14ac:dyDescent="0.25">
      <c r="A7" s="8" t="s">
        <v>4545</v>
      </c>
      <c r="B7" s="15" t="s">
        <v>1685</v>
      </c>
      <c r="C7" s="8" t="s">
        <v>67</v>
      </c>
      <c r="D7" s="8" t="s">
        <v>948</v>
      </c>
      <c r="E7" s="8" t="s">
        <v>4546</v>
      </c>
      <c r="F7" s="8" t="s">
        <v>4547</v>
      </c>
      <c r="G7" s="11" t="s">
        <v>3733</v>
      </c>
      <c r="H7" s="8" t="s">
        <v>4544</v>
      </c>
    </row>
    <row r="8" spans="1:8" ht="51" customHeight="1" x14ac:dyDescent="0.25">
      <c r="A8" s="8" t="s">
        <v>4548</v>
      </c>
      <c r="B8" s="15" t="s">
        <v>1685</v>
      </c>
      <c r="C8" s="8" t="s">
        <v>104</v>
      </c>
      <c r="D8" s="8" t="s">
        <v>2329</v>
      </c>
      <c r="E8" s="8" t="s">
        <v>4546</v>
      </c>
      <c r="F8" s="8" t="s">
        <v>4547</v>
      </c>
      <c r="G8" s="11" t="s">
        <v>3733</v>
      </c>
      <c r="H8" s="8" t="s">
        <v>4544</v>
      </c>
    </row>
    <row r="9" spans="1:8" ht="51" customHeight="1" x14ac:dyDescent="0.25">
      <c r="A9" s="8" t="s">
        <v>4549</v>
      </c>
      <c r="B9" s="15" t="s">
        <v>1685</v>
      </c>
      <c r="C9" s="8" t="s">
        <v>110</v>
      </c>
      <c r="D9" s="8" t="s">
        <v>2651</v>
      </c>
      <c r="E9" s="8" t="s">
        <v>4546</v>
      </c>
      <c r="F9" s="8" t="s">
        <v>4547</v>
      </c>
      <c r="G9" s="11" t="s">
        <v>3733</v>
      </c>
      <c r="H9" s="8" t="s">
        <v>4544</v>
      </c>
    </row>
    <row r="10" spans="1:8" ht="65.099999999999994" customHeight="1" x14ac:dyDescent="0.25">
      <c r="A10" s="8" t="s">
        <v>4550</v>
      </c>
      <c r="B10" s="15" t="s">
        <v>1685</v>
      </c>
      <c r="C10" s="8" t="s">
        <v>4551</v>
      </c>
      <c r="D10" s="8" t="s">
        <v>949</v>
      </c>
      <c r="E10" s="8" t="s">
        <v>4552</v>
      </c>
      <c r="F10" s="8" t="s">
        <v>4553</v>
      </c>
      <c r="G10" s="11"/>
      <c r="H10" s="8" t="s">
        <v>4544</v>
      </c>
    </row>
    <row r="11" spans="1:8" ht="150" customHeight="1" x14ac:dyDescent="0.25">
      <c r="A11" s="8" t="s">
        <v>4554</v>
      </c>
      <c r="B11" s="15" t="s">
        <v>1685</v>
      </c>
      <c r="C11" s="8" t="s">
        <v>104</v>
      </c>
      <c r="D11" s="8" t="s">
        <v>2329</v>
      </c>
      <c r="E11" s="8" t="s">
        <v>4552</v>
      </c>
      <c r="F11" s="8" t="s">
        <v>4555</v>
      </c>
      <c r="G11" s="11"/>
      <c r="H11" s="8" t="s">
        <v>4544</v>
      </c>
    </row>
    <row r="12" spans="1:8" ht="150" customHeight="1" x14ac:dyDescent="0.25">
      <c r="A12" s="8" t="s">
        <v>4556</v>
      </c>
      <c r="B12" s="15" t="s">
        <v>1685</v>
      </c>
      <c r="C12" s="8" t="s">
        <v>4542</v>
      </c>
      <c r="D12" s="8" t="s">
        <v>531</v>
      </c>
      <c r="E12" s="8" t="s">
        <v>4552</v>
      </c>
      <c r="F12" s="8" t="s">
        <v>4557</v>
      </c>
      <c r="G12" s="11"/>
      <c r="H12" s="8" t="s">
        <v>4544</v>
      </c>
    </row>
    <row r="13" spans="1:8" ht="149.1" customHeight="1" x14ac:dyDescent="0.25">
      <c r="A13" s="8" t="s">
        <v>4558</v>
      </c>
      <c r="B13" s="15" t="s">
        <v>1685</v>
      </c>
      <c r="C13" s="8" t="s">
        <v>4542</v>
      </c>
      <c r="D13" s="8" t="s">
        <v>384</v>
      </c>
      <c r="E13" s="8" t="s">
        <v>4552</v>
      </c>
      <c r="F13" s="8" t="s">
        <v>4559</v>
      </c>
      <c r="G13" s="11"/>
      <c r="H13" s="8" t="s">
        <v>4544</v>
      </c>
    </row>
    <row r="14" spans="1:8" ht="65.099999999999994" customHeight="1" x14ac:dyDescent="0.25">
      <c r="A14" s="8" t="s">
        <v>4560</v>
      </c>
      <c r="B14" s="15" t="s">
        <v>1685</v>
      </c>
      <c r="C14" s="8" t="s">
        <v>4542</v>
      </c>
      <c r="D14" s="8" t="s">
        <v>3430</v>
      </c>
      <c r="E14" s="8" t="s">
        <v>4561</v>
      </c>
      <c r="F14" s="8" t="s">
        <v>4562</v>
      </c>
      <c r="G14" s="11"/>
      <c r="H14" s="8" t="s">
        <v>4544</v>
      </c>
    </row>
    <row r="15" spans="1:8" ht="65.099999999999994" customHeight="1" x14ac:dyDescent="0.25">
      <c r="A15" s="8" t="s">
        <v>4563</v>
      </c>
      <c r="B15" s="15" t="s">
        <v>1685</v>
      </c>
      <c r="C15" s="8" t="s">
        <v>4542</v>
      </c>
      <c r="D15" s="8" t="s">
        <v>1702</v>
      </c>
      <c r="E15" s="8" t="s">
        <v>4543</v>
      </c>
      <c r="F15" s="8" t="s">
        <v>1701</v>
      </c>
      <c r="G15" s="11" t="s">
        <v>3742</v>
      </c>
      <c r="H15" s="8" t="s">
        <v>4544</v>
      </c>
    </row>
    <row r="16" spans="1:8" ht="65.099999999999994" customHeight="1" x14ac:dyDescent="0.25">
      <c r="A16" s="8" t="s">
        <v>4564</v>
      </c>
      <c r="B16" s="15" t="s">
        <v>1685</v>
      </c>
      <c r="C16" s="8" t="s">
        <v>4542</v>
      </c>
      <c r="D16" s="8" t="s">
        <v>1708</v>
      </c>
      <c r="E16" s="8" t="s">
        <v>4543</v>
      </c>
      <c r="F16" s="8" t="s">
        <v>1707</v>
      </c>
      <c r="G16" s="11" t="s">
        <v>3745</v>
      </c>
      <c r="H16" s="8" t="s">
        <v>4544</v>
      </c>
    </row>
    <row r="17" spans="1:8" ht="65.099999999999994" customHeight="1" x14ac:dyDescent="0.25">
      <c r="A17" s="8" t="s">
        <v>4565</v>
      </c>
      <c r="B17" s="15" t="s">
        <v>1685</v>
      </c>
      <c r="C17" s="8" t="s">
        <v>4542</v>
      </c>
      <c r="D17" s="8" t="s">
        <v>1722</v>
      </c>
      <c r="E17" s="8" t="s">
        <v>4543</v>
      </c>
      <c r="F17" s="8" t="s">
        <v>1721</v>
      </c>
      <c r="G17" s="11" t="s">
        <v>3748</v>
      </c>
      <c r="H17" s="8" t="s">
        <v>4544</v>
      </c>
    </row>
    <row r="18" spans="1:8" ht="65.099999999999994" customHeight="1" x14ac:dyDescent="0.25">
      <c r="A18" s="8" t="s">
        <v>4566</v>
      </c>
      <c r="B18" s="15" t="s">
        <v>1685</v>
      </c>
      <c r="C18" s="8" t="s">
        <v>4542</v>
      </c>
      <c r="D18" s="8" t="s">
        <v>2748</v>
      </c>
      <c r="E18" s="8" t="s">
        <v>4543</v>
      </c>
      <c r="F18" s="8" t="s">
        <v>2747</v>
      </c>
      <c r="G18" s="11" t="s">
        <v>3751</v>
      </c>
      <c r="H18" s="8" t="s">
        <v>4544</v>
      </c>
    </row>
    <row r="19" spans="1:8" ht="51" customHeight="1" x14ac:dyDescent="0.25">
      <c r="A19" s="8" t="s">
        <v>4567</v>
      </c>
      <c r="B19" s="15" t="s">
        <v>1685</v>
      </c>
      <c r="C19" s="8" t="s">
        <v>4542</v>
      </c>
      <c r="D19" s="8" t="s">
        <v>2719</v>
      </c>
      <c r="E19" s="8" t="s">
        <v>4543</v>
      </c>
      <c r="F19" s="8" t="s">
        <v>2718</v>
      </c>
      <c r="G19" s="11" t="s">
        <v>3755</v>
      </c>
      <c r="H19" s="8" t="s">
        <v>4544</v>
      </c>
    </row>
    <row r="20" spans="1:8" ht="51" customHeight="1" x14ac:dyDescent="0.25">
      <c r="A20" s="8" t="s">
        <v>4568</v>
      </c>
      <c r="B20" s="15" t="s">
        <v>1685</v>
      </c>
      <c r="C20" s="8" t="s">
        <v>4542</v>
      </c>
      <c r="D20" s="8" t="s">
        <v>2805</v>
      </c>
      <c r="E20" s="8" t="s">
        <v>4543</v>
      </c>
      <c r="F20" s="8" t="s">
        <v>2804</v>
      </c>
      <c r="G20" s="11" t="s">
        <v>3759</v>
      </c>
      <c r="H20" s="8" t="s">
        <v>4544</v>
      </c>
    </row>
    <row r="21" spans="1:8" ht="65.099999999999994" customHeight="1" x14ac:dyDescent="0.25">
      <c r="A21" s="8" t="s">
        <v>4569</v>
      </c>
      <c r="B21" s="15" t="s">
        <v>1685</v>
      </c>
      <c r="C21" s="8" t="s">
        <v>4542</v>
      </c>
      <c r="D21" s="8" t="s">
        <v>2809</v>
      </c>
      <c r="E21" s="8" t="s">
        <v>4543</v>
      </c>
      <c r="F21" s="8" t="s">
        <v>2808</v>
      </c>
      <c r="G21" s="11" t="s">
        <v>3762</v>
      </c>
      <c r="H21" s="8" t="s">
        <v>4544</v>
      </c>
    </row>
    <row r="22" spans="1:8" ht="65.099999999999994" customHeight="1" x14ac:dyDescent="0.25">
      <c r="A22" s="8" t="s">
        <v>4570</v>
      </c>
      <c r="B22" s="15" t="s">
        <v>1685</v>
      </c>
      <c r="C22" s="8" t="s">
        <v>4542</v>
      </c>
      <c r="D22" s="8" t="s">
        <v>886</v>
      </c>
      <c r="E22" s="8" t="s">
        <v>4543</v>
      </c>
      <c r="F22" s="8" t="s">
        <v>3765</v>
      </c>
      <c r="G22" s="11" t="s">
        <v>3192</v>
      </c>
      <c r="H22" s="8" t="s">
        <v>4544</v>
      </c>
    </row>
    <row r="23" spans="1:8" ht="107.1" customHeight="1" x14ac:dyDescent="0.25">
      <c r="A23" s="8" t="s">
        <v>4571</v>
      </c>
      <c r="B23" s="15" t="s">
        <v>1685</v>
      </c>
      <c r="C23" s="8" t="s">
        <v>4551</v>
      </c>
      <c r="D23" s="8" t="s">
        <v>881</v>
      </c>
      <c r="E23" s="8" t="s">
        <v>4552</v>
      </c>
      <c r="F23" s="8" t="s">
        <v>4572</v>
      </c>
      <c r="G23" s="11"/>
      <c r="H23" s="8" t="s">
        <v>4544</v>
      </c>
    </row>
    <row r="24" spans="1:8" ht="78.95" customHeight="1" x14ac:dyDescent="0.25">
      <c r="A24" s="8" t="s">
        <v>4573</v>
      </c>
      <c r="B24" s="15" t="s">
        <v>1685</v>
      </c>
      <c r="C24" s="8" t="s">
        <v>67</v>
      </c>
      <c r="D24" s="8" t="s">
        <v>880</v>
      </c>
      <c r="E24" s="8" t="s">
        <v>4574</v>
      </c>
      <c r="F24" s="8" t="s">
        <v>4575</v>
      </c>
      <c r="G24" s="11"/>
      <c r="H24" s="8" t="s">
        <v>4544</v>
      </c>
    </row>
    <row r="25" spans="1:8" ht="78.95" customHeight="1" x14ac:dyDescent="0.25">
      <c r="A25" s="8" t="s">
        <v>4576</v>
      </c>
      <c r="B25" s="15" t="s">
        <v>1685</v>
      </c>
      <c r="C25" s="8" t="s">
        <v>104</v>
      </c>
      <c r="D25" s="8" t="s">
        <v>2577</v>
      </c>
      <c r="E25" s="8" t="s">
        <v>4574</v>
      </c>
      <c r="F25" s="8" t="s">
        <v>4575</v>
      </c>
      <c r="G25" s="11"/>
      <c r="H25" s="8" t="s">
        <v>4544</v>
      </c>
    </row>
    <row r="26" spans="1:8" ht="78.95" customHeight="1" x14ac:dyDescent="0.25">
      <c r="A26" s="8" t="s">
        <v>4577</v>
      </c>
      <c r="B26" s="15" t="s">
        <v>1685</v>
      </c>
      <c r="C26" s="8" t="s">
        <v>4542</v>
      </c>
      <c r="D26" s="8" t="s">
        <v>3766</v>
      </c>
      <c r="E26" s="8" t="s">
        <v>4543</v>
      </c>
      <c r="F26" s="8" t="s">
        <v>3769</v>
      </c>
      <c r="G26" s="11" t="s">
        <v>3768</v>
      </c>
      <c r="H26" s="8" t="s">
        <v>4544</v>
      </c>
    </row>
    <row r="27" spans="1:8" ht="65.099999999999994" customHeight="1" x14ac:dyDescent="0.25">
      <c r="A27" s="8" t="s">
        <v>4578</v>
      </c>
      <c r="B27" s="15" t="s">
        <v>1685</v>
      </c>
      <c r="C27" s="8" t="s">
        <v>4542</v>
      </c>
      <c r="D27" s="8" t="s">
        <v>3770</v>
      </c>
      <c r="E27" s="8" t="s">
        <v>4543</v>
      </c>
      <c r="F27" s="8" t="s">
        <v>3774</v>
      </c>
      <c r="G27" s="11" t="s">
        <v>3773</v>
      </c>
      <c r="H27" s="8" t="s">
        <v>4544</v>
      </c>
    </row>
    <row r="28" spans="1:8" ht="51" customHeight="1" x14ac:dyDescent="0.25">
      <c r="A28" s="8" t="s">
        <v>4579</v>
      </c>
      <c r="B28" s="15" t="s">
        <v>1685</v>
      </c>
      <c r="C28" s="8" t="s">
        <v>4542</v>
      </c>
      <c r="D28" s="8" t="s">
        <v>3775</v>
      </c>
      <c r="E28" s="8" t="s">
        <v>4543</v>
      </c>
      <c r="F28" s="8" t="s">
        <v>3778</v>
      </c>
      <c r="G28" s="11" t="s">
        <v>3777</v>
      </c>
      <c r="H28" s="8" t="s">
        <v>4544</v>
      </c>
    </row>
    <row r="29" spans="1:8" ht="78.95" customHeight="1" x14ac:dyDescent="0.25">
      <c r="A29" s="8" t="s">
        <v>4580</v>
      </c>
      <c r="B29" s="15" t="s">
        <v>1685</v>
      </c>
      <c r="C29" s="8" t="s">
        <v>4542</v>
      </c>
      <c r="D29" s="8" t="s">
        <v>3780</v>
      </c>
      <c r="E29" s="8" t="s">
        <v>4543</v>
      </c>
      <c r="F29" s="8" t="s">
        <v>3784</v>
      </c>
      <c r="G29" s="11" t="s">
        <v>3783</v>
      </c>
      <c r="H29" s="8" t="s">
        <v>4544</v>
      </c>
    </row>
    <row r="30" spans="1:8" ht="78.95" customHeight="1" x14ac:dyDescent="0.25">
      <c r="A30" s="8" t="s">
        <v>4581</v>
      </c>
      <c r="B30" s="15" t="s">
        <v>1685</v>
      </c>
      <c r="C30" s="8" t="s">
        <v>4542</v>
      </c>
      <c r="D30" s="8" t="s">
        <v>605</v>
      </c>
      <c r="E30" s="8" t="s">
        <v>4543</v>
      </c>
      <c r="F30" s="8" t="s">
        <v>3787</v>
      </c>
      <c r="G30" s="11" t="s">
        <v>3786</v>
      </c>
      <c r="H30" s="8" t="s">
        <v>4544</v>
      </c>
    </row>
    <row r="31" spans="1:8" ht="78.95" customHeight="1" x14ac:dyDescent="0.25">
      <c r="A31" s="8" t="s">
        <v>4582</v>
      </c>
      <c r="B31" s="15" t="s">
        <v>1685</v>
      </c>
      <c r="C31" s="8" t="s">
        <v>4542</v>
      </c>
      <c r="D31" s="8" t="s">
        <v>3788</v>
      </c>
      <c r="E31" s="8" t="s">
        <v>4543</v>
      </c>
      <c r="F31" s="8" t="s">
        <v>3791</v>
      </c>
      <c r="G31" s="11" t="s">
        <v>3790</v>
      </c>
      <c r="H31" s="8" t="s">
        <v>4544</v>
      </c>
    </row>
    <row r="32" spans="1:8" ht="65.099999999999994" customHeight="1" x14ac:dyDescent="0.25">
      <c r="A32" s="8" t="s">
        <v>4583</v>
      </c>
      <c r="B32" s="15" t="s">
        <v>1685</v>
      </c>
      <c r="C32" s="8" t="s">
        <v>4542</v>
      </c>
      <c r="D32" s="8" t="s">
        <v>3793</v>
      </c>
      <c r="E32" s="8" t="s">
        <v>4543</v>
      </c>
      <c r="F32" s="8" t="s">
        <v>3797</v>
      </c>
      <c r="G32" s="11" t="s">
        <v>3796</v>
      </c>
      <c r="H32" s="8" t="s">
        <v>4544</v>
      </c>
    </row>
    <row r="33" spans="1:8" ht="78.95" customHeight="1" x14ac:dyDescent="0.25">
      <c r="A33" s="8" t="s">
        <v>4584</v>
      </c>
      <c r="B33" s="15" t="s">
        <v>1685</v>
      </c>
      <c r="C33" s="8" t="s">
        <v>4542</v>
      </c>
      <c r="D33" s="8" t="s">
        <v>1691</v>
      </c>
      <c r="E33" s="8" t="s">
        <v>4585</v>
      </c>
      <c r="F33" s="8" t="s">
        <v>4586</v>
      </c>
      <c r="G33" s="11" t="s">
        <v>3670</v>
      </c>
      <c r="H33" s="8" t="s">
        <v>4544</v>
      </c>
    </row>
    <row r="34" spans="1:8" ht="78.95" customHeight="1" x14ac:dyDescent="0.25">
      <c r="A34" s="8" t="s">
        <v>4587</v>
      </c>
      <c r="B34" s="15" t="s">
        <v>1685</v>
      </c>
      <c r="C34" s="8" t="s">
        <v>4542</v>
      </c>
      <c r="D34" s="8" t="s">
        <v>1696</v>
      </c>
      <c r="E34" s="8" t="s">
        <v>4585</v>
      </c>
      <c r="F34" s="8" t="s">
        <v>4588</v>
      </c>
      <c r="G34" s="11" t="s">
        <v>3671</v>
      </c>
      <c r="H34" s="8" t="s">
        <v>4544</v>
      </c>
    </row>
    <row r="35" spans="1:8" ht="78.95" customHeight="1" x14ac:dyDescent="0.25">
      <c r="A35" s="8" t="s">
        <v>4589</v>
      </c>
      <c r="B35" s="15" t="s">
        <v>1685</v>
      </c>
      <c r="C35" s="8" t="s">
        <v>4542</v>
      </c>
      <c r="D35" s="8" t="s">
        <v>1713</v>
      </c>
      <c r="E35" s="8" t="s">
        <v>4585</v>
      </c>
      <c r="F35" s="8" t="s">
        <v>4590</v>
      </c>
      <c r="G35" s="11" t="s">
        <v>3675</v>
      </c>
      <c r="H35" s="8" t="s">
        <v>4544</v>
      </c>
    </row>
    <row r="36" spans="1:8" ht="150" customHeight="1" x14ac:dyDescent="0.25">
      <c r="A36" s="8" t="s">
        <v>4591</v>
      </c>
      <c r="B36" s="15" t="s">
        <v>1685</v>
      </c>
      <c r="C36" s="8" t="s">
        <v>4542</v>
      </c>
      <c r="D36" s="8" t="s">
        <v>591</v>
      </c>
      <c r="E36" s="8" t="s">
        <v>4552</v>
      </c>
      <c r="F36" s="8" t="s">
        <v>4592</v>
      </c>
      <c r="G36" s="11"/>
      <c r="H36" s="8" t="s">
        <v>4544</v>
      </c>
    </row>
    <row r="37" spans="1:8" ht="65.099999999999994" customHeight="1" x14ac:dyDescent="0.25">
      <c r="A37" s="8" t="s">
        <v>4593</v>
      </c>
      <c r="B37" s="15" t="s">
        <v>1685</v>
      </c>
      <c r="C37" s="8" t="s">
        <v>79</v>
      </c>
      <c r="D37" s="8" t="s">
        <v>1698</v>
      </c>
      <c r="E37" s="8" t="s">
        <v>4594</v>
      </c>
      <c r="F37" s="8" t="s">
        <v>1701</v>
      </c>
      <c r="G37" s="11" t="s">
        <v>3742</v>
      </c>
      <c r="H37" s="8" t="s">
        <v>4544</v>
      </c>
    </row>
    <row r="38" spans="1:8" ht="65.099999999999994" customHeight="1" x14ac:dyDescent="0.25">
      <c r="A38" s="8" t="s">
        <v>4595</v>
      </c>
      <c r="B38" s="15" t="s">
        <v>1685</v>
      </c>
      <c r="C38" s="8" t="s">
        <v>79</v>
      </c>
      <c r="D38" s="8" t="s">
        <v>1705</v>
      </c>
      <c r="E38" s="8" t="s">
        <v>4594</v>
      </c>
      <c r="F38" s="8" t="s">
        <v>1707</v>
      </c>
      <c r="G38" s="11" t="s">
        <v>3745</v>
      </c>
      <c r="H38" s="8" t="s">
        <v>4544</v>
      </c>
    </row>
    <row r="39" spans="1:8" ht="65.099999999999994" customHeight="1" x14ac:dyDescent="0.25">
      <c r="A39" s="8" t="s">
        <v>4596</v>
      </c>
      <c r="B39" s="15" t="s">
        <v>1685</v>
      </c>
      <c r="C39" s="8" t="s">
        <v>87</v>
      </c>
      <c r="D39" s="8" t="s">
        <v>1719</v>
      </c>
      <c r="E39" s="8" t="s">
        <v>4594</v>
      </c>
      <c r="F39" s="8" t="s">
        <v>1721</v>
      </c>
      <c r="G39" s="11" t="s">
        <v>3748</v>
      </c>
      <c r="H39" s="8" t="s">
        <v>4544</v>
      </c>
    </row>
    <row r="40" spans="1:8" ht="51" customHeight="1" x14ac:dyDescent="0.25">
      <c r="A40" s="8" t="s">
        <v>4597</v>
      </c>
      <c r="B40" s="15" t="s">
        <v>1685</v>
      </c>
      <c r="C40" s="8" t="s">
        <v>118</v>
      </c>
      <c r="D40" s="8" t="s">
        <v>2716</v>
      </c>
      <c r="E40" s="8" t="s">
        <v>4594</v>
      </c>
      <c r="F40" s="8" t="s">
        <v>2718</v>
      </c>
      <c r="G40" s="11" t="s">
        <v>3755</v>
      </c>
      <c r="H40" s="8" t="s">
        <v>4544</v>
      </c>
    </row>
    <row r="41" spans="1:8" ht="65.099999999999994" customHeight="1" x14ac:dyDescent="0.25">
      <c r="A41" s="8" t="s">
        <v>4598</v>
      </c>
      <c r="B41" s="15" t="s">
        <v>1685</v>
      </c>
      <c r="C41" s="8" t="s">
        <v>123</v>
      </c>
      <c r="D41" s="8" t="s">
        <v>2745</v>
      </c>
      <c r="E41" s="8" t="s">
        <v>4594</v>
      </c>
      <c r="F41" s="8" t="s">
        <v>2747</v>
      </c>
      <c r="G41" s="11" t="s">
        <v>3751</v>
      </c>
      <c r="H41" s="8" t="s">
        <v>4544</v>
      </c>
    </row>
    <row r="42" spans="1:8" ht="51" customHeight="1" x14ac:dyDescent="0.25">
      <c r="A42" s="8" t="s">
        <v>4599</v>
      </c>
      <c r="B42" s="15" t="s">
        <v>1685</v>
      </c>
      <c r="C42" s="8" t="s">
        <v>138</v>
      </c>
      <c r="D42" s="8" t="s">
        <v>2802</v>
      </c>
      <c r="E42" s="8" t="s">
        <v>4594</v>
      </c>
      <c r="F42" s="8" t="s">
        <v>2804</v>
      </c>
      <c r="G42" s="11" t="s">
        <v>3759</v>
      </c>
      <c r="H42" s="8" t="s">
        <v>4544</v>
      </c>
    </row>
    <row r="43" spans="1:8" ht="65.099999999999994" customHeight="1" x14ac:dyDescent="0.25">
      <c r="A43" s="8" t="s">
        <v>4600</v>
      </c>
      <c r="B43" s="15" t="s">
        <v>1685</v>
      </c>
      <c r="C43" s="8" t="s">
        <v>138</v>
      </c>
      <c r="D43" s="8" t="s">
        <v>2806</v>
      </c>
      <c r="E43" s="8" t="s">
        <v>4594</v>
      </c>
      <c r="F43" s="8" t="s">
        <v>2808</v>
      </c>
      <c r="G43" s="11" t="s">
        <v>3762</v>
      </c>
      <c r="H43" s="8" t="s">
        <v>4544</v>
      </c>
    </row>
    <row r="44" spans="1:8" ht="51" customHeight="1" x14ac:dyDescent="0.25">
      <c r="A44" s="8" t="s">
        <v>4601</v>
      </c>
      <c r="B44" s="15" t="s">
        <v>1685</v>
      </c>
      <c r="C44" s="8" t="s">
        <v>67</v>
      </c>
      <c r="D44" s="8" t="s">
        <v>565</v>
      </c>
      <c r="E44" s="8" t="s">
        <v>4602</v>
      </c>
      <c r="F44" s="8" t="s">
        <v>4603</v>
      </c>
      <c r="G44" s="11"/>
      <c r="H44" s="8" t="s">
        <v>4544</v>
      </c>
    </row>
    <row r="45" spans="1:8" ht="51" customHeight="1" x14ac:dyDescent="0.25">
      <c r="A45" s="8" t="s">
        <v>4604</v>
      </c>
      <c r="B45" s="15" t="s">
        <v>1685</v>
      </c>
      <c r="C45" s="8" t="s">
        <v>67</v>
      </c>
      <c r="D45" s="8" t="s">
        <v>641</v>
      </c>
      <c r="E45" s="8" t="s">
        <v>4602</v>
      </c>
      <c r="F45" s="8" t="s">
        <v>4603</v>
      </c>
      <c r="G45" s="11"/>
      <c r="H45" s="8" t="s">
        <v>4544</v>
      </c>
    </row>
    <row r="46" spans="1:8" ht="51" customHeight="1" x14ac:dyDescent="0.25">
      <c r="A46" s="8" t="s">
        <v>4605</v>
      </c>
      <c r="B46" s="15" t="s">
        <v>1685</v>
      </c>
      <c r="C46" s="8" t="s">
        <v>67</v>
      </c>
      <c r="D46" s="8" t="s">
        <v>1072</v>
      </c>
      <c r="E46" s="8" t="s">
        <v>4602</v>
      </c>
      <c r="F46" s="8" t="s">
        <v>4603</v>
      </c>
      <c r="G46" s="11"/>
      <c r="H46" s="8" t="s">
        <v>4544</v>
      </c>
    </row>
    <row r="47" spans="1:8" ht="51" customHeight="1" x14ac:dyDescent="0.25">
      <c r="A47" s="8" t="s">
        <v>4606</v>
      </c>
      <c r="B47" s="15" t="s">
        <v>1685</v>
      </c>
      <c r="C47" s="8" t="s">
        <v>67</v>
      </c>
      <c r="D47" s="8" t="s">
        <v>422</v>
      </c>
      <c r="E47" s="8" t="s">
        <v>4602</v>
      </c>
      <c r="F47" s="8" t="s">
        <v>4603</v>
      </c>
      <c r="G47" s="11"/>
      <c r="H47" s="8" t="s">
        <v>4544</v>
      </c>
    </row>
    <row r="48" spans="1:8" ht="51" customHeight="1" x14ac:dyDescent="0.25">
      <c r="A48" s="8" t="s">
        <v>4607</v>
      </c>
      <c r="B48" s="15" t="s">
        <v>1685</v>
      </c>
      <c r="C48" s="8" t="s">
        <v>67</v>
      </c>
      <c r="D48" s="8" t="s">
        <v>743</v>
      </c>
      <c r="E48" s="8" t="s">
        <v>4602</v>
      </c>
      <c r="F48" s="8" t="s">
        <v>4603</v>
      </c>
      <c r="G48" s="11"/>
      <c r="H48" s="8" t="s">
        <v>4544</v>
      </c>
    </row>
    <row r="49" spans="1:8" ht="51" customHeight="1" x14ac:dyDescent="0.25">
      <c r="A49" s="8" t="s">
        <v>4608</v>
      </c>
      <c r="B49" s="15" t="s">
        <v>1685</v>
      </c>
      <c r="C49" s="8" t="s">
        <v>67</v>
      </c>
      <c r="D49" s="8" t="s">
        <v>1127</v>
      </c>
      <c r="E49" s="8" t="s">
        <v>4602</v>
      </c>
      <c r="F49" s="8" t="s">
        <v>4603</v>
      </c>
      <c r="G49" s="11"/>
      <c r="H49" s="8" t="s">
        <v>4544</v>
      </c>
    </row>
    <row r="50" spans="1:8" ht="51" customHeight="1" x14ac:dyDescent="0.25">
      <c r="A50" s="8" t="s">
        <v>4609</v>
      </c>
      <c r="B50" s="15" t="s">
        <v>1685</v>
      </c>
      <c r="C50" s="8" t="s">
        <v>67</v>
      </c>
      <c r="D50" s="8" t="s">
        <v>1156</v>
      </c>
      <c r="E50" s="8" t="s">
        <v>4602</v>
      </c>
      <c r="F50" s="8" t="s">
        <v>4603</v>
      </c>
      <c r="G50" s="11"/>
      <c r="H50" s="8" t="s">
        <v>4544</v>
      </c>
    </row>
    <row r="51" spans="1:8" ht="51" customHeight="1" x14ac:dyDescent="0.25">
      <c r="A51" s="8" t="s">
        <v>4610</v>
      </c>
      <c r="B51" s="15" t="s">
        <v>1685</v>
      </c>
      <c r="C51" s="8" t="s">
        <v>67</v>
      </c>
      <c r="D51" s="8" t="s">
        <v>586</v>
      </c>
      <c r="E51" s="8" t="s">
        <v>4602</v>
      </c>
      <c r="F51" s="8" t="s">
        <v>4603</v>
      </c>
      <c r="G51" s="11"/>
      <c r="H51" s="8" t="s">
        <v>4544</v>
      </c>
    </row>
    <row r="52" spans="1:8" ht="51" customHeight="1" x14ac:dyDescent="0.25">
      <c r="A52" s="8" t="s">
        <v>4611</v>
      </c>
      <c r="B52" s="15" t="s">
        <v>1685</v>
      </c>
      <c r="C52" s="8" t="s">
        <v>67</v>
      </c>
      <c r="D52" s="8" t="s">
        <v>846</v>
      </c>
      <c r="E52" s="8" t="s">
        <v>4602</v>
      </c>
      <c r="F52" s="8" t="s">
        <v>4603</v>
      </c>
      <c r="G52" s="11"/>
      <c r="H52" s="8" t="s">
        <v>4544</v>
      </c>
    </row>
    <row r="53" spans="1:8" ht="51" customHeight="1" x14ac:dyDescent="0.25">
      <c r="A53" s="8" t="s">
        <v>4612</v>
      </c>
      <c r="B53" s="15" t="s">
        <v>1685</v>
      </c>
      <c r="C53" s="8" t="s">
        <v>67</v>
      </c>
      <c r="D53" s="8" t="s">
        <v>1179</v>
      </c>
      <c r="E53" s="8" t="s">
        <v>4602</v>
      </c>
      <c r="F53" s="8" t="s">
        <v>4603</v>
      </c>
      <c r="G53" s="11"/>
      <c r="H53" s="8" t="s">
        <v>4544</v>
      </c>
    </row>
    <row r="54" spans="1:8" ht="51" customHeight="1" x14ac:dyDescent="0.25">
      <c r="A54" s="8" t="s">
        <v>4613</v>
      </c>
      <c r="B54" s="15" t="s">
        <v>1685</v>
      </c>
      <c r="C54" s="8" t="s">
        <v>67</v>
      </c>
      <c r="D54" s="8" t="s">
        <v>501</v>
      </c>
      <c r="E54" s="8" t="s">
        <v>4602</v>
      </c>
      <c r="F54" s="8" t="s">
        <v>4603</v>
      </c>
      <c r="G54" s="11"/>
      <c r="H54" s="8" t="s">
        <v>4544</v>
      </c>
    </row>
    <row r="55" spans="1:8" ht="51" customHeight="1" x14ac:dyDescent="0.25">
      <c r="A55" s="8" t="s">
        <v>4614</v>
      </c>
      <c r="B55" s="15" t="s">
        <v>1685</v>
      </c>
      <c r="C55" s="8" t="s">
        <v>67</v>
      </c>
      <c r="D55" s="8" t="s">
        <v>598</v>
      </c>
      <c r="E55" s="8" t="s">
        <v>4602</v>
      </c>
      <c r="F55" s="8" t="s">
        <v>4603</v>
      </c>
      <c r="G55" s="11"/>
      <c r="H55" s="8" t="s">
        <v>4544</v>
      </c>
    </row>
    <row r="56" spans="1:8" ht="51" customHeight="1" x14ac:dyDescent="0.25">
      <c r="A56" s="8" t="s">
        <v>4615</v>
      </c>
      <c r="B56" s="15" t="s">
        <v>1685</v>
      </c>
      <c r="C56" s="8" t="s">
        <v>67</v>
      </c>
      <c r="D56" s="8" t="s">
        <v>510</v>
      </c>
      <c r="E56" s="8" t="s">
        <v>4602</v>
      </c>
      <c r="F56" s="8" t="s">
        <v>4603</v>
      </c>
      <c r="G56" s="11"/>
      <c r="H56" s="8" t="s">
        <v>4544</v>
      </c>
    </row>
    <row r="57" spans="1:8" ht="51" customHeight="1" x14ac:dyDescent="0.25">
      <c r="A57" s="8" t="s">
        <v>4616</v>
      </c>
      <c r="B57" s="15" t="s">
        <v>1685</v>
      </c>
      <c r="C57" s="8" t="s">
        <v>67</v>
      </c>
      <c r="D57" s="8" t="s">
        <v>550</v>
      </c>
      <c r="E57" s="8" t="s">
        <v>4602</v>
      </c>
      <c r="F57" s="8" t="s">
        <v>4603</v>
      </c>
      <c r="G57" s="11"/>
      <c r="H57" s="8" t="s">
        <v>4544</v>
      </c>
    </row>
    <row r="58" spans="1:8" ht="51" customHeight="1" x14ac:dyDescent="0.25">
      <c r="A58" s="8" t="s">
        <v>4617</v>
      </c>
      <c r="B58" s="15" t="s">
        <v>1685</v>
      </c>
      <c r="C58" s="8" t="s">
        <v>67</v>
      </c>
      <c r="D58" s="8" t="s">
        <v>1518</v>
      </c>
      <c r="E58" s="8" t="s">
        <v>4602</v>
      </c>
      <c r="F58" s="8" t="s">
        <v>4603</v>
      </c>
      <c r="G58" s="11"/>
      <c r="H58" s="8" t="s">
        <v>4544</v>
      </c>
    </row>
    <row r="59" spans="1:8" ht="51" customHeight="1" x14ac:dyDescent="0.25">
      <c r="A59" s="8" t="s">
        <v>4618</v>
      </c>
      <c r="B59" s="15" t="s">
        <v>1685</v>
      </c>
      <c r="C59" s="8" t="s">
        <v>67</v>
      </c>
      <c r="D59" s="8" t="s">
        <v>1316</v>
      </c>
      <c r="E59" s="8" t="s">
        <v>4602</v>
      </c>
      <c r="F59" s="8" t="s">
        <v>4603</v>
      </c>
      <c r="G59" s="11"/>
      <c r="H59" s="8" t="s">
        <v>4544</v>
      </c>
    </row>
    <row r="60" spans="1:8" ht="51" customHeight="1" x14ac:dyDescent="0.25">
      <c r="A60" s="8" t="s">
        <v>4619</v>
      </c>
      <c r="B60" s="15" t="s">
        <v>1685</v>
      </c>
      <c r="C60" s="8" t="s">
        <v>67</v>
      </c>
      <c r="D60" s="8" t="s">
        <v>1342</v>
      </c>
      <c r="E60" s="8" t="s">
        <v>4602</v>
      </c>
      <c r="F60" s="8" t="s">
        <v>4603</v>
      </c>
      <c r="G60" s="11"/>
      <c r="H60" s="8" t="s">
        <v>4544</v>
      </c>
    </row>
    <row r="61" spans="1:8" ht="51" customHeight="1" x14ac:dyDescent="0.25">
      <c r="A61" s="8" t="s">
        <v>4620</v>
      </c>
      <c r="B61" s="15" t="s">
        <v>1685</v>
      </c>
      <c r="C61" s="8" t="s">
        <v>67</v>
      </c>
      <c r="D61" s="8" t="s">
        <v>1403</v>
      </c>
      <c r="E61" s="8" t="s">
        <v>4602</v>
      </c>
      <c r="F61" s="8" t="s">
        <v>4603</v>
      </c>
      <c r="G61" s="11"/>
      <c r="H61" s="8" t="s">
        <v>4544</v>
      </c>
    </row>
    <row r="62" spans="1:8" ht="51" customHeight="1" x14ac:dyDescent="0.25">
      <c r="A62" s="8" t="s">
        <v>4621</v>
      </c>
      <c r="B62" s="15" t="s">
        <v>1685</v>
      </c>
      <c r="C62" s="8" t="s">
        <v>104</v>
      </c>
      <c r="D62" s="8" t="s">
        <v>2339</v>
      </c>
      <c r="E62" s="8" t="s">
        <v>4602</v>
      </c>
      <c r="F62" s="8" t="s">
        <v>4603</v>
      </c>
      <c r="G62" s="11"/>
      <c r="H62" s="8" t="s">
        <v>4544</v>
      </c>
    </row>
    <row r="63" spans="1:8" ht="51" customHeight="1" x14ac:dyDescent="0.25">
      <c r="A63" s="8" t="s">
        <v>4622</v>
      </c>
      <c r="B63" s="15" t="s">
        <v>1685</v>
      </c>
      <c r="C63" s="8" t="s">
        <v>110</v>
      </c>
      <c r="D63" s="8" t="s">
        <v>2653</v>
      </c>
      <c r="E63" s="8" t="s">
        <v>4602</v>
      </c>
      <c r="F63" s="8" t="s">
        <v>4603</v>
      </c>
      <c r="G63" s="11"/>
      <c r="H63" s="8" t="s">
        <v>4544</v>
      </c>
    </row>
    <row r="64" spans="1:8" ht="51" customHeight="1" x14ac:dyDescent="0.25">
      <c r="A64" s="8" t="s">
        <v>4623</v>
      </c>
      <c r="B64" s="15" t="s">
        <v>1685</v>
      </c>
      <c r="C64" s="8" t="s">
        <v>67</v>
      </c>
      <c r="D64" s="8" t="s">
        <v>598</v>
      </c>
      <c r="E64" s="8" t="s">
        <v>4624</v>
      </c>
      <c r="F64" s="8" t="s">
        <v>4625</v>
      </c>
      <c r="G64" s="11"/>
      <c r="H64" s="8" t="s">
        <v>4544</v>
      </c>
    </row>
    <row r="65" spans="1:8" ht="65.099999999999994" customHeight="1" x14ac:dyDescent="0.25">
      <c r="A65" s="8" t="s">
        <v>4626</v>
      </c>
      <c r="B65" s="15" t="s">
        <v>1685</v>
      </c>
      <c r="C65" s="8" t="s">
        <v>67</v>
      </c>
      <c r="D65" s="8" t="s">
        <v>1053</v>
      </c>
      <c r="E65" s="8" t="s">
        <v>4627</v>
      </c>
      <c r="F65" s="8" t="s">
        <v>4628</v>
      </c>
      <c r="G65" s="11"/>
      <c r="H65" s="8" t="s">
        <v>4544</v>
      </c>
    </row>
    <row r="66" spans="1:8" ht="135" customHeight="1" x14ac:dyDescent="0.25">
      <c r="A66" s="8" t="s">
        <v>4629</v>
      </c>
      <c r="B66" s="15" t="s">
        <v>1685</v>
      </c>
      <c r="C66" s="8" t="s">
        <v>4338</v>
      </c>
      <c r="D66" s="8" t="s">
        <v>4630</v>
      </c>
      <c r="E66" s="8" t="s">
        <v>4631</v>
      </c>
      <c r="F66" s="8" t="s">
        <v>4632</v>
      </c>
      <c r="G66" s="11" t="s">
        <v>3796</v>
      </c>
      <c r="H66" s="8" t="s">
        <v>4544</v>
      </c>
    </row>
    <row r="67" spans="1:8" ht="107.1" customHeight="1" x14ac:dyDescent="0.25">
      <c r="A67" s="8" t="s">
        <v>4633</v>
      </c>
      <c r="B67" s="15" t="s">
        <v>1685</v>
      </c>
      <c r="C67" s="8" t="s">
        <v>4542</v>
      </c>
      <c r="D67" s="8" t="s">
        <v>2607</v>
      </c>
      <c r="E67" s="8" t="s">
        <v>4543</v>
      </c>
      <c r="F67" s="8" t="s">
        <v>3801</v>
      </c>
      <c r="G67" s="11" t="s">
        <v>3800</v>
      </c>
      <c r="H67" s="8" t="s">
        <v>4544</v>
      </c>
    </row>
    <row r="68" spans="1:8" ht="51" customHeight="1" x14ac:dyDescent="0.25">
      <c r="A68" s="8" t="s">
        <v>4634</v>
      </c>
      <c r="B68" s="15" t="s">
        <v>1685</v>
      </c>
      <c r="C68" s="8" t="s">
        <v>104</v>
      </c>
      <c r="D68" s="8" t="s">
        <v>2605</v>
      </c>
      <c r="E68" s="8" t="s">
        <v>4635</v>
      </c>
      <c r="F68" s="8" t="s">
        <v>4636</v>
      </c>
      <c r="G68" s="11" t="s">
        <v>3800</v>
      </c>
      <c r="H68" s="8" t="s">
        <v>4544</v>
      </c>
    </row>
    <row r="69" spans="1:8" ht="93" customHeight="1" x14ac:dyDescent="0.25">
      <c r="A69" s="8" t="s">
        <v>4637</v>
      </c>
      <c r="B69" s="15" t="s">
        <v>1685</v>
      </c>
      <c r="C69" s="8" t="s">
        <v>67</v>
      </c>
      <c r="D69" s="8" t="s">
        <v>719</v>
      </c>
      <c r="E69" s="8" t="s">
        <v>4552</v>
      </c>
      <c r="F69" s="8" t="s">
        <v>4638</v>
      </c>
      <c r="G69" s="11"/>
      <c r="H69" s="8" t="s">
        <v>4544</v>
      </c>
    </row>
    <row r="70" spans="1:8" ht="150" customHeight="1" x14ac:dyDescent="0.25">
      <c r="A70" s="8" t="s">
        <v>4639</v>
      </c>
      <c r="B70" s="15" t="s">
        <v>1685</v>
      </c>
      <c r="C70" s="8" t="s">
        <v>67</v>
      </c>
      <c r="D70" s="8" t="s">
        <v>586</v>
      </c>
      <c r="E70" s="8" t="s">
        <v>4552</v>
      </c>
      <c r="F70" s="8" t="s">
        <v>4640</v>
      </c>
      <c r="G70" s="11"/>
      <c r="H70" s="8" t="s">
        <v>4544</v>
      </c>
    </row>
    <row r="71" spans="1:8" ht="65.099999999999994" customHeight="1" x14ac:dyDescent="0.25">
      <c r="A71" s="8" t="s">
        <v>4641</v>
      </c>
      <c r="B71" s="15" t="s">
        <v>1685</v>
      </c>
      <c r="C71" s="8" t="s">
        <v>67</v>
      </c>
      <c r="D71" s="8" t="s">
        <v>501</v>
      </c>
      <c r="E71" s="8" t="s">
        <v>4642</v>
      </c>
      <c r="F71" s="8" t="s">
        <v>4643</v>
      </c>
      <c r="G71" s="11" t="s">
        <v>3821</v>
      </c>
      <c r="H71" s="8" t="s">
        <v>4644</v>
      </c>
    </row>
    <row r="72" spans="1:8" ht="65.099999999999994" customHeight="1" x14ac:dyDescent="0.25">
      <c r="A72" s="8" t="s">
        <v>4645</v>
      </c>
      <c r="B72" s="15" t="s">
        <v>1685</v>
      </c>
      <c r="C72" s="8" t="s">
        <v>67</v>
      </c>
      <c r="D72" s="8" t="s">
        <v>852</v>
      </c>
      <c r="E72" s="8" t="s">
        <v>4642</v>
      </c>
      <c r="F72" s="8" t="s">
        <v>860</v>
      </c>
      <c r="G72" s="11" t="s">
        <v>3064</v>
      </c>
      <c r="H72" s="8" t="s">
        <v>4644</v>
      </c>
    </row>
    <row r="73" spans="1:8" ht="51" customHeight="1" x14ac:dyDescent="0.25">
      <c r="A73" s="8" t="s">
        <v>4646</v>
      </c>
      <c r="B73" s="15" t="s">
        <v>1685</v>
      </c>
      <c r="C73" s="8" t="s">
        <v>67</v>
      </c>
      <c r="D73" s="8" t="s">
        <v>691</v>
      </c>
      <c r="E73" s="8" t="s">
        <v>4642</v>
      </c>
      <c r="F73" s="8" t="s">
        <v>699</v>
      </c>
      <c r="G73" s="11" t="s">
        <v>2916</v>
      </c>
      <c r="H73" s="8" t="s">
        <v>4644</v>
      </c>
    </row>
    <row r="74" spans="1:8" ht="65.099999999999994" customHeight="1" x14ac:dyDescent="0.25">
      <c r="A74" s="8" t="s">
        <v>4647</v>
      </c>
      <c r="B74" s="15" t="s">
        <v>1685</v>
      </c>
      <c r="C74" s="8" t="s">
        <v>67</v>
      </c>
      <c r="D74" s="8" t="s">
        <v>824</v>
      </c>
      <c r="E74" s="8" t="s">
        <v>4642</v>
      </c>
      <c r="F74" s="8" t="s">
        <v>832</v>
      </c>
      <c r="G74" s="11" t="s">
        <v>3131</v>
      </c>
      <c r="H74" s="8" t="s">
        <v>4644</v>
      </c>
    </row>
    <row r="75" spans="1:8" ht="65.099999999999994" customHeight="1" x14ac:dyDescent="0.25">
      <c r="A75" s="8" t="s">
        <v>4648</v>
      </c>
      <c r="B75" s="15" t="s">
        <v>1685</v>
      </c>
      <c r="C75" s="8" t="s">
        <v>67</v>
      </c>
      <c r="D75" s="8" t="s">
        <v>517</v>
      </c>
      <c r="E75" s="8" t="s">
        <v>4642</v>
      </c>
      <c r="F75" s="8" t="s">
        <v>526</v>
      </c>
      <c r="G75" s="11" t="s">
        <v>2833</v>
      </c>
      <c r="H75" s="8" t="s">
        <v>4644</v>
      </c>
    </row>
    <row r="76" spans="1:8" ht="65.099999999999994" customHeight="1" x14ac:dyDescent="0.25">
      <c r="A76" s="8" t="s">
        <v>4649</v>
      </c>
      <c r="B76" s="15" t="s">
        <v>1685</v>
      </c>
      <c r="C76" s="8" t="s">
        <v>67</v>
      </c>
      <c r="D76" s="8" t="s">
        <v>743</v>
      </c>
      <c r="E76" s="8" t="s">
        <v>4642</v>
      </c>
      <c r="F76" s="8" t="s">
        <v>751</v>
      </c>
      <c r="G76" s="11" t="s">
        <v>2911</v>
      </c>
      <c r="H76" s="8" t="s">
        <v>4644</v>
      </c>
    </row>
    <row r="77" spans="1:8" ht="51" customHeight="1" x14ac:dyDescent="0.25">
      <c r="A77" s="8" t="s">
        <v>4650</v>
      </c>
      <c r="B77" s="15" t="s">
        <v>1685</v>
      </c>
      <c r="C77" s="8" t="s">
        <v>67</v>
      </c>
      <c r="D77" s="8" t="s">
        <v>533</v>
      </c>
      <c r="E77" s="8" t="s">
        <v>4642</v>
      </c>
      <c r="F77" s="8" t="s">
        <v>540</v>
      </c>
      <c r="G77" s="11" t="s">
        <v>2889</v>
      </c>
      <c r="H77" s="8" t="s">
        <v>4644</v>
      </c>
    </row>
    <row r="78" spans="1:8" ht="51" customHeight="1" x14ac:dyDescent="0.25">
      <c r="A78" s="8" t="s">
        <v>4651</v>
      </c>
      <c r="B78" s="15" t="s">
        <v>1685</v>
      </c>
      <c r="C78" s="8" t="s">
        <v>67</v>
      </c>
      <c r="D78" s="8" t="s">
        <v>571</v>
      </c>
      <c r="E78" s="8" t="s">
        <v>4642</v>
      </c>
      <c r="F78" s="8" t="s">
        <v>579</v>
      </c>
      <c r="G78" s="11" t="s">
        <v>3010</v>
      </c>
      <c r="H78" s="8" t="s">
        <v>4644</v>
      </c>
    </row>
    <row r="79" spans="1:8" ht="51" customHeight="1" x14ac:dyDescent="0.25">
      <c r="A79" s="8" t="s">
        <v>4652</v>
      </c>
      <c r="B79" s="15" t="s">
        <v>1685</v>
      </c>
      <c r="C79" s="8" t="s">
        <v>67</v>
      </c>
      <c r="D79" s="8" t="s">
        <v>1166</v>
      </c>
      <c r="E79" s="8" t="s">
        <v>4642</v>
      </c>
      <c r="F79" s="8" t="s">
        <v>1173</v>
      </c>
      <c r="G79" s="11" t="s">
        <v>2822</v>
      </c>
      <c r="H79" s="8" t="s">
        <v>4644</v>
      </c>
    </row>
    <row r="80" spans="1:8" ht="36.950000000000003" customHeight="1" x14ac:dyDescent="0.25">
      <c r="A80" s="8" t="s">
        <v>4653</v>
      </c>
      <c r="B80" s="15" t="s">
        <v>1685</v>
      </c>
      <c r="C80" s="8" t="s">
        <v>67</v>
      </c>
      <c r="D80" s="8" t="s">
        <v>719</v>
      </c>
      <c r="E80" s="8" t="s">
        <v>4642</v>
      </c>
      <c r="F80" s="8" t="s">
        <v>727</v>
      </c>
      <c r="G80" s="11" t="s">
        <v>3091</v>
      </c>
      <c r="H80" s="8" t="s">
        <v>4644</v>
      </c>
    </row>
    <row r="81" spans="1:8" ht="51" customHeight="1" x14ac:dyDescent="0.25">
      <c r="A81" s="8" t="s">
        <v>4654</v>
      </c>
      <c r="B81" s="15" t="s">
        <v>1685</v>
      </c>
      <c r="C81" s="8" t="s">
        <v>1682</v>
      </c>
      <c r="D81" s="8" t="s">
        <v>4655</v>
      </c>
      <c r="E81" s="8" t="s">
        <v>4656</v>
      </c>
      <c r="F81" s="8" t="s">
        <v>4657</v>
      </c>
      <c r="G81" s="11" t="s">
        <v>3222</v>
      </c>
      <c r="H81" s="8" t="s">
        <v>4644</v>
      </c>
    </row>
    <row r="82" spans="1:8" ht="65.099999999999994" customHeight="1" x14ac:dyDescent="0.25">
      <c r="A82" s="8" t="s">
        <v>4658</v>
      </c>
      <c r="B82" s="15" t="s">
        <v>1685</v>
      </c>
      <c r="C82" s="8" t="s">
        <v>67</v>
      </c>
      <c r="D82" s="8" t="s">
        <v>4659</v>
      </c>
      <c r="E82" s="8" t="s">
        <v>4656</v>
      </c>
      <c r="F82" s="8" t="s">
        <v>4660</v>
      </c>
      <c r="G82" s="11" t="s">
        <v>3821</v>
      </c>
      <c r="H82" s="8" t="s">
        <v>4644</v>
      </c>
    </row>
    <row r="83" spans="1:8" ht="51" customHeight="1" x14ac:dyDescent="0.25">
      <c r="A83" s="8" t="s">
        <v>4661</v>
      </c>
      <c r="B83" s="15" t="s">
        <v>1685</v>
      </c>
      <c r="C83" s="8" t="s">
        <v>98</v>
      </c>
      <c r="D83" s="8" t="s">
        <v>4662</v>
      </c>
      <c r="E83" s="8" t="s">
        <v>4656</v>
      </c>
      <c r="F83" s="8" t="s">
        <v>4663</v>
      </c>
      <c r="G83" s="11" t="s">
        <v>3842</v>
      </c>
      <c r="H83" s="8" t="s">
        <v>4644</v>
      </c>
    </row>
    <row r="84" spans="1:8" ht="51" customHeight="1" x14ac:dyDescent="0.25">
      <c r="A84" s="8" t="s">
        <v>4664</v>
      </c>
      <c r="B84" s="15" t="s">
        <v>1685</v>
      </c>
      <c r="C84" s="8" t="s">
        <v>4665</v>
      </c>
      <c r="D84" s="8" t="s">
        <v>4666</v>
      </c>
      <c r="E84" s="8" t="s">
        <v>4656</v>
      </c>
      <c r="F84" s="8" t="s">
        <v>4667</v>
      </c>
      <c r="G84" s="11" t="s">
        <v>3234</v>
      </c>
      <c r="H84" s="8" t="s">
        <v>4644</v>
      </c>
    </row>
    <row r="85" spans="1:8" ht="51" customHeight="1" x14ac:dyDescent="0.25">
      <c r="A85" s="8" t="s">
        <v>4668</v>
      </c>
      <c r="B85" s="15" t="s">
        <v>1685</v>
      </c>
      <c r="C85" s="8" t="s">
        <v>4542</v>
      </c>
      <c r="D85" s="8" t="s">
        <v>4669</v>
      </c>
      <c r="E85" s="8" t="s">
        <v>4656</v>
      </c>
      <c r="F85" s="8" t="s">
        <v>4670</v>
      </c>
      <c r="G85" s="11" t="s">
        <v>3222</v>
      </c>
      <c r="H85" s="8" t="s">
        <v>4644</v>
      </c>
    </row>
    <row r="86" spans="1:8" ht="51" customHeight="1" x14ac:dyDescent="0.25">
      <c r="A86" s="8" t="s">
        <v>4671</v>
      </c>
      <c r="B86" s="15" t="s">
        <v>1685</v>
      </c>
      <c r="C86" s="8" t="s">
        <v>4672</v>
      </c>
      <c r="D86" s="8" t="s">
        <v>4673</v>
      </c>
      <c r="E86" s="8" t="s">
        <v>4656</v>
      </c>
      <c r="F86" s="8" t="s">
        <v>4674</v>
      </c>
      <c r="G86" s="11" t="s">
        <v>4228</v>
      </c>
      <c r="H86" s="8" t="s">
        <v>4644</v>
      </c>
    </row>
    <row r="87" spans="1:8" ht="51" customHeight="1" x14ac:dyDescent="0.25">
      <c r="A87" s="8" t="s">
        <v>4675</v>
      </c>
      <c r="B87" s="15" t="s">
        <v>1685</v>
      </c>
      <c r="C87" s="8" t="s">
        <v>4551</v>
      </c>
      <c r="D87" s="8" t="s">
        <v>4676</v>
      </c>
      <c r="E87" s="8" t="s">
        <v>4656</v>
      </c>
      <c r="F87" s="8" t="s">
        <v>4677</v>
      </c>
      <c r="G87" s="11" t="s">
        <v>4228</v>
      </c>
      <c r="H87" s="8" t="s">
        <v>4644</v>
      </c>
    </row>
    <row r="88" spans="1:8" ht="93" customHeight="1" x14ac:dyDescent="0.25">
      <c r="A88" s="8" t="s">
        <v>4678</v>
      </c>
      <c r="B88" s="15" t="s">
        <v>1685</v>
      </c>
      <c r="C88" s="8" t="s">
        <v>4679</v>
      </c>
      <c r="D88" s="8" t="s">
        <v>4680</v>
      </c>
      <c r="E88" s="8" t="s">
        <v>4681</v>
      </c>
      <c r="F88" s="8" t="s">
        <v>4682</v>
      </c>
      <c r="G88" s="11"/>
      <c r="H88" s="8" t="s">
        <v>4644</v>
      </c>
    </row>
    <row r="89" spans="1:8" ht="51" customHeight="1" x14ac:dyDescent="0.25">
      <c r="A89" s="8" t="s">
        <v>4683</v>
      </c>
      <c r="B89" s="15" t="s">
        <v>1685</v>
      </c>
      <c r="C89" s="8" t="s">
        <v>4542</v>
      </c>
      <c r="D89" s="8" t="s">
        <v>1014</v>
      </c>
      <c r="E89" s="8" t="s">
        <v>4684</v>
      </c>
      <c r="F89" s="8" t="s">
        <v>4685</v>
      </c>
      <c r="G89" s="11" t="s">
        <v>3866</v>
      </c>
      <c r="H89" s="8" t="s">
        <v>4686</v>
      </c>
    </row>
    <row r="90" spans="1:8" ht="51" customHeight="1" x14ac:dyDescent="0.25">
      <c r="A90" s="8" t="s">
        <v>4687</v>
      </c>
      <c r="B90" s="15" t="s">
        <v>1685</v>
      </c>
      <c r="C90" s="8" t="s">
        <v>4542</v>
      </c>
      <c r="D90" s="8" t="s">
        <v>350</v>
      </c>
      <c r="E90" s="8" t="s">
        <v>4684</v>
      </c>
      <c r="F90" s="8" t="s">
        <v>4685</v>
      </c>
      <c r="G90" s="11" t="s">
        <v>3870</v>
      </c>
      <c r="H90" s="8" t="s">
        <v>4686</v>
      </c>
    </row>
    <row r="91" spans="1:8" ht="51" customHeight="1" x14ac:dyDescent="0.25">
      <c r="A91" s="8" t="s">
        <v>4688</v>
      </c>
      <c r="B91" s="15" t="s">
        <v>1685</v>
      </c>
      <c r="C91" s="8" t="s">
        <v>4542</v>
      </c>
      <c r="D91" s="8" t="s">
        <v>420</v>
      </c>
      <c r="E91" s="8" t="s">
        <v>4689</v>
      </c>
      <c r="F91" s="8" t="s">
        <v>4685</v>
      </c>
      <c r="G91" s="11" t="s">
        <v>3452</v>
      </c>
      <c r="H91" s="8" t="s">
        <v>4686</v>
      </c>
    </row>
    <row r="92" spans="1:8" ht="51" customHeight="1" x14ac:dyDescent="0.25">
      <c r="A92" s="8" t="s">
        <v>4690</v>
      </c>
      <c r="B92" s="15" t="s">
        <v>1685</v>
      </c>
      <c r="C92" s="8" t="s">
        <v>4542</v>
      </c>
      <c r="D92" s="8" t="s">
        <v>3872</v>
      </c>
      <c r="E92" s="8" t="s">
        <v>4684</v>
      </c>
      <c r="F92" s="8" t="s">
        <v>4685</v>
      </c>
      <c r="G92" s="11" t="s">
        <v>3874</v>
      </c>
      <c r="H92" s="8" t="s">
        <v>4686</v>
      </c>
    </row>
    <row r="93" spans="1:8" ht="51" customHeight="1" x14ac:dyDescent="0.25">
      <c r="A93" s="8" t="s">
        <v>4691</v>
      </c>
      <c r="B93" s="15" t="s">
        <v>1685</v>
      </c>
      <c r="C93" s="8" t="s">
        <v>4542</v>
      </c>
      <c r="D93" s="8" t="s">
        <v>1001</v>
      </c>
      <c r="E93" s="8" t="s">
        <v>4684</v>
      </c>
      <c r="F93" s="8" t="s">
        <v>4685</v>
      </c>
      <c r="G93" s="11" t="s">
        <v>3877</v>
      </c>
      <c r="H93" s="8" t="s">
        <v>4686</v>
      </c>
    </row>
    <row r="94" spans="1:8" ht="51" customHeight="1" x14ac:dyDescent="0.25">
      <c r="A94" s="8" t="s">
        <v>4692</v>
      </c>
      <c r="B94" s="15" t="s">
        <v>1685</v>
      </c>
      <c r="C94" s="8" t="s">
        <v>4542</v>
      </c>
      <c r="D94" s="8" t="s">
        <v>562</v>
      </c>
      <c r="E94" s="8" t="s">
        <v>4684</v>
      </c>
      <c r="F94" s="8" t="s">
        <v>4685</v>
      </c>
      <c r="G94" s="11" t="s">
        <v>3880</v>
      </c>
      <c r="H94" s="8" t="s">
        <v>4686</v>
      </c>
    </row>
    <row r="95" spans="1:8" ht="51" customHeight="1" x14ac:dyDescent="0.25">
      <c r="A95" s="8" t="s">
        <v>4693</v>
      </c>
      <c r="B95" s="15" t="s">
        <v>1685</v>
      </c>
      <c r="C95" s="8" t="s">
        <v>4542</v>
      </c>
      <c r="D95" s="8" t="s">
        <v>3883</v>
      </c>
      <c r="E95" s="8" t="s">
        <v>4684</v>
      </c>
      <c r="F95" s="8" t="s">
        <v>4685</v>
      </c>
      <c r="G95" s="11" t="s">
        <v>3885</v>
      </c>
      <c r="H95" s="8" t="s">
        <v>4686</v>
      </c>
    </row>
    <row r="96" spans="1:8" ht="51" customHeight="1" x14ac:dyDescent="0.25">
      <c r="A96" s="8" t="s">
        <v>4694</v>
      </c>
      <c r="B96" s="15" t="s">
        <v>1685</v>
      </c>
      <c r="C96" s="8" t="s">
        <v>4542</v>
      </c>
      <c r="D96" s="8" t="s">
        <v>759</v>
      </c>
      <c r="E96" s="8" t="s">
        <v>4684</v>
      </c>
      <c r="F96" s="8" t="s">
        <v>4685</v>
      </c>
      <c r="G96" s="11" t="s">
        <v>3888</v>
      </c>
      <c r="H96" s="8" t="s">
        <v>4686</v>
      </c>
    </row>
    <row r="97" spans="1:8" ht="51" customHeight="1" x14ac:dyDescent="0.25">
      <c r="A97" s="8" t="s">
        <v>4695</v>
      </c>
      <c r="B97" s="15" t="s">
        <v>1685</v>
      </c>
      <c r="C97" s="8" t="s">
        <v>4542</v>
      </c>
      <c r="D97" s="8" t="s">
        <v>3890</v>
      </c>
      <c r="E97" s="8" t="s">
        <v>4684</v>
      </c>
      <c r="F97" s="8" t="s">
        <v>4685</v>
      </c>
      <c r="G97" s="11" t="s">
        <v>3893</v>
      </c>
      <c r="H97" s="8" t="s">
        <v>4686</v>
      </c>
    </row>
    <row r="98" spans="1:8" ht="51" customHeight="1" x14ac:dyDescent="0.25">
      <c r="A98" s="8" t="s">
        <v>4696</v>
      </c>
      <c r="B98" s="15" t="s">
        <v>1685</v>
      </c>
      <c r="C98" s="8" t="s">
        <v>4542</v>
      </c>
      <c r="D98" s="8" t="s">
        <v>2202</v>
      </c>
      <c r="E98" s="8" t="s">
        <v>4684</v>
      </c>
      <c r="F98" s="8" t="s">
        <v>4685</v>
      </c>
      <c r="G98" s="11" t="s">
        <v>3897</v>
      </c>
      <c r="H98" s="8" t="s">
        <v>4686</v>
      </c>
    </row>
    <row r="99" spans="1:8" ht="51" customHeight="1" x14ac:dyDescent="0.25">
      <c r="A99" s="8" t="s">
        <v>4697</v>
      </c>
      <c r="B99" s="15" t="s">
        <v>1685</v>
      </c>
      <c r="C99" s="8" t="s">
        <v>4542</v>
      </c>
      <c r="D99" s="8" t="s">
        <v>1776</v>
      </c>
      <c r="E99" s="8" t="s">
        <v>4684</v>
      </c>
      <c r="F99" s="8" t="s">
        <v>4685</v>
      </c>
      <c r="G99" s="11" t="s">
        <v>3901</v>
      </c>
      <c r="H99" s="8" t="s">
        <v>4686</v>
      </c>
    </row>
    <row r="100" spans="1:8" ht="51" customHeight="1" x14ac:dyDescent="0.25">
      <c r="A100" s="8" t="s">
        <v>4698</v>
      </c>
      <c r="B100" s="15" t="s">
        <v>1685</v>
      </c>
      <c r="C100" s="8" t="s">
        <v>4542</v>
      </c>
      <c r="D100" s="8" t="s">
        <v>3906</v>
      </c>
      <c r="E100" s="8" t="s">
        <v>4684</v>
      </c>
      <c r="F100" s="8" t="s">
        <v>4685</v>
      </c>
      <c r="G100" s="11" t="s">
        <v>3908</v>
      </c>
      <c r="H100" s="8" t="s">
        <v>4686</v>
      </c>
    </row>
    <row r="101" spans="1:8" ht="65.099999999999994" customHeight="1" x14ac:dyDescent="0.25">
      <c r="A101" s="8" t="s">
        <v>4699</v>
      </c>
      <c r="B101" s="15" t="s">
        <v>1685</v>
      </c>
      <c r="C101" s="8" t="s">
        <v>4551</v>
      </c>
      <c r="D101" s="8" t="s">
        <v>1011</v>
      </c>
      <c r="E101" s="8" t="s">
        <v>4689</v>
      </c>
      <c r="F101" s="8" t="s">
        <v>4700</v>
      </c>
      <c r="G101" s="11" t="s">
        <v>3073</v>
      </c>
      <c r="H101" s="8" t="s">
        <v>4686</v>
      </c>
    </row>
    <row r="102" spans="1:8" ht="65.099999999999994" customHeight="1" x14ac:dyDescent="0.25">
      <c r="A102" s="8" t="s">
        <v>4701</v>
      </c>
      <c r="B102" s="15" t="s">
        <v>1685</v>
      </c>
      <c r="C102" s="8" t="s">
        <v>4551</v>
      </c>
      <c r="D102" s="8" t="s">
        <v>343</v>
      </c>
      <c r="E102" s="8" t="s">
        <v>4689</v>
      </c>
      <c r="F102" s="8" t="s">
        <v>4700</v>
      </c>
      <c r="G102" s="11" t="s">
        <v>2995</v>
      </c>
      <c r="H102" s="8" t="s">
        <v>4686</v>
      </c>
    </row>
    <row r="103" spans="1:8" ht="65.099999999999994" customHeight="1" x14ac:dyDescent="0.25">
      <c r="A103" s="8" t="s">
        <v>4702</v>
      </c>
      <c r="B103" s="15" t="s">
        <v>1685</v>
      </c>
      <c r="C103" s="8" t="s">
        <v>4551</v>
      </c>
      <c r="D103" s="8" t="s">
        <v>996</v>
      </c>
      <c r="E103" s="8" t="s">
        <v>4689</v>
      </c>
      <c r="F103" s="8" t="s">
        <v>4700</v>
      </c>
      <c r="G103" s="11" t="s">
        <v>3180</v>
      </c>
      <c r="H103" s="8" t="s">
        <v>4686</v>
      </c>
    </row>
    <row r="104" spans="1:8" ht="65.099999999999994" customHeight="1" x14ac:dyDescent="0.25">
      <c r="A104" s="8" t="s">
        <v>4703</v>
      </c>
      <c r="B104" s="15" t="s">
        <v>1685</v>
      </c>
      <c r="C104" s="8" t="s">
        <v>4551</v>
      </c>
      <c r="D104" s="8" t="s">
        <v>414</v>
      </c>
      <c r="E104" s="8" t="s">
        <v>4689</v>
      </c>
      <c r="F104" s="8" t="s">
        <v>4700</v>
      </c>
      <c r="G104" s="11" t="s">
        <v>3052</v>
      </c>
      <c r="H104" s="8" t="s">
        <v>4686</v>
      </c>
    </row>
    <row r="105" spans="1:8" ht="65.099999999999994" customHeight="1" x14ac:dyDescent="0.25">
      <c r="A105" s="8" t="s">
        <v>4704</v>
      </c>
      <c r="B105" s="15" t="s">
        <v>1685</v>
      </c>
      <c r="C105" s="8" t="s">
        <v>4551</v>
      </c>
      <c r="D105" s="8" t="s">
        <v>753</v>
      </c>
      <c r="E105" s="8" t="s">
        <v>4689</v>
      </c>
      <c r="F105" s="8" t="s">
        <v>4700</v>
      </c>
      <c r="G105" s="11" t="s">
        <v>3135</v>
      </c>
      <c r="H105" s="8" t="s">
        <v>4686</v>
      </c>
    </row>
    <row r="106" spans="1:8" ht="65.099999999999994" customHeight="1" x14ac:dyDescent="0.25">
      <c r="A106" s="8" t="s">
        <v>4705</v>
      </c>
      <c r="B106" s="15" t="s">
        <v>1685</v>
      </c>
      <c r="C106" s="8" t="s">
        <v>4551</v>
      </c>
      <c r="D106" s="8" t="s">
        <v>466</v>
      </c>
      <c r="E106" s="8" t="s">
        <v>4689</v>
      </c>
      <c r="F106" s="8" t="s">
        <v>4700</v>
      </c>
      <c r="G106" s="11" t="s">
        <v>2980</v>
      </c>
      <c r="H106" s="8" t="s">
        <v>4686</v>
      </c>
    </row>
    <row r="107" spans="1:8" ht="65.099999999999994" customHeight="1" x14ac:dyDescent="0.25">
      <c r="A107" s="8" t="s">
        <v>4706</v>
      </c>
      <c r="B107" s="15" t="s">
        <v>1685</v>
      </c>
      <c r="C107" s="8" t="s">
        <v>4551</v>
      </c>
      <c r="D107" s="8" t="s">
        <v>976</v>
      </c>
      <c r="E107" s="8" t="s">
        <v>4689</v>
      </c>
      <c r="F107" s="8" t="s">
        <v>4700</v>
      </c>
      <c r="G107" s="11" t="s">
        <v>2950</v>
      </c>
      <c r="H107" s="8" t="s">
        <v>4686</v>
      </c>
    </row>
    <row r="108" spans="1:8" ht="65.099999999999994" customHeight="1" x14ac:dyDescent="0.25">
      <c r="A108" s="8" t="s">
        <v>4707</v>
      </c>
      <c r="B108" s="15" t="s">
        <v>1685</v>
      </c>
      <c r="C108" s="8" t="s">
        <v>4551</v>
      </c>
      <c r="D108" s="8" t="s">
        <v>502</v>
      </c>
      <c r="E108" s="8" t="s">
        <v>4689</v>
      </c>
      <c r="F108" s="8" t="s">
        <v>4700</v>
      </c>
      <c r="G108" s="11" t="s">
        <v>2846</v>
      </c>
      <c r="H108" s="8" t="s">
        <v>4686</v>
      </c>
    </row>
    <row r="109" spans="1:8" ht="51" customHeight="1" x14ac:dyDescent="0.25">
      <c r="A109" s="8" t="s">
        <v>4708</v>
      </c>
      <c r="B109" s="15" t="s">
        <v>1685</v>
      </c>
      <c r="C109" s="8" t="s">
        <v>4551</v>
      </c>
      <c r="D109" s="8" t="s">
        <v>555</v>
      </c>
      <c r="E109" s="8" t="s">
        <v>4709</v>
      </c>
      <c r="F109" s="8" t="s">
        <v>4710</v>
      </c>
      <c r="G109" s="11" t="s">
        <v>3880</v>
      </c>
      <c r="H109" s="8" t="s">
        <v>4686</v>
      </c>
    </row>
    <row r="110" spans="1:8" ht="65.099999999999994" customHeight="1" x14ac:dyDescent="0.25">
      <c r="A110" s="8" t="s">
        <v>4711</v>
      </c>
      <c r="B110" s="15" t="s">
        <v>1685</v>
      </c>
      <c r="C110" s="8" t="s">
        <v>4712</v>
      </c>
      <c r="D110" s="8" t="s">
        <v>4713</v>
      </c>
      <c r="E110" s="8" t="s">
        <v>252</v>
      </c>
      <c r="F110" s="8" t="s">
        <v>4714</v>
      </c>
      <c r="G110" s="11"/>
      <c r="H110" s="8" t="s">
        <v>4686</v>
      </c>
    </row>
    <row r="111" spans="1:8" ht="65.099999999999994" customHeight="1" x14ac:dyDescent="0.25">
      <c r="A111" s="8" t="s">
        <v>4715</v>
      </c>
      <c r="B111" s="15" t="s">
        <v>1685</v>
      </c>
      <c r="C111" s="8" t="s">
        <v>4716</v>
      </c>
      <c r="D111" s="8" t="s">
        <v>4713</v>
      </c>
      <c r="E111" s="8" t="s">
        <v>252</v>
      </c>
      <c r="F111" s="8" t="s">
        <v>4714</v>
      </c>
      <c r="G111" s="11"/>
      <c r="H111" s="8" t="s">
        <v>4686</v>
      </c>
    </row>
    <row r="112" spans="1:8" ht="65.099999999999994" customHeight="1" x14ac:dyDescent="0.25">
      <c r="A112" s="8" t="s">
        <v>4717</v>
      </c>
      <c r="B112" s="15" t="s">
        <v>1685</v>
      </c>
      <c r="C112" s="8" t="s">
        <v>4672</v>
      </c>
      <c r="D112" s="8" t="s">
        <v>4713</v>
      </c>
      <c r="E112" s="8" t="s">
        <v>252</v>
      </c>
      <c r="F112" s="8" t="s">
        <v>4714</v>
      </c>
      <c r="G112" s="11"/>
      <c r="H112" s="8" t="s">
        <v>4686</v>
      </c>
    </row>
    <row r="113" spans="1:8" ht="65.099999999999994" customHeight="1" x14ac:dyDescent="0.25">
      <c r="A113" s="8" t="s">
        <v>4718</v>
      </c>
      <c r="B113" s="15" t="s">
        <v>1685</v>
      </c>
      <c r="C113" s="8" t="s">
        <v>4679</v>
      </c>
      <c r="D113" s="8" t="s">
        <v>4713</v>
      </c>
      <c r="E113" s="8" t="s">
        <v>252</v>
      </c>
      <c r="F113" s="8" t="s">
        <v>4714</v>
      </c>
      <c r="G113" s="11"/>
      <c r="H113" s="8" t="s">
        <v>4686</v>
      </c>
    </row>
    <row r="114" spans="1:8" ht="65.099999999999994" customHeight="1" x14ac:dyDescent="0.25">
      <c r="A114" s="8" t="s">
        <v>4719</v>
      </c>
      <c r="B114" s="15" t="s">
        <v>1685</v>
      </c>
      <c r="C114" s="8" t="s">
        <v>4338</v>
      </c>
      <c r="D114" s="8" t="s">
        <v>4713</v>
      </c>
      <c r="E114" s="8" t="s">
        <v>252</v>
      </c>
      <c r="F114" s="8" t="s">
        <v>4714</v>
      </c>
      <c r="G114" s="11"/>
      <c r="H114" s="8" t="s">
        <v>4686</v>
      </c>
    </row>
    <row r="115" spans="1:8" ht="65.099999999999994" customHeight="1" x14ac:dyDescent="0.25">
      <c r="A115" s="8" t="s">
        <v>4720</v>
      </c>
      <c r="B115" s="15" t="s">
        <v>1685</v>
      </c>
      <c r="C115" s="8" t="s">
        <v>4721</v>
      </c>
      <c r="D115" s="8" t="s">
        <v>4713</v>
      </c>
      <c r="E115" s="8" t="s">
        <v>252</v>
      </c>
      <c r="F115" s="8" t="s">
        <v>4714</v>
      </c>
      <c r="G115" s="11"/>
      <c r="H115" s="8" t="s">
        <v>4686</v>
      </c>
    </row>
    <row r="116" spans="1:8" ht="65.099999999999994" customHeight="1" x14ac:dyDescent="0.25">
      <c r="A116" s="8" t="s">
        <v>4722</v>
      </c>
      <c r="B116" s="15" t="s">
        <v>1685</v>
      </c>
      <c r="C116" s="8" t="s">
        <v>4723</v>
      </c>
      <c r="D116" s="8" t="s">
        <v>4713</v>
      </c>
      <c r="E116" s="8" t="s">
        <v>252</v>
      </c>
      <c r="F116" s="8" t="s">
        <v>4714</v>
      </c>
      <c r="G116" s="11"/>
      <c r="H116" s="8" t="s">
        <v>4686</v>
      </c>
    </row>
    <row r="117" spans="1:8" ht="65.099999999999994" customHeight="1" x14ac:dyDescent="0.25">
      <c r="A117" s="8" t="s">
        <v>4724</v>
      </c>
      <c r="B117" s="15" t="s">
        <v>1685</v>
      </c>
      <c r="C117" s="8" t="s">
        <v>4725</v>
      </c>
      <c r="D117" s="8" t="s">
        <v>4713</v>
      </c>
      <c r="E117" s="8" t="s">
        <v>252</v>
      </c>
      <c r="F117" s="8" t="s">
        <v>4714</v>
      </c>
      <c r="G117" s="11"/>
      <c r="H117" s="8" t="s">
        <v>4686</v>
      </c>
    </row>
    <row r="118" spans="1:8" ht="65.099999999999994" customHeight="1" x14ac:dyDescent="0.25">
      <c r="A118" s="8" t="s">
        <v>4726</v>
      </c>
      <c r="B118" s="15" t="s">
        <v>1685</v>
      </c>
      <c r="C118" s="8" t="s">
        <v>4727</v>
      </c>
      <c r="D118" s="8" t="s">
        <v>4713</v>
      </c>
      <c r="E118" s="8" t="s">
        <v>252</v>
      </c>
      <c r="F118" s="8" t="s">
        <v>4714</v>
      </c>
      <c r="G118" s="11"/>
      <c r="H118" s="8" t="s">
        <v>4686</v>
      </c>
    </row>
    <row r="119" spans="1:8" ht="65.099999999999994" customHeight="1" x14ac:dyDescent="0.25">
      <c r="A119" s="8" t="s">
        <v>4728</v>
      </c>
      <c r="B119" s="15" t="s">
        <v>1685</v>
      </c>
      <c r="C119" s="8" t="s">
        <v>4729</v>
      </c>
      <c r="D119" s="8" t="s">
        <v>4713</v>
      </c>
      <c r="E119" s="8" t="s">
        <v>252</v>
      </c>
      <c r="F119" s="8" t="s">
        <v>4714</v>
      </c>
      <c r="G119" s="11"/>
      <c r="H119" s="8" t="s">
        <v>4686</v>
      </c>
    </row>
    <row r="120" spans="1:8" ht="65.099999999999994" customHeight="1" x14ac:dyDescent="0.25">
      <c r="A120" s="8" t="s">
        <v>4730</v>
      </c>
      <c r="B120" s="15" t="s">
        <v>1685</v>
      </c>
      <c r="C120" s="8" t="s">
        <v>4731</v>
      </c>
      <c r="D120" s="8" t="s">
        <v>4713</v>
      </c>
      <c r="E120" s="8" t="s">
        <v>252</v>
      </c>
      <c r="F120" s="8" t="s">
        <v>4714</v>
      </c>
      <c r="G120" s="11"/>
      <c r="H120" s="8" t="s">
        <v>4686</v>
      </c>
    </row>
    <row r="121" spans="1:8" ht="65.099999999999994" customHeight="1" x14ac:dyDescent="0.25">
      <c r="A121" s="8" t="s">
        <v>4732</v>
      </c>
      <c r="B121" s="15" t="s">
        <v>1685</v>
      </c>
      <c r="C121" s="8" t="s">
        <v>4733</v>
      </c>
      <c r="D121" s="8" t="s">
        <v>4713</v>
      </c>
      <c r="E121" s="8" t="s">
        <v>252</v>
      </c>
      <c r="F121" s="8" t="s">
        <v>4714</v>
      </c>
      <c r="G121" s="11"/>
      <c r="H121" s="8" t="s">
        <v>4686</v>
      </c>
    </row>
    <row r="122" spans="1:8" ht="65.099999999999994" customHeight="1" x14ac:dyDescent="0.25">
      <c r="A122" s="8" t="s">
        <v>4734</v>
      </c>
      <c r="B122" s="15" t="s">
        <v>1685</v>
      </c>
      <c r="C122" s="8" t="s">
        <v>4735</v>
      </c>
      <c r="D122" s="8" t="s">
        <v>4713</v>
      </c>
      <c r="E122" s="8" t="s">
        <v>252</v>
      </c>
      <c r="F122" s="8" t="s">
        <v>4714</v>
      </c>
      <c r="G122" s="11"/>
      <c r="H122" s="8" t="s">
        <v>4686</v>
      </c>
    </row>
    <row r="123" spans="1:8" ht="65.099999999999994" customHeight="1" x14ac:dyDescent="0.25">
      <c r="A123" s="8" t="s">
        <v>4736</v>
      </c>
      <c r="B123" s="15" t="s">
        <v>1685</v>
      </c>
      <c r="C123" s="8" t="s">
        <v>4737</v>
      </c>
      <c r="D123" s="8" t="s">
        <v>4713</v>
      </c>
      <c r="E123" s="8" t="s">
        <v>252</v>
      </c>
      <c r="F123" s="8" t="s">
        <v>4714</v>
      </c>
      <c r="G123" s="11"/>
      <c r="H123" s="8" t="s">
        <v>4686</v>
      </c>
    </row>
    <row r="124" spans="1:8" ht="65.099999999999994" customHeight="1" x14ac:dyDescent="0.25">
      <c r="A124" s="8" t="s">
        <v>4738</v>
      </c>
      <c r="B124" s="15" t="s">
        <v>1685</v>
      </c>
      <c r="C124" s="8" t="s">
        <v>4739</v>
      </c>
      <c r="D124" s="8" t="s">
        <v>4713</v>
      </c>
      <c r="E124" s="8" t="s">
        <v>252</v>
      </c>
      <c r="F124" s="8" t="s">
        <v>4714</v>
      </c>
      <c r="G124" s="11"/>
      <c r="H124" s="8" t="s">
        <v>4686</v>
      </c>
    </row>
    <row r="125" spans="1:8" ht="65.099999999999994" customHeight="1" x14ac:dyDescent="0.25">
      <c r="A125" s="8" t="s">
        <v>4740</v>
      </c>
      <c r="B125" s="15" t="s">
        <v>1685</v>
      </c>
      <c r="C125" s="8" t="s">
        <v>4741</v>
      </c>
      <c r="D125" s="8" t="s">
        <v>4713</v>
      </c>
      <c r="E125" s="8" t="s">
        <v>252</v>
      </c>
      <c r="F125" s="8" t="s">
        <v>4714</v>
      </c>
      <c r="G125" s="11"/>
      <c r="H125" s="8" t="s">
        <v>4686</v>
      </c>
    </row>
    <row r="126" spans="1:8" ht="65.099999999999994" customHeight="1" x14ac:dyDescent="0.25">
      <c r="A126" s="8" t="s">
        <v>4742</v>
      </c>
      <c r="B126" s="15" t="s">
        <v>1685</v>
      </c>
      <c r="C126" s="8" t="s">
        <v>4743</v>
      </c>
      <c r="D126" s="8" t="s">
        <v>4713</v>
      </c>
      <c r="E126" s="8" t="s">
        <v>252</v>
      </c>
      <c r="F126" s="8" t="s">
        <v>4714</v>
      </c>
      <c r="G126" s="11"/>
      <c r="H126" s="8" t="s">
        <v>4686</v>
      </c>
    </row>
    <row r="127" spans="1:8" ht="65.099999999999994" customHeight="1" x14ac:dyDescent="0.25">
      <c r="A127" s="8" t="s">
        <v>4744</v>
      </c>
      <c r="B127" s="15" t="s">
        <v>1685</v>
      </c>
      <c r="C127" s="8" t="s">
        <v>4745</v>
      </c>
      <c r="D127" s="8" t="s">
        <v>4713</v>
      </c>
      <c r="E127" s="8" t="s">
        <v>252</v>
      </c>
      <c r="F127" s="8" t="s">
        <v>4714</v>
      </c>
      <c r="G127" s="11"/>
      <c r="H127" s="8" t="s">
        <v>4686</v>
      </c>
    </row>
    <row r="128" spans="1:8" ht="65.099999999999994" customHeight="1" x14ac:dyDescent="0.25">
      <c r="A128" s="8" t="s">
        <v>4746</v>
      </c>
      <c r="B128" s="15" t="s">
        <v>1685</v>
      </c>
      <c r="C128" s="8" t="s">
        <v>4551</v>
      </c>
      <c r="D128" s="8" t="s">
        <v>4747</v>
      </c>
      <c r="E128" s="8" t="s">
        <v>4748</v>
      </c>
      <c r="F128" s="8" t="s">
        <v>4749</v>
      </c>
      <c r="G128" s="11"/>
      <c r="H128" s="8" t="s">
        <v>4686</v>
      </c>
    </row>
    <row r="129" spans="1:8" ht="36.950000000000003" customHeight="1" x14ac:dyDescent="0.25">
      <c r="A129" s="8" t="s">
        <v>4750</v>
      </c>
      <c r="B129" s="15" t="s">
        <v>1685</v>
      </c>
      <c r="C129" s="8" t="s">
        <v>4751</v>
      </c>
      <c r="D129" s="8" t="s">
        <v>4752</v>
      </c>
      <c r="E129" s="8" t="s">
        <v>4753</v>
      </c>
      <c r="F129" s="8" t="s">
        <v>4754</v>
      </c>
      <c r="G129" s="11"/>
      <c r="H129" s="8" t="s">
        <v>4686</v>
      </c>
    </row>
    <row r="130" spans="1:8" ht="78.95" customHeight="1" x14ac:dyDescent="0.25">
      <c r="A130" s="8" t="s">
        <v>4755</v>
      </c>
      <c r="B130" s="15" t="s">
        <v>1685</v>
      </c>
      <c r="C130" s="8" t="s">
        <v>4756</v>
      </c>
      <c r="D130" s="8" t="s">
        <v>4757</v>
      </c>
      <c r="E130" s="8" t="s">
        <v>4758</v>
      </c>
      <c r="F130" s="8" t="s">
        <v>4759</v>
      </c>
      <c r="G130" s="11"/>
      <c r="H130" s="8" t="s">
        <v>4686</v>
      </c>
    </row>
    <row r="131" spans="1:8" ht="51" customHeight="1" x14ac:dyDescent="0.25">
      <c r="A131" s="8" t="s">
        <v>4760</v>
      </c>
      <c r="B131" s="15" t="s">
        <v>1685</v>
      </c>
      <c r="C131" s="8" t="s">
        <v>4761</v>
      </c>
      <c r="D131" s="8" t="s">
        <v>4762</v>
      </c>
      <c r="E131" s="8" t="s">
        <v>4763</v>
      </c>
      <c r="F131" s="8" t="s">
        <v>4764</v>
      </c>
      <c r="G131" s="11"/>
      <c r="H131" s="8" t="s">
        <v>4686</v>
      </c>
    </row>
    <row r="132" spans="1:8" ht="65.099999999999994" customHeight="1" x14ac:dyDescent="0.25">
      <c r="A132" s="8" t="s">
        <v>4765</v>
      </c>
      <c r="B132" s="15" t="s">
        <v>1685</v>
      </c>
      <c r="C132" s="8" t="s">
        <v>4766</v>
      </c>
      <c r="D132" s="8" t="s">
        <v>4516</v>
      </c>
      <c r="E132" s="8" t="s">
        <v>4689</v>
      </c>
      <c r="F132" s="8" t="s">
        <v>4767</v>
      </c>
      <c r="G132" s="11"/>
      <c r="H132" s="8" t="s">
        <v>4768</v>
      </c>
    </row>
    <row r="133" spans="1:8" ht="65.099999999999994" customHeight="1" x14ac:dyDescent="0.25">
      <c r="A133" s="8" t="s">
        <v>4769</v>
      </c>
      <c r="B133" s="15" t="s">
        <v>1685</v>
      </c>
      <c r="C133" s="8" t="s">
        <v>4761</v>
      </c>
      <c r="D133" s="8" t="s">
        <v>4516</v>
      </c>
      <c r="E133" s="8" t="s">
        <v>4689</v>
      </c>
      <c r="F133" s="8" t="s">
        <v>4770</v>
      </c>
      <c r="G133" s="11"/>
      <c r="H133" s="8" t="s">
        <v>4768</v>
      </c>
    </row>
    <row r="134" spans="1:8" ht="51" customHeight="1" x14ac:dyDescent="0.25">
      <c r="A134" s="8" t="s">
        <v>4771</v>
      </c>
      <c r="B134" s="15" t="s">
        <v>1685</v>
      </c>
      <c r="C134" s="8" t="s">
        <v>4772</v>
      </c>
      <c r="D134" s="8" t="s">
        <v>4516</v>
      </c>
      <c r="E134" s="8" t="s">
        <v>4689</v>
      </c>
      <c r="F134" s="8" t="s">
        <v>4773</v>
      </c>
      <c r="G134" s="11"/>
      <c r="H134" s="8" t="s">
        <v>4768</v>
      </c>
    </row>
    <row r="135" spans="1:8" ht="65.099999999999994" customHeight="1" x14ac:dyDescent="0.25">
      <c r="A135" s="8" t="s">
        <v>4774</v>
      </c>
      <c r="B135" s="15" t="s">
        <v>1685</v>
      </c>
      <c r="C135" s="8" t="s">
        <v>4775</v>
      </c>
      <c r="D135" s="8" t="s">
        <v>4516</v>
      </c>
      <c r="E135" s="8" t="s">
        <v>4689</v>
      </c>
      <c r="F135" s="8" t="s">
        <v>4776</v>
      </c>
      <c r="G135" s="11"/>
      <c r="H135" s="8" t="s">
        <v>4768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8354A"/>
    <outlinePr summaryBelow="0" summaryRight="0"/>
    <pageSetUpPr fitToPage="1"/>
  </sheetPr>
  <dimension ref="A1:F349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7" customWidth="1"/>
    <col min="2" max="2" width="20" customWidth="1"/>
    <col min="3" max="5" width="27" customWidth="1"/>
    <col min="6" max="6" width="20" customWidth="1"/>
  </cols>
  <sheetData>
    <row r="1" spans="1:6" ht="42.95" customHeight="1" x14ac:dyDescent="0.25">
      <c r="A1" s="7" t="s">
        <v>4777</v>
      </c>
      <c r="B1" s="7" t="s">
        <v>4778</v>
      </c>
      <c r="C1" s="7" t="s">
        <v>4779</v>
      </c>
      <c r="D1" s="7" t="s">
        <v>4780</v>
      </c>
      <c r="E1" s="7" t="s">
        <v>4781</v>
      </c>
      <c r="F1" s="7" t="s">
        <v>238</v>
      </c>
    </row>
    <row r="2" spans="1:6" ht="51" customHeight="1" x14ac:dyDescent="0.25">
      <c r="A2" s="8" t="s">
        <v>4782</v>
      </c>
      <c r="B2" s="8" t="s">
        <v>1703</v>
      </c>
      <c r="C2" s="8" t="s">
        <v>1703</v>
      </c>
      <c r="D2" s="8" t="s">
        <v>4783</v>
      </c>
      <c r="E2" s="8"/>
      <c r="F2" s="9" t="s">
        <v>352</v>
      </c>
    </row>
    <row r="3" spans="1:6" ht="36.950000000000003" customHeight="1" x14ac:dyDescent="0.25">
      <c r="A3" s="8" t="s">
        <v>4782</v>
      </c>
      <c r="B3" s="8" t="s">
        <v>351</v>
      </c>
      <c r="C3" s="8" t="s">
        <v>351</v>
      </c>
      <c r="D3" s="8" t="s">
        <v>4784</v>
      </c>
      <c r="E3" s="8"/>
      <c r="F3" s="9" t="s">
        <v>352</v>
      </c>
    </row>
    <row r="4" spans="1:6" ht="36.950000000000003" customHeight="1" x14ac:dyDescent="0.25">
      <c r="A4" s="8" t="s">
        <v>4782</v>
      </c>
      <c r="B4" s="8" t="s">
        <v>954</v>
      </c>
      <c r="C4" s="8" t="s">
        <v>954</v>
      </c>
      <c r="D4" s="8" t="s">
        <v>4785</v>
      </c>
      <c r="E4" s="8"/>
      <c r="F4" s="9" t="s">
        <v>352</v>
      </c>
    </row>
    <row r="5" spans="1:6" ht="33.950000000000003" customHeight="1" x14ac:dyDescent="0.25">
      <c r="A5" s="8" t="s">
        <v>4782</v>
      </c>
      <c r="B5" s="8" t="s">
        <v>4786</v>
      </c>
      <c r="C5" s="8" t="s">
        <v>4786</v>
      </c>
      <c r="D5" s="8" t="s">
        <v>4787</v>
      </c>
      <c r="E5" s="8"/>
      <c r="F5" s="9" t="s">
        <v>352</v>
      </c>
    </row>
    <row r="6" spans="1:6" ht="36.950000000000003" customHeight="1" x14ac:dyDescent="0.25">
      <c r="A6" s="8" t="s">
        <v>4788</v>
      </c>
      <c r="B6" s="8" t="s">
        <v>352</v>
      </c>
      <c r="C6" s="8" t="s">
        <v>352</v>
      </c>
      <c r="D6" s="8" t="s">
        <v>4789</v>
      </c>
      <c r="E6" s="8"/>
      <c r="F6" s="9" t="s">
        <v>352</v>
      </c>
    </row>
    <row r="7" spans="1:6" ht="36.950000000000003" customHeight="1" x14ac:dyDescent="0.25">
      <c r="A7" s="8" t="s">
        <v>4788</v>
      </c>
      <c r="B7" s="13" t="s">
        <v>944</v>
      </c>
      <c r="C7" s="13" t="s">
        <v>944</v>
      </c>
      <c r="D7" s="8" t="s">
        <v>4789</v>
      </c>
      <c r="E7" s="8"/>
      <c r="F7" s="9" t="s">
        <v>352</v>
      </c>
    </row>
    <row r="8" spans="1:6" ht="36.950000000000003" customHeight="1" x14ac:dyDescent="0.25">
      <c r="A8" s="8" t="s">
        <v>4788</v>
      </c>
      <c r="B8" s="8" t="s">
        <v>4790</v>
      </c>
      <c r="C8" s="8" t="s">
        <v>4790</v>
      </c>
      <c r="D8" s="8" t="s">
        <v>4789</v>
      </c>
      <c r="E8" s="8"/>
      <c r="F8" s="9" t="s">
        <v>352</v>
      </c>
    </row>
    <row r="9" spans="1:6" ht="33.950000000000003" customHeight="1" x14ac:dyDescent="0.25">
      <c r="A9" s="8" t="s">
        <v>4791</v>
      </c>
      <c r="B9" s="8" t="s">
        <v>1792</v>
      </c>
      <c r="C9" s="8" t="s">
        <v>1792</v>
      </c>
      <c r="D9" s="8"/>
      <c r="E9" s="8"/>
      <c r="F9" s="9" t="s">
        <v>352</v>
      </c>
    </row>
    <row r="10" spans="1:6" ht="33.950000000000003" customHeight="1" x14ac:dyDescent="0.25">
      <c r="A10" s="8" t="s">
        <v>4791</v>
      </c>
      <c r="B10" s="8" t="s">
        <v>1808</v>
      </c>
      <c r="C10" s="8" t="s">
        <v>1808</v>
      </c>
      <c r="D10" s="8"/>
      <c r="E10" s="8"/>
      <c r="F10" s="9" t="s">
        <v>352</v>
      </c>
    </row>
    <row r="11" spans="1:6" ht="33.950000000000003" customHeight="1" x14ac:dyDescent="0.25">
      <c r="A11" s="8" t="s">
        <v>4791</v>
      </c>
      <c r="B11" s="8" t="s">
        <v>1992</v>
      </c>
      <c r="C11" s="8" t="s">
        <v>1992</v>
      </c>
      <c r="D11" s="8"/>
      <c r="E11" s="8"/>
      <c r="F11" s="9" t="s">
        <v>352</v>
      </c>
    </row>
    <row r="12" spans="1:6" ht="33.950000000000003" customHeight="1" x14ac:dyDescent="0.25">
      <c r="A12" s="8" t="s">
        <v>4791</v>
      </c>
      <c r="B12" s="8" t="s">
        <v>1866</v>
      </c>
      <c r="C12" s="8" t="s">
        <v>1866</v>
      </c>
      <c r="D12" s="8"/>
      <c r="E12" s="8"/>
      <c r="F12" s="9" t="s">
        <v>352</v>
      </c>
    </row>
    <row r="13" spans="1:6" ht="33.950000000000003" customHeight="1" x14ac:dyDescent="0.25">
      <c r="A13" s="8" t="s">
        <v>4792</v>
      </c>
      <c r="B13" s="8" t="s">
        <v>2821</v>
      </c>
      <c r="C13" s="8" t="s">
        <v>2821</v>
      </c>
      <c r="D13" s="8"/>
      <c r="E13" s="8"/>
      <c r="F13" s="9" t="s">
        <v>352</v>
      </c>
    </row>
    <row r="14" spans="1:6" ht="33.950000000000003" customHeight="1" x14ac:dyDescent="0.25">
      <c r="A14" s="8" t="s">
        <v>4792</v>
      </c>
      <c r="B14" s="8" t="s">
        <v>2832</v>
      </c>
      <c r="C14" s="8" t="s">
        <v>2832</v>
      </c>
      <c r="D14" s="8"/>
      <c r="E14" s="8"/>
      <c r="F14" s="9" t="s">
        <v>352</v>
      </c>
    </row>
    <row r="15" spans="1:6" ht="33.950000000000003" customHeight="1" x14ac:dyDescent="0.25">
      <c r="A15" s="8" t="s">
        <v>4792</v>
      </c>
      <c r="B15" s="8" t="s">
        <v>2828</v>
      </c>
      <c r="C15" s="8" t="s">
        <v>2828</v>
      </c>
      <c r="D15" s="8"/>
      <c r="E15" s="8"/>
      <c r="F15" s="9" t="s">
        <v>352</v>
      </c>
    </row>
    <row r="16" spans="1:6" ht="33.950000000000003" customHeight="1" x14ac:dyDescent="0.25">
      <c r="A16" s="8" t="s">
        <v>4792</v>
      </c>
      <c r="B16" s="8" t="s">
        <v>2904</v>
      </c>
      <c r="C16" s="8" t="s">
        <v>2904</v>
      </c>
      <c r="D16" s="8"/>
      <c r="E16" s="8"/>
      <c r="F16" s="9" t="s">
        <v>352</v>
      </c>
    </row>
    <row r="17" spans="1:6" ht="33.950000000000003" customHeight="1" x14ac:dyDescent="0.25">
      <c r="A17" s="8" t="s">
        <v>4792</v>
      </c>
      <c r="B17" s="8" t="s">
        <v>3165</v>
      </c>
      <c r="C17" s="8" t="s">
        <v>3165</v>
      </c>
      <c r="D17" s="8"/>
      <c r="E17" s="8"/>
      <c r="F17" s="9" t="s">
        <v>352</v>
      </c>
    </row>
    <row r="18" spans="1:6" ht="33.950000000000003" customHeight="1" x14ac:dyDescent="0.25">
      <c r="A18" s="8" t="s">
        <v>4792</v>
      </c>
      <c r="B18" s="8" t="s">
        <v>3002</v>
      </c>
      <c r="C18" s="8" t="s">
        <v>3002</v>
      </c>
      <c r="D18" s="8"/>
      <c r="E18" s="8"/>
      <c r="F18" s="9" t="s">
        <v>352</v>
      </c>
    </row>
    <row r="19" spans="1:6" ht="33.950000000000003" customHeight="1" x14ac:dyDescent="0.25">
      <c r="A19" s="8" t="s">
        <v>4792</v>
      </c>
      <c r="B19" s="8" t="s">
        <v>2949</v>
      </c>
      <c r="C19" s="8" t="s">
        <v>2949</v>
      </c>
      <c r="D19" s="8"/>
      <c r="E19" s="8"/>
      <c r="F19" s="9" t="s">
        <v>352</v>
      </c>
    </row>
    <row r="20" spans="1:6" ht="33.950000000000003" customHeight="1" x14ac:dyDescent="0.25">
      <c r="A20" s="8" t="s">
        <v>4792</v>
      </c>
      <c r="B20" s="8" t="s">
        <v>4793</v>
      </c>
      <c r="C20" s="8" t="s">
        <v>4793</v>
      </c>
      <c r="D20" s="8"/>
      <c r="E20" s="8"/>
      <c r="F20" s="9" t="s">
        <v>352</v>
      </c>
    </row>
    <row r="21" spans="1:6" ht="33.950000000000003" customHeight="1" x14ac:dyDescent="0.25">
      <c r="A21" s="8" t="s">
        <v>4794</v>
      </c>
      <c r="B21" s="8" t="s">
        <v>2212</v>
      </c>
      <c r="C21" s="8" t="s">
        <v>2212</v>
      </c>
      <c r="D21" s="8"/>
      <c r="E21" s="8"/>
      <c r="F21" s="9" t="s">
        <v>352</v>
      </c>
    </row>
    <row r="22" spans="1:6" ht="33.950000000000003" customHeight="1" x14ac:dyDescent="0.25">
      <c r="A22" s="8" t="s">
        <v>4794</v>
      </c>
      <c r="B22" s="8" t="s">
        <v>2421</v>
      </c>
      <c r="C22" s="8" t="s">
        <v>2421</v>
      </c>
      <c r="D22" s="8"/>
      <c r="E22" s="8"/>
      <c r="F22" s="9" t="s">
        <v>352</v>
      </c>
    </row>
    <row r="23" spans="1:6" ht="33.950000000000003" customHeight="1" x14ac:dyDescent="0.25">
      <c r="A23" s="8" t="s">
        <v>4794</v>
      </c>
      <c r="B23" s="8" t="s">
        <v>2340</v>
      </c>
      <c r="C23" s="8" t="s">
        <v>2340</v>
      </c>
      <c r="D23" s="8"/>
      <c r="E23" s="8"/>
      <c r="F23" s="9" t="s">
        <v>352</v>
      </c>
    </row>
    <row r="24" spans="1:6" ht="33.950000000000003" customHeight="1" x14ac:dyDescent="0.25">
      <c r="A24" s="8" t="s">
        <v>4794</v>
      </c>
      <c r="B24" s="8" t="s">
        <v>2273</v>
      </c>
      <c r="C24" s="8" t="s">
        <v>2273</v>
      </c>
      <c r="D24" s="8"/>
      <c r="E24" s="8"/>
      <c r="F24" s="9" t="s">
        <v>352</v>
      </c>
    </row>
    <row r="25" spans="1:6" ht="33.950000000000003" customHeight="1" x14ac:dyDescent="0.25">
      <c r="A25" s="8" t="s">
        <v>4795</v>
      </c>
      <c r="B25" s="8" t="s">
        <v>1804</v>
      </c>
      <c r="C25" s="8" t="s">
        <v>1804</v>
      </c>
      <c r="D25" s="8"/>
      <c r="E25" s="8" t="s">
        <v>3002</v>
      </c>
      <c r="F25" s="9" t="s">
        <v>352</v>
      </c>
    </row>
    <row r="26" spans="1:6" ht="33.950000000000003" customHeight="1" x14ac:dyDescent="0.25">
      <c r="A26" s="8" t="s">
        <v>4795</v>
      </c>
      <c r="B26" s="8" t="s">
        <v>4796</v>
      </c>
      <c r="C26" s="8" t="s">
        <v>4796</v>
      </c>
      <c r="D26" s="8"/>
      <c r="E26" s="8" t="s">
        <v>3273</v>
      </c>
      <c r="F26" s="9" t="s">
        <v>352</v>
      </c>
    </row>
    <row r="27" spans="1:6" ht="33.950000000000003" customHeight="1" x14ac:dyDescent="0.25">
      <c r="A27" s="8" t="s">
        <v>4795</v>
      </c>
      <c r="B27" s="8" t="s">
        <v>2121</v>
      </c>
      <c r="C27" s="8" t="s">
        <v>2121</v>
      </c>
      <c r="D27" s="8"/>
      <c r="E27" s="8"/>
      <c r="F27" s="9" t="s">
        <v>352</v>
      </c>
    </row>
    <row r="28" spans="1:6" ht="33.950000000000003" customHeight="1" x14ac:dyDescent="0.25">
      <c r="A28" s="8" t="s">
        <v>4795</v>
      </c>
      <c r="B28" s="8" t="s">
        <v>4797</v>
      </c>
      <c r="C28" s="8" t="s">
        <v>4797</v>
      </c>
      <c r="D28" s="8"/>
      <c r="E28" s="8" t="s">
        <v>4798</v>
      </c>
      <c r="F28" s="9" t="s">
        <v>352</v>
      </c>
    </row>
    <row r="29" spans="1:6" ht="33.950000000000003" customHeight="1" x14ac:dyDescent="0.25">
      <c r="A29" s="8" t="s">
        <v>4795</v>
      </c>
      <c r="B29" s="8" t="s">
        <v>1959</v>
      </c>
      <c r="C29" s="8" t="s">
        <v>1959</v>
      </c>
      <c r="D29" s="8"/>
      <c r="E29" s="8"/>
      <c r="F29" s="9" t="s">
        <v>352</v>
      </c>
    </row>
    <row r="30" spans="1:6" ht="33.950000000000003" customHeight="1" x14ac:dyDescent="0.25">
      <c r="A30" s="8" t="s">
        <v>4795</v>
      </c>
      <c r="B30" s="8" t="s">
        <v>4799</v>
      </c>
      <c r="C30" s="8" t="s">
        <v>4799</v>
      </c>
      <c r="D30" s="8"/>
      <c r="E30" s="8"/>
      <c r="F30" s="9" t="s">
        <v>352</v>
      </c>
    </row>
    <row r="31" spans="1:6" ht="33.950000000000003" customHeight="1" x14ac:dyDescent="0.25">
      <c r="A31" s="8" t="s">
        <v>4795</v>
      </c>
      <c r="B31" s="8" t="s">
        <v>2949</v>
      </c>
      <c r="C31" s="8" t="s">
        <v>2949</v>
      </c>
      <c r="D31" s="8"/>
      <c r="E31" s="8"/>
      <c r="F31" s="9" t="s">
        <v>352</v>
      </c>
    </row>
    <row r="32" spans="1:6" ht="33.950000000000003" customHeight="1" x14ac:dyDescent="0.25">
      <c r="A32" s="8" t="s">
        <v>4800</v>
      </c>
      <c r="B32" s="8" t="s">
        <v>1056</v>
      </c>
      <c r="C32" s="8" t="s">
        <v>1056</v>
      </c>
      <c r="D32" s="8"/>
      <c r="E32" s="8"/>
      <c r="F32" s="9" t="s">
        <v>352</v>
      </c>
    </row>
    <row r="33" spans="1:6" ht="33.950000000000003" customHeight="1" x14ac:dyDescent="0.25">
      <c r="A33" s="8" t="s">
        <v>4800</v>
      </c>
      <c r="B33" s="8" t="s">
        <v>4801</v>
      </c>
      <c r="C33" s="8" t="s">
        <v>4801</v>
      </c>
      <c r="D33" s="8"/>
      <c r="E33" s="8"/>
      <c r="F33" s="9" t="s">
        <v>352</v>
      </c>
    </row>
    <row r="34" spans="1:6" ht="33.950000000000003" customHeight="1" x14ac:dyDescent="0.25">
      <c r="A34" s="8" t="s">
        <v>4800</v>
      </c>
      <c r="B34" s="8" t="s">
        <v>2081</v>
      </c>
      <c r="C34" s="8" t="s">
        <v>2081</v>
      </c>
      <c r="D34" s="8"/>
      <c r="E34" s="8"/>
      <c r="F34" s="9" t="s">
        <v>352</v>
      </c>
    </row>
    <row r="35" spans="1:6" ht="33.950000000000003" customHeight="1" x14ac:dyDescent="0.25">
      <c r="A35" s="8" t="s">
        <v>4800</v>
      </c>
      <c r="B35" s="8" t="s">
        <v>4802</v>
      </c>
      <c r="C35" s="8" t="s">
        <v>4802</v>
      </c>
      <c r="D35" s="8"/>
      <c r="E35" s="8" t="s">
        <v>4803</v>
      </c>
      <c r="F35" s="9" t="s">
        <v>352</v>
      </c>
    </row>
    <row r="36" spans="1:6" ht="33.950000000000003" customHeight="1" x14ac:dyDescent="0.25">
      <c r="A36" s="8" t="s">
        <v>4800</v>
      </c>
      <c r="B36" s="8" t="s">
        <v>4804</v>
      </c>
      <c r="C36" s="8" t="s">
        <v>4804</v>
      </c>
      <c r="D36" s="8"/>
      <c r="E36" s="8"/>
      <c r="F36" s="9" t="s">
        <v>352</v>
      </c>
    </row>
    <row r="37" spans="1:6" ht="33.950000000000003" customHeight="1" x14ac:dyDescent="0.25">
      <c r="A37" s="8" t="s">
        <v>4800</v>
      </c>
      <c r="B37" s="8" t="s">
        <v>4805</v>
      </c>
      <c r="C37" s="8" t="s">
        <v>4805</v>
      </c>
      <c r="D37" s="8"/>
      <c r="E37" s="8"/>
      <c r="F37" s="9" t="s">
        <v>352</v>
      </c>
    </row>
    <row r="38" spans="1:6" ht="33.950000000000003" customHeight="1" x14ac:dyDescent="0.25">
      <c r="A38" s="8" t="s">
        <v>4800</v>
      </c>
      <c r="B38" s="8" t="s">
        <v>4806</v>
      </c>
      <c r="C38" s="8" t="s">
        <v>4806</v>
      </c>
      <c r="D38" s="8"/>
      <c r="E38" s="8"/>
      <c r="F38" s="9" t="s">
        <v>352</v>
      </c>
    </row>
    <row r="39" spans="1:6" ht="51" customHeight="1" x14ac:dyDescent="0.25">
      <c r="A39" s="8" t="s">
        <v>4807</v>
      </c>
      <c r="B39" s="8" t="s">
        <v>1822</v>
      </c>
      <c r="C39" s="8" t="s">
        <v>1822</v>
      </c>
      <c r="D39" s="8" t="s">
        <v>4808</v>
      </c>
      <c r="E39" s="8"/>
      <c r="F39" s="9" t="s">
        <v>352</v>
      </c>
    </row>
    <row r="40" spans="1:6" ht="33.950000000000003" customHeight="1" x14ac:dyDescent="0.25">
      <c r="A40" s="8" t="s">
        <v>4807</v>
      </c>
      <c r="B40" s="8" t="s">
        <v>1807</v>
      </c>
      <c r="C40" s="8" t="s">
        <v>1807</v>
      </c>
      <c r="D40" s="8"/>
      <c r="E40" s="8"/>
      <c r="F40" s="9" t="s">
        <v>352</v>
      </c>
    </row>
    <row r="41" spans="1:6" ht="33.950000000000003" customHeight="1" x14ac:dyDescent="0.25">
      <c r="A41" s="8" t="s">
        <v>4807</v>
      </c>
      <c r="B41" s="8" t="s">
        <v>4809</v>
      </c>
      <c r="C41" s="8" t="s">
        <v>4809</v>
      </c>
      <c r="D41" s="8"/>
      <c r="E41" s="8"/>
      <c r="F41" s="9" t="s">
        <v>352</v>
      </c>
    </row>
    <row r="42" spans="1:6" ht="33.950000000000003" customHeight="1" x14ac:dyDescent="0.25">
      <c r="A42" s="8" t="s">
        <v>4807</v>
      </c>
      <c r="B42" s="8" t="s">
        <v>4810</v>
      </c>
      <c r="C42" s="8" t="s">
        <v>4810</v>
      </c>
      <c r="D42" s="8"/>
      <c r="E42" s="8"/>
      <c r="F42" s="9" t="s">
        <v>352</v>
      </c>
    </row>
    <row r="43" spans="1:6" ht="36.950000000000003" customHeight="1" x14ac:dyDescent="0.25">
      <c r="A43" s="8" t="s">
        <v>4811</v>
      </c>
      <c r="B43" s="8" t="s">
        <v>513</v>
      </c>
      <c r="C43" s="8" t="s">
        <v>513</v>
      </c>
      <c r="D43" s="8" t="s">
        <v>4812</v>
      </c>
      <c r="E43" s="8"/>
      <c r="F43" s="9" t="s">
        <v>352</v>
      </c>
    </row>
    <row r="44" spans="1:6" ht="65.099999999999994" customHeight="1" x14ac:dyDescent="0.25">
      <c r="A44" s="8" t="s">
        <v>4811</v>
      </c>
      <c r="B44" s="8" t="s">
        <v>4813</v>
      </c>
      <c r="C44" s="8" t="s">
        <v>4813</v>
      </c>
      <c r="D44" s="8" t="s">
        <v>4814</v>
      </c>
      <c r="E44" s="8" t="s">
        <v>4815</v>
      </c>
      <c r="F44" s="9" t="s">
        <v>352</v>
      </c>
    </row>
    <row r="45" spans="1:6" ht="33.950000000000003" customHeight="1" x14ac:dyDescent="0.25">
      <c r="A45" s="8" t="s">
        <v>4811</v>
      </c>
      <c r="B45" s="8" t="s">
        <v>3937</v>
      </c>
      <c r="C45" s="8" t="s">
        <v>3937</v>
      </c>
      <c r="D45" s="8"/>
      <c r="E45" s="8"/>
      <c r="F45" s="9" t="s">
        <v>352</v>
      </c>
    </row>
    <row r="46" spans="1:6" ht="33.950000000000003" customHeight="1" x14ac:dyDescent="0.25">
      <c r="A46" s="8" t="s">
        <v>4811</v>
      </c>
      <c r="B46" s="8" t="s">
        <v>409</v>
      </c>
      <c r="C46" s="8" t="s">
        <v>409</v>
      </c>
      <c r="D46" s="8"/>
      <c r="E46" s="8" t="s">
        <v>4816</v>
      </c>
      <c r="F46" s="9" t="s">
        <v>352</v>
      </c>
    </row>
    <row r="47" spans="1:6" ht="33.950000000000003" customHeight="1" x14ac:dyDescent="0.25">
      <c r="A47" s="8" t="s">
        <v>4811</v>
      </c>
      <c r="B47" s="8" t="s">
        <v>543</v>
      </c>
      <c r="C47" s="8" t="s">
        <v>543</v>
      </c>
      <c r="D47" s="8"/>
      <c r="E47" s="8" t="s">
        <v>4817</v>
      </c>
      <c r="F47" s="9" t="s">
        <v>352</v>
      </c>
    </row>
    <row r="48" spans="1:6" ht="33.950000000000003" customHeight="1" x14ac:dyDescent="0.25">
      <c r="A48" s="8" t="s">
        <v>4811</v>
      </c>
      <c r="B48" s="8" t="s">
        <v>478</v>
      </c>
      <c r="C48" s="8" t="s">
        <v>478</v>
      </c>
      <c r="D48" s="8"/>
      <c r="E48" s="8"/>
      <c r="F48" s="9" t="s">
        <v>352</v>
      </c>
    </row>
    <row r="49" spans="1:6" ht="33.950000000000003" customHeight="1" x14ac:dyDescent="0.25">
      <c r="A49" s="8" t="s">
        <v>4811</v>
      </c>
      <c r="B49" s="8" t="s">
        <v>4818</v>
      </c>
      <c r="C49" s="8" t="s">
        <v>4818</v>
      </c>
      <c r="D49" s="8"/>
      <c r="E49" s="8"/>
      <c r="F49" s="9" t="s">
        <v>352</v>
      </c>
    </row>
    <row r="50" spans="1:6" ht="33.950000000000003" customHeight="1" x14ac:dyDescent="0.25">
      <c r="A50" s="8" t="s">
        <v>4811</v>
      </c>
      <c r="B50" s="8" t="s">
        <v>801</v>
      </c>
      <c r="C50" s="8" t="s">
        <v>801</v>
      </c>
      <c r="D50" s="8"/>
      <c r="E50" s="8"/>
      <c r="F50" s="9" t="s">
        <v>352</v>
      </c>
    </row>
    <row r="51" spans="1:6" ht="33.950000000000003" customHeight="1" x14ac:dyDescent="0.25">
      <c r="A51" s="8" t="s">
        <v>4811</v>
      </c>
      <c r="B51" s="8" t="s">
        <v>892</v>
      </c>
      <c r="C51" s="8" t="s">
        <v>892</v>
      </c>
      <c r="D51" s="8"/>
      <c r="E51" s="8"/>
      <c r="F51" s="9" t="s">
        <v>352</v>
      </c>
    </row>
    <row r="52" spans="1:6" ht="33.950000000000003" customHeight="1" x14ac:dyDescent="0.25">
      <c r="A52" s="8" t="s">
        <v>4811</v>
      </c>
      <c r="B52" s="8" t="s">
        <v>4819</v>
      </c>
      <c r="C52" s="8" t="s">
        <v>4819</v>
      </c>
      <c r="D52" s="8"/>
      <c r="E52" s="8"/>
      <c r="F52" s="9" t="s">
        <v>352</v>
      </c>
    </row>
    <row r="53" spans="1:6" ht="33.950000000000003" customHeight="1" x14ac:dyDescent="0.25">
      <c r="A53" s="8" t="s">
        <v>4811</v>
      </c>
      <c r="B53" s="8" t="s">
        <v>373</v>
      </c>
      <c r="C53" s="8" t="s">
        <v>373</v>
      </c>
      <c r="D53" s="8"/>
      <c r="E53" s="8" t="s">
        <v>4820</v>
      </c>
      <c r="F53" s="9" t="s">
        <v>352</v>
      </c>
    </row>
    <row r="54" spans="1:6" ht="33.950000000000003" customHeight="1" x14ac:dyDescent="0.25">
      <c r="A54" s="8" t="s">
        <v>4811</v>
      </c>
      <c r="B54" s="8" t="s">
        <v>382</v>
      </c>
      <c r="C54" s="8" t="s">
        <v>382</v>
      </c>
      <c r="D54" s="8"/>
      <c r="E54" s="8"/>
      <c r="F54" s="9" t="s">
        <v>352</v>
      </c>
    </row>
    <row r="55" spans="1:6" ht="33.950000000000003" customHeight="1" x14ac:dyDescent="0.25">
      <c r="A55" s="8" t="s">
        <v>4811</v>
      </c>
      <c r="B55" s="8" t="s">
        <v>4821</v>
      </c>
      <c r="C55" s="8" t="s">
        <v>4821</v>
      </c>
      <c r="D55" s="8"/>
      <c r="E55" s="8"/>
      <c r="F55" s="9" t="s">
        <v>352</v>
      </c>
    </row>
    <row r="56" spans="1:6" ht="51" customHeight="1" x14ac:dyDescent="0.25">
      <c r="A56" s="8" t="s">
        <v>4811</v>
      </c>
      <c r="B56" s="8" t="s">
        <v>2448</v>
      </c>
      <c r="C56" s="8" t="s">
        <v>2448</v>
      </c>
      <c r="D56" s="8" t="s">
        <v>4822</v>
      </c>
      <c r="E56" s="8"/>
      <c r="F56" s="9" t="s">
        <v>352</v>
      </c>
    </row>
    <row r="57" spans="1:6" ht="33.950000000000003" customHeight="1" x14ac:dyDescent="0.25">
      <c r="A57" s="8" t="s">
        <v>4823</v>
      </c>
      <c r="B57" s="8" t="s">
        <v>476</v>
      </c>
      <c r="C57" s="8" t="s">
        <v>4824</v>
      </c>
      <c r="D57" s="8"/>
      <c r="E57" s="8"/>
      <c r="F57" s="9" t="s">
        <v>352</v>
      </c>
    </row>
    <row r="58" spans="1:6" ht="33.950000000000003" customHeight="1" x14ac:dyDescent="0.25">
      <c r="A58" s="8" t="s">
        <v>4823</v>
      </c>
      <c r="B58" s="8" t="s">
        <v>346</v>
      </c>
      <c r="C58" s="8" t="s">
        <v>4825</v>
      </c>
      <c r="D58" s="8"/>
      <c r="E58" s="8"/>
      <c r="F58" s="9" t="s">
        <v>352</v>
      </c>
    </row>
    <row r="59" spans="1:6" ht="33.950000000000003" customHeight="1" x14ac:dyDescent="0.25">
      <c r="A59" s="8" t="s">
        <v>4823</v>
      </c>
      <c r="B59" s="8" t="s">
        <v>900</v>
      </c>
      <c r="C59" s="8" t="s">
        <v>4826</v>
      </c>
      <c r="D59" s="8"/>
      <c r="E59" s="8"/>
      <c r="F59" s="9" t="s">
        <v>352</v>
      </c>
    </row>
    <row r="60" spans="1:6" ht="33.950000000000003" customHeight="1" x14ac:dyDescent="0.25">
      <c r="A60" s="8" t="s">
        <v>4823</v>
      </c>
      <c r="B60" s="8" t="s">
        <v>588</v>
      </c>
      <c r="C60" s="8" t="s">
        <v>588</v>
      </c>
      <c r="D60" s="8"/>
      <c r="E60" s="8"/>
      <c r="F60" s="9" t="s">
        <v>352</v>
      </c>
    </row>
    <row r="61" spans="1:6" ht="33.950000000000003" customHeight="1" x14ac:dyDescent="0.25">
      <c r="A61" s="8" t="s">
        <v>4823</v>
      </c>
      <c r="B61" s="8" t="s">
        <v>745</v>
      </c>
      <c r="C61" s="8" t="s">
        <v>4827</v>
      </c>
      <c r="D61" s="8"/>
      <c r="E61" s="8"/>
      <c r="F61" s="9" t="s">
        <v>352</v>
      </c>
    </row>
    <row r="62" spans="1:6" ht="33.950000000000003" customHeight="1" x14ac:dyDescent="0.25">
      <c r="A62" s="8" t="s">
        <v>4823</v>
      </c>
      <c r="B62" s="8" t="s">
        <v>4828</v>
      </c>
      <c r="C62" s="8" t="s">
        <v>4829</v>
      </c>
      <c r="D62" s="8"/>
      <c r="E62" s="8"/>
      <c r="F62" s="9" t="s">
        <v>352</v>
      </c>
    </row>
    <row r="63" spans="1:6" ht="33.950000000000003" customHeight="1" x14ac:dyDescent="0.25">
      <c r="A63" s="8" t="s">
        <v>4823</v>
      </c>
      <c r="B63" s="8" t="s">
        <v>4830</v>
      </c>
      <c r="C63" s="8" t="s">
        <v>4831</v>
      </c>
      <c r="D63" s="8"/>
      <c r="E63" s="8"/>
      <c r="F63" s="9" t="s">
        <v>352</v>
      </c>
    </row>
    <row r="64" spans="1:6" ht="33.950000000000003" customHeight="1" x14ac:dyDescent="0.25">
      <c r="A64" s="8" t="s">
        <v>4832</v>
      </c>
      <c r="B64" s="8" t="s">
        <v>4833</v>
      </c>
      <c r="C64" s="8" t="s">
        <v>4834</v>
      </c>
      <c r="D64" s="8"/>
      <c r="E64" s="8"/>
      <c r="F64" s="9" t="s">
        <v>352</v>
      </c>
    </row>
    <row r="65" spans="1:6" ht="36.950000000000003" customHeight="1" x14ac:dyDescent="0.25">
      <c r="A65" s="8" t="s">
        <v>4832</v>
      </c>
      <c r="B65" s="8" t="s">
        <v>4835</v>
      </c>
      <c r="C65" s="8" t="s">
        <v>4836</v>
      </c>
      <c r="D65" s="8"/>
      <c r="E65" s="8"/>
      <c r="F65" s="9" t="s">
        <v>352</v>
      </c>
    </row>
    <row r="66" spans="1:6" ht="33.950000000000003" customHeight="1" x14ac:dyDescent="0.25">
      <c r="A66" s="8" t="s">
        <v>4832</v>
      </c>
      <c r="B66" s="8" t="s">
        <v>4837</v>
      </c>
      <c r="C66" s="8" t="s">
        <v>4837</v>
      </c>
      <c r="D66" s="8"/>
      <c r="E66" s="8"/>
      <c r="F66" s="9" t="s">
        <v>352</v>
      </c>
    </row>
    <row r="67" spans="1:6" ht="33.950000000000003" customHeight="1" x14ac:dyDescent="0.25">
      <c r="A67" s="8" t="s">
        <v>4832</v>
      </c>
      <c r="B67" s="8" t="s">
        <v>4838</v>
      </c>
      <c r="C67" s="8" t="s">
        <v>4838</v>
      </c>
      <c r="D67" s="8"/>
      <c r="E67" s="8"/>
      <c r="F67" s="9" t="s">
        <v>352</v>
      </c>
    </row>
    <row r="68" spans="1:6" ht="36.950000000000003" customHeight="1" x14ac:dyDescent="0.25">
      <c r="A68" s="8" t="s">
        <v>4832</v>
      </c>
      <c r="B68" s="8" t="s">
        <v>644</v>
      </c>
      <c r="C68" s="8" t="s">
        <v>4839</v>
      </c>
      <c r="D68" s="8"/>
      <c r="E68" s="8"/>
      <c r="F68" s="9" t="s">
        <v>352</v>
      </c>
    </row>
    <row r="69" spans="1:6" ht="33.950000000000003" customHeight="1" x14ac:dyDescent="0.25">
      <c r="A69" s="8" t="s">
        <v>4832</v>
      </c>
      <c r="B69" s="8" t="s">
        <v>4840</v>
      </c>
      <c r="C69" s="8" t="s">
        <v>4841</v>
      </c>
      <c r="D69" s="8"/>
      <c r="E69" s="8"/>
      <c r="F69" s="9" t="s">
        <v>352</v>
      </c>
    </row>
    <row r="70" spans="1:6" ht="33.950000000000003" customHeight="1" x14ac:dyDescent="0.25">
      <c r="A70" s="8" t="s">
        <v>4832</v>
      </c>
      <c r="B70" s="8" t="s">
        <v>588</v>
      </c>
      <c r="C70" s="8" t="s">
        <v>588</v>
      </c>
      <c r="D70" s="8"/>
      <c r="E70" s="8"/>
      <c r="F70" s="9" t="s">
        <v>352</v>
      </c>
    </row>
    <row r="71" spans="1:6" ht="33.950000000000003" customHeight="1" x14ac:dyDescent="0.25">
      <c r="A71" s="8" t="s">
        <v>4832</v>
      </c>
      <c r="B71" s="8" t="s">
        <v>999</v>
      </c>
      <c r="C71" s="8" t="s">
        <v>999</v>
      </c>
      <c r="D71" s="8"/>
      <c r="E71" s="8" t="s">
        <v>4842</v>
      </c>
      <c r="F71" s="9" t="s">
        <v>352</v>
      </c>
    </row>
    <row r="72" spans="1:6" ht="33.950000000000003" customHeight="1" x14ac:dyDescent="0.25">
      <c r="A72" s="8" t="s">
        <v>4832</v>
      </c>
      <c r="B72" s="8" t="s">
        <v>901</v>
      </c>
      <c r="C72" s="8" t="s">
        <v>4843</v>
      </c>
      <c r="D72" s="8"/>
      <c r="E72" s="8"/>
      <c r="F72" s="9" t="s">
        <v>352</v>
      </c>
    </row>
    <row r="73" spans="1:6" ht="33.950000000000003" customHeight="1" x14ac:dyDescent="0.25">
      <c r="A73" s="8" t="s">
        <v>4832</v>
      </c>
      <c r="B73" s="8" t="s">
        <v>4844</v>
      </c>
      <c r="C73" s="8" t="s">
        <v>4844</v>
      </c>
      <c r="D73" s="8"/>
      <c r="E73" s="8"/>
      <c r="F73" s="9" t="s">
        <v>352</v>
      </c>
    </row>
    <row r="74" spans="1:6" ht="36.950000000000003" customHeight="1" x14ac:dyDescent="0.25">
      <c r="A74" s="8" t="s">
        <v>4832</v>
      </c>
      <c r="B74" s="8" t="s">
        <v>381</v>
      </c>
      <c r="C74" s="8" t="s">
        <v>4845</v>
      </c>
      <c r="D74" s="8"/>
      <c r="E74" s="8"/>
      <c r="F74" s="9" t="s">
        <v>352</v>
      </c>
    </row>
    <row r="75" spans="1:6" ht="33.950000000000003" customHeight="1" x14ac:dyDescent="0.25">
      <c r="A75" s="8" t="s">
        <v>4846</v>
      </c>
      <c r="B75" s="8" t="s">
        <v>4847</v>
      </c>
      <c r="C75" s="8" t="s">
        <v>4847</v>
      </c>
      <c r="D75" s="8"/>
      <c r="E75" s="8"/>
      <c r="F75" s="9" t="s">
        <v>352</v>
      </c>
    </row>
    <row r="76" spans="1:6" ht="33.950000000000003" customHeight="1" x14ac:dyDescent="0.25">
      <c r="A76" s="8" t="s">
        <v>4846</v>
      </c>
      <c r="B76" s="8" t="s">
        <v>4848</v>
      </c>
      <c r="C76" s="8" t="s">
        <v>4848</v>
      </c>
      <c r="D76" s="8"/>
      <c r="E76" s="8"/>
      <c r="F76" s="9" t="s">
        <v>352</v>
      </c>
    </row>
    <row r="77" spans="1:6" ht="33.950000000000003" customHeight="1" x14ac:dyDescent="0.25">
      <c r="A77" s="8" t="s">
        <v>4846</v>
      </c>
      <c r="B77" s="8" t="s">
        <v>4849</v>
      </c>
      <c r="C77" s="8" t="s">
        <v>4849</v>
      </c>
      <c r="D77" s="8"/>
      <c r="E77" s="8"/>
      <c r="F77" s="9" t="s">
        <v>352</v>
      </c>
    </row>
    <row r="78" spans="1:6" ht="33.950000000000003" customHeight="1" x14ac:dyDescent="0.25">
      <c r="A78" s="8" t="s">
        <v>4846</v>
      </c>
      <c r="B78" s="8" t="s">
        <v>588</v>
      </c>
      <c r="C78" s="8" t="s">
        <v>588</v>
      </c>
      <c r="D78" s="8"/>
      <c r="E78" s="8"/>
      <c r="F78" s="9" t="s">
        <v>352</v>
      </c>
    </row>
    <row r="79" spans="1:6" ht="33.950000000000003" customHeight="1" x14ac:dyDescent="0.25">
      <c r="A79" s="8" t="s">
        <v>4846</v>
      </c>
      <c r="B79" s="8" t="s">
        <v>999</v>
      </c>
      <c r="C79" s="8" t="s">
        <v>999</v>
      </c>
      <c r="D79" s="8"/>
      <c r="E79" s="8" t="s">
        <v>4842</v>
      </c>
      <c r="F79" s="9" t="s">
        <v>352</v>
      </c>
    </row>
    <row r="80" spans="1:6" ht="33.950000000000003" customHeight="1" x14ac:dyDescent="0.25">
      <c r="A80" s="8" t="s">
        <v>4846</v>
      </c>
      <c r="B80" s="8" t="s">
        <v>381</v>
      </c>
      <c r="C80" s="8" t="s">
        <v>381</v>
      </c>
      <c r="D80" s="8"/>
      <c r="E80" s="8"/>
      <c r="F80" s="9" t="s">
        <v>352</v>
      </c>
    </row>
    <row r="81" spans="1:6" ht="36.950000000000003" customHeight="1" x14ac:dyDescent="0.25">
      <c r="A81" s="8" t="s">
        <v>4846</v>
      </c>
      <c r="B81" s="8" t="s">
        <v>4850</v>
      </c>
      <c r="C81" s="8" t="s">
        <v>4850</v>
      </c>
      <c r="D81" s="8" t="s">
        <v>4851</v>
      </c>
      <c r="E81" s="8"/>
      <c r="F81" s="9" t="s">
        <v>352</v>
      </c>
    </row>
    <row r="82" spans="1:6" ht="33.950000000000003" customHeight="1" x14ac:dyDescent="0.25">
      <c r="A82" s="8" t="s">
        <v>4846</v>
      </c>
      <c r="B82" s="8" t="s">
        <v>4852</v>
      </c>
      <c r="C82" s="8" t="s">
        <v>4852</v>
      </c>
      <c r="D82" s="8"/>
      <c r="E82" s="8" t="s">
        <v>4853</v>
      </c>
      <c r="F82" s="9" t="s">
        <v>352</v>
      </c>
    </row>
    <row r="83" spans="1:6" ht="33.950000000000003" customHeight="1" x14ac:dyDescent="0.25">
      <c r="A83" s="8" t="s">
        <v>4846</v>
      </c>
      <c r="B83" s="8" t="s">
        <v>1194</v>
      </c>
      <c r="C83" s="8" t="s">
        <v>1194</v>
      </c>
      <c r="D83" s="8"/>
      <c r="E83" s="8" t="s">
        <v>4854</v>
      </c>
      <c r="F83" s="9" t="s">
        <v>352</v>
      </c>
    </row>
    <row r="84" spans="1:6" ht="33.950000000000003" customHeight="1" x14ac:dyDescent="0.25">
      <c r="A84" s="8" t="s">
        <v>4846</v>
      </c>
      <c r="B84" s="8" t="s">
        <v>4267</v>
      </c>
      <c r="C84" s="8" t="s">
        <v>4267</v>
      </c>
      <c r="D84" s="8"/>
      <c r="E84" s="8" t="s">
        <v>901</v>
      </c>
      <c r="F84" s="9" t="s">
        <v>352</v>
      </c>
    </row>
    <row r="85" spans="1:6" ht="33.950000000000003" customHeight="1" x14ac:dyDescent="0.25">
      <c r="A85" s="8" t="s">
        <v>4846</v>
      </c>
      <c r="B85" s="8" t="s">
        <v>1507</v>
      </c>
      <c r="C85" s="8" t="s">
        <v>1507</v>
      </c>
      <c r="D85" s="8"/>
      <c r="E85" s="8"/>
      <c r="F85" s="9" t="s">
        <v>352</v>
      </c>
    </row>
    <row r="86" spans="1:6" ht="33.950000000000003" customHeight="1" x14ac:dyDescent="0.25">
      <c r="A86" s="8" t="s">
        <v>4846</v>
      </c>
      <c r="B86" s="8" t="s">
        <v>1235</v>
      </c>
      <c r="C86" s="8" t="s">
        <v>1235</v>
      </c>
      <c r="D86" s="8"/>
      <c r="E86" s="8" t="s">
        <v>4855</v>
      </c>
      <c r="F86" s="9" t="s">
        <v>352</v>
      </c>
    </row>
    <row r="87" spans="1:6" ht="33.950000000000003" customHeight="1" x14ac:dyDescent="0.25">
      <c r="A87" s="8" t="s">
        <v>4846</v>
      </c>
      <c r="B87" s="8" t="s">
        <v>1148</v>
      </c>
      <c r="C87" s="8" t="s">
        <v>1148</v>
      </c>
      <c r="D87" s="8"/>
      <c r="E87" s="8" t="s">
        <v>4856</v>
      </c>
      <c r="F87" s="9" t="s">
        <v>352</v>
      </c>
    </row>
    <row r="88" spans="1:6" ht="33.950000000000003" customHeight="1" x14ac:dyDescent="0.25">
      <c r="A88" s="8" t="s">
        <v>4846</v>
      </c>
      <c r="B88" s="8" t="s">
        <v>373</v>
      </c>
      <c r="C88" s="8" t="s">
        <v>373</v>
      </c>
      <c r="D88" s="8"/>
      <c r="E88" s="8" t="s">
        <v>4820</v>
      </c>
      <c r="F88" s="9" t="s">
        <v>352</v>
      </c>
    </row>
    <row r="89" spans="1:6" ht="33.950000000000003" customHeight="1" x14ac:dyDescent="0.25">
      <c r="A89" s="8" t="s">
        <v>4846</v>
      </c>
      <c r="B89" s="8" t="s">
        <v>409</v>
      </c>
      <c r="C89" s="8" t="s">
        <v>409</v>
      </c>
      <c r="D89" s="8"/>
      <c r="E89" s="8" t="s">
        <v>4816</v>
      </c>
      <c r="F89" s="9" t="s">
        <v>352</v>
      </c>
    </row>
    <row r="90" spans="1:6" ht="33.950000000000003" customHeight="1" x14ac:dyDescent="0.25">
      <c r="A90" s="8" t="s">
        <v>4846</v>
      </c>
      <c r="B90" s="8" t="s">
        <v>4857</v>
      </c>
      <c r="C90" s="8" t="s">
        <v>4857</v>
      </c>
      <c r="D90" s="8"/>
      <c r="E90" s="8"/>
      <c r="F90" s="9" t="s">
        <v>352</v>
      </c>
    </row>
    <row r="91" spans="1:6" ht="33.950000000000003" customHeight="1" x14ac:dyDescent="0.25">
      <c r="A91" s="8" t="s">
        <v>4846</v>
      </c>
      <c r="B91" s="8" t="s">
        <v>2832</v>
      </c>
      <c r="C91" s="8" t="s">
        <v>2832</v>
      </c>
      <c r="D91" s="8"/>
      <c r="E91" s="8"/>
      <c r="F91" s="9" t="s">
        <v>352</v>
      </c>
    </row>
    <row r="92" spans="1:6" ht="33.950000000000003" customHeight="1" x14ac:dyDescent="0.25">
      <c r="A92" s="8" t="s">
        <v>4846</v>
      </c>
      <c r="B92" s="8" t="s">
        <v>4821</v>
      </c>
      <c r="C92" s="8" t="s">
        <v>4821</v>
      </c>
      <c r="D92" s="8"/>
      <c r="E92" s="8"/>
      <c r="F92" s="9" t="s">
        <v>352</v>
      </c>
    </row>
    <row r="93" spans="1:6" ht="33.950000000000003" customHeight="1" x14ac:dyDescent="0.25">
      <c r="A93" s="8" t="s">
        <v>4846</v>
      </c>
      <c r="B93" s="8" t="s">
        <v>4858</v>
      </c>
      <c r="C93" s="8" t="s">
        <v>4858</v>
      </c>
      <c r="D93" s="8"/>
      <c r="E93" s="8"/>
      <c r="F93" s="9" t="s">
        <v>352</v>
      </c>
    </row>
    <row r="94" spans="1:6" ht="33.950000000000003" customHeight="1" x14ac:dyDescent="0.25">
      <c r="A94" s="8" t="s">
        <v>4846</v>
      </c>
      <c r="B94" s="8" t="s">
        <v>4859</v>
      </c>
      <c r="C94" s="8" t="s">
        <v>4859</v>
      </c>
      <c r="D94" s="8"/>
      <c r="E94" s="8"/>
      <c r="F94" s="9" t="s">
        <v>352</v>
      </c>
    </row>
    <row r="95" spans="1:6" ht="33.950000000000003" customHeight="1" x14ac:dyDescent="0.25">
      <c r="A95" s="8" t="s">
        <v>4846</v>
      </c>
      <c r="B95" s="8" t="s">
        <v>4810</v>
      </c>
      <c r="C95" s="8" t="s">
        <v>4810</v>
      </c>
      <c r="D95" s="8"/>
      <c r="E95" s="8"/>
      <c r="F95" s="9" t="s">
        <v>352</v>
      </c>
    </row>
    <row r="96" spans="1:6" ht="33.950000000000003" customHeight="1" x14ac:dyDescent="0.25">
      <c r="A96" s="8" t="s">
        <v>4846</v>
      </c>
      <c r="B96" s="8" t="s">
        <v>4860</v>
      </c>
      <c r="C96" s="8" t="s">
        <v>4860</v>
      </c>
      <c r="D96" s="8"/>
      <c r="E96" s="8"/>
      <c r="F96" s="9" t="s">
        <v>352</v>
      </c>
    </row>
    <row r="97" spans="1:6" ht="33.950000000000003" customHeight="1" x14ac:dyDescent="0.25">
      <c r="A97" s="8" t="s">
        <v>4846</v>
      </c>
      <c r="B97" s="8" t="s">
        <v>2151</v>
      </c>
      <c r="C97" s="8" t="s">
        <v>2151</v>
      </c>
      <c r="D97" s="8"/>
      <c r="E97" s="8"/>
      <c r="F97" s="9" t="s">
        <v>352</v>
      </c>
    </row>
    <row r="98" spans="1:6" ht="33.950000000000003" customHeight="1" x14ac:dyDescent="0.25">
      <c r="A98" s="8" t="s">
        <v>4846</v>
      </c>
      <c r="B98" s="8" t="s">
        <v>4861</v>
      </c>
      <c r="C98" s="8" t="s">
        <v>4861</v>
      </c>
      <c r="D98" s="8"/>
      <c r="E98" s="8"/>
      <c r="F98" s="9" t="s">
        <v>352</v>
      </c>
    </row>
    <row r="99" spans="1:6" ht="33.950000000000003" customHeight="1" x14ac:dyDescent="0.25">
      <c r="A99" s="8" t="s">
        <v>4846</v>
      </c>
      <c r="B99" s="8" t="s">
        <v>4862</v>
      </c>
      <c r="C99" s="8" t="s">
        <v>4862</v>
      </c>
      <c r="D99" s="8"/>
      <c r="E99" s="8"/>
      <c r="F99" s="9" t="s">
        <v>352</v>
      </c>
    </row>
    <row r="100" spans="1:6" ht="33.950000000000003" customHeight="1" x14ac:dyDescent="0.25">
      <c r="A100" s="8" t="s">
        <v>4846</v>
      </c>
      <c r="B100" s="8" t="s">
        <v>4863</v>
      </c>
      <c r="C100" s="8" t="s">
        <v>4863</v>
      </c>
      <c r="D100" s="8"/>
      <c r="E100" s="8"/>
      <c r="F100" s="9" t="s">
        <v>352</v>
      </c>
    </row>
    <row r="101" spans="1:6" ht="33.950000000000003" customHeight="1" x14ac:dyDescent="0.25">
      <c r="A101" s="8" t="s">
        <v>4846</v>
      </c>
      <c r="B101" s="8" t="s">
        <v>4864</v>
      </c>
      <c r="C101" s="8" t="s">
        <v>4864</v>
      </c>
      <c r="D101" s="8"/>
      <c r="E101" s="8"/>
      <c r="F101" s="9" t="s">
        <v>352</v>
      </c>
    </row>
    <row r="102" spans="1:6" ht="33.950000000000003" customHeight="1" x14ac:dyDescent="0.25">
      <c r="A102" s="8" t="s">
        <v>4846</v>
      </c>
      <c r="B102" s="8" t="s">
        <v>1866</v>
      </c>
      <c r="C102" s="8" t="s">
        <v>1866</v>
      </c>
      <c r="D102" s="8"/>
      <c r="E102" s="8"/>
      <c r="F102" s="9" t="s">
        <v>352</v>
      </c>
    </row>
    <row r="103" spans="1:6" ht="33.950000000000003" customHeight="1" x14ac:dyDescent="0.25">
      <c r="A103" s="8" t="s">
        <v>4846</v>
      </c>
      <c r="B103" s="8" t="s">
        <v>1807</v>
      </c>
      <c r="C103" s="8" t="s">
        <v>1807</v>
      </c>
      <c r="D103" s="8"/>
      <c r="E103" s="8"/>
      <c r="F103" s="9" t="s">
        <v>352</v>
      </c>
    </row>
    <row r="104" spans="1:6" ht="33.950000000000003" customHeight="1" x14ac:dyDescent="0.25">
      <c r="A104" s="8" t="s">
        <v>4846</v>
      </c>
      <c r="B104" s="8" t="s">
        <v>4865</v>
      </c>
      <c r="C104" s="8" t="s">
        <v>4865</v>
      </c>
      <c r="D104" s="8"/>
      <c r="E104" s="8"/>
      <c r="F104" s="9" t="s">
        <v>352</v>
      </c>
    </row>
    <row r="105" spans="1:6" ht="33.950000000000003" customHeight="1" x14ac:dyDescent="0.25">
      <c r="A105" s="8" t="s">
        <v>4846</v>
      </c>
      <c r="B105" s="8" t="s">
        <v>4799</v>
      </c>
      <c r="C105" s="8" t="s">
        <v>4799</v>
      </c>
      <c r="D105" s="8"/>
      <c r="E105" s="8"/>
      <c r="F105" s="9" t="s">
        <v>352</v>
      </c>
    </row>
    <row r="106" spans="1:6" ht="33.950000000000003" customHeight="1" x14ac:dyDescent="0.25">
      <c r="A106" s="8" t="s">
        <v>4846</v>
      </c>
      <c r="B106" s="8" t="s">
        <v>4809</v>
      </c>
      <c r="C106" s="8" t="s">
        <v>4809</v>
      </c>
      <c r="D106" s="8"/>
      <c r="E106" s="8"/>
      <c r="F106" s="9" t="s">
        <v>352</v>
      </c>
    </row>
    <row r="107" spans="1:6" ht="33.950000000000003" customHeight="1" x14ac:dyDescent="0.25">
      <c r="A107" s="8" t="s">
        <v>4866</v>
      </c>
      <c r="B107" s="8" t="s">
        <v>1754</v>
      </c>
      <c r="C107" s="8" t="s">
        <v>4867</v>
      </c>
      <c r="D107" s="8"/>
      <c r="E107" s="8"/>
      <c r="F107" s="9" t="s">
        <v>352</v>
      </c>
    </row>
    <row r="108" spans="1:6" ht="33.950000000000003" customHeight="1" x14ac:dyDescent="0.25">
      <c r="A108" s="8" t="s">
        <v>4866</v>
      </c>
      <c r="B108" s="8" t="s">
        <v>1690</v>
      </c>
      <c r="C108" s="8" t="s">
        <v>1690</v>
      </c>
      <c r="D108" s="8"/>
      <c r="E108" s="8"/>
      <c r="F108" s="9" t="s">
        <v>352</v>
      </c>
    </row>
    <row r="109" spans="1:6" ht="33.950000000000003" customHeight="1" x14ac:dyDescent="0.25">
      <c r="A109" s="8" t="s">
        <v>4866</v>
      </c>
      <c r="B109" s="8" t="s">
        <v>1682</v>
      </c>
      <c r="C109" s="8" t="s">
        <v>1682</v>
      </c>
      <c r="D109" s="8"/>
      <c r="E109" s="8"/>
      <c r="F109" s="9" t="s">
        <v>352</v>
      </c>
    </row>
    <row r="110" spans="1:6" ht="33.950000000000003" customHeight="1" x14ac:dyDescent="0.25">
      <c r="A110" s="8" t="s">
        <v>4866</v>
      </c>
      <c r="B110" s="8" t="s">
        <v>2358</v>
      </c>
      <c r="C110" s="8" t="s">
        <v>2358</v>
      </c>
      <c r="D110" s="8"/>
      <c r="E110" s="8"/>
      <c r="F110" s="9" t="s">
        <v>352</v>
      </c>
    </row>
    <row r="111" spans="1:6" ht="33.950000000000003" customHeight="1" x14ac:dyDescent="0.25">
      <c r="A111" s="8" t="s">
        <v>4866</v>
      </c>
      <c r="B111" s="8" t="s">
        <v>1731</v>
      </c>
      <c r="C111" s="8" t="s">
        <v>1731</v>
      </c>
      <c r="D111" s="8"/>
      <c r="E111" s="8"/>
      <c r="F111" s="9" t="s">
        <v>352</v>
      </c>
    </row>
    <row r="112" spans="1:6" ht="33.950000000000003" customHeight="1" x14ac:dyDescent="0.25">
      <c r="A112" s="8" t="s">
        <v>4866</v>
      </c>
      <c r="B112" s="8" t="s">
        <v>2037</v>
      </c>
      <c r="C112" s="8" t="s">
        <v>2037</v>
      </c>
      <c r="D112" s="8"/>
      <c r="E112" s="8"/>
      <c r="F112" s="9" t="s">
        <v>352</v>
      </c>
    </row>
    <row r="113" spans="1:6" ht="33.950000000000003" customHeight="1" x14ac:dyDescent="0.25">
      <c r="A113" s="8" t="s">
        <v>4866</v>
      </c>
      <c r="B113" s="8" t="s">
        <v>1997</v>
      </c>
      <c r="C113" s="8" t="s">
        <v>1997</v>
      </c>
      <c r="D113" s="8"/>
      <c r="E113" s="8"/>
      <c r="F113" s="9" t="s">
        <v>352</v>
      </c>
    </row>
    <row r="114" spans="1:6" ht="33.950000000000003" customHeight="1" x14ac:dyDescent="0.25">
      <c r="A114" s="8" t="s">
        <v>4866</v>
      </c>
      <c r="B114" s="8" t="s">
        <v>2032</v>
      </c>
      <c r="C114" s="8" t="s">
        <v>2032</v>
      </c>
      <c r="D114" s="8"/>
      <c r="E114" s="8"/>
      <c r="F114" s="9" t="s">
        <v>352</v>
      </c>
    </row>
    <row r="115" spans="1:6" ht="33.950000000000003" customHeight="1" x14ac:dyDescent="0.25">
      <c r="A115" s="8" t="s">
        <v>1866</v>
      </c>
      <c r="B115" s="8" t="s">
        <v>2087</v>
      </c>
      <c r="C115" s="8" t="s">
        <v>2087</v>
      </c>
      <c r="D115" s="8"/>
      <c r="E115" s="8"/>
      <c r="F115" s="9" t="s">
        <v>352</v>
      </c>
    </row>
    <row r="116" spans="1:6" ht="33.950000000000003" customHeight="1" x14ac:dyDescent="0.25">
      <c r="A116" s="8" t="s">
        <v>1866</v>
      </c>
      <c r="B116" s="8" t="s">
        <v>1875</v>
      </c>
      <c r="C116" s="8" t="s">
        <v>1875</v>
      </c>
      <c r="D116" s="8"/>
      <c r="E116" s="8"/>
      <c r="F116" s="9" t="s">
        <v>352</v>
      </c>
    </row>
    <row r="117" spans="1:6" ht="33.950000000000003" customHeight="1" x14ac:dyDescent="0.25">
      <c r="A117" s="8" t="s">
        <v>4868</v>
      </c>
      <c r="B117" s="8" t="s">
        <v>2474</v>
      </c>
      <c r="C117" s="8" t="s">
        <v>2474</v>
      </c>
      <c r="D117" s="8"/>
      <c r="E117" s="8"/>
      <c r="F117" s="9" t="s">
        <v>352</v>
      </c>
    </row>
    <row r="118" spans="1:6" ht="33.950000000000003" customHeight="1" x14ac:dyDescent="0.25">
      <c r="A118" s="8" t="s">
        <v>4868</v>
      </c>
      <c r="B118" s="8" t="s">
        <v>2557</v>
      </c>
      <c r="C118" s="8" t="s">
        <v>2557</v>
      </c>
      <c r="D118" s="8"/>
      <c r="E118" s="8"/>
      <c r="F118" s="9" t="s">
        <v>352</v>
      </c>
    </row>
    <row r="119" spans="1:6" ht="33.950000000000003" customHeight="1" x14ac:dyDescent="0.25">
      <c r="A119" s="8" t="s">
        <v>4868</v>
      </c>
      <c r="B119" s="8" t="s">
        <v>2215</v>
      </c>
      <c r="C119" s="8" t="s">
        <v>2215</v>
      </c>
      <c r="D119" s="8"/>
      <c r="E119" s="8"/>
      <c r="F119" s="9" t="s">
        <v>352</v>
      </c>
    </row>
    <row r="120" spans="1:6" ht="33.950000000000003" customHeight="1" x14ac:dyDescent="0.25">
      <c r="A120" s="8" t="s">
        <v>4869</v>
      </c>
      <c r="B120" s="8" t="s">
        <v>2216</v>
      </c>
      <c r="C120" s="8" t="s">
        <v>2216</v>
      </c>
      <c r="D120" s="8"/>
      <c r="E120" s="8"/>
      <c r="F120" s="9" t="s">
        <v>352</v>
      </c>
    </row>
    <row r="121" spans="1:6" ht="33.950000000000003" customHeight="1" x14ac:dyDescent="0.25">
      <c r="A121" s="8" t="s">
        <v>4869</v>
      </c>
      <c r="B121" s="8" t="s">
        <v>2423</v>
      </c>
      <c r="C121" s="8" t="s">
        <v>2423</v>
      </c>
      <c r="D121" s="8"/>
      <c r="E121" s="8"/>
      <c r="F121" s="9" t="s">
        <v>352</v>
      </c>
    </row>
    <row r="122" spans="1:6" ht="33.950000000000003" customHeight="1" x14ac:dyDescent="0.25">
      <c r="A122" s="8" t="s">
        <v>4870</v>
      </c>
      <c r="B122" s="8" t="s">
        <v>3270</v>
      </c>
      <c r="C122" s="8" t="s">
        <v>3270</v>
      </c>
      <c r="D122" s="8"/>
      <c r="E122" s="8"/>
      <c r="F122" s="9" t="s">
        <v>352</v>
      </c>
    </row>
    <row r="123" spans="1:6" ht="33.950000000000003" customHeight="1" x14ac:dyDescent="0.25">
      <c r="A123" s="8" t="s">
        <v>4870</v>
      </c>
      <c r="B123" s="8" t="s">
        <v>3280</v>
      </c>
      <c r="C123" s="8" t="s">
        <v>3280</v>
      </c>
      <c r="D123" s="8"/>
      <c r="E123" s="8"/>
      <c r="F123" s="9" t="s">
        <v>352</v>
      </c>
    </row>
    <row r="124" spans="1:6" ht="33.950000000000003" customHeight="1" x14ac:dyDescent="0.25">
      <c r="A124" s="8" t="s">
        <v>4870</v>
      </c>
      <c r="B124" s="8" t="s">
        <v>3764</v>
      </c>
      <c r="C124" s="8" t="s">
        <v>3764</v>
      </c>
      <c r="D124" s="8"/>
      <c r="E124" s="8"/>
      <c r="F124" s="9" t="s">
        <v>352</v>
      </c>
    </row>
    <row r="125" spans="1:6" ht="33.950000000000003" customHeight="1" x14ac:dyDescent="0.25">
      <c r="A125" s="8" t="s">
        <v>4870</v>
      </c>
      <c r="B125" s="8" t="s">
        <v>3353</v>
      </c>
      <c r="C125" s="8" t="s">
        <v>3353</v>
      </c>
      <c r="D125" s="8"/>
      <c r="E125" s="8"/>
      <c r="F125" s="9" t="s">
        <v>352</v>
      </c>
    </row>
    <row r="126" spans="1:6" ht="33.950000000000003" customHeight="1" x14ac:dyDescent="0.25">
      <c r="A126" s="8" t="s">
        <v>4870</v>
      </c>
      <c r="B126" s="8" t="s">
        <v>3359</v>
      </c>
      <c r="C126" s="8" t="s">
        <v>3359</v>
      </c>
      <c r="D126" s="8"/>
      <c r="E126" s="8"/>
      <c r="F126" s="9" t="s">
        <v>352</v>
      </c>
    </row>
    <row r="127" spans="1:6" ht="51" customHeight="1" x14ac:dyDescent="0.25">
      <c r="A127" s="8" t="s">
        <v>4871</v>
      </c>
      <c r="B127" s="8" t="s">
        <v>438</v>
      </c>
      <c r="C127" s="8" t="s">
        <v>438</v>
      </c>
      <c r="D127" s="8" t="s">
        <v>4872</v>
      </c>
      <c r="E127" s="8" t="s">
        <v>2098</v>
      </c>
      <c r="F127" s="9" t="s">
        <v>352</v>
      </c>
    </row>
    <row r="128" spans="1:6" ht="51" customHeight="1" x14ac:dyDescent="0.25">
      <c r="A128" s="8" t="s">
        <v>4871</v>
      </c>
      <c r="B128" s="13" t="s">
        <v>372</v>
      </c>
      <c r="C128" s="13" t="s">
        <v>372</v>
      </c>
      <c r="D128" s="8" t="s">
        <v>4873</v>
      </c>
      <c r="E128" s="8"/>
      <c r="F128" s="9" t="s">
        <v>352</v>
      </c>
    </row>
    <row r="129" spans="1:6" ht="65.099999999999994" customHeight="1" x14ac:dyDescent="0.25">
      <c r="A129" s="8" t="s">
        <v>4846</v>
      </c>
      <c r="B129" s="8" t="s">
        <v>4874</v>
      </c>
      <c r="C129" s="8" t="s">
        <v>4874</v>
      </c>
      <c r="D129" s="8" t="s">
        <v>4875</v>
      </c>
      <c r="E129" s="8"/>
      <c r="F129" s="9" t="s">
        <v>352</v>
      </c>
    </row>
    <row r="130" spans="1:6" ht="65.099999999999994" customHeight="1" x14ac:dyDescent="0.25">
      <c r="A130" s="8" t="s">
        <v>4846</v>
      </c>
      <c r="B130" s="8" t="s">
        <v>3970</v>
      </c>
      <c r="C130" s="8" t="s">
        <v>3970</v>
      </c>
      <c r="D130" s="8" t="s">
        <v>4875</v>
      </c>
      <c r="E130" s="8"/>
      <c r="F130" s="9" t="s">
        <v>352</v>
      </c>
    </row>
    <row r="131" spans="1:6" ht="65.099999999999994" customHeight="1" x14ac:dyDescent="0.25">
      <c r="A131" s="8" t="s">
        <v>4846</v>
      </c>
      <c r="B131" s="8" t="s">
        <v>4876</v>
      </c>
      <c r="C131" s="8" t="s">
        <v>4876</v>
      </c>
      <c r="D131" s="8" t="s">
        <v>4875</v>
      </c>
      <c r="E131" s="8"/>
      <c r="F131" s="9" t="s">
        <v>352</v>
      </c>
    </row>
    <row r="132" spans="1:6" ht="65.099999999999994" customHeight="1" x14ac:dyDescent="0.25">
      <c r="A132" s="8" t="s">
        <v>4846</v>
      </c>
      <c r="B132" s="8" t="s">
        <v>513</v>
      </c>
      <c r="C132" s="8" t="s">
        <v>513</v>
      </c>
      <c r="D132" s="8" t="s">
        <v>4875</v>
      </c>
      <c r="E132" s="8"/>
      <c r="F132" s="9" t="s">
        <v>352</v>
      </c>
    </row>
    <row r="133" spans="1:6" ht="65.099999999999994" customHeight="1" x14ac:dyDescent="0.25">
      <c r="A133" s="8" t="s">
        <v>4846</v>
      </c>
      <c r="B133" s="8" t="s">
        <v>884</v>
      </c>
      <c r="C133" s="8" t="s">
        <v>884</v>
      </c>
      <c r="D133" s="8" t="s">
        <v>4875</v>
      </c>
      <c r="E133" s="8"/>
      <c r="F133" s="9" t="s">
        <v>352</v>
      </c>
    </row>
    <row r="134" spans="1:6" ht="65.099999999999994" customHeight="1" x14ac:dyDescent="0.25">
      <c r="A134" s="8" t="s">
        <v>4846</v>
      </c>
      <c r="B134" s="8" t="s">
        <v>951</v>
      </c>
      <c r="C134" s="8" t="s">
        <v>951</v>
      </c>
      <c r="D134" s="8" t="s">
        <v>4875</v>
      </c>
      <c r="E134" s="8"/>
      <c r="F134" s="9" t="s">
        <v>352</v>
      </c>
    </row>
    <row r="135" spans="1:6" ht="65.099999999999994" customHeight="1" x14ac:dyDescent="0.25">
      <c r="A135" s="8" t="s">
        <v>4846</v>
      </c>
      <c r="B135" s="8" t="s">
        <v>4877</v>
      </c>
      <c r="C135" s="8" t="s">
        <v>4877</v>
      </c>
      <c r="D135" s="8" t="s">
        <v>4875</v>
      </c>
      <c r="E135" s="8"/>
      <c r="F135" s="9" t="s">
        <v>352</v>
      </c>
    </row>
    <row r="136" spans="1:6" ht="65.099999999999994" customHeight="1" x14ac:dyDescent="0.25">
      <c r="A136" s="8" t="s">
        <v>4846</v>
      </c>
      <c r="B136" s="8" t="s">
        <v>4284</v>
      </c>
      <c r="C136" s="8" t="s">
        <v>4284</v>
      </c>
      <c r="D136" s="8" t="s">
        <v>4875</v>
      </c>
      <c r="E136" s="8"/>
      <c r="F136" s="9" t="s">
        <v>352</v>
      </c>
    </row>
    <row r="137" spans="1:6" ht="65.099999999999994" customHeight="1" x14ac:dyDescent="0.25">
      <c r="A137" s="8" t="s">
        <v>4846</v>
      </c>
      <c r="B137" s="8" t="s">
        <v>4878</v>
      </c>
      <c r="C137" s="8" t="s">
        <v>4878</v>
      </c>
      <c r="D137" s="8" t="s">
        <v>4875</v>
      </c>
      <c r="E137" s="8"/>
      <c r="F137" s="9" t="s">
        <v>352</v>
      </c>
    </row>
    <row r="138" spans="1:6" ht="65.099999999999994" customHeight="1" x14ac:dyDescent="0.25">
      <c r="A138" s="8" t="s">
        <v>4846</v>
      </c>
      <c r="B138" s="8" t="s">
        <v>4879</v>
      </c>
      <c r="C138" s="8" t="s">
        <v>4879</v>
      </c>
      <c r="D138" s="8" t="s">
        <v>4875</v>
      </c>
      <c r="E138" s="8"/>
      <c r="F138" s="9" t="s">
        <v>352</v>
      </c>
    </row>
    <row r="139" spans="1:6" ht="65.099999999999994" customHeight="1" x14ac:dyDescent="0.25">
      <c r="A139" s="8" t="s">
        <v>4846</v>
      </c>
      <c r="B139" s="8" t="s">
        <v>4880</v>
      </c>
      <c r="C139" s="8" t="s">
        <v>4880</v>
      </c>
      <c r="D139" s="8" t="s">
        <v>4875</v>
      </c>
      <c r="E139" s="8"/>
      <c r="F139" s="9" t="s">
        <v>352</v>
      </c>
    </row>
    <row r="140" spans="1:6" ht="65.099999999999994" customHeight="1" x14ac:dyDescent="0.25">
      <c r="A140" s="8" t="s">
        <v>4846</v>
      </c>
      <c r="B140" s="8" t="s">
        <v>4881</v>
      </c>
      <c r="C140" s="8" t="s">
        <v>4881</v>
      </c>
      <c r="D140" s="8" t="s">
        <v>4875</v>
      </c>
      <c r="E140" s="8"/>
      <c r="F140" s="9" t="s">
        <v>352</v>
      </c>
    </row>
    <row r="141" spans="1:6" ht="65.099999999999994" customHeight="1" x14ac:dyDescent="0.25">
      <c r="A141" s="8" t="s">
        <v>4846</v>
      </c>
      <c r="B141" s="8" t="s">
        <v>4882</v>
      </c>
      <c r="C141" s="8" t="s">
        <v>4882</v>
      </c>
      <c r="D141" s="8" t="s">
        <v>4875</v>
      </c>
      <c r="E141" s="8"/>
      <c r="F141" s="9" t="s">
        <v>352</v>
      </c>
    </row>
    <row r="142" spans="1:6" ht="65.099999999999994" customHeight="1" x14ac:dyDescent="0.25">
      <c r="A142" s="8" t="s">
        <v>4846</v>
      </c>
      <c r="B142" s="8" t="s">
        <v>4883</v>
      </c>
      <c r="C142" s="8" t="s">
        <v>4883</v>
      </c>
      <c r="D142" s="8" t="s">
        <v>4875</v>
      </c>
      <c r="E142" s="8"/>
      <c r="F142" s="9" t="s">
        <v>352</v>
      </c>
    </row>
    <row r="143" spans="1:6" ht="65.099999999999994" customHeight="1" x14ac:dyDescent="0.25">
      <c r="A143" s="8" t="s">
        <v>4846</v>
      </c>
      <c r="B143" s="8" t="s">
        <v>1915</v>
      </c>
      <c r="C143" s="8" t="s">
        <v>1915</v>
      </c>
      <c r="D143" s="8" t="s">
        <v>4875</v>
      </c>
      <c r="E143" s="8"/>
      <c r="F143" s="9" t="s">
        <v>352</v>
      </c>
    </row>
    <row r="144" spans="1:6" ht="65.099999999999994" customHeight="1" x14ac:dyDescent="0.25">
      <c r="A144" s="8" t="s">
        <v>4846</v>
      </c>
      <c r="B144" s="8" t="s">
        <v>1961</v>
      </c>
      <c r="C144" s="8" t="s">
        <v>1961</v>
      </c>
      <c r="D144" s="8" t="s">
        <v>4875</v>
      </c>
      <c r="E144" s="8"/>
      <c r="F144" s="9" t="s">
        <v>352</v>
      </c>
    </row>
    <row r="145" spans="1:6" ht="65.099999999999994" customHeight="1" x14ac:dyDescent="0.25">
      <c r="A145" s="8" t="s">
        <v>4811</v>
      </c>
      <c r="B145" s="8" t="s">
        <v>453</v>
      </c>
      <c r="C145" s="8" t="s">
        <v>453</v>
      </c>
      <c r="D145" s="8" t="s">
        <v>4875</v>
      </c>
      <c r="E145" s="8"/>
      <c r="F145" s="9" t="s">
        <v>352</v>
      </c>
    </row>
    <row r="146" spans="1:6" ht="65.099999999999994" customHeight="1" x14ac:dyDescent="0.25">
      <c r="A146" s="8" t="s">
        <v>4811</v>
      </c>
      <c r="B146" s="8" t="s">
        <v>4884</v>
      </c>
      <c r="C146" s="8" t="s">
        <v>4884</v>
      </c>
      <c r="D146" s="8" t="s">
        <v>4875</v>
      </c>
      <c r="E146" s="8"/>
      <c r="F146" s="9" t="s">
        <v>352</v>
      </c>
    </row>
    <row r="147" spans="1:6" ht="65.099999999999994" customHeight="1" x14ac:dyDescent="0.25">
      <c r="A147" s="8" t="s">
        <v>4811</v>
      </c>
      <c r="B147" s="8" t="s">
        <v>3965</v>
      </c>
      <c r="C147" s="8" t="s">
        <v>3965</v>
      </c>
      <c r="D147" s="8" t="s">
        <v>4875</v>
      </c>
      <c r="E147" s="8"/>
      <c r="F147" s="9" t="s">
        <v>352</v>
      </c>
    </row>
    <row r="148" spans="1:6" ht="65.099999999999994" customHeight="1" x14ac:dyDescent="0.25">
      <c r="A148" s="8" t="s">
        <v>4811</v>
      </c>
      <c r="B148" s="8" t="s">
        <v>4885</v>
      </c>
      <c r="C148" s="8" t="s">
        <v>4885</v>
      </c>
      <c r="D148" s="8" t="s">
        <v>4875</v>
      </c>
      <c r="E148" s="8"/>
      <c r="F148" s="9" t="s">
        <v>352</v>
      </c>
    </row>
    <row r="149" spans="1:6" ht="65.099999999999994" customHeight="1" x14ac:dyDescent="0.25">
      <c r="A149" s="8" t="s">
        <v>4866</v>
      </c>
      <c r="B149" s="8" t="s">
        <v>4886</v>
      </c>
      <c r="C149" s="8" t="s">
        <v>4886</v>
      </c>
      <c r="D149" s="8" t="s">
        <v>4875</v>
      </c>
      <c r="E149" s="8"/>
      <c r="F149" s="9" t="s">
        <v>352</v>
      </c>
    </row>
    <row r="150" spans="1:6" ht="65.099999999999994" customHeight="1" x14ac:dyDescent="0.25">
      <c r="A150" s="8" t="s">
        <v>4866</v>
      </c>
      <c r="B150" s="8" t="s">
        <v>4887</v>
      </c>
      <c r="C150" s="8" t="s">
        <v>4887</v>
      </c>
      <c r="D150" s="8" t="s">
        <v>4875</v>
      </c>
      <c r="E150" s="8"/>
      <c r="F150" s="9" t="s">
        <v>352</v>
      </c>
    </row>
    <row r="151" spans="1:6" ht="65.099999999999994" customHeight="1" x14ac:dyDescent="0.25">
      <c r="A151" s="8" t="s">
        <v>4866</v>
      </c>
      <c r="B151" s="8" t="s">
        <v>4888</v>
      </c>
      <c r="C151" s="8" t="s">
        <v>4889</v>
      </c>
      <c r="D151" s="8" t="s">
        <v>4875</v>
      </c>
      <c r="E151" s="8"/>
      <c r="F151" s="9" t="s">
        <v>352</v>
      </c>
    </row>
    <row r="152" spans="1:6" ht="65.099999999999994" customHeight="1" x14ac:dyDescent="0.25">
      <c r="A152" s="8" t="s">
        <v>4866</v>
      </c>
      <c r="B152" s="8" t="s">
        <v>4890</v>
      </c>
      <c r="C152" s="8" t="s">
        <v>4891</v>
      </c>
      <c r="D152" s="8" t="s">
        <v>4875</v>
      </c>
      <c r="E152" s="8"/>
      <c r="F152" s="9" t="s">
        <v>352</v>
      </c>
    </row>
    <row r="153" spans="1:6" ht="65.099999999999994" customHeight="1" x14ac:dyDescent="0.25">
      <c r="A153" s="8" t="s">
        <v>4866</v>
      </c>
      <c r="B153" s="8" t="s">
        <v>4892</v>
      </c>
      <c r="C153" s="8" t="s">
        <v>4893</v>
      </c>
      <c r="D153" s="8" t="s">
        <v>4875</v>
      </c>
      <c r="E153" s="8"/>
      <c r="F153" s="9" t="s">
        <v>352</v>
      </c>
    </row>
    <row r="154" spans="1:6" ht="65.099999999999994" customHeight="1" x14ac:dyDescent="0.25">
      <c r="A154" s="8" t="s">
        <v>4866</v>
      </c>
      <c r="B154" s="8" t="s">
        <v>4894</v>
      </c>
      <c r="C154" s="8" t="s">
        <v>4894</v>
      </c>
      <c r="D154" s="8" t="s">
        <v>4875</v>
      </c>
      <c r="E154" s="8"/>
      <c r="F154" s="9" t="s">
        <v>352</v>
      </c>
    </row>
    <row r="155" spans="1:6" ht="65.099999999999994" customHeight="1" x14ac:dyDescent="0.25">
      <c r="A155" s="8" t="s">
        <v>4866</v>
      </c>
      <c r="B155" s="8" t="s">
        <v>4895</v>
      </c>
      <c r="C155" s="8" t="s">
        <v>4895</v>
      </c>
      <c r="D155" s="8" t="s">
        <v>4875</v>
      </c>
      <c r="E155" s="8"/>
      <c r="F155" s="9" t="s">
        <v>352</v>
      </c>
    </row>
    <row r="156" spans="1:6" ht="65.099999999999994" customHeight="1" x14ac:dyDescent="0.25">
      <c r="A156" s="8" t="s">
        <v>4866</v>
      </c>
      <c r="B156" s="8" t="s">
        <v>4896</v>
      </c>
      <c r="C156" s="8" t="s">
        <v>4896</v>
      </c>
      <c r="D156" s="8" t="s">
        <v>4875</v>
      </c>
      <c r="E156" s="8"/>
      <c r="F156" s="9" t="s">
        <v>352</v>
      </c>
    </row>
    <row r="157" spans="1:6" ht="65.099999999999994" customHeight="1" x14ac:dyDescent="0.25">
      <c r="A157" s="8" t="s">
        <v>4866</v>
      </c>
      <c r="B157" s="8" t="s">
        <v>1990</v>
      </c>
      <c r="C157" s="8" t="s">
        <v>1990</v>
      </c>
      <c r="D157" s="8" t="s">
        <v>4875</v>
      </c>
      <c r="E157" s="8"/>
      <c r="F157" s="9" t="s">
        <v>352</v>
      </c>
    </row>
    <row r="158" spans="1:6" ht="65.099999999999994" customHeight="1" x14ac:dyDescent="0.25">
      <c r="A158" s="8" t="s">
        <v>4866</v>
      </c>
      <c r="B158" s="8" t="s">
        <v>2002</v>
      </c>
      <c r="C158" s="8" t="s">
        <v>2002</v>
      </c>
      <c r="D158" s="8" t="s">
        <v>4875</v>
      </c>
      <c r="E158" s="8"/>
      <c r="F158" s="9" t="s">
        <v>352</v>
      </c>
    </row>
    <row r="159" spans="1:6" ht="65.099999999999994" customHeight="1" x14ac:dyDescent="0.25">
      <c r="A159" s="8" t="s">
        <v>4866</v>
      </c>
      <c r="B159" s="8" t="s">
        <v>2007</v>
      </c>
      <c r="C159" s="8" t="s">
        <v>2007</v>
      </c>
      <c r="D159" s="8" t="s">
        <v>4875</v>
      </c>
      <c r="E159" s="8"/>
      <c r="F159" s="9" t="s">
        <v>352</v>
      </c>
    </row>
    <row r="160" spans="1:6" ht="65.099999999999994" customHeight="1" x14ac:dyDescent="0.25">
      <c r="A160" s="8" t="s">
        <v>4866</v>
      </c>
      <c r="B160" s="8" t="s">
        <v>2012</v>
      </c>
      <c r="C160" s="8" t="s">
        <v>2012</v>
      </c>
      <c r="D160" s="8" t="s">
        <v>4875</v>
      </c>
      <c r="E160" s="8"/>
      <c r="F160" s="9" t="s">
        <v>352</v>
      </c>
    </row>
    <row r="161" spans="1:6" ht="65.099999999999994" customHeight="1" x14ac:dyDescent="0.25">
      <c r="A161" s="8" t="s">
        <v>4866</v>
      </c>
      <c r="B161" s="8" t="s">
        <v>2017</v>
      </c>
      <c r="C161" s="8" t="s">
        <v>2017</v>
      </c>
      <c r="D161" s="8" t="s">
        <v>4875</v>
      </c>
      <c r="E161" s="8"/>
      <c r="F161" s="9" t="s">
        <v>352</v>
      </c>
    </row>
    <row r="162" spans="1:6" ht="65.099999999999994" customHeight="1" x14ac:dyDescent="0.25">
      <c r="A162" s="8" t="s">
        <v>4866</v>
      </c>
      <c r="B162" s="8" t="s">
        <v>2022</v>
      </c>
      <c r="C162" s="8" t="s">
        <v>2022</v>
      </c>
      <c r="D162" s="8" t="s">
        <v>4875</v>
      </c>
      <c r="E162" s="8"/>
      <c r="F162" s="9" t="s">
        <v>352</v>
      </c>
    </row>
    <row r="163" spans="1:6" ht="65.099999999999994" customHeight="1" x14ac:dyDescent="0.25">
      <c r="A163" s="8" t="s">
        <v>4866</v>
      </c>
      <c r="B163" s="8" t="s">
        <v>2027</v>
      </c>
      <c r="C163" s="8" t="s">
        <v>2027</v>
      </c>
      <c r="D163" s="8" t="s">
        <v>4875</v>
      </c>
      <c r="E163" s="8"/>
      <c r="F163" s="9" t="s">
        <v>352</v>
      </c>
    </row>
    <row r="164" spans="1:6" ht="65.099999999999994" customHeight="1" x14ac:dyDescent="0.25">
      <c r="A164" s="8" t="s">
        <v>4866</v>
      </c>
      <c r="B164" s="8" t="s">
        <v>2043</v>
      </c>
      <c r="C164" s="8" t="s">
        <v>2043</v>
      </c>
      <c r="D164" s="8" t="s">
        <v>4875</v>
      </c>
      <c r="E164" s="8"/>
      <c r="F164" s="9" t="s">
        <v>352</v>
      </c>
    </row>
    <row r="165" spans="1:6" ht="65.099999999999994" customHeight="1" x14ac:dyDescent="0.25">
      <c r="A165" s="8" t="s">
        <v>4866</v>
      </c>
      <c r="B165" s="8" t="s">
        <v>2048</v>
      </c>
      <c r="C165" s="8" t="s">
        <v>2048</v>
      </c>
      <c r="D165" s="8" t="s">
        <v>4875</v>
      </c>
      <c r="E165" s="8"/>
      <c r="F165" s="9" t="s">
        <v>352</v>
      </c>
    </row>
    <row r="166" spans="1:6" ht="65.099999999999994" customHeight="1" x14ac:dyDescent="0.25">
      <c r="A166" s="8" t="s">
        <v>4866</v>
      </c>
      <c r="B166" s="8" t="s">
        <v>2053</v>
      </c>
      <c r="C166" s="8" t="s">
        <v>2053</v>
      </c>
      <c r="D166" s="8" t="s">
        <v>4875</v>
      </c>
      <c r="E166" s="8"/>
      <c r="F166" s="9" t="s">
        <v>352</v>
      </c>
    </row>
    <row r="167" spans="1:6" ht="65.099999999999994" customHeight="1" x14ac:dyDescent="0.25">
      <c r="A167" s="8" t="s">
        <v>4866</v>
      </c>
      <c r="B167" s="8" t="s">
        <v>2058</v>
      </c>
      <c r="C167" s="8" t="s">
        <v>2058</v>
      </c>
      <c r="D167" s="8" t="s">
        <v>4875</v>
      </c>
      <c r="E167" s="8"/>
      <c r="F167" s="9" t="s">
        <v>352</v>
      </c>
    </row>
    <row r="168" spans="1:6" ht="65.099999999999994" customHeight="1" x14ac:dyDescent="0.25">
      <c r="A168" s="8" t="s">
        <v>4866</v>
      </c>
      <c r="B168" s="8" t="s">
        <v>2063</v>
      </c>
      <c r="C168" s="8" t="s">
        <v>2063</v>
      </c>
      <c r="D168" s="8" t="s">
        <v>4875</v>
      </c>
      <c r="E168" s="8"/>
      <c r="F168" s="9" t="s">
        <v>352</v>
      </c>
    </row>
    <row r="169" spans="1:6" ht="65.099999999999994" customHeight="1" x14ac:dyDescent="0.25">
      <c r="A169" s="8" t="s">
        <v>4866</v>
      </c>
      <c r="B169" s="8" t="s">
        <v>2068</v>
      </c>
      <c r="C169" s="8" t="s">
        <v>2068</v>
      </c>
      <c r="D169" s="8" t="s">
        <v>4875</v>
      </c>
      <c r="E169" s="8"/>
      <c r="F169" s="9" t="s">
        <v>352</v>
      </c>
    </row>
    <row r="170" spans="1:6" ht="65.099999999999994" customHeight="1" x14ac:dyDescent="0.25">
      <c r="A170" s="8" t="s">
        <v>1866</v>
      </c>
      <c r="B170" s="8" t="s">
        <v>1867</v>
      </c>
      <c r="C170" s="8" t="s">
        <v>1867</v>
      </c>
      <c r="D170" s="8" t="s">
        <v>4875</v>
      </c>
      <c r="E170" s="8"/>
      <c r="F170" s="9" t="s">
        <v>352</v>
      </c>
    </row>
    <row r="171" spans="1:6" ht="65.099999999999994" customHeight="1" x14ac:dyDescent="0.25">
      <c r="A171" s="8" t="s">
        <v>4792</v>
      </c>
      <c r="B171" s="13" t="s">
        <v>2817</v>
      </c>
      <c r="C171" s="13" t="s">
        <v>2817</v>
      </c>
      <c r="D171" s="8" t="s">
        <v>4875</v>
      </c>
      <c r="E171" s="8"/>
      <c r="F171" s="9" t="s">
        <v>352</v>
      </c>
    </row>
    <row r="172" spans="1:6" ht="65.099999999999994" customHeight="1" x14ac:dyDescent="0.25">
      <c r="A172" s="8" t="s">
        <v>4792</v>
      </c>
      <c r="B172" s="8" t="s">
        <v>2857</v>
      </c>
      <c r="C172" s="8" t="s">
        <v>2857</v>
      </c>
      <c r="D172" s="8" t="s">
        <v>4875</v>
      </c>
      <c r="E172" s="8"/>
      <c r="F172" s="9" t="s">
        <v>352</v>
      </c>
    </row>
    <row r="173" spans="1:6" ht="65.099999999999994" customHeight="1" x14ac:dyDescent="0.25">
      <c r="A173" s="8" t="s">
        <v>4794</v>
      </c>
      <c r="B173" s="8" t="s">
        <v>2262</v>
      </c>
      <c r="C173" s="8" t="s">
        <v>2262</v>
      </c>
      <c r="D173" s="8" t="s">
        <v>4875</v>
      </c>
      <c r="E173" s="8"/>
      <c r="F173" s="9" t="s">
        <v>352</v>
      </c>
    </row>
    <row r="174" spans="1:6" ht="65.099999999999994" customHeight="1" x14ac:dyDescent="0.25">
      <c r="A174" s="8" t="s">
        <v>4868</v>
      </c>
      <c r="B174" s="8" t="s">
        <v>2431</v>
      </c>
      <c r="C174" s="8" t="s">
        <v>2431</v>
      </c>
      <c r="D174" s="8" t="s">
        <v>4875</v>
      </c>
      <c r="E174" s="8"/>
      <c r="F174" s="9" t="s">
        <v>352</v>
      </c>
    </row>
    <row r="175" spans="1:6" ht="65.099999999999994" customHeight="1" x14ac:dyDescent="0.25">
      <c r="A175" s="8" t="s">
        <v>4868</v>
      </c>
      <c r="B175" s="8" t="s">
        <v>2440</v>
      </c>
      <c r="C175" s="8" t="s">
        <v>2440</v>
      </c>
      <c r="D175" s="8" t="s">
        <v>4875</v>
      </c>
      <c r="E175" s="8"/>
      <c r="F175" s="9" t="s">
        <v>352</v>
      </c>
    </row>
    <row r="176" spans="1:6" ht="65.099999999999994" customHeight="1" x14ac:dyDescent="0.25">
      <c r="A176" s="8" t="s">
        <v>4868</v>
      </c>
      <c r="B176" s="8" t="s">
        <v>2449</v>
      </c>
      <c r="C176" s="8" t="s">
        <v>2449</v>
      </c>
      <c r="D176" s="8" t="s">
        <v>4875</v>
      </c>
      <c r="E176" s="8"/>
      <c r="F176" s="9" t="s">
        <v>352</v>
      </c>
    </row>
    <row r="177" spans="1:6" ht="65.099999999999994" customHeight="1" x14ac:dyDescent="0.25">
      <c r="A177" s="8" t="s">
        <v>4868</v>
      </c>
      <c r="B177" s="8" t="s">
        <v>2489</v>
      </c>
      <c r="C177" s="8" t="s">
        <v>2489</v>
      </c>
      <c r="D177" s="8" t="s">
        <v>4875</v>
      </c>
      <c r="E177" s="8"/>
      <c r="F177" s="9" t="s">
        <v>352</v>
      </c>
    </row>
    <row r="178" spans="1:6" ht="65.099999999999994" customHeight="1" x14ac:dyDescent="0.25">
      <c r="A178" s="8" t="s">
        <v>4868</v>
      </c>
      <c r="B178" s="8" t="s">
        <v>2508</v>
      </c>
      <c r="C178" s="8" t="s">
        <v>2508</v>
      </c>
      <c r="D178" s="8" t="s">
        <v>4875</v>
      </c>
      <c r="E178" s="8"/>
      <c r="F178" s="9" t="s">
        <v>352</v>
      </c>
    </row>
    <row r="179" spans="1:6" ht="65.099999999999994" customHeight="1" x14ac:dyDescent="0.25">
      <c r="A179" s="8" t="s">
        <v>4868</v>
      </c>
      <c r="B179" s="8" t="s">
        <v>2524</v>
      </c>
      <c r="C179" s="8" t="s">
        <v>2524</v>
      </c>
      <c r="D179" s="8" t="s">
        <v>4875</v>
      </c>
      <c r="E179" s="8"/>
      <c r="F179" s="9" t="s">
        <v>352</v>
      </c>
    </row>
    <row r="180" spans="1:6" ht="65.099999999999994" customHeight="1" x14ac:dyDescent="0.25">
      <c r="A180" s="8" t="s">
        <v>4868</v>
      </c>
      <c r="B180" s="8" t="s">
        <v>2533</v>
      </c>
      <c r="C180" s="8" t="s">
        <v>2533</v>
      </c>
      <c r="D180" s="8" t="s">
        <v>4875</v>
      </c>
      <c r="E180" s="8"/>
      <c r="F180" s="9" t="s">
        <v>352</v>
      </c>
    </row>
    <row r="181" spans="1:6" ht="65.099999999999994" customHeight="1" x14ac:dyDescent="0.25">
      <c r="A181" s="8" t="s">
        <v>4868</v>
      </c>
      <c r="B181" s="8" t="s">
        <v>2549</v>
      </c>
      <c r="C181" s="8" t="s">
        <v>2549</v>
      </c>
      <c r="D181" s="8" t="s">
        <v>4875</v>
      </c>
      <c r="E181" s="8"/>
      <c r="F181" s="9" t="s">
        <v>352</v>
      </c>
    </row>
    <row r="182" spans="1:6" ht="65.099999999999994" customHeight="1" x14ac:dyDescent="0.25">
      <c r="A182" s="8" t="s">
        <v>4868</v>
      </c>
      <c r="B182" s="8" t="s">
        <v>2565</v>
      </c>
      <c r="C182" s="8" t="s">
        <v>2565</v>
      </c>
      <c r="D182" s="8" t="s">
        <v>4875</v>
      </c>
      <c r="E182" s="8"/>
      <c r="F182" s="9" t="s">
        <v>352</v>
      </c>
    </row>
    <row r="183" spans="1:6" ht="65.099999999999994" customHeight="1" x14ac:dyDescent="0.25">
      <c r="A183" s="8" t="s">
        <v>4869</v>
      </c>
      <c r="B183" s="8" t="s">
        <v>2566</v>
      </c>
      <c r="C183" s="8" t="s">
        <v>2566</v>
      </c>
      <c r="D183" s="8" t="s">
        <v>4875</v>
      </c>
      <c r="E183" s="8"/>
      <c r="F183" s="9" t="s">
        <v>352</v>
      </c>
    </row>
    <row r="184" spans="1:6" ht="36.950000000000003" customHeight="1" x14ac:dyDescent="0.25">
      <c r="A184" s="8" t="s">
        <v>4823</v>
      </c>
      <c r="B184" s="8" t="s">
        <v>3970</v>
      </c>
      <c r="C184" s="8" t="s">
        <v>4897</v>
      </c>
      <c r="D184" s="8" t="s">
        <v>4898</v>
      </c>
      <c r="E184" s="8"/>
      <c r="F184" s="9" t="s">
        <v>352</v>
      </c>
    </row>
    <row r="185" spans="1:6" ht="36.950000000000003" customHeight="1" x14ac:dyDescent="0.25">
      <c r="A185" s="8" t="s">
        <v>4823</v>
      </c>
      <c r="B185" s="8" t="s">
        <v>4899</v>
      </c>
      <c r="C185" s="8" t="s">
        <v>4900</v>
      </c>
      <c r="D185" s="8" t="s">
        <v>4898</v>
      </c>
      <c r="E185" s="8"/>
      <c r="F185" s="9" t="s">
        <v>352</v>
      </c>
    </row>
    <row r="186" spans="1:6" ht="36.950000000000003" customHeight="1" x14ac:dyDescent="0.25">
      <c r="A186" s="8" t="s">
        <v>4823</v>
      </c>
      <c r="B186" s="8" t="s">
        <v>4901</v>
      </c>
      <c r="C186" s="8" t="s">
        <v>4902</v>
      </c>
      <c r="D186" s="8" t="s">
        <v>4898</v>
      </c>
      <c r="E186" s="8"/>
      <c r="F186" s="9" t="s">
        <v>352</v>
      </c>
    </row>
    <row r="187" spans="1:6" ht="36.950000000000003" customHeight="1" x14ac:dyDescent="0.25">
      <c r="A187" s="8" t="s">
        <v>4823</v>
      </c>
      <c r="B187" s="8" t="s">
        <v>416</v>
      </c>
      <c r="C187" s="8" t="s">
        <v>4903</v>
      </c>
      <c r="D187" s="8" t="s">
        <v>4898</v>
      </c>
      <c r="E187" s="8"/>
      <c r="F187" s="9" t="s">
        <v>352</v>
      </c>
    </row>
    <row r="188" spans="1:6" ht="36.950000000000003" customHeight="1" x14ac:dyDescent="0.25">
      <c r="A188" s="8" t="s">
        <v>4823</v>
      </c>
      <c r="B188" s="8" t="s">
        <v>4003</v>
      </c>
      <c r="C188" s="8" t="s">
        <v>4904</v>
      </c>
      <c r="D188" s="8" t="s">
        <v>4898</v>
      </c>
      <c r="E188" s="8"/>
      <c r="F188" s="9" t="s">
        <v>352</v>
      </c>
    </row>
    <row r="189" spans="1:6" ht="36.950000000000003" customHeight="1" x14ac:dyDescent="0.25">
      <c r="A189" s="8" t="s">
        <v>4823</v>
      </c>
      <c r="B189" s="8" t="s">
        <v>400</v>
      </c>
      <c r="C189" s="8" t="s">
        <v>4905</v>
      </c>
      <c r="D189" s="8" t="s">
        <v>4898</v>
      </c>
      <c r="E189" s="8"/>
      <c r="F189" s="9" t="s">
        <v>352</v>
      </c>
    </row>
    <row r="190" spans="1:6" ht="36.950000000000003" customHeight="1" x14ac:dyDescent="0.25">
      <c r="A190" s="8" t="s">
        <v>4823</v>
      </c>
      <c r="B190" s="8" t="s">
        <v>4906</v>
      </c>
      <c r="C190" s="8" t="s">
        <v>4907</v>
      </c>
      <c r="D190" s="8" t="s">
        <v>4898</v>
      </c>
      <c r="E190" s="8"/>
      <c r="F190" s="9" t="s">
        <v>352</v>
      </c>
    </row>
    <row r="191" spans="1:6" ht="36.950000000000003" customHeight="1" x14ac:dyDescent="0.25">
      <c r="A191" s="8" t="s">
        <v>4823</v>
      </c>
      <c r="B191" s="8" t="s">
        <v>709</v>
      </c>
      <c r="C191" s="8" t="s">
        <v>4908</v>
      </c>
      <c r="D191" s="8" t="s">
        <v>4898</v>
      </c>
      <c r="E191" s="8"/>
      <c r="F191" s="9" t="s">
        <v>352</v>
      </c>
    </row>
    <row r="192" spans="1:6" ht="36.950000000000003" customHeight="1" x14ac:dyDescent="0.25">
      <c r="A192" s="8" t="s">
        <v>4823</v>
      </c>
      <c r="B192" s="8" t="s">
        <v>4909</v>
      </c>
      <c r="C192" s="8" t="s">
        <v>4910</v>
      </c>
      <c r="D192" s="8" t="s">
        <v>4898</v>
      </c>
      <c r="E192" s="8"/>
      <c r="F192" s="9" t="s">
        <v>352</v>
      </c>
    </row>
    <row r="193" spans="1:6" ht="36.950000000000003" customHeight="1" x14ac:dyDescent="0.25">
      <c r="A193" s="8" t="s">
        <v>4823</v>
      </c>
      <c r="B193" s="8" t="s">
        <v>951</v>
      </c>
      <c r="C193" s="8" t="s">
        <v>4911</v>
      </c>
      <c r="D193" s="8" t="s">
        <v>4898</v>
      </c>
      <c r="E193" s="8"/>
      <c r="F193" s="9" t="s">
        <v>352</v>
      </c>
    </row>
    <row r="194" spans="1:6" ht="36.950000000000003" customHeight="1" x14ac:dyDescent="0.25">
      <c r="A194" s="8" t="s">
        <v>4823</v>
      </c>
      <c r="B194" s="8" t="s">
        <v>4877</v>
      </c>
      <c r="C194" s="8" t="s">
        <v>4912</v>
      </c>
      <c r="D194" s="8" t="s">
        <v>4898</v>
      </c>
      <c r="E194" s="8"/>
      <c r="F194" s="9" t="s">
        <v>352</v>
      </c>
    </row>
    <row r="195" spans="1:6" ht="36.950000000000003" customHeight="1" x14ac:dyDescent="0.25">
      <c r="A195" s="8" t="s">
        <v>4823</v>
      </c>
      <c r="B195" s="8" t="s">
        <v>4913</v>
      </c>
      <c r="C195" s="8" t="s">
        <v>4914</v>
      </c>
      <c r="D195" s="8" t="s">
        <v>4898</v>
      </c>
      <c r="E195" s="8"/>
      <c r="F195" s="9" t="s">
        <v>352</v>
      </c>
    </row>
    <row r="196" spans="1:6" ht="36.950000000000003" customHeight="1" x14ac:dyDescent="0.25">
      <c r="A196" s="8" t="s">
        <v>4823</v>
      </c>
      <c r="B196" s="8" t="s">
        <v>4915</v>
      </c>
      <c r="C196" s="8" t="s">
        <v>4916</v>
      </c>
      <c r="D196" s="8" t="s">
        <v>4898</v>
      </c>
      <c r="E196" s="8"/>
      <c r="F196" s="9" t="s">
        <v>352</v>
      </c>
    </row>
    <row r="197" spans="1:6" ht="36.950000000000003" customHeight="1" x14ac:dyDescent="0.25">
      <c r="A197" s="8" t="s">
        <v>4823</v>
      </c>
      <c r="B197" s="8" t="s">
        <v>4076</v>
      </c>
      <c r="C197" s="8" t="s">
        <v>4917</v>
      </c>
      <c r="D197" s="8" t="s">
        <v>4898</v>
      </c>
      <c r="E197" s="8"/>
      <c r="F197" s="9" t="s">
        <v>352</v>
      </c>
    </row>
    <row r="198" spans="1:6" ht="36.950000000000003" customHeight="1" x14ac:dyDescent="0.25">
      <c r="A198" s="8" t="s">
        <v>4823</v>
      </c>
      <c r="B198" s="8" t="s">
        <v>4918</v>
      </c>
      <c r="C198" s="8" t="s">
        <v>4919</v>
      </c>
      <c r="D198" s="8" t="s">
        <v>4898</v>
      </c>
      <c r="E198" s="8"/>
      <c r="F198" s="9" t="s">
        <v>352</v>
      </c>
    </row>
    <row r="199" spans="1:6" ht="36.950000000000003" customHeight="1" x14ac:dyDescent="0.25">
      <c r="A199" s="8" t="s">
        <v>4920</v>
      </c>
      <c r="B199" s="8" t="s">
        <v>2129</v>
      </c>
      <c r="C199" s="8" t="s">
        <v>4921</v>
      </c>
      <c r="D199" s="8" t="s">
        <v>4898</v>
      </c>
      <c r="E199" s="8"/>
      <c r="F199" s="9" t="s">
        <v>352</v>
      </c>
    </row>
    <row r="200" spans="1:6" ht="36.950000000000003" customHeight="1" x14ac:dyDescent="0.25">
      <c r="A200" s="8" t="s">
        <v>4920</v>
      </c>
      <c r="B200" s="8" t="s">
        <v>2115</v>
      </c>
      <c r="C200" s="8" t="s">
        <v>4922</v>
      </c>
      <c r="D200" s="8" t="s">
        <v>4898</v>
      </c>
      <c r="E200" s="8"/>
      <c r="F200" s="9" t="s">
        <v>352</v>
      </c>
    </row>
    <row r="201" spans="1:6" ht="36.950000000000003" customHeight="1" x14ac:dyDescent="0.25">
      <c r="A201" s="8" t="s">
        <v>4920</v>
      </c>
      <c r="B201" s="8" t="s">
        <v>2137</v>
      </c>
      <c r="C201" s="8" t="s">
        <v>4923</v>
      </c>
      <c r="D201" s="8" t="s">
        <v>4898</v>
      </c>
      <c r="E201" s="8"/>
      <c r="F201" s="9" t="s">
        <v>352</v>
      </c>
    </row>
    <row r="202" spans="1:6" ht="36.950000000000003" customHeight="1" x14ac:dyDescent="0.25">
      <c r="A202" s="8" t="s">
        <v>4792</v>
      </c>
      <c r="B202" s="8" t="s">
        <v>3090</v>
      </c>
      <c r="C202" s="8" t="s">
        <v>4924</v>
      </c>
      <c r="D202" s="8" t="s">
        <v>4898</v>
      </c>
      <c r="E202" s="8"/>
      <c r="F202" s="9" t="s">
        <v>352</v>
      </c>
    </row>
    <row r="203" spans="1:6" ht="36.950000000000003" customHeight="1" x14ac:dyDescent="0.25">
      <c r="A203" s="8" t="s">
        <v>4794</v>
      </c>
      <c r="B203" s="8" t="s">
        <v>2573</v>
      </c>
      <c r="C203" s="8" t="s">
        <v>4925</v>
      </c>
      <c r="D203" s="8" t="s">
        <v>4898</v>
      </c>
      <c r="E203" s="8"/>
      <c r="F203" s="9" t="s">
        <v>352</v>
      </c>
    </row>
    <row r="204" spans="1:6" ht="36.950000000000003" customHeight="1" x14ac:dyDescent="0.25">
      <c r="A204" s="8" t="s">
        <v>4794</v>
      </c>
      <c r="B204" s="8" t="s">
        <v>2601</v>
      </c>
      <c r="C204" s="8" t="s">
        <v>4926</v>
      </c>
      <c r="D204" s="8" t="s">
        <v>4898</v>
      </c>
      <c r="E204" s="8"/>
      <c r="F204" s="9" t="s">
        <v>352</v>
      </c>
    </row>
    <row r="205" spans="1:6" ht="36.950000000000003" customHeight="1" x14ac:dyDescent="0.25">
      <c r="A205" s="8" t="s">
        <v>4794</v>
      </c>
      <c r="B205" s="8" t="s">
        <v>2596</v>
      </c>
      <c r="C205" s="8" t="s">
        <v>4927</v>
      </c>
      <c r="D205" s="8" t="s">
        <v>4898</v>
      </c>
      <c r="E205" s="8"/>
      <c r="F205" s="9" t="s">
        <v>352</v>
      </c>
    </row>
    <row r="206" spans="1:6" ht="36.950000000000003" customHeight="1" x14ac:dyDescent="0.25">
      <c r="A206" s="8" t="s">
        <v>4928</v>
      </c>
      <c r="B206" s="8" t="s">
        <v>1684</v>
      </c>
      <c r="C206" s="8" t="s">
        <v>4929</v>
      </c>
      <c r="D206" s="8" t="s">
        <v>4898</v>
      </c>
      <c r="E206" s="8"/>
      <c r="F206" s="9" t="s">
        <v>352</v>
      </c>
    </row>
    <row r="207" spans="1:6" ht="36.950000000000003" customHeight="1" x14ac:dyDescent="0.25">
      <c r="A207" s="8" t="s">
        <v>4928</v>
      </c>
      <c r="B207" s="8" t="s">
        <v>356</v>
      </c>
      <c r="C207" s="8" t="s">
        <v>4930</v>
      </c>
      <c r="D207" s="8" t="s">
        <v>4898</v>
      </c>
      <c r="E207" s="8"/>
      <c r="F207" s="9" t="s">
        <v>352</v>
      </c>
    </row>
    <row r="208" spans="1:6" ht="36.950000000000003" customHeight="1" x14ac:dyDescent="0.25">
      <c r="A208" s="8" t="s">
        <v>4928</v>
      </c>
      <c r="B208" s="8" t="s">
        <v>1056</v>
      </c>
      <c r="C208" s="8" t="s">
        <v>4931</v>
      </c>
      <c r="D208" s="8" t="s">
        <v>4898</v>
      </c>
      <c r="E208" s="8"/>
      <c r="F208" s="9" t="s">
        <v>352</v>
      </c>
    </row>
    <row r="209" spans="1:6" ht="36.950000000000003" customHeight="1" x14ac:dyDescent="0.25">
      <c r="A209" s="8" t="s">
        <v>4928</v>
      </c>
      <c r="B209" s="8" t="s">
        <v>4932</v>
      </c>
      <c r="C209" s="8" t="s">
        <v>4933</v>
      </c>
      <c r="D209" s="8" t="s">
        <v>4898</v>
      </c>
      <c r="E209" s="8"/>
      <c r="F209" s="9" t="s">
        <v>352</v>
      </c>
    </row>
    <row r="210" spans="1:6" ht="51" customHeight="1" x14ac:dyDescent="0.25">
      <c r="A210" s="8" t="s">
        <v>4223</v>
      </c>
      <c r="B210" s="8" t="s">
        <v>4222</v>
      </c>
      <c r="C210" s="8" t="s">
        <v>4224</v>
      </c>
      <c r="D210" s="8" t="s">
        <v>4934</v>
      </c>
      <c r="E210" s="8"/>
      <c r="F210" s="9" t="s">
        <v>352</v>
      </c>
    </row>
    <row r="211" spans="1:6" ht="51" customHeight="1" x14ac:dyDescent="0.25">
      <c r="A211" s="8" t="s">
        <v>4223</v>
      </c>
      <c r="B211" s="8" t="s">
        <v>4229</v>
      </c>
      <c r="C211" s="8" t="s">
        <v>4230</v>
      </c>
      <c r="D211" s="8" t="s">
        <v>4934</v>
      </c>
      <c r="E211" s="8"/>
      <c r="F211" s="9" t="s">
        <v>352</v>
      </c>
    </row>
    <row r="212" spans="1:6" ht="51" customHeight="1" x14ac:dyDescent="0.25">
      <c r="A212" s="8" t="s">
        <v>4223</v>
      </c>
      <c r="B212" s="8" t="s">
        <v>4234</v>
      </c>
      <c r="C212" s="8" t="s">
        <v>588</v>
      </c>
      <c r="D212" s="8" t="s">
        <v>4934</v>
      </c>
      <c r="E212" s="8"/>
      <c r="F212" s="9" t="s">
        <v>352</v>
      </c>
    </row>
    <row r="213" spans="1:6" ht="51" customHeight="1" x14ac:dyDescent="0.25">
      <c r="A213" s="8" t="s">
        <v>4223</v>
      </c>
      <c r="B213" s="8" t="s">
        <v>4238</v>
      </c>
      <c r="C213" s="8" t="s">
        <v>4239</v>
      </c>
      <c r="D213" s="8" t="s">
        <v>4934</v>
      </c>
      <c r="E213" s="8"/>
      <c r="F213" s="9" t="s">
        <v>352</v>
      </c>
    </row>
    <row r="214" spans="1:6" ht="51" customHeight="1" x14ac:dyDescent="0.25">
      <c r="A214" s="8" t="s">
        <v>4223</v>
      </c>
      <c r="B214" s="8" t="s">
        <v>4243</v>
      </c>
      <c r="C214" s="8" t="s">
        <v>4244</v>
      </c>
      <c r="D214" s="8" t="s">
        <v>4934</v>
      </c>
      <c r="E214" s="8"/>
      <c r="F214" s="9" t="s">
        <v>352</v>
      </c>
    </row>
    <row r="215" spans="1:6" ht="51" customHeight="1" x14ac:dyDescent="0.25">
      <c r="A215" s="8" t="s">
        <v>4223</v>
      </c>
      <c r="B215" s="8" t="s">
        <v>4248</v>
      </c>
      <c r="C215" s="8" t="s">
        <v>4249</v>
      </c>
      <c r="D215" s="8" t="s">
        <v>4934</v>
      </c>
      <c r="E215" s="8"/>
      <c r="F215" s="9" t="s">
        <v>352</v>
      </c>
    </row>
    <row r="216" spans="1:6" ht="51" customHeight="1" x14ac:dyDescent="0.25">
      <c r="A216" s="8" t="s">
        <v>4223</v>
      </c>
      <c r="B216" s="8" t="s">
        <v>4254</v>
      </c>
      <c r="C216" s="8" t="s">
        <v>4255</v>
      </c>
      <c r="D216" s="8" t="s">
        <v>4934</v>
      </c>
      <c r="E216" s="8"/>
      <c r="F216" s="9" t="s">
        <v>352</v>
      </c>
    </row>
    <row r="217" spans="1:6" ht="51" customHeight="1" x14ac:dyDescent="0.25">
      <c r="A217" s="8" t="s">
        <v>4223</v>
      </c>
      <c r="B217" s="8" t="s">
        <v>4259</v>
      </c>
      <c r="C217" s="8" t="s">
        <v>4260</v>
      </c>
      <c r="D217" s="8" t="s">
        <v>4934</v>
      </c>
      <c r="E217" s="8"/>
      <c r="F217" s="9" t="s">
        <v>352</v>
      </c>
    </row>
    <row r="218" spans="1:6" ht="51" customHeight="1" x14ac:dyDescent="0.25">
      <c r="A218" s="8" t="s">
        <v>4223</v>
      </c>
      <c r="B218" s="8" t="s">
        <v>4265</v>
      </c>
      <c r="C218" s="8" t="s">
        <v>4266</v>
      </c>
      <c r="D218" s="8" t="s">
        <v>4934</v>
      </c>
      <c r="E218" s="8"/>
      <c r="F218" s="9" t="s">
        <v>352</v>
      </c>
    </row>
    <row r="219" spans="1:6" ht="36.950000000000003" customHeight="1" x14ac:dyDescent="0.25">
      <c r="A219" s="8" t="s">
        <v>4271</v>
      </c>
      <c r="B219" s="8" t="s">
        <v>4270</v>
      </c>
      <c r="C219" s="8" t="s">
        <v>4272</v>
      </c>
      <c r="D219" s="8" t="s">
        <v>4935</v>
      </c>
      <c r="E219" s="8"/>
      <c r="F219" s="9" t="s">
        <v>352</v>
      </c>
    </row>
    <row r="220" spans="1:6" ht="36.950000000000003" customHeight="1" x14ac:dyDescent="0.25">
      <c r="A220" s="8" t="s">
        <v>4271</v>
      </c>
      <c r="B220" s="8" t="s">
        <v>4277</v>
      </c>
      <c r="C220" s="8" t="s">
        <v>4278</v>
      </c>
      <c r="D220" s="8" t="s">
        <v>4935</v>
      </c>
      <c r="E220" s="8"/>
      <c r="F220" s="9" t="s">
        <v>352</v>
      </c>
    </row>
    <row r="221" spans="1:6" ht="36.950000000000003" customHeight="1" x14ac:dyDescent="0.25">
      <c r="A221" s="8" t="s">
        <v>4271</v>
      </c>
      <c r="B221" s="8" t="s">
        <v>4282</v>
      </c>
      <c r="C221" s="8" t="s">
        <v>4283</v>
      </c>
      <c r="D221" s="8" t="s">
        <v>4935</v>
      </c>
      <c r="E221" s="8"/>
      <c r="F221" s="9" t="s">
        <v>352</v>
      </c>
    </row>
    <row r="222" spans="1:6" ht="36.950000000000003" customHeight="1" x14ac:dyDescent="0.25">
      <c r="A222" s="8" t="s">
        <v>4271</v>
      </c>
      <c r="B222" s="8" t="s">
        <v>4288</v>
      </c>
      <c r="C222" s="8" t="s">
        <v>4289</v>
      </c>
      <c r="D222" s="8" t="s">
        <v>4935</v>
      </c>
      <c r="E222" s="8"/>
      <c r="F222" s="9" t="s">
        <v>352</v>
      </c>
    </row>
    <row r="223" spans="1:6" ht="36.950000000000003" customHeight="1" x14ac:dyDescent="0.25">
      <c r="A223" s="8" t="s">
        <v>4271</v>
      </c>
      <c r="B223" s="8" t="s">
        <v>4293</v>
      </c>
      <c r="C223" s="8" t="s">
        <v>4294</v>
      </c>
      <c r="D223" s="8" t="s">
        <v>4935</v>
      </c>
      <c r="E223" s="8"/>
      <c r="F223" s="9" t="s">
        <v>352</v>
      </c>
    </row>
    <row r="224" spans="1:6" ht="36.950000000000003" customHeight="1" x14ac:dyDescent="0.25">
      <c r="A224" s="8" t="s">
        <v>4271</v>
      </c>
      <c r="B224" s="8" t="s">
        <v>4298</v>
      </c>
      <c r="C224" s="8" t="s">
        <v>4299</v>
      </c>
      <c r="D224" s="8" t="s">
        <v>4935</v>
      </c>
      <c r="E224" s="8"/>
      <c r="F224" s="9" t="s">
        <v>352</v>
      </c>
    </row>
    <row r="225" spans="1:6" ht="36.950000000000003" customHeight="1" x14ac:dyDescent="0.25">
      <c r="A225" s="8" t="s">
        <v>4271</v>
      </c>
      <c r="B225" s="8" t="s">
        <v>4303</v>
      </c>
      <c r="C225" s="8" t="s">
        <v>4304</v>
      </c>
      <c r="D225" s="8" t="s">
        <v>4935</v>
      </c>
      <c r="E225" s="8"/>
      <c r="F225" s="9" t="s">
        <v>352</v>
      </c>
    </row>
    <row r="226" spans="1:6" ht="51" customHeight="1" x14ac:dyDescent="0.25">
      <c r="A226" s="8" t="s">
        <v>4823</v>
      </c>
      <c r="B226" s="8" t="s">
        <v>4084</v>
      </c>
      <c r="C226" s="8" t="s">
        <v>4936</v>
      </c>
      <c r="D226" s="8" t="s">
        <v>4937</v>
      </c>
      <c r="E226" s="8"/>
      <c r="F226" s="9" t="s">
        <v>352</v>
      </c>
    </row>
    <row r="227" spans="1:6" ht="51" customHeight="1" x14ac:dyDescent="0.25">
      <c r="A227" s="8" t="s">
        <v>4823</v>
      </c>
      <c r="B227" s="8" t="s">
        <v>4057</v>
      </c>
      <c r="C227" s="8" t="s">
        <v>4938</v>
      </c>
      <c r="D227" s="8" t="s">
        <v>4937</v>
      </c>
      <c r="E227" s="8"/>
      <c r="F227" s="9" t="s">
        <v>352</v>
      </c>
    </row>
    <row r="228" spans="1:6" ht="51" customHeight="1" x14ac:dyDescent="0.25">
      <c r="A228" s="8" t="s">
        <v>4823</v>
      </c>
      <c r="B228" s="8" t="s">
        <v>4939</v>
      </c>
      <c r="C228" s="8" t="s">
        <v>4940</v>
      </c>
      <c r="D228" s="8" t="s">
        <v>4937</v>
      </c>
      <c r="E228" s="8"/>
      <c r="F228" s="9" t="s">
        <v>352</v>
      </c>
    </row>
    <row r="229" spans="1:6" ht="51" customHeight="1" x14ac:dyDescent="0.25">
      <c r="A229" s="8" t="s">
        <v>4823</v>
      </c>
      <c r="B229" s="8" t="s">
        <v>4941</v>
      </c>
      <c r="C229" s="8" t="s">
        <v>4942</v>
      </c>
      <c r="D229" s="8" t="s">
        <v>4937</v>
      </c>
      <c r="E229" s="8"/>
      <c r="F229" s="9" t="s">
        <v>352</v>
      </c>
    </row>
    <row r="230" spans="1:6" ht="51" customHeight="1" x14ac:dyDescent="0.25">
      <c r="A230" s="8" t="s">
        <v>4823</v>
      </c>
      <c r="B230" s="8" t="s">
        <v>4943</v>
      </c>
      <c r="C230" s="8" t="s">
        <v>4944</v>
      </c>
      <c r="D230" s="8" t="s">
        <v>4937</v>
      </c>
      <c r="E230" s="8"/>
      <c r="F230" s="9" t="s">
        <v>352</v>
      </c>
    </row>
    <row r="231" spans="1:6" ht="51" customHeight="1" x14ac:dyDescent="0.25">
      <c r="A231" s="8" t="s">
        <v>4823</v>
      </c>
      <c r="B231" s="8" t="s">
        <v>4945</v>
      </c>
      <c r="C231" s="8" t="s">
        <v>4946</v>
      </c>
      <c r="D231" s="8" t="s">
        <v>4937</v>
      </c>
      <c r="E231" s="8"/>
      <c r="F231" s="9" t="s">
        <v>352</v>
      </c>
    </row>
    <row r="232" spans="1:6" ht="51" customHeight="1" x14ac:dyDescent="0.25">
      <c r="A232" s="8" t="s">
        <v>4823</v>
      </c>
      <c r="B232" s="8" t="s">
        <v>4947</v>
      </c>
      <c r="C232" s="8" t="s">
        <v>4948</v>
      </c>
      <c r="D232" s="8" t="s">
        <v>4937</v>
      </c>
      <c r="E232" s="8"/>
      <c r="F232" s="9" t="s">
        <v>352</v>
      </c>
    </row>
    <row r="233" spans="1:6" ht="51" customHeight="1" x14ac:dyDescent="0.25">
      <c r="A233" s="8" t="s">
        <v>4823</v>
      </c>
      <c r="B233" s="8" t="s">
        <v>4949</v>
      </c>
      <c r="C233" s="8" t="s">
        <v>4950</v>
      </c>
      <c r="D233" s="8" t="s">
        <v>4937</v>
      </c>
      <c r="E233" s="8"/>
      <c r="F233" s="9" t="s">
        <v>352</v>
      </c>
    </row>
    <row r="234" spans="1:6" ht="51" customHeight="1" x14ac:dyDescent="0.25">
      <c r="A234" s="8" t="s">
        <v>4823</v>
      </c>
      <c r="B234" s="8" t="s">
        <v>4951</v>
      </c>
      <c r="C234" s="8" t="s">
        <v>4952</v>
      </c>
      <c r="D234" s="8" t="s">
        <v>4937</v>
      </c>
      <c r="E234" s="8"/>
      <c r="F234" s="9" t="s">
        <v>352</v>
      </c>
    </row>
    <row r="235" spans="1:6" ht="51" customHeight="1" x14ac:dyDescent="0.25">
      <c r="A235" s="8" t="s">
        <v>4823</v>
      </c>
      <c r="B235" s="8" t="s">
        <v>4953</v>
      </c>
      <c r="C235" s="8" t="s">
        <v>4954</v>
      </c>
      <c r="D235" s="8" t="s">
        <v>4937</v>
      </c>
      <c r="E235" s="8"/>
      <c r="F235" s="9" t="s">
        <v>352</v>
      </c>
    </row>
    <row r="236" spans="1:6" ht="51" customHeight="1" x14ac:dyDescent="0.25">
      <c r="A236" s="8" t="s">
        <v>4823</v>
      </c>
      <c r="B236" s="8" t="s">
        <v>4955</v>
      </c>
      <c r="C236" s="8" t="s">
        <v>4956</v>
      </c>
      <c r="D236" s="8" t="s">
        <v>4937</v>
      </c>
      <c r="E236" s="8"/>
      <c r="F236" s="9" t="s">
        <v>352</v>
      </c>
    </row>
    <row r="237" spans="1:6" ht="51" customHeight="1" x14ac:dyDescent="0.25">
      <c r="A237" s="8" t="s">
        <v>4823</v>
      </c>
      <c r="B237" s="8" t="s">
        <v>4957</v>
      </c>
      <c r="C237" s="8" t="s">
        <v>4958</v>
      </c>
      <c r="D237" s="8" t="s">
        <v>4937</v>
      </c>
      <c r="E237" s="8"/>
      <c r="F237" s="9" t="s">
        <v>352</v>
      </c>
    </row>
    <row r="238" spans="1:6" ht="51" customHeight="1" x14ac:dyDescent="0.25">
      <c r="A238" s="8" t="s">
        <v>4823</v>
      </c>
      <c r="B238" s="8" t="s">
        <v>4959</v>
      </c>
      <c r="C238" s="8" t="s">
        <v>4960</v>
      </c>
      <c r="D238" s="8" t="s">
        <v>4937</v>
      </c>
      <c r="E238" s="8"/>
      <c r="F238" s="9" t="s">
        <v>352</v>
      </c>
    </row>
    <row r="239" spans="1:6" ht="51" customHeight="1" x14ac:dyDescent="0.25">
      <c r="A239" s="8" t="s">
        <v>4823</v>
      </c>
      <c r="B239" s="8" t="s">
        <v>4961</v>
      </c>
      <c r="C239" s="8" t="s">
        <v>4962</v>
      </c>
      <c r="D239" s="8" t="s">
        <v>4937</v>
      </c>
      <c r="E239" s="8"/>
      <c r="F239" s="9" t="s">
        <v>352</v>
      </c>
    </row>
    <row r="240" spans="1:6" ht="51" customHeight="1" x14ac:dyDescent="0.25">
      <c r="A240" s="8" t="s">
        <v>4823</v>
      </c>
      <c r="B240" s="8" t="s">
        <v>4963</v>
      </c>
      <c r="C240" s="8" t="s">
        <v>4964</v>
      </c>
      <c r="D240" s="8" t="s">
        <v>4937</v>
      </c>
      <c r="E240" s="8"/>
      <c r="F240" s="9" t="s">
        <v>352</v>
      </c>
    </row>
    <row r="241" spans="1:6" ht="51" customHeight="1" x14ac:dyDescent="0.25">
      <c r="A241" s="8" t="s">
        <v>4823</v>
      </c>
      <c r="B241" s="8" t="s">
        <v>558</v>
      </c>
      <c r="C241" s="8" t="s">
        <v>4965</v>
      </c>
      <c r="D241" s="8" t="s">
        <v>4937</v>
      </c>
      <c r="E241" s="8"/>
      <c r="F241" s="9" t="s">
        <v>352</v>
      </c>
    </row>
    <row r="242" spans="1:6" ht="51" customHeight="1" x14ac:dyDescent="0.25">
      <c r="A242" s="8" t="s">
        <v>4823</v>
      </c>
      <c r="B242" s="8" t="s">
        <v>4966</v>
      </c>
      <c r="C242" s="8" t="s">
        <v>4967</v>
      </c>
      <c r="D242" s="8" t="s">
        <v>4937</v>
      </c>
      <c r="E242" s="8"/>
      <c r="F242" s="9" t="s">
        <v>352</v>
      </c>
    </row>
    <row r="243" spans="1:6" ht="51" customHeight="1" x14ac:dyDescent="0.25">
      <c r="A243" s="8" t="s">
        <v>4823</v>
      </c>
      <c r="B243" s="8" t="s">
        <v>4968</v>
      </c>
      <c r="C243" s="8" t="s">
        <v>4969</v>
      </c>
      <c r="D243" s="8" t="s">
        <v>4937</v>
      </c>
      <c r="E243" s="8"/>
      <c r="F243" s="9" t="s">
        <v>352</v>
      </c>
    </row>
    <row r="244" spans="1:6" ht="51" customHeight="1" x14ac:dyDescent="0.25">
      <c r="A244" s="8" t="s">
        <v>4832</v>
      </c>
      <c r="B244" s="8" t="s">
        <v>884</v>
      </c>
      <c r="C244" s="8" t="s">
        <v>884</v>
      </c>
      <c r="D244" s="8" t="s">
        <v>4937</v>
      </c>
      <c r="E244" s="8"/>
      <c r="F244" s="9" t="s">
        <v>352</v>
      </c>
    </row>
    <row r="245" spans="1:6" ht="51" customHeight="1" x14ac:dyDescent="0.25">
      <c r="A245" s="8" t="s">
        <v>4832</v>
      </c>
      <c r="B245" s="8" t="s">
        <v>4970</v>
      </c>
      <c r="C245" s="8" t="s">
        <v>4970</v>
      </c>
      <c r="D245" s="8" t="s">
        <v>4937</v>
      </c>
      <c r="E245" s="8"/>
      <c r="F245" s="9" t="s">
        <v>352</v>
      </c>
    </row>
    <row r="246" spans="1:6" ht="51" customHeight="1" x14ac:dyDescent="0.25">
      <c r="A246" s="8" t="s">
        <v>4832</v>
      </c>
      <c r="B246" s="8" t="s">
        <v>4971</v>
      </c>
      <c r="C246" s="8" t="s">
        <v>4971</v>
      </c>
      <c r="D246" s="8" t="s">
        <v>4937</v>
      </c>
      <c r="E246" s="8"/>
      <c r="F246" s="9" t="s">
        <v>352</v>
      </c>
    </row>
    <row r="247" spans="1:6" ht="51" customHeight="1" x14ac:dyDescent="0.25">
      <c r="A247" s="8" t="s">
        <v>4832</v>
      </c>
      <c r="B247" s="8" t="s">
        <v>4972</v>
      </c>
      <c r="C247" s="8" t="s">
        <v>4973</v>
      </c>
      <c r="D247" s="8" t="s">
        <v>4937</v>
      </c>
      <c r="E247" s="8"/>
      <c r="F247" s="9" t="s">
        <v>352</v>
      </c>
    </row>
    <row r="248" spans="1:6" ht="51" customHeight="1" x14ac:dyDescent="0.25">
      <c r="A248" s="8" t="s">
        <v>4832</v>
      </c>
      <c r="B248" s="8" t="s">
        <v>4974</v>
      </c>
      <c r="C248" s="8" t="s">
        <v>4974</v>
      </c>
      <c r="D248" s="8" t="s">
        <v>4937</v>
      </c>
      <c r="E248" s="8"/>
      <c r="F248" s="9" t="s">
        <v>352</v>
      </c>
    </row>
    <row r="249" spans="1:6" ht="51" customHeight="1" x14ac:dyDescent="0.25">
      <c r="A249" s="8" t="s">
        <v>4832</v>
      </c>
      <c r="B249" s="8" t="s">
        <v>401</v>
      </c>
      <c r="C249" s="8" t="s">
        <v>4975</v>
      </c>
      <c r="D249" s="8" t="s">
        <v>4937</v>
      </c>
      <c r="E249" s="8"/>
      <c r="F249" s="9" t="s">
        <v>352</v>
      </c>
    </row>
    <row r="250" spans="1:6" ht="51" customHeight="1" x14ac:dyDescent="0.25">
      <c r="A250" s="8" t="s">
        <v>4832</v>
      </c>
      <c r="B250" s="8" t="s">
        <v>710</v>
      </c>
      <c r="C250" s="8" t="s">
        <v>4976</v>
      </c>
      <c r="D250" s="8" t="s">
        <v>4937</v>
      </c>
      <c r="E250" s="8"/>
      <c r="F250" s="9" t="s">
        <v>352</v>
      </c>
    </row>
    <row r="251" spans="1:6" ht="51" customHeight="1" x14ac:dyDescent="0.25">
      <c r="A251" s="8" t="s">
        <v>4832</v>
      </c>
      <c r="B251" s="8" t="s">
        <v>4977</v>
      </c>
      <c r="C251" s="8" t="s">
        <v>4978</v>
      </c>
      <c r="D251" s="8" t="s">
        <v>4937</v>
      </c>
      <c r="E251" s="8"/>
      <c r="F251" s="9" t="s">
        <v>352</v>
      </c>
    </row>
    <row r="252" spans="1:6" ht="51" customHeight="1" x14ac:dyDescent="0.25">
      <c r="A252" s="8" t="s">
        <v>4832</v>
      </c>
      <c r="B252" s="8" t="s">
        <v>4979</v>
      </c>
      <c r="C252" s="8" t="s">
        <v>4980</v>
      </c>
      <c r="D252" s="8" t="s">
        <v>4937</v>
      </c>
      <c r="E252" s="8"/>
      <c r="F252" s="9" t="s">
        <v>352</v>
      </c>
    </row>
    <row r="253" spans="1:6" ht="51" customHeight="1" x14ac:dyDescent="0.25">
      <c r="A253" s="8" t="s">
        <v>4832</v>
      </c>
      <c r="B253" s="8" t="s">
        <v>891</v>
      </c>
      <c r="C253" s="8" t="s">
        <v>4981</v>
      </c>
      <c r="D253" s="8" t="s">
        <v>4937</v>
      </c>
      <c r="E253" s="8"/>
      <c r="F253" s="9" t="s">
        <v>352</v>
      </c>
    </row>
    <row r="254" spans="1:6" ht="51" customHeight="1" x14ac:dyDescent="0.25">
      <c r="A254" s="8" t="s">
        <v>4832</v>
      </c>
      <c r="B254" s="8" t="s">
        <v>746</v>
      </c>
      <c r="C254" s="8" t="s">
        <v>4982</v>
      </c>
      <c r="D254" s="8" t="s">
        <v>4937</v>
      </c>
      <c r="E254" s="8"/>
      <c r="F254" s="9" t="s">
        <v>352</v>
      </c>
    </row>
    <row r="255" spans="1:6" ht="51" customHeight="1" x14ac:dyDescent="0.25">
      <c r="A255" s="8" t="s">
        <v>4832</v>
      </c>
      <c r="B255" s="8" t="s">
        <v>4983</v>
      </c>
      <c r="C255" s="8" t="s">
        <v>4984</v>
      </c>
      <c r="D255" s="8" t="s">
        <v>4937</v>
      </c>
      <c r="E255" s="8"/>
      <c r="F255" s="9" t="s">
        <v>352</v>
      </c>
    </row>
    <row r="256" spans="1:6" ht="51" customHeight="1" x14ac:dyDescent="0.25">
      <c r="A256" s="8" t="s">
        <v>4832</v>
      </c>
      <c r="B256" s="8" t="s">
        <v>4085</v>
      </c>
      <c r="C256" s="8" t="s">
        <v>4985</v>
      </c>
      <c r="D256" s="8" t="s">
        <v>4937</v>
      </c>
      <c r="E256" s="8"/>
      <c r="F256" s="9" t="s">
        <v>352</v>
      </c>
    </row>
    <row r="257" spans="1:6" ht="51" customHeight="1" x14ac:dyDescent="0.25">
      <c r="A257" s="8" t="s">
        <v>4832</v>
      </c>
      <c r="B257" s="8" t="s">
        <v>362</v>
      </c>
      <c r="C257" s="8" t="s">
        <v>4986</v>
      </c>
      <c r="D257" s="8" t="s">
        <v>4937</v>
      </c>
      <c r="E257" s="8"/>
      <c r="F257" s="9" t="s">
        <v>352</v>
      </c>
    </row>
    <row r="258" spans="1:6" ht="51" customHeight="1" x14ac:dyDescent="0.25">
      <c r="A258" s="8" t="s">
        <v>4832</v>
      </c>
      <c r="B258" s="8" t="s">
        <v>4987</v>
      </c>
      <c r="C258" s="8" t="s">
        <v>4988</v>
      </c>
      <c r="D258" s="8" t="s">
        <v>4937</v>
      </c>
      <c r="E258" s="8"/>
      <c r="F258" s="9" t="s">
        <v>352</v>
      </c>
    </row>
    <row r="259" spans="1:6" ht="51" customHeight="1" x14ac:dyDescent="0.25">
      <c r="A259" s="8" t="s">
        <v>4832</v>
      </c>
      <c r="B259" s="8" t="s">
        <v>4989</v>
      </c>
      <c r="C259" s="8" t="s">
        <v>4990</v>
      </c>
      <c r="D259" s="8" t="s">
        <v>4937</v>
      </c>
      <c r="E259" s="8"/>
      <c r="F259" s="9" t="s">
        <v>352</v>
      </c>
    </row>
    <row r="260" spans="1:6" ht="51" customHeight="1" x14ac:dyDescent="0.25">
      <c r="A260" s="8" t="s">
        <v>4832</v>
      </c>
      <c r="B260" s="8" t="s">
        <v>779</v>
      </c>
      <c r="C260" s="8" t="s">
        <v>4991</v>
      </c>
      <c r="D260" s="8" t="s">
        <v>4937</v>
      </c>
      <c r="E260" s="8"/>
      <c r="F260" s="9" t="s">
        <v>352</v>
      </c>
    </row>
    <row r="261" spans="1:6" ht="51" customHeight="1" x14ac:dyDescent="0.25">
      <c r="A261" s="8" t="s">
        <v>4832</v>
      </c>
      <c r="B261" s="8" t="s">
        <v>4992</v>
      </c>
      <c r="C261" s="8" t="s">
        <v>4992</v>
      </c>
      <c r="D261" s="8" t="s">
        <v>4937</v>
      </c>
      <c r="E261" s="8"/>
      <c r="F261" s="9" t="s">
        <v>352</v>
      </c>
    </row>
    <row r="262" spans="1:6" ht="51" customHeight="1" x14ac:dyDescent="0.25">
      <c r="A262" s="8" t="s">
        <v>4832</v>
      </c>
      <c r="B262" s="8" t="s">
        <v>4993</v>
      </c>
      <c r="C262" s="8" t="s">
        <v>4994</v>
      </c>
      <c r="D262" s="8" t="s">
        <v>4937</v>
      </c>
      <c r="E262" s="8"/>
      <c r="F262" s="9" t="s">
        <v>352</v>
      </c>
    </row>
    <row r="263" spans="1:6" ht="51" customHeight="1" x14ac:dyDescent="0.25">
      <c r="A263" s="8" t="s">
        <v>4832</v>
      </c>
      <c r="B263" s="8" t="s">
        <v>4995</v>
      </c>
      <c r="C263" s="8" t="s">
        <v>4996</v>
      </c>
      <c r="D263" s="8" t="s">
        <v>4937</v>
      </c>
      <c r="E263" s="8"/>
      <c r="F263" s="9" t="s">
        <v>352</v>
      </c>
    </row>
    <row r="264" spans="1:6" ht="51" customHeight="1" x14ac:dyDescent="0.25">
      <c r="A264" s="8" t="s">
        <v>4832</v>
      </c>
      <c r="B264" s="8" t="s">
        <v>828</v>
      </c>
      <c r="C264" s="8" t="s">
        <v>4997</v>
      </c>
      <c r="D264" s="8" t="s">
        <v>4937</v>
      </c>
      <c r="E264" s="8"/>
      <c r="F264" s="9" t="s">
        <v>352</v>
      </c>
    </row>
    <row r="265" spans="1:6" ht="51" customHeight="1" x14ac:dyDescent="0.25">
      <c r="A265" s="8" t="s">
        <v>4998</v>
      </c>
      <c r="B265" s="8" t="s">
        <v>1148</v>
      </c>
      <c r="C265" s="8" t="s">
        <v>1148</v>
      </c>
      <c r="D265" s="8" t="s">
        <v>4937</v>
      </c>
      <c r="E265" s="8"/>
      <c r="F265" s="9" t="s">
        <v>352</v>
      </c>
    </row>
    <row r="266" spans="1:6" ht="51" customHeight="1" x14ac:dyDescent="0.25">
      <c r="A266" s="8" t="s">
        <v>4998</v>
      </c>
      <c r="B266" s="8" t="s">
        <v>4999</v>
      </c>
      <c r="C266" s="8" t="s">
        <v>4999</v>
      </c>
      <c r="D266" s="8" t="s">
        <v>4937</v>
      </c>
      <c r="E266" s="8"/>
      <c r="F266" s="9" t="s">
        <v>352</v>
      </c>
    </row>
    <row r="267" spans="1:6" ht="51" customHeight="1" x14ac:dyDescent="0.25">
      <c r="A267" s="8" t="s">
        <v>4998</v>
      </c>
      <c r="B267" s="8" t="s">
        <v>5000</v>
      </c>
      <c r="C267" s="8" t="s">
        <v>5001</v>
      </c>
      <c r="D267" s="8" t="s">
        <v>4937</v>
      </c>
      <c r="E267" s="8"/>
      <c r="F267" s="9" t="s">
        <v>352</v>
      </c>
    </row>
    <row r="268" spans="1:6" ht="51" customHeight="1" x14ac:dyDescent="0.25">
      <c r="A268" s="8" t="s">
        <v>4998</v>
      </c>
      <c r="B268" s="8" t="s">
        <v>4078</v>
      </c>
      <c r="C268" s="8" t="s">
        <v>5002</v>
      </c>
      <c r="D268" s="8" t="s">
        <v>4937</v>
      </c>
      <c r="E268" s="8"/>
      <c r="F268" s="9" t="s">
        <v>352</v>
      </c>
    </row>
    <row r="269" spans="1:6" ht="51" customHeight="1" x14ac:dyDescent="0.25">
      <c r="A269" s="8" t="s">
        <v>4998</v>
      </c>
      <c r="B269" s="8" t="s">
        <v>5003</v>
      </c>
      <c r="C269" s="8" t="s">
        <v>5003</v>
      </c>
      <c r="D269" s="8" t="s">
        <v>4937</v>
      </c>
      <c r="E269" s="8"/>
      <c r="F269" s="9" t="s">
        <v>352</v>
      </c>
    </row>
    <row r="270" spans="1:6" ht="51" customHeight="1" x14ac:dyDescent="0.25">
      <c r="A270" s="8" t="s">
        <v>4998</v>
      </c>
      <c r="B270" s="8" t="s">
        <v>5004</v>
      </c>
      <c r="C270" s="8" t="s">
        <v>5004</v>
      </c>
      <c r="D270" s="8" t="s">
        <v>4937</v>
      </c>
      <c r="E270" s="8"/>
      <c r="F270" s="9" t="s">
        <v>352</v>
      </c>
    </row>
    <row r="271" spans="1:6" ht="51" customHeight="1" x14ac:dyDescent="0.25">
      <c r="A271" s="8" t="s">
        <v>4998</v>
      </c>
      <c r="B271" s="8" t="s">
        <v>5005</v>
      </c>
      <c r="C271" s="8" t="s">
        <v>5005</v>
      </c>
      <c r="D271" s="8" t="s">
        <v>4937</v>
      </c>
      <c r="E271" s="8"/>
      <c r="F271" s="9" t="s">
        <v>352</v>
      </c>
    </row>
    <row r="272" spans="1:6" ht="51" customHeight="1" x14ac:dyDescent="0.25">
      <c r="A272" s="8" t="s">
        <v>4998</v>
      </c>
      <c r="B272" s="8" t="s">
        <v>5006</v>
      </c>
      <c r="C272" s="8" t="s">
        <v>5007</v>
      </c>
      <c r="D272" s="8" t="s">
        <v>4937</v>
      </c>
      <c r="E272" s="8"/>
      <c r="F272" s="9" t="s">
        <v>352</v>
      </c>
    </row>
    <row r="273" spans="1:6" ht="51" customHeight="1" x14ac:dyDescent="0.25">
      <c r="A273" s="8" t="s">
        <v>4998</v>
      </c>
      <c r="B273" s="8" t="s">
        <v>4053</v>
      </c>
      <c r="C273" s="8" t="s">
        <v>4053</v>
      </c>
      <c r="D273" s="8" t="s">
        <v>4937</v>
      </c>
      <c r="E273" s="8"/>
      <c r="F273" s="9" t="s">
        <v>352</v>
      </c>
    </row>
    <row r="274" spans="1:6" ht="51" customHeight="1" x14ac:dyDescent="0.25">
      <c r="A274" s="8" t="s">
        <v>4998</v>
      </c>
      <c r="B274" s="8" t="s">
        <v>5008</v>
      </c>
      <c r="C274" s="8" t="s">
        <v>5008</v>
      </c>
      <c r="D274" s="8" t="s">
        <v>4937</v>
      </c>
      <c r="E274" s="8"/>
      <c r="F274" s="9" t="s">
        <v>352</v>
      </c>
    </row>
    <row r="275" spans="1:6" ht="51" customHeight="1" x14ac:dyDescent="0.25">
      <c r="A275" s="8" t="s">
        <v>240</v>
      </c>
      <c r="B275" s="8" t="s">
        <v>3930</v>
      </c>
      <c r="C275" s="8" t="s">
        <v>3930</v>
      </c>
      <c r="D275" s="8" t="s">
        <v>4937</v>
      </c>
      <c r="E275" s="8"/>
      <c r="F275" s="9" t="s">
        <v>352</v>
      </c>
    </row>
    <row r="276" spans="1:6" ht="51" customHeight="1" x14ac:dyDescent="0.25">
      <c r="A276" s="8" t="s">
        <v>240</v>
      </c>
      <c r="B276" s="8" t="s">
        <v>3985</v>
      </c>
      <c r="C276" s="8" t="s">
        <v>3985</v>
      </c>
      <c r="D276" s="8" t="s">
        <v>4937</v>
      </c>
      <c r="E276" s="8"/>
      <c r="F276" s="9" t="s">
        <v>352</v>
      </c>
    </row>
    <row r="277" spans="1:6" ht="51" customHeight="1" x14ac:dyDescent="0.25">
      <c r="A277" s="8" t="s">
        <v>240</v>
      </c>
      <c r="B277" s="8" t="s">
        <v>5009</v>
      </c>
      <c r="C277" s="8" t="s">
        <v>5009</v>
      </c>
      <c r="D277" s="8" t="s">
        <v>4937</v>
      </c>
      <c r="E277" s="8"/>
      <c r="F277" s="9" t="s">
        <v>352</v>
      </c>
    </row>
    <row r="278" spans="1:6" ht="51" customHeight="1" x14ac:dyDescent="0.25">
      <c r="A278" s="8" t="s">
        <v>5010</v>
      </c>
      <c r="B278" s="8" t="s">
        <v>3928</v>
      </c>
      <c r="C278" s="8" t="s">
        <v>5011</v>
      </c>
      <c r="D278" s="8" t="s">
        <v>4937</v>
      </c>
      <c r="E278" s="8"/>
      <c r="F278" s="9" t="s">
        <v>352</v>
      </c>
    </row>
    <row r="279" spans="1:6" ht="51" customHeight="1" x14ac:dyDescent="0.25">
      <c r="A279" s="8" t="s">
        <v>5010</v>
      </c>
      <c r="B279" s="8" t="s">
        <v>5012</v>
      </c>
      <c r="C279" s="8" t="s">
        <v>5013</v>
      </c>
      <c r="D279" s="8" t="s">
        <v>4937</v>
      </c>
      <c r="E279" s="8"/>
      <c r="F279" s="9" t="s">
        <v>352</v>
      </c>
    </row>
    <row r="280" spans="1:6" ht="51" customHeight="1" x14ac:dyDescent="0.25">
      <c r="A280" s="8" t="s">
        <v>5010</v>
      </c>
      <c r="B280" s="8" t="s">
        <v>3971</v>
      </c>
      <c r="C280" s="8" t="s">
        <v>5014</v>
      </c>
      <c r="D280" s="8" t="s">
        <v>4937</v>
      </c>
      <c r="E280" s="8"/>
      <c r="F280" s="9" t="s">
        <v>352</v>
      </c>
    </row>
    <row r="281" spans="1:6" ht="51" customHeight="1" x14ac:dyDescent="0.25">
      <c r="A281" s="8" t="s">
        <v>5010</v>
      </c>
      <c r="B281" s="8" t="s">
        <v>3966</v>
      </c>
      <c r="C281" s="8" t="s">
        <v>5015</v>
      </c>
      <c r="D281" s="8" t="s">
        <v>4937</v>
      </c>
      <c r="E281" s="8"/>
      <c r="F281" s="9" t="s">
        <v>352</v>
      </c>
    </row>
    <row r="282" spans="1:6" ht="51" customHeight="1" x14ac:dyDescent="0.25">
      <c r="A282" s="8" t="s">
        <v>5010</v>
      </c>
      <c r="B282" s="8" t="s">
        <v>3980</v>
      </c>
      <c r="C282" s="8" t="s">
        <v>5016</v>
      </c>
      <c r="D282" s="8" t="s">
        <v>4937</v>
      </c>
      <c r="E282" s="8"/>
      <c r="F282" s="9" t="s">
        <v>352</v>
      </c>
    </row>
    <row r="283" spans="1:6" ht="51" customHeight="1" x14ac:dyDescent="0.25">
      <c r="A283" s="8" t="s">
        <v>5010</v>
      </c>
      <c r="B283" s="8" t="s">
        <v>5017</v>
      </c>
      <c r="C283" s="8" t="s">
        <v>5017</v>
      </c>
      <c r="D283" s="8" t="s">
        <v>4937</v>
      </c>
      <c r="E283" s="8"/>
      <c r="F283" s="9" t="s">
        <v>352</v>
      </c>
    </row>
    <row r="284" spans="1:6" ht="51" customHeight="1" x14ac:dyDescent="0.25">
      <c r="A284" s="8" t="s">
        <v>5018</v>
      </c>
      <c r="B284" s="8" t="s">
        <v>3929</v>
      </c>
      <c r="C284" s="8" t="s">
        <v>3929</v>
      </c>
      <c r="D284" s="8" t="s">
        <v>4937</v>
      </c>
      <c r="E284" s="8"/>
      <c r="F284" s="9" t="s">
        <v>352</v>
      </c>
    </row>
    <row r="285" spans="1:6" ht="51" customHeight="1" x14ac:dyDescent="0.25">
      <c r="A285" s="8" t="s">
        <v>5018</v>
      </c>
      <c r="B285" s="8" t="s">
        <v>3944</v>
      </c>
      <c r="C285" s="8" t="s">
        <v>5019</v>
      </c>
      <c r="D285" s="8" t="s">
        <v>4937</v>
      </c>
      <c r="E285" s="8"/>
      <c r="F285" s="9" t="s">
        <v>352</v>
      </c>
    </row>
    <row r="286" spans="1:6" ht="51" customHeight="1" x14ac:dyDescent="0.25">
      <c r="A286" s="8" t="s">
        <v>5018</v>
      </c>
      <c r="B286" s="8" t="s">
        <v>3960</v>
      </c>
      <c r="C286" s="8" t="s">
        <v>5020</v>
      </c>
      <c r="D286" s="8" t="s">
        <v>4937</v>
      </c>
      <c r="E286" s="8"/>
      <c r="F286" s="9" t="s">
        <v>352</v>
      </c>
    </row>
    <row r="287" spans="1:6" ht="51" customHeight="1" x14ac:dyDescent="0.25">
      <c r="A287" s="8" t="s">
        <v>5018</v>
      </c>
      <c r="B287" s="8" t="s">
        <v>3965</v>
      </c>
      <c r="C287" s="8" t="s">
        <v>5021</v>
      </c>
      <c r="D287" s="8" t="s">
        <v>4937</v>
      </c>
      <c r="E287" s="8"/>
      <c r="F287" s="9" t="s">
        <v>352</v>
      </c>
    </row>
    <row r="288" spans="1:6" ht="51" customHeight="1" x14ac:dyDescent="0.25">
      <c r="A288" s="8" t="s">
        <v>5018</v>
      </c>
      <c r="B288" s="8" t="s">
        <v>3981</v>
      </c>
      <c r="C288" s="8" t="s">
        <v>5022</v>
      </c>
      <c r="D288" s="8" t="s">
        <v>4937</v>
      </c>
      <c r="E288" s="8"/>
      <c r="F288" s="9" t="s">
        <v>352</v>
      </c>
    </row>
    <row r="289" spans="1:6" ht="51" customHeight="1" x14ac:dyDescent="0.25">
      <c r="A289" s="8" t="s">
        <v>5018</v>
      </c>
      <c r="B289" s="8" t="s">
        <v>3972</v>
      </c>
      <c r="C289" s="8" t="s">
        <v>3972</v>
      </c>
      <c r="D289" s="8" t="s">
        <v>4937</v>
      </c>
      <c r="E289" s="8"/>
      <c r="F289" s="9" t="s">
        <v>352</v>
      </c>
    </row>
    <row r="290" spans="1:6" ht="33.950000000000003" customHeight="1" x14ac:dyDescent="0.25">
      <c r="A290" s="8" t="s">
        <v>4823</v>
      </c>
      <c r="B290" s="8" t="s">
        <v>4019</v>
      </c>
      <c r="C290" s="8" t="s">
        <v>5023</v>
      </c>
      <c r="D290" s="8" t="s">
        <v>5024</v>
      </c>
      <c r="E290" s="8"/>
      <c r="F290" s="9" t="s">
        <v>352</v>
      </c>
    </row>
    <row r="291" spans="1:6" ht="36.950000000000003" customHeight="1" x14ac:dyDescent="0.25">
      <c r="A291" s="8" t="s">
        <v>4823</v>
      </c>
      <c r="B291" s="8" t="s">
        <v>4024</v>
      </c>
      <c r="C291" s="8" t="s">
        <v>5025</v>
      </c>
      <c r="D291" s="8" t="s">
        <v>5026</v>
      </c>
      <c r="E291" s="8"/>
      <c r="F291" s="9" t="s">
        <v>352</v>
      </c>
    </row>
    <row r="292" spans="1:6" ht="33.950000000000003" customHeight="1" x14ac:dyDescent="0.25">
      <c r="A292" s="8" t="s">
        <v>4823</v>
      </c>
      <c r="B292" s="8" t="s">
        <v>574</v>
      </c>
      <c r="C292" s="8" t="s">
        <v>5027</v>
      </c>
      <c r="D292" s="8" t="s">
        <v>5028</v>
      </c>
      <c r="E292" s="8"/>
      <c r="F292" s="9" t="s">
        <v>352</v>
      </c>
    </row>
    <row r="293" spans="1:6" ht="36.950000000000003" customHeight="1" x14ac:dyDescent="0.25">
      <c r="A293" s="8" t="s">
        <v>1866</v>
      </c>
      <c r="B293" s="8" t="s">
        <v>2161</v>
      </c>
      <c r="C293" s="8" t="s">
        <v>5029</v>
      </c>
      <c r="D293" s="8" t="s">
        <v>5030</v>
      </c>
      <c r="E293" s="8"/>
      <c r="F293" s="9" t="s">
        <v>352</v>
      </c>
    </row>
    <row r="294" spans="1:6" ht="36.950000000000003" customHeight="1" x14ac:dyDescent="0.25">
      <c r="A294" s="8" t="s">
        <v>1866</v>
      </c>
      <c r="B294" s="8" t="s">
        <v>2168</v>
      </c>
      <c r="C294" s="8" t="s">
        <v>5031</v>
      </c>
      <c r="D294" s="8" t="s">
        <v>5030</v>
      </c>
      <c r="E294" s="8"/>
      <c r="F294" s="9" t="s">
        <v>352</v>
      </c>
    </row>
    <row r="295" spans="1:6" ht="36.950000000000003" customHeight="1" x14ac:dyDescent="0.25">
      <c r="A295" s="8" t="s">
        <v>1866</v>
      </c>
      <c r="B295" s="8" t="s">
        <v>2175</v>
      </c>
      <c r="C295" s="8" t="s">
        <v>5032</v>
      </c>
      <c r="D295" s="8" t="s">
        <v>5033</v>
      </c>
      <c r="E295" s="8"/>
      <c r="F295" s="9" t="s">
        <v>352</v>
      </c>
    </row>
    <row r="296" spans="1:6" ht="36.950000000000003" customHeight="1" x14ac:dyDescent="0.25">
      <c r="A296" s="8" t="s">
        <v>1866</v>
      </c>
      <c r="B296" s="8" t="s">
        <v>2181</v>
      </c>
      <c r="C296" s="8" t="s">
        <v>5034</v>
      </c>
      <c r="D296" s="8" t="s">
        <v>5035</v>
      </c>
      <c r="E296" s="8"/>
      <c r="F296" s="9" t="s">
        <v>352</v>
      </c>
    </row>
    <row r="297" spans="1:6" ht="33.950000000000003" customHeight="1" x14ac:dyDescent="0.25">
      <c r="A297" s="8" t="s">
        <v>4823</v>
      </c>
      <c r="B297" s="8" t="s">
        <v>5036</v>
      </c>
      <c r="C297" s="8" t="s">
        <v>5037</v>
      </c>
      <c r="D297" s="8" t="s">
        <v>5037</v>
      </c>
      <c r="E297" s="8"/>
      <c r="F297" s="9" t="s">
        <v>352</v>
      </c>
    </row>
    <row r="298" spans="1:6" ht="33.950000000000003" customHeight="1" x14ac:dyDescent="0.25">
      <c r="A298" s="8" t="s">
        <v>4823</v>
      </c>
      <c r="B298" s="8" t="s">
        <v>5038</v>
      </c>
      <c r="C298" s="8" t="s">
        <v>5039</v>
      </c>
      <c r="D298" s="8" t="s">
        <v>5039</v>
      </c>
      <c r="E298" s="8"/>
      <c r="F298" s="9" t="s">
        <v>352</v>
      </c>
    </row>
    <row r="299" spans="1:6" ht="33.950000000000003" customHeight="1" x14ac:dyDescent="0.25">
      <c r="A299" s="8" t="s">
        <v>4823</v>
      </c>
      <c r="B299" s="8" t="s">
        <v>4069</v>
      </c>
      <c r="C299" s="8" t="s">
        <v>5040</v>
      </c>
      <c r="D299" s="8" t="s">
        <v>5040</v>
      </c>
      <c r="E299" s="8"/>
      <c r="F299" s="9" t="s">
        <v>352</v>
      </c>
    </row>
    <row r="300" spans="1:6" ht="33.950000000000003" customHeight="1" x14ac:dyDescent="0.25">
      <c r="A300" s="8" t="s">
        <v>4832</v>
      </c>
      <c r="B300" s="8" t="s">
        <v>4058</v>
      </c>
      <c r="C300" s="8" t="s">
        <v>5041</v>
      </c>
      <c r="D300" s="8" t="s">
        <v>5041</v>
      </c>
      <c r="E300" s="8"/>
      <c r="F300" s="9" t="s">
        <v>352</v>
      </c>
    </row>
    <row r="301" spans="1:6" ht="33.950000000000003" customHeight="1" x14ac:dyDescent="0.25">
      <c r="A301" s="8" t="s">
        <v>4832</v>
      </c>
      <c r="B301" s="8" t="s">
        <v>5042</v>
      </c>
      <c r="C301" s="8" t="s">
        <v>5043</v>
      </c>
      <c r="D301" s="8" t="s">
        <v>5043</v>
      </c>
      <c r="E301" s="8"/>
      <c r="F301" s="9" t="s">
        <v>352</v>
      </c>
    </row>
    <row r="302" spans="1:6" ht="36.950000000000003" customHeight="1" x14ac:dyDescent="0.25">
      <c r="A302" s="8" t="s">
        <v>4832</v>
      </c>
      <c r="B302" s="8" t="s">
        <v>5044</v>
      </c>
      <c r="C302" s="8" t="s">
        <v>5045</v>
      </c>
      <c r="D302" s="8" t="s">
        <v>5045</v>
      </c>
      <c r="E302" s="8"/>
      <c r="F302" s="9" t="s">
        <v>352</v>
      </c>
    </row>
    <row r="303" spans="1:6" ht="33.950000000000003" customHeight="1" x14ac:dyDescent="0.25">
      <c r="A303" s="8" t="s">
        <v>4832</v>
      </c>
      <c r="B303" s="8" t="s">
        <v>347</v>
      </c>
      <c r="C303" s="8" t="s">
        <v>5046</v>
      </c>
      <c r="D303" s="8" t="s">
        <v>5046</v>
      </c>
      <c r="E303" s="8"/>
      <c r="F303" s="9" t="s">
        <v>352</v>
      </c>
    </row>
    <row r="304" spans="1:6" ht="33.950000000000003" customHeight="1" x14ac:dyDescent="0.25">
      <c r="A304" s="8" t="s">
        <v>4832</v>
      </c>
      <c r="B304" s="8" t="s">
        <v>4070</v>
      </c>
      <c r="C304" s="8" t="s">
        <v>5047</v>
      </c>
      <c r="D304" s="8" t="s">
        <v>5047</v>
      </c>
      <c r="E304" s="8"/>
      <c r="F304" s="9" t="s">
        <v>352</v>
      </c>
    </row>
    <row r="305" spans="1:6" ht="33.950000000000003" customHeight="1" x14ac:dyDescent="0.25">
      <c r="A305" s="8" t="s">
        <v>4832</v>
      </c>
      <c r="B305" s="8" t="s">
        <v>5048</v>
      </c>
      <c r="C305" s="8" t="s">
        <v>5049</v>
      </c>
      <c r="D305" s="8" t="s">
        <v>5049</v>
      </c>
      <c r="E305" s="8"/>
      <c r="F305" s="9" t="s">
        <v>352</v>
      </c>
    </row>
    <row r="306" spans="1:6" ht="36.950000000000003" customHeight="1" x14ac:dyDescent="0.25">
      <c r="A306" s="8" t="s">
        <v>4832</v>
      </c>
      <c r="B306" s="8" t="s">
        <v>417</v>
      </c>
      <c r="C306" s="8" t="s">
        <v>5050</v>
      </c>
      <c r="D306" s="8" t="s">
        <v>5050</v>
      </c>
      <c r="E306" s="8"/>
      <c r="F306" s="9" t="s">
        <v>352</v>
      </c>
    </row>
    <row r="307" spans="1:6" ht="36.950000000000003" customHeight="1" x14ac:dyDescent="0.25">
      <c r="A307" s="8" t="s">
        <v>4832</v>
      </c>
      <c r="B307" s="8" t="s">
        <v>559</v>
      </c>
      <c r="C307" s="8" t="s">
        <v>5051</v>
      </c>
      <c r="D307" s="8" t="s">
        <v>5051</v>
      </c>
      <c r="E307" s="8"/>
      <c r="F307" s="9" t="s">
        <v>352</v>
      </c>
    </row>
    <row r="308" spans="1:6" ht="33.950000000000003" customHeight="1" x14ac:dyDescent="0.25">
      <c r="A308" s="8" t="s">
        <v>4811</v>
      </c>
      <c r="B308" s="8" t="s">
        <v>4038</v>
      </c>
      <c r="C308" s="8" t="s">
        <v>5052</v>
      </c>
      <c r="D308" s="8" t="s">
        <v>5052</v>
      </c>
      <c r="E308" s="8"/>
      <c r="F308" s="9" t="s">
        <v>352</v>
      </c>
    </row>
    <row r="309" spans="1:6" ht="33.950000000000003" customHeight="1" x14ac:dyDescent="0.25">
      <c r="A309" s="8" t="s">
        <v>4811</v>
      </c>
      <c r="B309" s="8" t="s">
        <v>4086</v>
      </c>
      <c r="C309" s="8" t="s">
        <v>5053</v>
      </c>
      <c r="D309" s="8" t="s">
        <v>5053</v>
      </c>
      <c r="E309" s="8"/>
      <c r="F309" s="9" t="s">
        <v>352</v>
      </c>
    </row>
    <row r="310" spans="1:6" ht="33.950000000000003" customHeight="1" x14ac:dyDescent="0.25">
      <c r="A310" s="8" t="s">
        <v>4811</v>
      </c>
      <c r="B310" s="8" t="s">
        <v>5054</v>
      </c>
      <c r="C310" s="8" t="s">
        <v>5055</v>
      </c>
      <c r="D310" s="8" t="s">
        <v>5055</v>
      </c>
      <c r="E310" s="8"/>
      <c r="F310" s="9" t="s">
        <v>352</v>
      </c>
    </row>
    <row r="311" spans="1:6" ht="33.950000000000003" customHeight="1" x14ac:dyDescent="0.25">
      <c r="A311" s="8" t="s">
        <v>4811</v>
      </c>
      <c r="B311" s="8" t="s">
        <v>560</v>
      </c>
      <c r="C311" s="8" t="s">
        <v>5056</v>
      </c>
      <c r="D311" s="8" t="s">
        <v>5056</v>
      </c>
      <c r="E311" s="8"/>
      <c r="F311" s="9" t="s">
        <v>352</v>
      </c>
    </row>
    <row r="312" spans="1:6" ht="33.950000000000003" customHeight="1" x14ac:dyDescent="0.25">
      <c r="A312" s="8" t="s">
        <v>4811</v>
      </c>
      <c r="B312" s="8" t="s">
        <v>4045</v>
      </c>
      <c r="C312" s="8" t="s">
        <v>5057</v>
      </c>
      <c r="D312" s="8" t="s">
        <v>5057</v>
      </c>
      <c r="E312" s="8"/>
      <c r="F312" s="9" t="s">
        <v>352</v>
      </c>
    </row>
    <row r="313" spans="1:6" ht="33.950000000000003" customHeight="1" x14ac:dyDescent="0.25">
      <c r="A313" s="8" t="s">
        <v>4811</v>
      </c>
      <c r="B313" s="8" t="s">
        <v>5058</v>
      </c>
      <c r="C313" s="8" t="s">
        <v>5059</v>
      </c>
      <c r="D313" s="8" t="s">
        <v>5059</v>
      </c>
      <c r="E313" s="8"/>
      <c r="F313" s="9" t="s">
        <v>352</v>
      </c>
    </row>
    <row r="314" spans="1:6" ht="33.950000000000003" customHeight="1" x14ac:dyDescent="0.25">
      <c r="A314" s="8" t="s">
        <v>5010</v>
      </c>
      <c r="B314" s="8" t="s">
        <v>4059</v>
      </c>
      <c r="C314" s="8" t="s">
        <v>5060</v>
      </c>
      <c r="D314" s="8" t="s">
        <v>5060</v>
      </c>
      <c r="E314" s="8"/>
      <c r="F314" s="9" t="s">
        <v>352</v>
      </c>
    </row>
    <row r="315" spans="1:6" ht="33.950000000000003" customHeight="1" x14ac:dyDescent="0.25">
      <c r="A315" s="8" t="s">
        <v>5010</v>
      </c>
      <c r="B315" s="8" t="s">
        <v>4052</v>
      </c>
      <c r="C315" s="8" t="s">
        <v>5061</v>
      </c>
      <c r="D315" s="8" t="s">
        <v>5061</v>
      </c>
      <c r="E315" s="8"/>
      <c r="F315" s="9" t="s">
        <v>352</v>
      </c>
    </row>
    <row r="316" spans="1:6" ht="33.950000000000003" customHeight="1" x14ac:dyDescent="0.25">
      <c r="A316" s="8" t="s">
        <v>5010</v>
      </c>
      <c r="B316" s="8" t="s">
        <v>4033</v>
      </c>
      <c r="C316" s="8" t="s">
        <v>5062</v>
      </c>
      <c r="D316" s="8" t="s">
        <v>5062</v>
      </c>
      <c r="E316" s="8"/>
      <c r="F316" s="9" t="s">
        <v>352</v>
      </c>
    </row>
    <row r="317" spans="1:6" ht="33.950000000000003" customHeight="1" x14ac:dyDescent="0.25">
      <c r="A317" s="8" t="s">
        <v>5010</v>
      </c>
      <c r="B317" s="8" t="s">
        <v>5063</v>
      </c>
      <c r="C317" s="8" t="s">
        <v>5064</v>
      </c>
      <c r="D317" s="8" t="s">
        <v>5064</v>
      </c>
      <c r="E317" s="8"/>
      <c r="F317" s="9" t="s">
        <v>352</v>
      </c>
    </row>
    <row r="318" spans="1:6" ht="33.950000000000003" customHeight="1" x14ac:dyDescent="0.25">
      <c r="A318" s="8" t="s">
        <v>5010</v>
      </c>
      <c r="B318" s="8" t="s">
        <v>4087</v>
      </c>
      <c r="C318" s="8" t="s">
        <v>4087</v>
      </c>
      <c r="D318" s="8" t="s">
        <v>4087</v>
      </c>
      <c r="E318" s="8"/>
      <c r="F318" s="9" t="s">
        <v>352</v>
      </c>
    </row>
    <row r="319" spans="1:6" ht="33.950000000000003" customHeight="1" x14ac:dyDescent="0.25">
      <c r="A319" s="8" t="s">
        <v>5010</v>
      </c>
      <c r="B319" s="8" t="s">
        <v>4039</v>
      </c>
      <c r="C319" s="8" t="s">
        <v>5065</v>
      </c>
      <c r="D319" s="8" t="s">
        <v>5065</v>
      </c>
      <c r="E319" s="8"/>
      <c r="F319" s="9" t="s">
        <v>352</v>
      </c>
    </row>
    <row r="320" spans="1:6" ht="33.950000000000003" customHeight="1" x14ac:dyDescent="0.25">
      <c r="A320" s="8" t="s">
        <v>5010</v>
      </c>
      <c r="B320" s="8" t="s">
        <v>5066</v>
      </c>
      <c r="C320" s="8" t="s">
        <v>5067</v>
      </c>
      <c r="D320" s="8" t="s">
        <v>5067</v>
      </c>
      <c r="E320" s="8"/>
      <c r="F320" s="9" t="s">
        <v>352</v>
      </c>
    </row>
    <row r="321" spans="1:6" ht="33.950000000000003" customHeight="1" x14ac:dyDescent="0.25">
      <c r="A321" s="8" t="s">
        <v>5010</v>
      </c>
      <c r="B321" s="8" t="s">
        <v>4064</v>
      </c>
      <c r="C321" s="8" t="s">
        <v>5068</v>
      </c>
      <c r="D321" s="8" t="s">
        <v>5068</v>
      </c>
      <c r="E321" s="8"/>
      <c r="F321" s="9" t="s">
        <v>352</v>
      </c>
    </row>
    <row r="322" spans="1:6" ht="33.950000000000003" customHeight="1" x14ac:dyDescent="0.25">
      <c r="A322" s="8" t="s">
        <v>240</v>
      </c>
      <c r="B322" s="8" t="s">
        <v>4040</v>
      </c>
      <c r="C322" s="8" t="s">
        <v>5069</v>
      </c>
      <c r="D322" s="8" t="s">
        <v>5069</v>
      </c>
      <c r="E322" s="8"/>
      <c r="F322" s="9" t="s">
        <v>352</v>
      </c>
    </row>
    <row r="323" spans="1:6" ht="33.950000000000003" customHeight="1" x14ac:dyDescent="0.25">
      <c r="A323" s="8" t="s">
        <v>5018</v>
      </c>
      <c r="B323" s="8" t="s">
        <v>4088</v>
      </c>
      <c r="C323" s="8" t="s">
        <v>5070</v>
      </c>
      <c r="D323" s="8" t="s">
        <v>5070</v>
      </c>
      <c r="E323" s="8"/>
      <c r="F323" s="9" t="s">
        <v>352</v>
      </c>
    </row>
    <row r="324" spans="1:6" ht="33.950000000000003" customHeight="1" x14ac:dyDescent="0.25">
      <c r="A324" s="8" t="s">
        <v>5018</v>
      </c>
      <c r="B324" s="8" t="s">
        <v>4071</v>
      </c>
      <c r="C324" s="8" t="s">
        <v>5071</v>
      </c>
      <c r="D324" s="8" t="s">
        <v>5071</v>
      </c>
      <c r="E324" s="8"/>
      <c r="F324" s="9" t="s">
        <v>352</v>
      </c>
    </row>
    <row r="325" spans="1:6" ht="33.950000000000003" customHeight="1" x14ac:dyDescent="0.25">
      <c r="A325" s="8" t="s">
        <v>5018</v>
      </c>
      <c r="B325" s="8" t="s">
        <v>4046</v>
      </c>
      <c r="C325" s="8" t="s">
        <v>5072</v>
      </c>
      <c r="D325" s="8" t="s">
        <v>5072</v>
      </c>
      <c r="E325" s="8"/>
      <c r="F325" s="9" t="s">
        <v>352</v>
      </c>
    </row>
    <row r="326" spans="1:6" ht="36.950000000000003" customHeight="1" x14ac:dyDescent="0.25">
      <c r="A326" s="8" t="s">
        <v>5018</v>
      </c>
      <c r="B326" s="8" t="s">
        <v>4034</v>
      </c>
      <c r="C326" s="8" t="s">
        <v>5073</v>
      </c>
      <c r="D326" s="8" t="s">
        <v>5073</v>
      </c>
      <c r="E326" s="8"/>
      <c r="F326" s="9" t="s">
        <v>352</v>
      </c>
    </row>
    <row r="327" spans="1:6" ht="33.950000000000003" customHeight="1" x14ac:dyDescent="0.25">
      <c r="A327" s="8" t="s">
        <v>4866</v>
      </c>
      <c r="B327" s="8" t="s">
        <v>5074</v>
      </c>
      <c r="C327" s="8" t="s">
        <v>5075</v>
      </c>
      <c r="D327" s="8" t="s">
        <v>5075</v>
      </c>
      <c r="E327" s="8"/>
      <c r="F327" s="9" t="s">
        <v>352</v>
      </c>
    </row>
    <row r="328" spans="1:6" ht="33.950000000000003" customHeight="1" x14ac:dyDescent="0.25">
      <c r="A328" s="8" t="s">
        <v>4866</v>
      </c>
      <c r="B328" s="8" t="s">
        <v>5076</v>
      </c>
      <c r="C328" s="8" t="s">
        <v>5077</v>
      </c>
      <c r="D328" s="8" t="s">
        <v>5077</v>
      </c>
      <c r="E328" s="8"/>
      <c r="F328" s="9" t="s">
        <v>352</v>
      </c>
    </row>
    <row r="329" spans="1:6" ht="33.950000000000003" customHeight="1" x14ac:dyDescent="0.25">
      <c r="A329" s="8" t="s">
        <v>4866</v>
      </c>
      <c r="B329" s="8" t="s">
        <v>5078</v>
      </c>
      <c r="C329" s="8" t="s">
        <v>5079</v>
      </c>
      <c r="D329" s="8" t="s">
        <v>5079</v>
      </c>
      <c r="E329" s="8"/>
      <c r="F329" s="9" t="s">
        <v>352</v>
      </c>
    </row>
    <row r="330" spans="1:6" ht="33.950000000000003" customHeight="1" x14ac:dyDescent="0.25">
      <c r="A330" s="8" t="s">
        <v>4866</v>
      </c>
      <c r="B330" s="8" t="s">
        <v>5080</v>
      </c>
      <c r="C330" s="8" t="s">
        <v>5081</v>
      </c>
      <c r="D330" s="8" t="s">
        <v>5081</v>
      </c>
      <c r="E330" s="8"/>
      <c r="F330" s="9" t="s">
        <v>352</v>
      </c>
    </row>
    <row r="331" spans="1:6" ht="33.950000000000003" customHeight="1" x14ac:dyDescent="0.25">
      <c r="A331" s="8" t="s">
        <v>4866</v>
      </c>
      <c r="B331" s="8" t="s">
        <v>5082</v>
      </c>
      <c r="C331" s="8" t="s">
        <v>5083</v>
      </c>
      <c r="D331" s="8" t="s">
        <v>5083</v>
      </c>
      <c r="E331" s="8"/>
      <c r="F331" s="9" t="s">
        <v>352</v>
      </c>
    </row>
    <row r="332" spans="1:6" ht="33.950000000000003" customHeight="1" x14ac:dyDescent="0.25">
      <c r="A332" s="8" t="s">
        <v>4866</v>
      </c>
      <c r="B332" s="8" t="s">
        <v>5084</v>
      </c>
      <c r="C332" s="8" t="s">
        <v>5085</v>
      </c>
      <c r="D332" s="8" t="s">
        <v>5085</v>
      </c>
      <c r="E332" s="8"/>
      <c r="F332" s="9" t="s">
        <v>352</v>
      </c>
    </row>
    <row r="333" spans="1:6" ht="33.950000000000003" customHeight="1" x14ac:dyDescent="0.25">
      <c r="A333" s="8" t="s">
        <v>4866</v>
      </c>
      <c r="B333" s="8" t="s">
        <v>5086</v>
      </c>
      <c r="C333" s="8" t="s">
        <v>5087</v>
      </c>
      <c r="D333" s="8" t="s">
        <v>5087</v>
      </c>
      <c r="E333" s="8"/>
      <c r="F333" s="9" t="s">
        <v>352</v>
      </c>
    </row>
    <row r="334" spans="1:6" ht="33.950000000000003" customHeight="1" x14ac:dyDescent="0.25">
      <c r="A334" s="8" t="s">
        <v>4866</v>
      </c>
      <c r="B334" s="8" t="s">
        <v>5088</v>
      </c>
      <c r="C334" s="8" t="s">
        <v>5089</v>
      </c>
      <c r="D334" s="8" t="s">
        <v>5089</v>
      </c>
      <c r="E334" s="8"/>
      <c r="F334" s="9" t="s">
        <v>352</v>
      </c>
    </row>
    <row r="335" spans="1:6" ht="33.950000000000003" customHeight="1" x14ac:dyDescent="0.25">
      <c r="A335" s="8" t="s">
        <v>4866</v>
      </c>
      <c r="B335" s="8" t="s">
        <v>5090</v>
      </c>
      <c r="C335" s="8" t="s">
        <v>5091</v>
      </c>
      <c r="D335" s="8" t="s">
        <v>5091</v>
      </c>
      <c r="E335" s="8"/>
      <c r="F335" s="9" t="s">
        <v>352</v>
      </c>
    </row>
    <row r="336" spans="1:6" ht="33.950000000000003" customHeight="1" x14ac:dyDescent="0.25">
      <c r="A336" s="8" t="s">
        <v>4866</v>
      </c>
      <c r="B336" s="8" t="s">
        <v>5092</v>
      </c>
      <c r="C336" s="8" t="s">
        <v>5093</v>
      </c>
      <c r="D336" s="8" t="s">
        <v>5093</v>
      </c>
      <c r="E336" s="8"/>
      <c r="F336" s="9" t="s">
        <v>352</v>
      </c>
    </row>
    <row r="337" spans="1:6" ht="33.950000000000003" customHeight="1" x14ac:dyDescent="0.25">
      <c r="A337" s="8" t="s">
        <v>4866</v>
      </c>
      <c r="B337" s="8" t="s">
        <v>5094</v>
      </c>
      <c r="C337" s="8" t="s">
        <v>5095</v>
      </c>
      <c r="D337" s="8" t="s">
        <v>5095</v>
      </c>
      <c r="E337" s="8"/>
      <c r="F337" s="9" t="s">
        <v>352</v>
      </c>
    </row>
    <row r="338" spans="1:6" ht="33.950000000000003" customHeight="1" x14ac:dyDescent="0.25">
      <c r="A338" s="8" t="s">
        <v>4866</v>
      </c>
      <c r="B338" s="8" t="s">
        <v>5096</v>
      </c>
      <c r="C338" s="8" t="s">
        <v>5097</v>
      </c>
      <c r="D338" s="8" t="s">
        <v>5097</v>
      </c>
      <c r="E338" s="8"/>
      <c r="F338" s="9" t="s">
        <v>352</v>
      </c>
    </row>
    <row r="339" spans="1:6" ht="33.950000000000003" customHeight="1" x14ac:dyDescent="0.25">
      <c r="A339" s="8" t="s">
        <v>4866</v>
      </c>
      <c r="B339" s="8" t="s">
        <v>5098</v>
      </c>
      <c r="C339" s="8" t="s">
        <v>5099</v>
      </c>
      <c r="D339" s="8" t="s">
        <v>5099</v>
      </c>
      <c r="E339" s="8"/>
      <c r="F339" s="9" t="s">
        <v>352</v>
      </c>
    </row>
    <row r="340" spans="1:6" ht="33.950000000000003" customHeight="1" x14ac:dyDescent="0.25">
      <c r="A340" s="8" t="s">
        <v>4866</v>
      </c>
      <c r="B340" s="8" t="s">
        <v>5100</v>
      </c>
      <c r="C340" s="8" t="s">
        <v>5101</v>
      </c>
      <c r="D340" s="8" t="s">
        <v>5101</v>
      </c>
      <c r="E340" s="8"/>
      <c r="F340" s="9" t="s">
        <v>352</v>
      </c>
    </row>
    <row r="341" spans="1:6" ht="33.950000000000003" customHeight="1" x14ac:dyDescent="0.25">
      <c r="A341" s="8" t="s">
        <v>4866</v>
      </c>
      <c r="B341" s="8" t="s">
        <v>5102</v>
      </c>
      <c r="C341" s="8" t="s">
        <v>5103</v>
      </c>
      <c r="D341" s="8" t="s">
        <v>5103</v>
      </c>
      <c r="E341" s="8"/>
      <c r="F341" s="9" t="s">
        <v>352</v>
      </c>
    </row>
    <row r="342" spans="1:6" ht="33.950000000000003" customHeight="1" x14ac:dyDescent="0.25">
      <c r="A342" s="8" t="s">
        <v>4866</v>
      </c>
      <c r="B342" s="8" t="s">
        <v>5104</v>
      </c>
      <c r="C342" s="8" t="s">
        <v>5105</v>
      </c>
      <c r="D342" s="8" t="s">
        <v>5105</v>
      </c>
      <c r="E342" s="8"/>
      <c r="F342" s="9" t="s">
        <v>352</v>
      </c>
    </row>
    <row r="343" spans="1:6" ht="33.950000000000003" customHeight="1" x14ac:dyDescent="0.25">
      <c r="A343" s="8" t="s">
        <v>4866</v>
      </c>
      <c r="B343" s="8" t="s">
        <v>5106</v>
      </c>
      <c r="C343" s="8" t="s">
        <v>5107</v>
      </c>
      <c r="D343" s="8" t="s">
        <v>5107</v>
      </c>
      <c r="E343" s="8"/>
      <c r="F343" s="9" t="s">
        <v>352</v>
      </c>
    </row>
    <row r="344" spans="1:6" ht="33.950000000000003" customHeight="1" x14ac:dyDescent="0.25">
      <c r="A344" s="8" t="s">
        <v>4866</v>
      </c>
      <c r="B344" s="8" t="s">
        <v>5108</v>
      </c>
      <c r="C344" s="8" t="s">
        <v>5109</v>
      </c>
      <c r="D344" s="8" t="s">
        <v>5109</v>
      </c>
      <c r="E344" s="8"/>
      <c r="F344" s="9" t="s">
        <v>352</v>
      </c>
    </row>
    <row r="345" spans="1:6" ht="33.950000000000003" customHeight="1" x14ac:dyDescent="0.25">
      <c r="A345" s="8" t="s">
        <v>4866</v>
      </c>
      <c r="B345" s="8" t="s">
        <v>5110</v>
      </c>
      <c r="C345" s="8" t="s">
        <v>5111</v>
      </c>
      <c r="D345" s="8" t="s">
        <v>5111</v>
      </c>
      <c r="E345" s="8"/>
      <c r="F345" s="9" t="s">
        <v>352</v>
      </c>
    </row>
    <row r="346" spans="1:6" ht="33.950000000000003" customHeight="1" x14ac:dyDescent="0.25">
      <c r="A346" s="8" t="s">
        <v>4866</v>
      </c>
      <c r="B346" s="8" t="s">
        <v>5112</v>
      </c>
      <c r="C346" s="8" t="s">
        <v>5113</v>
      </c>
      <c r="D346" s="8" t="s">
        <v>5113</v>
      </c>
      <c r="E346" s="8"/>
      <c r="F346" s="9" t="s">
        <v>352</v>
      </c>
    </row>
    <row r="347" spans="1:6" ht="33.950000000000003" customHeight="1" x14ac:dyDescent="0.25">
      <c r="A347" s="8" t="s">
        <v>4866</v>
      </c>
      <c r="B347" s="8" t="s">
        <v>5114</v>
      </c>
      <c r="C347" s="8" t="s">
        <v>5115</v>
      </c>
      <c r="D347" s="8" t="s">
        <v>5115</v>
      </c>
      <c r="E347" s="8"/>
      <c r="F347" s="9" t="s">
        <v>352</v>
      </c>
    </row>
    <row r="348" spans="1:6" ht="33.950000000000003" customHeight="1" x14ac:dyDescent="0.25">
      <c r="A348" s="8" t="s">
        <v>4866</v>
      </c>
      <c r="B348" s="8" t="s">
        <v>5116</v>
      </c>
      <c r="C348" s="8" t="s">
        <v>5117</v>
      </c>
      <c r="D348" s="8" t="s">
        <v>5117</v>
      </c>
      <c r="E348" s="8"/>
      <c r="F348" s="9" t="s">
        <v>352</v>
      </c>
    </row>
    <row r="349" spans="1:6" ht="33.950000000000003" customHeight="1" x14ac:dyDescent="0.25">
      <c r="A349" s="8" t="s">
        <v>4866</v>
      </c>
      <c r="B349" s="8" t="s">
        <v>5118</v>
      </c>
      <c r="C349" s="8" t="s">
        <v>5119</v>
      </c>
      <c r="D349" s="8" t="s">
        <v>5119</v>
      </c>
      <c r="E349" s="8"/>
      <c r="F349" s="9" t="s">
        <v>352</v>
      </c>
    </row>
  </sheetData>
  <dataValidations count="1">
    <dataValidation type="list" showErrorMessage="1" errorTitle="Controlled value required" error="Select a defined value; do not invent a tag." sqref="F2:F500" xr:uid="{00000000-0002-0000-1700-000000000000}">
      <formula1>"ACTIVE,REVIEW,INACTIVE"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8354A"/>
    <outlinePr summaryBelow="0" summaryRight="0"/>
    <pageSetUpPr fitToPage="1"/>
  </sheetPr>
  <dimension ref="A1:C12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27" customWidth="1"/>
    <col min="3" max="3" width="61" customWidth="1"/>
  </cols>
  <sheetData>
    <row r="1" spans="1:3" ht="42.95" customHeight="1" x14ac:dyDescent="0.25">
      <c r="A1" s="7" t="s">
        <v>5120</v>
      </c>
      <c r="B1" s="7" t="s">
        <v>5121</v>
      </c>
      <c r="C1" s="7" t="s">
        <v>4311</v>
      </c>
    </row>
    <row r="2" spans="1:3" ht="36.950000000000003" customHeight="1" x14ac:dyDescent="0.25">
      <c r="A2" s="8" t="s">
        <v>5122</v>
      </c>
      <c r="B2" s="8" t="s">
        <v>5123</v>
      </c>
      <c r="C2" s="8" t="s">
        <v>5124</v>
      </c>
    </row>
    <row r="3" spans="1:3" ht="36.950000000000003" customHeight="1" x14ac:dyDescent="0.25">
      <c r="A3" s="8" t="s">
        <v>5125</v>
      </c>
      <c r="B3" s="15" t="s">
        <v>1685</v>
      </c>
      <c r="C3" s="8" t="s">
        <v>5126</v>
      </c>
    </row>
    <row r="4" spans="1:3" ht="36.950000000000003" customHeight="1" x14ac:dyDescent="0.25">
      <c r="A4" s="8" t="s">
        <v>3258</v>
      </c>
      <c r="B4" s="8" t="s">
        <v>5127</v>
      </c>
      <c r="C4" s="8" t="s">
        <v>5128</v>
      </c>
    </row>
    <row r="5" spans="1:3" ht="36.950000000000003" customHeight="1" x14ac:dyDescent="0.25">
      <c r="A5" s="8" t="s">
        <v>5129</v>
      </c>
      <c r="B5" s="8" t="s">
        <v>69</v>
      </c>
      <c r="C5" s="8" t="s">
        <v>5130</v>
      </c>
    </row>
    <row r="6" spans="1:3" ht="36.950000000000003" customHeight="1" x14ac:dyDescent="0.25">
      <c r="A6" s="8" t="s">
        <v>5131</v>
      </c>
      <c r="B6" s="8" t="s">
        <v>80</v>
      </c>
      <c r="C6" s="8" t="s">
        <v>5132</v>
      </c>
    </row>
    <row r="7" spans="1:3" ht="36.950000000000003" customHeight="1" x14ac:dyDescent="0.25">
      <c r="A7" s="8" t="s">
        <v>5133</v>
      </c>
      <c r="B7" s="8" t="s">
        <v>5134</v>
      </c>
      <c r="C7" s="8" t="s">
        <v>5135</v>
      </c>
    </row>
    <row r="8" spans="1:3" ht="51" customHeight="1" x14ac:dyDescent="0.25">
      <c r="A8" s="8" t="s">
        <v>58</v>
      </c>
      <c r="B8" s="10">
        <v>12</v>
      </c>
      <c r="C8" s="8" t="s">
        <v>5136</v>
      </c>
    </row>
    <row r="9" spans="1:3" ht="36.950000000000003" customHeight="1" x14ac:dyDescent="0.25">
      <c r="A9" s="8" t="s">
        <v>5137</v>
      </c>
      <c r="B9" s="8" t="s">
        <v>5138</v>
      </c>
      <c r="C9" s="8" t="s">
        <v>5139</v>
      </c>
    </row>
    <row r="10" spans="1:3" ht="36.950000000000003" customHeight="1" x14ac:dyDescent="0.25">
      <c r="A10" s="8" t="s">
        <v>5140</v>
      </c>
      <c r="B10" s="8" t="s">
        <v>5141</v>
      </c>
      <c r="C10" s="8" t="s">
        <v>5142</v>
      </c>
    </row>
    <row r="11" spans="1:3" ht="36.950000000000003" customHeight="1" x14ac:dyDescent="0.25">
      <c r="A11" s="8" t="s">
        <v>5143</v>
      </c>
      <c r="B11" s="8" t="s">
        <v>5144</v>
      </c>
      <c r="C11" s="8" t="s">
        <v>5145</v>
      </c>
    </row>
    <row r="12" spans="1:3" ht="36.950000000000003" customHeight="1" x14ac:dyDescent="0.25">
      <c r="A12" s="8" t="s">
        <v>5146</v>
      </c>
      <c r="B12" s="8" t="s">
        <v>80</v>
      </c>
      <c r="C12" s="8" t="s">
        <v>5147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8354A"/>
    <outlinePr summaryBelow="0" summaryRight="0"/>
    <pageSetUpPr fitToPage="1"/>
  </sheetPr>
  <dimension ref="A1:C24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20" customWidth="1"/>
    <col min="3" max="3" width="61" customWidth="1"/>
  </cols>
  <sheetData>
    <row r="1" spans="1:3" ht="42.95" customHeight="1" x14ac:dyDescent="0.25">
      <c r="A1" s="7" t="s">
        <v>5148</v>
      </c>
      <c r="B1" s="7" t="s">
        <v>4778</v>
      </c>
      <c r="C1" s="7" t="s">
        <v>5149</v>
      </c>
    </row>
    <row r="2" spans="1:3" ht="36.950000000000003" customHeight="1" x14ac:dyDescent="0.25">
      <c r="A2" s="8" t="s">
        <v>5150</v>
      </c>
      <c r="B2" s="10">
        <v>100</v>
      </c>
      <c r="C2" s="8" t="s">
        <v>5151</v>
      </c>
    </row>
    <row r="3" spans="1:3" ht="33.950000000000003" customHeight="1" x14ac:dyDescent="0.25">
      <c r="A3" s="8" t="s">
        <v>5152</v>
      </c>
      <c r="B3" s="10">
        <v>60</v>
      </c>
      <c r="C3" s="8" t="s">
        <v>5153</v>
      </c>
    </row>
    <row r="4" spans="1:3" ht="33.950000000000003" customHeight="1" x14ac:dyDescent="0.25">
      <c r="A4" s="8" t="s">
        <v>5154</v>
      </c>
      <c r="B4" s="10">
        <v>35</v>
      </c>
      <c r="C4" s="8" t="s">
        <v>5155</v>
      </c>
    </row>
    <row r="5" spans="1:3" ht="36.950000000000003" customHeight="1" x14ac:dyDescent="0.25">
      <c r="A5" s="8" t="s">
        <v>5156</v>
      </c>
      <c r="B5" s="10">
        <v>15</v>
      </c>
      <c r="C5" s="8" t="s">
        <v>5157</v>
      </c>
    </row>
    <row r="6" spans="1:3" ht="33.950000000000003" customHeight="1" x14ac:dyDescent="0.25">
      <c r="A6" s="8" t="s">
        <v>5158</v>
      </c>
      <c r="B6" s="10">
        <v>25</v>
      </c>
      <c r="C6" s="8" t="s">
        <v>5159</v>
      </c>
    </row>
    <row r="7" spans="1:3" ht="33.950000000000003" customHeight="1" x14ac:dyDescent="0.25">
      <c r="A7" s="8" t="s">
        <v>5160</v>
      </c>
      <c r="B7" s="10">
        <v>5</v>
      </c>
      <c r="C7" s="8" t="s">
        <v>5161</v>
      </c>
    </row>
    <row r="8" spans="1:3" ht="36.950000000000003" customHeight="1" x14ac:dyDescent="0.25">
      <c r="A8" s="8" t="s">
        <v>5162</v>
      </c>
      <c r="B8" s="10">
        <v>10</v>
      </c>
      <c r="C8" s="8" t="s">
        <v>5163</v>
      </c>
    </row>
    <row r="9" spans="1:3" ht="33.950000000000003" customHeight="1" x14ac:dyDescent="0.25">
      <c r="A9" s="8" t="s">
        <v>5164</v>
      </c>
      <c r="B9" s="10">
        <v>30</v>
      </c>
      <c r="C9" s="8" t="s">
        <v>5165</v>
      </c>
    </row>
    <row r="10" spans="1:3" ht="33.950000000000003" customHeight="1" x14ac:dyDescent="0.25">
      <c r="A10" s="8" t="s">
        <v>5166</v>
      </c>
      <c r="B10" s="10">
        <v>20</v>
      </c>
      <c r="C10" s="8" t="s">
        <v>5167</v>
      </c>
    </row>
    <row r="11" spans="1:3" ht="33.950000000000003" customHeight="1" x14ac:dyDescent="0.25">
      <c r="A11" s="8" t="s">
        <v>5168</v>
      </c>
      <c r="B11" s="10">
        <v>10</v>
      </c>
      <c r="C11" s="8" t="s">
        <v>5169</v>
      </c>
    </row>
    <row r="12" spans="1:3" ht="33.950000000000003" customHeight="1" x14ac:dyDescent="0.25">
      <c r="A12" s="8" t="s">
        <v>5170</v>
      </c>
      <c r="B12" s="10">
        <v>0</v>
      </c>
      <c r="C12" s="8" t="s">
        <v>5171</v>
      </c>
    </row>
    <row r="13" spans="1:3" ht="36.950000000000003" customHeight="1" x14ac:dyDescent="0.25">
      <c r="A13" s="8" t="s">
        <v>5172</v>
      </c>
      <c r="B13" s="10">
        <v>90</v>
      </c>
      <c r="C13" s="8" t="s">
        <v>5173</v>
      </c>
    </row>
    <row r="14" spans="1:3" ht="33.950000000000003" customHeight="1" x14ac:dyDescent="0.25">
      <c r="A14" s="8" t="s">
        <v>5174</v>
      </c>
      <c r="B14" s="10">
        <v>45</v>
      </c>
      <c r="C14" s="8" t="s">
        <v>5175</v>
      </c>
    </row>
    <row r="15" spans="1:3" ht="33.950000000000003" customHeight="1" x14ac:dyDescent="0.25">
      <c r="A15" s="8" t="s">
        <v>5176</v>
      </c>
      <c r="B15" s="10">
        <v>30</v>
      </c>
      <c r="C15" s="8" t="s">
        <v>5177</v>
      </c>
    </row>
    <row r="16" spans="1:3" ht="36.950000000000003" customHeight="1" x14ac:dyDescent="0.25">
      <c r="A16" s="8" t="s">
        <v>5178</v>
      </c>
      <c r="B16" s="10">
        <v>3</v>
      </c>
      <c r="C16" s="8" t="s">
        <v>5179</v>
      </c>
    </row>
    <row r="17" spans="1:3" ht="33.950000000000003" customHeight="1" x14ac:dyDescent="0.25">
      <c r="A17" s="8" t="s">
        <v>5180</v>
      </c>
      <c r="B17" s="10">
        <v>25</v>
      </c>
      <c r="C17" s="8" t="s">
        <v>5181</v>
      </c>
    </row>
    <row r="18" spans="1:3" ht="36.950000000000003" customHeight="1" x14ac:dyDescent="0.25">
      <c r="A18" s="8" t="s">
        <v>5182</v>
      </c>
      <c r="B18" s="10">
        <v>366</v>
      </c>
      <c r="C18" s="8" t="s">
        <v>5183</v>
      </c>
    </row>
    <row r="19" spans="1:3" ht="36.950000000000003" customHeight="1" x14ac:dyDescent="0.25">
      <c r="A19" s="8" t="s">
        <v>5184</v>
      </c>
      <c r="B19" s="10">
        <v>12</v>
      </c>
      <c r="C19" s="8" t="s">
        <v>5185</v>
      </c>
    </row>
    <row r="20" spans="1:3" ht="36.950000000000003" customHeight="1" x14ac:dyDescent="0.25">
      <c r="A20" s="8" t="s">
        <v>5186</v>
      </c>
      <c r="B20" s="10">
        <v>90</v>
      </c>
      <c r="C20" s="8" t="s">
        <v>5187</v>
      </c>
    </row>
    <row r="21" spans="1:3" ht="36.950000000000003" customHeight="1" x14ac:dyDescent="0.25">
      <c r="A21" s="8" t="s">
        <v>5188</v>
      </c>
      <c r="B21" s="10">
        <v>115</v>
      </c>
      <c r="C21" s="8" t="s">
        <v>5189</v>
      </c>
    </row>
    <row r="22" spans="1:3" ht="51" customHeight="1" x14ac:dyDescent="0.25">
      <c r="A22" s="8" t="s">
        <v>5190</v>
      </c>
      <c r="B22" s="10">
        <v>150</v>
      </c>
      <c r="C22" s="8" t="s">
        <v>5191</v>
      </c>
    </row>
    <row r="23" spans="1:3" ht="36.950000000000003" customHeight="1" x14ac:dyDescent="0.25">
      <c r="A23" s="8" t="s">
        <v>5192</v>
      </c>
      <c r="B23" s="10">
        <v>5</v>
      </c>
      <c r="C23" s="8" t="s">
        <v>5193</v>
      </c>
    </row>
    <row r="24" spans="1:3" ht="36.950000000000003" customHeight="1" x14ac:dyDescent="0.25">
      <c r="A24" s="8" t="s">
        <v>5194</v>
      </c>
      <c r="B24" s="10">
        <v>180</v>
      </c>
      <c r="C24" s="8" t="s">
        <v>5195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8354A"/>
    <outlinePr summaryBelow="0" summaryRight="0"/>
    <pageSetUpPr fitToPage="1"/>
  </sheetPr>
  <dimension ref="A1:D92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4" width="27" customWidth="1"/>
  </cols>
  <sheetData>
    <row r="1" spans="1:4" ht="42.95" customHeight="1" x14ac:dyDescent="0.25">
      <c r="A1" s="7" t="s">
        <v>5196</v>
      </c>
      <c r="B1" s="7" t="s">
        <v>5197</v>
      </c>
      <c r="C1" s="7" t="s">
        <v>5198</v>
      </c>
      <c r="D1" s="7" t="s">
        <v>5199</v>
      </c>
    </row>
    <row r="2" spans="1:4" ht="65.099999999999994" customHeight="1" x14ac:dyDescent="0.25">
      <c r="A2" s="8" t="s">
        <v>4811</v>
      </c>
      <c r="B2" s="8" t="s">
        <v>4813</v>
      </c>
      <c r="C2" s="8" t="s">
        <v>513</v>
      </c>
      <c r="D2" s="8" t="s">
        <v>5200</v>
      </c>
    </row>
    <row r="3" spans="1:4" ht="65.099999999999994" customHeight="1" x14ac:dyDescent="0.25">
      <c r="A3" s="8" t="s">
        <v>4811</v>
      </c>
      <c r="B3" s="8" t="s">
        <v>3937</v>
      </c>
      <c r="C3" s="8" t="s">
        <v>513</v>
      </c>
      <c r="D3" s="8" t="s">
        <v>5200</v>
      </c>
    </row>
    <row r="4" spans="1:4" ht="65.099999999999994" customHeight="1" x14ac:dyDescent="0.25">
      <c r="A4" s="8" t="s">
        <v>4811</v>
      </c>
      <c r="B4" s="8" t="s">
        <v>892</v>
      </c>
      <c r="C4" s="8" t="s">
        <v>801</v>
      </c>
      <c r="D4" s="8" t="s">
        <v>5200</v>
      </c>
    </row>
    <row r="5" spans="1:4" ht="65.099999999999994" customHeight="1" x14ac:dyDescent="0.25">
      <c r="A5" s="8" t="s">
        <v>4811</v>
      </c>
      <c r="B5" s="8" t="s">
        <v>4819</v>
      </c>
      <c r="C5" s="8" t="s">
        <v>801</v>
      </c>
      <c r="D5" s="8" t="s">
        <v>5200</v>
      </c>
    </row>
    <row r="6" spans="1:4" ht="65.099999999999994" customHeight="1" x14ac:dyDescent="0.25">
      <c r="A6" s="8" t="s">
        <v>4811</v>
      </c>
      <c r="B6" s="8" t="s">
        <v>3965</v>
      </c>
      <c r="C6" s="8" t="s">
        <v>5201</v>
      </c>
      <c r="D6" s="8" t="s">
        <v>5200</v>
      </c>
    </row>
    <row r="7" spans="1:4" ht="51" customHeight="1" x14ac:dyDescent="0.25">
      <c r="A7" s="8" t="s">
        <v>4846</v>
      </c>
      <c r="B7" s="8" t="s">
        <v>4850</v>
      </c>
      <c r="C7" s="8" t="s">
        <v>4847</v>
      </c>
      <c r="D7" s="8" t="s">
        <v>5202</v>
      </c>
    </row>
    <row r="8" spans="1:4" ht="51" customHeight="1" x14ac:dyDescent="0.25">
      <c r="A8" s="8" t="s">
        <v>4846</v>
      </c>
      <c r="B8" s="8" t="s">
        <v>4852</v>
      </c>
      <c r="C8" s="8" t="s">
        <v>4847</v>
      </c>
      <c r="D8" s="8" t="s">
        <v>5202</v>
      </c>
    </row>
    <row r="9" spans="1:4" ht="51" customHeight="1" x14ac:dyDescent="0.25">
      <c r="A9" s="8" t="s">
        <v>4846</v>
      </c>
      <c r="B9" s="8" t="s">
        <v>4267</v>
      </c>
      <c r="C9" s="8" t="s">
        <v>4847</v>
      </c>
      <c r="D9" s="8" t="s">
        <v>5202</v>
      </c>
    </row>
    <row r="10" spans="1:4" ht="51" customHeight="1" x14ac:dyDescent="0.25">
      <c r="A10" s="8" t="s">
        <v>4846</v>
      </c>
      <c r="B10" s="8" t="s">
        <v>588</v>
      </c>
      <c r="C10" s="8" t="s">
        <v>4848</v>
      </c>
      <c r="D10" s="8" t="s">
        <v>5202</v>
      </c>
    </row>
    <row r="11" spans="1:4" ht="51" customHeight="1" x14ac:dyDescent="0.25">
      <c r="A11" s="8" t="s">
        <v>4846</v>
      </c>
      <c r="B11" s="8" t="s">
        <v>999</v>
      </c>
      <c r="C11" s="8" t="s">
        <v>4848</v>
      </c>
      <c r="D11" s="8" t="s">
        <v>5202</v>
      </c>
    </row>
    <row r="12" spans="1:4" ht="51" customHeight="1" x14ac:dyDescent="0.25">
      <c r="A12" s="8" t="s">
        <v>4846</v>
      </c>
      <c r="B12" s="8" t="s">
        <v>3970</v>
      </c>
      <c r="C12" s="8" t="s">
        <v>4848</v>
      </c>
      <c r="D12" s="8" t="s">
        <v>5202</v>
      </c>
    </row>
    <row r="13" spans="1:4" ht="51" customHeight="1" x14ac:dyDescent="0.25">
      <c r="A13" s="8" t="s">
        <v>4846</v>
      </c>
      <c r="B13" s="8" t="s">
        <v>4877</v>
      </c>
      <c r="C13" s="8" t="s">
        <v>4848</v>
      </c>
      <c r="D13" s="8" t="s">
        <v>5202</v>
      </c>
    </row>
    <row r="14" spans="1:4" ht="51" customHeight="1" x14ac:dyDescent="0.25">
      <c r="A14" s="8" t="s">
        <v>4846</v>
      </c>
      <c r="B14" s="8" t="s">
        <v>951</v>
      </c>
      <c r="C14" s="8" t="s">
        <v>4848</v>
      </c>
      <c r="D14" s="8" t="s">
        <v>5202</v>
      </c>
    </row>
    <row r="15" spans="1:4" ht="51" customHeight="1" x14ac:dyDescent="0.25">
      <c r="A15" s="8" t="s">
        <v>4846</v>
      </c>
      <c r="B15" s="8" t="s">
        <v>884</v>
      </c>
      <c r="C15" s="8" t="s">
        <v>5203</v>
      </c>
      <c r="D15" s="8" t="s">
        <v>5202</v>
      </c>
    </row>
    <row r="16" spans="1:4" ht="51" customHeight="1" x14ac:dyDescent="0.25">
      <c r="A16" s="8" t="s">
        <v>5204</v>
      </c>
      <c r="B16" s="8" t="s">
        <v>476</v>
      </c>
      <c r="C16" s="8" t="s">
        <v>5205</v>
      </c>
      <c r="D16" s="8" t="s">
        <v>5206</v>
      </c>
    </row>
    <row r="17" spans="1:4" ht="51" customHeight="1" x14ac:dyDescent="0.25">
      <c r="A17" s="8" t="s">
        <v>5204</v>
      </c>
      <c r="B17" s="8" t="s">
        <v>346</v>
      </c>
      <c r="C17" s="8" t="s">
        <v>5205</v>
      </c>
      <c r="D17" s="8" t="s">
        <v>5206</v>
      </c>
    </row>
    <row r="18" spans="1:4" ht="51" customHeight="1" x14ac:dyDescent="0.25">
      <c r="A18" s="8" t="s">
        <v>5204</v>
      </c>
      <c r="B18" s="8" t="s">
        <v>900</v>
      </c>
      <c r="C18" s="8" t="s">
        <v>5207</v>
      </c>
      <c r="D18" s="8" t="s">
        <v>5206</v>
      </c>
    </row>
    <row r="19" spans="1:4" ht="51" customHeight="1" x14ac:dyDescent="0.25">
      <c r="A19" s="8" t="s">
        <v>5204</v>
      </c>
      <c r="B19" s="8" t="s">
        <v>588</v>
      </c>
      <c r="C19" s="8" t="s">
        <v>5208</v>
      </c>
      <c r="D19" s="8" t="s">
        <v>5206</v>
      </c>
    </row>
    <row r="20" spans="1:4" ht="51" customHeight="1" x14ac:dyDescent="0.25">
      <c r="A20" s="8" t="s">
        <v>5204</v>
      </c>
      <c r="B20" s="8" t="s">
        <v>745</v>
      </c>
      <c r="C20" s="8" t="s">
        <v>519</v>
      </c>
      <c r="D20" s="8" t="s">
        <v>5206</v>
      </c>
    </row>
    <row r="21" spans="1:4" ht="51" customHeight="1" x14ac:dyDescent="0.25">
      <c r="A21" s="8" t="s">
        <v>5204</v>
      </c>
      <c r="B21" s="8" t="s">
        <v>4828</v>
      </c>
      <c r="C21" s="8" t="s">
        <v>519</v>
      </c>
      <c r="D21" s="8" t="s">
        <v>5206</v>
      </c>
    </row>
    <row r="22" spans="1:4" ht="51" customHeight="1" x14ac:dyDescent="0.25">
      <c r="A22" s="8" t="s">
        <v>5204</v>
      </c>
      <c r="B22" s="8" t="s">
        <v>416</v>
      </c>
      <c r="C22" s="8" t="s">
        <v>2267</v>
      </c>
      <c r="D22" s="8" t="s">
        <v>5206</v>
      </c>
    </row>
    <row r="23" spans="1:4" ht="51" customHeight="1" x14ac:dyDescent="0.25">
      <c r="A23" s="8" t="s">
        <v>5204</v>
      </c>
      <c r="B23" s="8" t="s">
        <v>4901</v>
      </c>
      <c r="C23" s="8" t="s">
        <v>2267</v>
      </c>
      <c r="D23" s="8" t="s">
        <v>5206</v>
      </c>
    </row>
    <row r="24" spans="1:4" ht="51" customHeight="1" x14ac:dyDescent="0.25">
      <c r="A24" s="8" t="s">
        <v>5204</v>
      </c>
      <c r="B24" s="8" t="s">
        <v>3970</v>
      </c>
      <c r="C24" s="8" t="s">
        <v>5209</v>
      </c>
      <c r="D24" s="8" t="s">
        <v>5206</v>
      </c>
    </row>
    <row r="25" spans="1:4" ht="51" customHeight="1" x14ac:dyDescent="0.25">
      <c r="A25" s="8" t="s">
        <v>5204</v>
      </c>
      <c r="B25" s="8" t="s">
        <v>4899</v>
      </c>
      <c r="C25" s="8" t="s">
        <v>2267</v>
      </c>
      <c r="D25" s="8" t="s">
        <v>5206</v>
      </c>
    </row>
    <row r="26" spans="1:4" ht="51" customHeight="1" x14ac:dyDescent="0.25">
      <c r="A26" s="8" t="s">
        <v>5204</v>
      </c>
      <c r="B26" s="8" t="s">
        <v>4003</v>
      </c>
      <c r="C26" s="8" t="s">
        <v>882</v>
      </c>
      <c r="D26" s="8" t="s">
        <v>5206</v>
      </c>
    </row>
    <row r="27" spans="1:4" ht="51" customHeight="1" x14ac:dyDescent="0.25">
      <c r="A27" s="8" t="s">
        <v>5204</v>
      </c>
      <c r="B27" s="8" t="s">
        <v>4906</v>
      </c>
      <c r="C27" s="8" t="s">
        <v>4849</v>
      </c>
      <c r="D27" s="8" t="s">
        <v>5206</v>
      </c>
    </row>
    <row r="28" spans="1:4" ht="51" customHeight="1" x14ac:dyDescent="0.25">
      <c r="A28" s="8" t="s">
        <v>5204</v>
      </c>
      <c r="B28" s="8" t="s">
        <v>709</v>
      </c>
      <c r="C28" s="8" t="s">
        <v>4849</v>
      </c>
      <c r="D28" s="8" t="s">
        <v>5206</v>
      </c>
    </row>
    <row r="29" spans="1:4" ht="51" customHeight="1" x14ac:dyDescent="0.25">
      <c r="A29" s="8" t="s">
        <v>5204</v>
      </c>
      <c r="B29" s="8" t="s">
        <v>400</v>
      </c>
      <c r="C29" s="8" t="s">
        <v>5210</v>
      </c>
      <c r="D29" s="8" t="s">
        <v>5206</v>
      </c>
    </row>
    <row r="30" spans="1:4" ht="51" customHeight="1" x14ac:dyDescent="0.25">
      <c r="A30" s="8" t="s">
        <v>5204</v>
      </c>
      <c r="B30" s="8" t="s">
        <v>4909</v>
      </c>
      <c r="C30" s="8" t="s">
        <v>5211</v>
      </c>
      <c r="D30" s="8" t="s">
        <v>5206</v>
      </c>
    </row>
    <row r="31" spans="1:4" ht="51" customHeight="1" x14ac:dyDescent="0.25">
      <c r="A31" s="8" t="s">
        <v>5204</v>
      </c>
      <c r="B31" s="8" t="s">
        <v>4830</v>
      </c>
      <c r="C31" s="8" t="s">
        <v>5211</v>
      </c>
      <c r="D31" s="8" t="s">
        <v>5206</v>
      </c>
    </row>
    <row r="32" spans="1:4" ht="51" customHeight="1" x14ac:dyDescent="0.25">
      <c r="A32" s="8" t="s">
        <v>5204</v>
      </c>
      <c r="B32" s="8" t="s">
        <v>951</v>
      </c>
      <c r="C32" s="8" t="s">
        <v>5211</v>
      </c>
      <c r="D32" s="8" t="s">
        <v>5206</v>
      </c>
    </row>
    <row r="33" spans="1:4" ht="51" customHeight="1" x14ac:dyDescent="0.25">
      <c r="A33" s="8" t="s">
        <v>4602</v>
      </c>
      <c r="B33" s="8" t="s">
        <v>4813</v>
      </c>
      <c r="C33" s="8" t="s">
        <v>513</v>
      </c>
      <c r="D33" s="8" t="s">
        <v>5212</v>
      </c>
    </row>
    <row r="34" spans="1:4" ht="51" customHeight="1" x14ac:dyDescent="0.25">
      <c r="A34" s="8" t="s">
        <v>4602</v>
      </c>
      <c r="B34" s="8" t="s">
        <v>5213</v>
      </c>
      <c r="C34" s="8" t="s">
        <v>513</v>
      </c>
      <c r="D34" s="8" t="s">
        <v>5212</v>
      </c>
    </row>
    <row r="35" spans="1:4" ht="51" customHeight="1" x14ac:dyDescent="0.25">
      <c r="A35" s="8" t="s">
        <v>4602</v>
      </c>
      <c r="B35" s="8" t="s">
        <v>5214</v>
      </c>
      <c r="C35" s="8" t="s">
        <v>3937</v>
      </c>
      <c r="D35" s="8" t="s">
        <v>5212</v>
      </c>
    </row>
    <row r="36" spans="1:4" ht="51" customHeight="1" x14ac:dyDescent="0.25">
      <c r="A36" s="8" t="s">
        <v>4602</v>
      </c>
      <c r="B36" s="8" t="s">
        <v>5215</v>
      </c>
      <c r="C36" s="8" t="s">
        <v>478</v>
      </c>
      <c r="D36" s="8" t="s">
        <v>5212</v>
      </c>
    </row>
    <row r="37" spans="1:4" ht="51" customHeight="1" x14ac:dyDescent="0.25">
      <c r="A37" s="8" t="s">
        <v>4602</v>
      </c>
      <c r="B37" s="8" t="s">
        <v>5216</v>
      </c>
      <c r="C37" s="8" t="s">
        <v>801</v>
      </c>
      <c r="D37" s="8" t="s">
        <v>5212</v>
      </c>
    </row>
    <row r="38" spans="1:4" ht="51" customHeight="1" x14ac:dyDescent="0.25">
      <c r="A38" s="8" t="s">
        <v>5204</v>
      </c>
      <c r="B38" s="8" t="s">
        <v>4084</v>
      </c>
      <c r="C38" s="8" t="s">
        <v>519</v>
      </c>
      <c r="D38" s="8" t="s">
        <v>5217</v>
      </c>
    </row>
    <row r="39" spans="1:4" ht="51" customHeight="1" x14ac:dyDescent="0.25">
      <c r="A39" s="8" t="s">
        <v>5204</v>
      </c>
      <c r="B39" s="8" t="s">
        <v>4057</v>
      </c>
      <c r="C39" s="8" t="s">
        <v>519</v>
      </c>
      <c r="D39" s="8" t="s">
        <v>5217</v>
      </c>
    </row>
    <row r="40" spans="1:4" ht="51" customHeight="1" x14ac:dyDescent="0.25">
      <c r="A40" s="8" t="s">
        <v>5204</v>
      </c>
      <c r="B40" s="8" t="s">
        <v>4939</v>
      </c>
      <c r="C40" s="8" t="s">
        <v>519</v>
      </c>
      <c r="D40" s="8" t="s">
        <v>5217</v>
      </c>
    </row>
    <row r="41" spans="1:4" ht="51" customHeight="1" x14ac:dyDescent="0.25">
      <c r="A41" s="8" t="s">
        <v>5204</v>
      </c>
      <c r="B41" s="8" t="s">
        <v>4941</v>
      </c>
      <c r="C41" s="8" t="s">
        <v>5218</v>
      </c>
      <c r="D41" s="8" t="s">
        <v>5217</v>
      </c>
    </row>
    <row r="42" spans="1:4" ht="51" customHeight="1" x14ac:dyDescent="0.25">
      <c r="A42" s="8" t="s">
        <v>5204</v>
      </c>
      <c r="B42" s="8" t="s">
        <v>4943</v>
      </c>
      <c r="C42" s="8" t="s">
        <v>5219</v>
      </c>
      <c r="D42" s="8" t="s">
        <v>5217</v>
      </c>
    </row>
    <row r="43" spans="1:4" ht="51" customHeight="1" x14ac:dyDescent="0.25">
      <c r="A43" s="8" t="s">
        <v>5204</v>
      </c>
      <c r="B43" s="8" t="s">
        <v>4945</v>
      </c>
      <c r="C43" s="8" t="s">
        <v>5219</v>
      </c>
      <c r="D43" s="8" t="s">
        <v>5217</v>
      </c>
    </row>
    <row r="44" spans="1:4" ht="51" customHeight="1" x14ac:dyDescent="0.25">
      <c r="A44" s="8" t="s">
        <v>5204</v>
      </c>
      <c r="B44" s="8" t="s">
        <v>4947</v>
      </c>
      <c r="C44" s="8" t="s">
        <v>5219</v>
      </c>
      <c r="D44" s="8" t="s">
        <v>5217</v>
      </c>
    </row>
    <row r="45" spans="1:4" ht="51" customHeight="1" x14ac:dyDescent="0.25">
      <c r="A45" s="8" t="s">
        <v>5204</v>
      </c>
      <c r="B45" s="8" t="s">
        <v>4949</v>
      </c>
      <c r="C45" s="8" t="s">
        <v>5219</v>
      </c>
      <c r="D45" s="8" t="s">
        <v>5217</v>
      </c>
    </row>
    <row r="46" spans="1:4" ht="51" customHeight="1" x14ac:dyDescent="0.25">
      <c r="A46" s="8" t="s">
        <v>5204</v>
      </c>
      <c r="B46" s="8" t="s">
        <v>4951</v>
      </c>
      <c r="C46" s="8" t="s">
        <v>4849</v>
      </c>
      <c r="D46" s="8" t="s">
        <v>5217</v>
      </c>
    </row>
    <row r="47" spans="1:4" ht="51" customHeight="1" x14ac:dyDescent="0.25">
      <c r="A47" s="8" t="s">
        <v>5204</v>
      </c>
      <c r="B47" s="8" t="s">
        <v>4953</v>
      </c>
      <c r="C47" s="8" t="s">
        <v>4849</v>
      </c>
      <c r="D47" s="8" t="s">
        <v>5217</v>
      </c>
    </row>
    <row r="48" spans="1:4" ht="51" customHeight="1" x14ac:dyDescent="0.25">
      <c r="A48" s="8" t="s">
        <v>5204</v>
      </c>
      <c r="B48" s="8" t="s">
        <v>558</v>
      </c>
      <c r="C48" s="8" t="s">
        <v>5220</v>
      </c>
      <c r="D48" s="8" t="s">
        <v>5217</v>
      </c>
    </row>
    <row r="49" spans="1:4" ht="51" customHeight="1" x14ac:dyDescent="0.25">
      <c r="A49" s="8" t="s">
        <v>5204</v>
      </c>
      <c r="B49" s="8" t="s">
        <v>4966</v>
      </c>
      <c r="C49" s="8" t="s">
        <v>5221</v>
      </c>
      <c r="D49" s="8" t="s">
        <v>5217</v>
      </c>
    </row>
    <row r="50" spans="1:4" ht="51" customHeight="1" x14ac:dyDescent="0.25">
      <c r="A50" s="8" t="s">
        <v>5204</v>
      </c>
      <c r="B50" s="8" t="s">
        <v>4968</v>
      </c>
      <c r="C50" s="8" t="s">
        <v>5221</v>
      </c>
      <c r="D50" s="8" t="s">
        <v>5217</v>
      </c>
    </row>
    <row r="51" spans="1:4" ht="51" customHeight="1" x14ac:dyDescent="0.25">
      <c r="A51" s="8" t="s">
        <v>4832</v>
      </c>
      <c r="B51" s="8" t="s">
        <v>5222</v>
      </c>
      <c r="C51" s="8" t="s">
        <v>3989</v>
      </c>
      <c r="D51" s="8" t="s">
        <v>5223</v>
      </c>
    </row>
    <row r="52" spans="1:4" ht="51" customHeight="1" x14ac:dyDescent="0.25">
      <c r="A52" s="8" t="s">
        <v>4832</v>
      </c>
      <c r="B52" s="8" t="s">
        <v>5224</v>
      </c>
      <c r="C52" s="8" t="s">
        <v>4989</v>
      </c>
      <c r="D52" s="8" t="s">
        <v>5223</v>
      </c>
    </row>
    <row r="53" spans="1:4" ht="51" customHeight="1" x14ac:dyDescent="0.25">
      <c r="A53" s="8" t="s">
        <v>4832</v>
      </c>
      <c r="B53" s="8" t="s">
        <v>4267</v>
      </c>
      <c r="C53" s="8" t="s">
        <v>901</v>
      </c>
      <c r="D53" s="8" t="s">
        <v>5223</v>
      </c>
    </row>
    <row r="54" spans="1:4" ht="51" customHeight="1" x14ac:dyDescent="0.25">
      <c r="A54" s="8" t="s">
        <v>4832</v>
      </c>
      <c r="B54" s="8" t="s">
        <v>5225</v>
      </c>
      <c r="C54" s="8" t="s">
        <v>4085</v>
      </c>
      <c r="D54" s="8" t="s">
        <v>5223</v>
      </c>
    </row>
    <row r="55" spans="1:4" ht="65.099999999999994" customHeight="1" x14ac:dyDescent="0.25">
      <c r="A55" s="8" t="s">
        <v>4811</v>
      </c>
      <c r="B55" s="8" t="s">
        <v>4038</v>
      </c>
      <c r="C55" s="8" t="s">
        <v>4884</v>
      </c>
      <c r="D55" s="8" t="s">
        <v>5226</v>
      </c>
    </row>
    <row r="56" spans="1:4" ht="65.099999999999994" customHeight="1" x14ac:dyDescent="0.25">
      <c r="A56" s="8" t="s">
        <v>4811</v>
      </c>
      <c r="B56" s="8" t="s">
        <v>4086</v>
      </c>
      <c r="C56" s="8" t="s">
        <v>4884</v>
      </c>
      <c r="D56" s="8" t="s">
        <v>5226</v>
      </c>
    </row>
    <row r="57" spans="1:4" ht="65.099999999999994" customHeight="1" x14ac:dyDescent="0.25">
      <c r="A57" s="8" t="s">
        <v>4811</v>
      </c>
      <c r="B57" s="8" t="s">
        <v>5054</v>
      </c>
      <c r="C57" s="8" t="s">
        <v>409</v>
      </c>
      <c r="D57" s="8" t="s">
        <v>5226</v>
      </c>
    </row>
    <row r="58" spans="1:4" ht="65.099999999999994" customHeight="1" x14ac:dyDescent="0.25">
      <c r="A58" s="8" t="s">
        <v>4811</v>
      </c>
      <c r="B58" s="8" t="s">
        <v>560</v>
      </c>
      <c r="C58" s="8" t="s">
        <v>409</v>
      </c>
      <c r="D58" s="8" t="s">
        <v>5226</v>
      </c>
    </row>
    <row r="59" spans="1:4" ht="65.099999999999994" customHeight="1" x14ac:dyDescent="0.25">
      <c r="A59" s="8" t="s">
        <v>4811</v>
      </c>
      <c r="B59" s="8" t="s">
        <v>4045</v>
      </c>
      <c r="C59" s="8" t="s">
        <v>5227</v>
      </c>
      <c r="D59" s="8" t="s">
        <v>5226</v>
      </c>
    </row>
    <row r="60" spans="1:4" ht="65.099999999999994" customHeight="1" x14ac:dyDescent="0.25">
      <c r="A60" s="8" t="s">
        <v>4811</v>
      </c>
      <c r="B60" s="8" t="s">
        <v>5058</v>
      </c>
      <c r="C60" s="8" t="s">
        <v>409</v>
      </c>
      <c r="D60" s="8" t="s">
        <v>5226</v>
      </c>
    </row>
    <row r="61" spans="1:4" ht="51" customHeight="1" x14ac:dyDescent="0.25">
      <c r="A61" s="8" t="s">
        <v>5204</v>
      </c>
      <c r="B61" s="8" t="s">
        <v>5036</v>
      </c>
      <c r="C61" s="8" t="s">
        <v>503</v>
      </c>
      <c r="D61" s="8" t="s">
        <v>5228</v>
      </c>
    </row>
    <row r="62" spans="1:4" ht="51" customHeight="1" x14ac:dyDescent="0.25">
      <c r="A62" s="8" t="s">
        <v>5204</v>
      </c>
      <c r="B62" s="8" t="s">
        <v>5038</v>
      </c>
      <c r="C62" s="8" t="s">
        <v>5229</v>
      </c>
      <c r="D62" s="8" t="s">
        <v>5228</v>
      </c>
    </row>
    <row r="63" spans="1:4" ht="51" customHeight="1" x14ac:dyDescent="0.25">
      <c r="A63" s="8" t="s">
        <v>5204</v>
      </c>
      <c r="B63" s="8" t="s">
        <v>4069</v>
      </c>
      <c r="C63" s="8" t="s">
        <v>5230</v>
      </c>
      <c r="D63" s="8" t="s">
        <v>5228</v>
      </c>
    </row>
    <row r="64" spans="1:4" ht="51" customHeight="1" x14ac:dyDescent="0.25">
      <c r="A64" s="8" t="s">
        <v>4832</v>
      </c>
      <c r="B64" s="8" t="s">
        <v>4058</v>
      </c>
      <c r="C64" s="8" t="s">
        <v>999</v>
      </c>
      <c r="D64" s="8" t="s">
        <v>5231</v>
      </c>
    </row>
    <row r="65" spans="1:4" ht="51" customHeight="1" x14ac:dyDescent="0.25">
      <c r="A65" s="8" t="s">
        <v>4832</v>
      </c>
      <c r="B65" s="8" t="s">
        <v>5042</v>
      </c>
      <c r="C65" s="8" t="s">
        <v>999</v>
      </c>
      <c r="D65" s="8" t="s">
        <v>5231</v>
      </c>
    </row>
    <row r="66" spans="1:4" ht="51" customHeight="1" x14ac:dyDescent="0.25">
      <c r="A66" s="8" t="s">
        <v>4866</v>
      </c>
      <c r="B66" s="8" t="s">
        <v>5074</v>
      </c>
      <c r="C66" s="8" t="s">
        <v>1690</v>
      </c>
      <c r="D66" s="8" t="s">
        <v>5232</v>
      </c>
    </row>
    <row r="67" spans="1:4" ht="51" customHeight="1" x14ac:dyDescent="0.25">
      <c r="A67" s="8" t="s">
        <v>4866</v>
      </c>
      <c r="B67" s="8" t="s">
        <v>5076</v>
      </c>
      <c r="C67" s="8" t="s">
        <v>1690</v>
      </c>
      <c r="D67" s="8" t="s">
        <v>5232</v>
      </c>
    </row>
    <row r="68" spans="1:4" ht="51" customHeight="1" x14ac:dyDescent="0.25">
      <c r="A68" s="8" t="s">
        <v>4866</v>
      </c>
      <c r="B68" s="8" t="s">
        <v>5078</v>
      </c>
      <c r="C68" s="8" t="s">
        <v>1690</v>
      </c>
      <c r="D68" s="8" t="s">
        <v>5232</v>
      </c>
    </row>
    <row r="69" spans="1:4" ht="51" customHeight="1" x14ac:dyDescent="0.25">
      <c r="A69" s="8" t="s">
        <v>4866</v>
      </c>
      <c r="B69" s="8" t="s">
        <v>5080</v>
      </c>
      <c r="C69" s="8" t="s">
        <v>1690</v>
      </c>
      <c r="D69" s="8" t="s">
        <v>5232</v>
      </c>
    </row>
    <row r="70" spans="1:4" ht="51" customHeight="1" x14ac:dyDescent="0.25">
      <c r="A70" s="8" t="s">
        <v>4866</v>
      </c>
      <c r="B70" s="8" t="s">
        <v>5082</v>
      </c>
      <c r="C70" s="8" t="s">
        <v>1690</v>
      </c>
      <c r="D70" s="8" t="s">
        <v>5232</v>
      </c>
    </row>
    <row r="71" spans="1:4" ht="51" customHeight="1" x14ac:dyDescent="0.25">
      <c r="A71" s="8" t="s">
        <v>4866</v>
      </c>
      <c r="B71" s="8" t="s">
        <v>5084</v>
      </c>
      <c r="C71" s="8" t="s">
        <v>1690</v>
      </c>
      <c r="D71" s="8" t="s">
        <v>5232</v>
      </c>
    </row>
    <row r="72" spans="1:4" ht="51" customHeight="1" x14ac:dyDescent="0.25">
      <c r="A72" s="8" t="s">
        <v>4866</v>
      </c>
      <c r="B72" s="8" t="s">
        <v>4892</v>
      </c>
      <c r="C72" s="8" t="s">
        <v>1690</v>
      </c>
      <c r="D72" s="8" t="s">
        <v>5232</v>
      </c>
    </row>
    <row r="73" spans="1:4" ht="51" customHeight="1" x14ac:dyDescent="0.25">
      <c r="A73" s="8" t="s">
        <v>4866</v>
      </c>
      <c r="B73" s="8" t="s">
        <v>5086</v>
      </c>
      <c r="C73" s="8" t="s">
        <v>1690</v>
      </c>
      <c r="D73" s="8" t="s">
        <v>5232</v>
      </c>
    </row>
    <row r="74" spans="1:4" ht="51" customHeight="1" x14ac:dyDescent="0.25">
      <c r="A74" s="8" t="s">
        <v>4866</v>
      </c>
      <c r="B74" s="8" t="s">
        <v>5088</v>
      </c>
      <c r="C74" s="8" t="s">
        <v>1690</v>
      </c>
      <c r="D74" s="8" t="s">
        <v>5232</v>
      </c>
    </row>
    <row r="75" spans="1:4" ht="51" customHeight="1" x14ac:dyDescent="0.25">
      <c r="A75" s="8" t="s">
        <v>4866</v>
      </c>
      <c r="B75" s="8" t="s">
        <v>4888</v>
      </c>
      <c r="C75" s="8" t="s">
        <v>1690</v>
      </c>
      <c r="D75" s="8" t="s">
        <v>5232</v>
      </c>
    </row>
    <row r="76" spans="1:4" ht="51" customHeight="1" x14ac:dyDescent="0.25">
      <c r="A76" s="8" t="s">
        <v>4866</v>
      </c>
      <c r="B76" s="8" t="s">
        <v>1754</v>
      </c>
      <c r="C76" s="8" t="s">
        <v>1690</v>
      </c>
      <c r="D76" s="8" t="s">
        <v>5232</v>
      </c>
    </row>
    <row r="77" spans="1:4" ht="51" customHeight="1" x14ac:dyDescent="0.25">
      <c r="A77" s="8" t="s">
        <v>4866</v>
      </c>
      <c r="B77" s="8" t="s">
        <v>5090</v>
      </c>
      <c r="C77" s="8" t="s">
        <v>1690</v>
      </c>
      <c r="D77" s="8" t="s">
        <v>5232</v>
      </c>
    </row>
    <row r="78" spans="1:4" ht="51" customHeight="1" x14ac:dyDescent="0.25">
      <c r="A78" s="8" t="s">
        <v>4866</v>
      </c>
      <c r="B78" s="8" t="s">
        <v>5092</v>
      </c>
      <c r="C78" s="8" t="s">
        <v>1690</v>
      </c>
      <c r="D78" s="8" t="s">
        <v>5232</v>
      </c>
    </row>
    <row r="79" spans="1:4" ht="51" customHeight="1" x14ac:dyDescent="0.25">
      <c r="A79" s="8" t="s">
        <v>4866</v>
      </c>
      <c r="B79" s="8" t="s">
        <v>5094</v>
      </c>
      <c r="C79" s="8" t="s">
        <v>1690</v>
      </c>
      <c r="D79" s="8" t="s">
        <v>5232</v>
      </c>
    </row>
    <row r="80" spans="1:4" ht="51" customHeight="1" x14ac:dyDescent="0.25">
      <c r="A80" s="8" t="s">
        <v>4866</v>
      </c>
      <c r="B80" s="8" t="s">
        <v>5096</v>
      </c>
      <c r="C80" s="8" t="s">
        <v>1690</v>
      </c>
      <c r="D80" s="8" t="s">
        <v>5232</v>
      </c>
    </row>
    <row r="81" spans="1:4" ht="51" customHeight="1" x14ac:dyDescent="0.25">
      <c r="A81" s="8" t="s">
        <v>4866</v>
      </c>
      <c r="B81" s="8" t="s">
        <v>5098</v>
      </c>
      <c r="C81" s="8" t="s">
        <v>1690</v>
      </c>
      <c r="D81" s="8" t="s">
        <v>5232</v>
      </c>
    </row>
    <row r="82" spans="1:4" ht="51" customHeight="1" x14ac:dyDescent="0.25">
      <c r="A82" s="8" t="s">
        <v>4866</v>
      </c>
      <c r="B82" s="8" t="s">
        <v>5100</v>
      </c>
      <c r="C82" s="8" t="s">
        <v>1690</v>
      </c>
      <c r="D82" s="8" t="s">
        <v>5232</v>
      </c>
    </row>
    <row r="83" spans="1:4" ht="51" customHeight="1" x14ac:dyDescent="0.25">
      <c r="A83" s="8" t="s">
        <v>4866</v>
      </c>
      <c r="B83" s="8" t="s">
        <v>5102</v>
      </c>
      <c r="C83" s="8" t="s">
        <v>1690</v>
      </c>
      <c r="D83" s="8" t="s">
        <v>5232</v>
      </c>
    </row>
    <row r="84" spans="1:4" ht="51" customHeight="1" x14ac:dyDescent="0.25">
      <c r="A84" s="8" t="s">
        <v>4866</v>
      </c>
      <c r="B84" s="8" t="s">
        <v>5104</v>
      </c>
      <c r="C84" s="8" t="s">
        <v>1690</v>
      </c>
      <c r="D84" s="8" t="s">
        <v>5232</v>
      </c>
    </row>
    <row r="85" spans="1:4" ht="51" customHeight="1" x14ac:dyDescent="0.25">
      <c r="A85" s="8" t="s">
        <v>4866</v>
      </c>
      <c r="B85" s="8" t="s">
        <v>5106</v>
      </c>
      <c r="C85" s="8" t="s">
        <v>1690</v>
      </c>
      <c r="D85" s="8" t="s">
        <v>5232</v>
      </c>
    </row>
    <row r="86" spans="1:4" ht="51" customHeight="1" x14ac:dyDescent="0.25">
      <c r="A86" s="8" t="s">
        <v>4866</v>
      </c>
      <c r="B86" s="8" t="s">
        <v>5108</v>
      </c>
      <c r="C86" s="8" t="s">
        <v>1690</v>
      </c>
      <c r="D86" s="8" t="s">
        <v>5232</v>
      </c>
    </row>
    <row r="87" spans="1:4" ht="51" customHeight="1" x14ac:dyDescent="0.25">
      <c r="A87" s="8" t="s">
        <v>4866</v>
      </c>
      <c r="B87" s="8" t="s">
        <v>5110</v>
      </c>
      <c r="C87" s="8" t="s">
        <v>1690</v>
      </c>
      <c r="D87" s="8" t="s">
        <v>5232</v>
      </c>
    </row>
    <row r="88" spans="1:4" ht="51" customHeight="1" x14ac:dyDescent="0.25">
      <c r="A88" s="8" t="s">
        <v>4866</v>
      </c>
      <c r="B88" s="8" t="s">
        <v>5112</v>
      </c>
      <c r="C88" s="8" t="s">
        <v>1690</v>
      </c>
      <c r="D88" s="8" t="s">
        <v>5232</v>
      </c>
    </row>
    <row r="89" spans="1:4" ht="51" customHeight="1" x14ac:dyDescent="0.25">
      <c r="A89" s="8" t="s">
        <v>4866</v>
      </c>
      <c r="B89" s="8" t="s">
        <v>5114</v>
      </c>
      <c r="C89" s="8" t="s">
        <v>1690</v>
      </c>
      <c r="D89" s="8" t="s">
        <v>5232</v>
      </c>
    </row>
    <row r="90" spans="1:4" ht="51" customHeight="1" x14ac:dyDescent="0.25">
      <c r="A90" s="8" t="s">
        <v>4866</v>
      </c>
      <c r="B90" s="8" t="s">
        <v>5116</v>
      </c>
      <c r="C90" s="8" t="s">
        <v>1690</v>
      </c>
      <c r="D90" s="8" t="s">
        <v>5232</v>
      </c>
    </row>
    <row r="91" spans="1:4" ht="51" customHeight="1" x14ac:dyDescent="0.25">
      <c r="A91" s="8" t="s">
        <v>4866</v>
      </c>
      <c r="B91" s="8" t="s">
        <v>4890</v>
      </c>
      <c r="C91" s="8" t="s">
        <v>1690</v>
      </c>
      <c r="D91" s="8" t="s">
        <v>5232</v>
      </c>
    </row>
    <row r="92" spans="1:4" ht="51" customHeight="1" x14ac:dyDescent="0.25">
      <c r="A92" s="8" t="s">
        <v>4866</v>
      </c>
      <c r="B92" s="8" t="s">
        <v>5118</v>
      </c>
      <c r="C92" s="8" t="s">
        <v>1690</v>
      </c>
      <c r="D92" s="8" t="s">
        <v>5232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8354A"/>
    <outlinePr summaryBelow="0" summaryRight="0"/>
    <pageSetUpPr fitToPage="1"/>
  </sheetPr>
  <dimension ref="A1:H380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7" customWidth="1"/>
    <col min="2" max="2" width="29" customWidth="1"/>
    <col min="3" max="3" width="27" customWidth="1"/>
    <col min="4" max="4" width="20" customWidth="1"/>
    <col min="5" max="5" width="61" customWidth="1"/>
    <col min="6" max="8" width="27" customWidth="1"/>
  </cols>
  <sheetData>
    <row r="1" spans="1:8" ht="42.95" customHeight="1" x14ac:dyDescent="0.25">
      <c r="A1" s="7" t="s">
        <v>50</v>
      </c>
      <c r="B1" s="7" t="s">
        <v>5233</v>
      </c>
      <c r="C1" s="7" t="s">
        <v>5234</v>
      </c>
      <c r="D1" s="7" t="s">
        <v>5235</v>
      </c>
      <c r="E1" s="7" t="s">
        <v>5236</v>
      </c>
      <c r="F1" s="7" t="s">
        <v>5237</v>
      </c>
      <c r="G1" s="7" t="s">
        <v>5238</v>
      </c>
      <c r="H1" s="7" t="s">
        <v>5239</v>
      </c>
    </row>
    <row r="2" spans="1:8" ht="36.950000000000003" customHeight="1" x14ac:dyDescent="0.25">
      <c r="A2" s="8" t="s">
        <v>5240</v>
      </c>
      <c r="B2" s="8" t="s">
        <v>4214</v>
      </c>
      <c r="C2" s="8" t="s">
        <v>5241</v>
      </c>
      <c r="D2" s="8" t="s">
        <v>356</v>
      </c>
      <c r="E2" s="8" t="s">
        <v>5242</v>
      </c>
      <c r="F2" s="8" t="s">
        <v>5243</v>
      </c>
      <c r="G2" s="8" t="s">
        <v>5244</v>
      </c>
      <c r="H2" s="8" t="s">
        <v>5245</v>
      </c>
    </row>
    <row r="3" spans="1:8" ht="36.950000000000003" customHeight="1" x14ac:dyDescent="0.25">
      <c r="A3" s="8" t="s">
        <v>5240</v>
      </c>
      <c r="B3" s="8" t="s">
        <v>4215</v>
      </c>
      <c r="C3" s="8" t="s">
        <v>5241</v>
      </c>
      <c r="D3" s="8" t="s">
        <v>356</v>
      </c>
      <c r="E3" s="8" t="s">
        <v>5242</v>
      </c>
      <c r="F3" s="8" t="s">
        <v>5243</v>
      </c>
      <c r="G3" s="8" t="s">
        <v>5244</v>
      </c>
      <c r="H3" s="8" t="s">
        <v>5245</v>
      </c>
    </row>
    <row r="4" spans="1:8" ht="36.950000000000003" customHeight="1" x14ac:dyDescent="0.25">
      <c r="A4" s="8" t="s">
        <v>5240</v>
      </c>
      <c r="B4" s="8" t="s">
        <v>4216</v>
      </c>
      <c r="C4" s="8" t="s">
        <v>5241</v>
      </c>
      <c r="D4" s="8" t="s">
        <v>356</v>
      </c>
      <c r="E4" s="8" t="s">
        <v>5242</v>
      </c>
      <c r="F4" s="8" t="s">
        <v>5243</v>
      </c>
      <c r="G4" s="8" t="s">
        <v>5244</v>
      </c>
      <c r="H4" s="8" t="s">
        <v>5245</v>
      </c>
    </row>
    <row r="5" spans="1:8" ht="36.950000000000003" customHeight="1" x14ac:dyDescent="0.25">
      <c r="A5" s="8" t="s">
        <v>5240</v>
      </c>
      <c r="B5" s="8" t="s">
        <v>4217</v>
      </c>
      <c r="C5" s="8" t="s">
        <v>5246</v>
      </c>
      <c r="D5" s="8" t="s">
        <v>356</v>
      </c>
      <c r="E5" s="8" t="s">
        <v>5242</v>
      </c>
      <c r="F5" s="8" t="s">
        <v>5243</v>
      </c>
      <c r="G5" s="8" t="s">
        <v>5244</v>
      </c>
      <c r="H5" s="8" t="s">
        <v>5245</v>
      </c>
    </row>
    <row r="6" spans="1:8" ht="36.950000000000003" customHeight="1" x14ac:dyDescent="0.25">
      <c r="A6" s="8" t="s">
        <v>5240</v>
      </c>
      <c r="B6" s="8" t="s">
        <v>4098</v>
      </c>
      <c r="C6" s="8" t="s">
        <v>5246</v>
      </c>
      <c r="D6" s="8" t="s">
        <v>5247</v>
      </c>
      <c r="E6" s="8" t="s">
        <v>5242</v>
      </c>
      <c r="F6" s="8" t="s">
        <v>5243</v>
      </c>
      <c r="G6" s="8" t="s">
        <v>5244</v>
      </c>
      <c r="H6" s="8" t="s">
        <v>5245</v>
      </c>
    </row>
    <row r="7" spans="1:8" ht="36.950000000000003" customHeight="1" x14ac:dyDescent="0.25">
      <c r="A7" s="8" t="s">
        <v>5240</v>
      </c>
      <c r="B7" s="8" t="s">
        <v>3912</v>
      </c>
      <c r="C7" s="8" t="s">
        <v>5246</v>
      </c>
      <c r="D7" s="8" t="s">
        <v>356</v>
      </c>
      <c r="E7" s="8" t="s">
        <v>5248</v>
      </c>
      <c r="F7" s="8" t="s">
        <v>5243</v>
      </c>
      <c r="G7" s="8" t="s">
        <v>5244</v>
      </c>
      <c r="H7" s="8" t="s">
        <v>5245</v>
      </c>
    </row>
    <row r="8" spans="1:8" ht="36.950000000000003" customHeight="1" x14ac:dyDescent="0.25">
      <c r="A8" s="8" t="s">
        <v>5240</v>
      </c>
      <c r="B8" s="8" t="s">
        <v>4218</v>
      </c>
      <c r="C8" s="8" t="s">
        <v>5241</v>
      </c>
      <c r="D8" s="8" t="s">
        <v>356</v>
      </c>
      <c r="E8" s="8" t="s">
        <v>5242</v>
      </c>
      <c r="F8" s="8" t="s">
        <v>5243</v>
      </c>
      <c r="G8" s="8" t="s">
        <v>5244</v>
      </c>
      <c r="H8" s="8" t="s">
        <v>5245</v>
      </c>
    </row>
    <row r="9" spans="1:8" ht="36.950000000000003" customHeight="1" x14ac:dyDescent="0.25">
      <c r="A9" s="8" t="s">
        <v>5240</v>
      </c>
      <c r="B9" s="8" t="s">
        <v>151</v>
      </c>
      <c r="C9" s="8" t="s">
        <v>5241</v>
      </c>
      <c r="D9" s="8" t="s">
        <v>356</v>
      </c>
      <c r="E9" s="8" t="s">
        <v>5242</v>
      </c>
      <c r="F9" s="8" t="s">
        <v>5243</v>
      </c>
      <c r="G9" s="8" t="s">
        <v>5244</v>
      </c>
      <c r="H9" s="8" t="s">
        <v>5245</v>
      </c>
    </row>
    <row r="10" spans="1:8" ht="36.950000000000003" customHeight="1" x14ac:dyDescent="0.25">
      <c r="A10" s="8" t="s">
        <v>5240</v>
      </c>
      <c r="B10" s="8" t="s">
        <v>4219</v>
      </c>
      <c r="C10" s="8" t="s">
        <v>5241</v>
      </c>
      <c r="D10" s="8" t="s">
        <v>356</v>
      </c>
      <c r="E10" s="8" t="s">
        <v>5242</v>
      </c>
      <c r="F10" s="8" t="s">
        <v>5243</v>
      </c>
      <c r="G10" s="8" t="s">
        <v>5244</v>
      </c>
      <c r="H10" s="8" t="s">
        <v>5245</v>
      </c>
    </row>
    <row r="11" spans="1:8" ht="36.950000000000003" customHeight="1" x14ac:dyDescent="0.25">
      <c r="A11" s="8" t="s">
        <v>5240</v>
      </c>
      <c r="B11" s="8" t="s">
        <v>4220</v>
      </c>
      <c r="C11" s="8" t="s">
        <v>5241</v>
      </c>
      <c r="D11" s="8" t="s">
        <v>356</v>
      </c>
      <c r="E11" s="8" t="s">
        <v>5242</v>
      </c>
      <c r="F11" s="8" t="s">
        <v>5243</v>
      </c>
      <c r="G11" s="8" t="s">
        <v>5244</v>
      </c>
      <c r="H11" s="8" t="s">
        <v>5245</v>
      </c>
    </row>
    <row r="12" spans="1:8" ht="36.950000000000003" customHeight="1" x14ac:dyDescent="0.25">
      <c r="A12" s="8" t="s">
        <v>5240</v>
      </c>
      <c r="B12" s="8" t="s">
        <v>4221</v>
      </c>
      <c r="C12" s="8" t="s">
        <v>5241</v>
      </c>
      <c r="D12" s="8" t="s">
        <v>356</v>
      </c>
      <c r="E12" s="8" t="s">
        <v>5242</v>
      </c>
      <c r="F12" s="8" t="s">
        <v>5243</v>
      </c>
      <c r="G12" s="8" t="s">
        <v>5244</v>
      </c>
      <c r="H12" s="8" t="s">
        <v>5245</v>
      </c>
    </row>
    <row r="13" spans="1:8" ht="36.950000000000003" customHeight="1" x14ac:dyDescent="0.25">
      <c r="A13" s="8" t="s">
        <v>5249</v>
      </c>
      <c r="B13" s="8" t="s">
        <v>48</v>
      </c>
      <c r="C13" s="8" t="s">
        <v>5241</v>
      </c>
      <c r="D13" s="8" t="s">
        <v>5250</v>
      </c>
      <c r="E13" s="8" t="s">
        <v>5251</v>
      </c>
      <c r="F13" s="8" t="s">
        <v>5243</v>
      </c>
      <c r="G13" s="8" t="s">
        <v>5244</v>
      </c>
      <c r="H13" s="8" t="s">
        <v>5252</v>
      </c>
    </row>
    <row r="14" spans="1:8" ht="36.950000000000003" customHeight="1" x14ac:dyDescent="0.25">
      <c r="A14" s="8" t="s">
        <v>5249</v>
      </c>
      <c r="B14" s="8" t="s">
        <v>49</v>
      </c>
      <c r="C14" s="8" t="s">
        <v>5241</v>
      </c>
      <c r="D14" s="8" t="s">
        <v>356</v>
      </c>
      <c r="E14" s="8" t="s">
        <v>5251</v>
      </c>
      <c r="F14" s="8" t="s">
        <v>5243</v>
      </c>
      <c r="G14" s="8" t="s">
        <v>5244</v>
      </c>
      <c r="H14" s="8" t="s">
        <v>5252</v>
      </c>
    </row>
    <row r="15" spans="1:8" ht="36.950000000000003" customHeight="1" x14ac:dyDescent="0.25">
      <c r="A15" s="8" t="s">
        <v>5249</v>
      </c>
      <c r="B15" s="8" t="s">
        <v>50</v>
      </c>
      <c r="C15" s="8" t="s">
        <v>5241</v>
      </c>
      <c r="D15" s="8" t="s">
        <v>356</v>
      </c>
      <c r="E15" s="8" t="s">
        <v>5251</v>
      </c>
      <c r="F15" s="8" t="s">
        <v>5243</v>
      </c>
      <c r="G15" s="8" t="s">
        <v>5244</v>
      </c>
      <c r="H15" s="8" t="s">
        <v>5252</v>
      </c>
    </row>
    <row r="16" spans="1:8" ht="36.950000000000003" customHeight="1" x14ac:dyDescent="0.25">
      <c r="A16" s="8" t="s">
        <v>5249</v>
      </c>
      <c r="B16" s="8" t="s">
        <v>51</v>
      </c>
      <c r="C16" s="8" t="s">
        <v>5241</v>
      </c>
      <c r="D16" s="8" t="s">
        <v>356</v>
      </c>
      <c r="E16" s="8" t="s">
        <v>5251</v>
      </c>
      <c r="F16" s="8" t="s">
        <v>5243</v>
      </c>
      <c r="G16" s="8" t="s">
        <v>5244</v>
      </c>
      <c r="H16" s="8" t="s">
        <v>5252</v>
      </c>
    </row>
    <row r="17" spans="1:8" ht="36.950000000000003" customHeight="1" x14ac:dyDescent="0.25">
      <c r="A17" s="8" t="s">
        <v>5249</v>
      </c>
      <c r="B17" s="8" t="s">
        <v>52</v>
      </c>
      <c r="C17" s="8" t="s">
        <v>5241</v>
      </c>
      <c r="D17" s="8" t="s">
        <v>356</v>
      </c>
      <c r="E17" s="8" t="s">
        <v>5253</v>
      </c>
      <c r="F17" s="8" t="s">
        <v>5243</v>
      </c>
      <c r="G17" s="8" t="s">
        <v>5244</v>
      </c>
      <c r="H17" s="8" t="s">
        <v>5252</v>
      </c>
    </row>
    <row r="18" spans="1:8" ht="36.950000000000003" customHeight="1" x14ac:dyDescent="0.25">
      <c r="A18" s="8" t="s">
        <v>5249</v>
      </c>
      <c r="B18" s="8" t="s">
        <v>53</v>
      </c>
      <c r="C18" s="8" t="s">
        <v>5241</v>
      </c>
      <c r="D18" s="8" t="s">
        <v>356</v>
      </c>
      <c r="E18" s="8" t="s">
        <v>5251</v>
      </c>
      <c r="F18" s="8" t="s">
        <v>5243</v>
      </c>
      <c r="G18" s="8" t="s">
        <v>5244</v>
      </c>
      <c r="H18" s="8" t="s">
        <v>5252</v>
      </c>
    </row>
    <row r="19" spans="1:8" ht="36.950000000000003" customHeight="1" x14ac:dyDescent="0.25">
      <c r="A19" s="8" t="s">
        <v>5249</v>
      </c>
      <c r="B19" s="8" t="s">
        <v>54</v>
      </c>
      <c r="C19" s="8" t="s">
        <v>5254</v>
      </c>
      <c r="D19" s="8" t="s">
        <v>356</v>
      </c>
      <c r="E19" s="8" t="s">
        <v>5255</v>
      </c>
      <c r="F19" s="8" t="s">
        <v>5243</v>
      </c>
      <c r="G19" s="8" t="s">
        <v>5244</v>
      </c>
      <c r="H19" s="8" t="s">
        <v>5252</v>
      </c>
    </row>
    <row r="20" spans="1:8" ht="36.950000000000003" customHeight="1" x14ac:dyDescent="0.25">
      <c r="A20" s="8" t="s">
        <v>5249</v>
      </c>
      <c r="B20" s="8" t="s">
        <v>55</v>
      </c>
      <c r="C20" s="8" t="s">
        <v>5254</v>
      </c>
      <c r="D20" s="8" t="s">
        <v>356</v>
      </c>
      <c r="E20" s="8" t="s">
        <v>5256</v>
      </c>
      <c r="F20" s="8" t="s">
        <v>5243</v>
      </c>
      <c r="G20" s="8" t="s">
        <v>5244</v>
      </c>
      <c r="H20" s="8" t="s">
        <v>5252</v>
      </c>
    </row>
    <row r="21" spans="1:8" ht="36.950000000000003" customHeight="1" x14ac:dyDescent="0.25">
      <c r="A21" s="8" t="s">
        <v>5249</v>
      </c>
      <c r="B21" s="8" t="s">
        <v>56</v>
      </c>
      <c r="C21" s="8" t="s">
        <v>5254</v>
      </c>
      <c r="D21" s="8" t="s">
        <v>356</v>
      </c>
      <c r="E21" s="8" t="s">
        <v>5251</v>
      </c>
      <c r="F21" s="8" t="s">
        <v>5243</v>
      </c>
      <c r="G21" s="8" t="s">
        <v>5244</v>
      </c>
      <c r="H21" s="8" t="s">
        <v>5252</v>
      </c>
    </row>
    <row r="22" spans="1:8" ht="36.950000000000003" customHeight="1" x14ac:dyDescent="0.25">
      <c r="A22" s="8" t="s">
        <v>5249</v>
      </c>
      <c r="B22" s="8" t="s">
        <v>57</v>
      </c>
      <c r="C22" s="8" t="s">
        <v>5254</v>
      </c>
      <c r="D22" s="8" t="s">
        <v>356</v>
      </c>
      <c r="E22" s="8" t="s">
        <v>5257</v>
      </c>
      <c r="F22" s="8" t="s">
        <v>5243</v>
      </c>
      <c r="G22" s="8" t="s">
        <v>5244</v>
      </c>
      <c r="H22" s="8" t="s">
        <v>5252</v>
      </c>
    </row>
    <row r="23" spans="1:8" ht="36.950000000000003" customHeight="1" x14ac:dyDescent="0.25">
      <c r="A23" s="8" t="s">
        <v>5249</v>
      </c>
      <c r="B23" s="8" t="s">
        <v>58</v>
      </c>
      <c r="C23" s="8" t="s">
        <v>5241</v>
      </c>
      <c r="D23" s="8" t="s">
        <v>356</v>
      </c>
      <c r="E23" s="8" t="s">
        <v>5251</v>
      </c>
      <c r="F23" s="8" t="s">
        <v>5243</v>
      </c>
      <c r="G23" s="8" t="s">
        <v>5244</v>
      </c>
      <c r="H23" s="8" t="s">
        <v>5252</v>
      </c>
    </row>
    <row r="24" spans="1:8" ht="36.950000000000003" customHeight="1" x14ac:dyDescent="0.25">
      <c r="A24" s="8" t="s">
        <v>5249</v>
      </c>
      <c r="B24" s="8" t="s">
        <v>59</v>
      </c>
      <c r="C24" s="8" t="s">
        <v>5241</v>
      </c>
      <c r="D24" s="8" t="s">
        <v>356</v>
      </c>
      <c r="E24" s="8" t="s">
        <v>5251</v>
      </c>
      <c r="F24" s="8" t="s">
        <v>5243</v>
      </c>
      <c r="G24" s="8" t="s">
        <v>5244</v>
      </c>
      <c r="H24" s="8" t="s">
        <v>5252</v>
      </c>
    </row>
    <row r="25" spans="1:8" ht="36.950000000000003" customHeight="1" x14ac:dyDescent="0.25">
      <c r="A25" s="8" t="s">
        <v>5249</v>
      </c>
      <c r="B25" s="8" t="s">
        <v>60</v>
      </c>
      <c r="C25" s="8" t="s">
        <v>5241</v>
      </c>
      <c r="D25" s="8" t="s">
        <v>356</v>
      </c>
      <c r="E25" s="8" t="s">
        <v>5251</v>
      </c>
      <c r="F25" s="8" t="s">
        <v>5243</v>
      </c>
      <c r="G25" s="8" t="s">
        <v>5244</v>
      </c>
      <c r="H25" s="8" t="s">
        <v>5252</v>
      </c>
    </row>
    <row r="26" spans="1:8" ht="36.950000000000003" customHeight="1" x14ac:dyDescent="0.25">
      <c r="A26" s="8" t="s">
        <v>5249</v>
      </c>
      <c r="B26" s="8" t="s">
        <v>61</v>
      </c>
      <c r="C26" s="8" t="s">
        <v>5241</v>
      </c>
      <c r="D26" s="8" t="s">
        <v>356</v>
      </c>
      <c r="E26" s="8" t="s">
        <v>5251</v>
      </c>
      <c r="F26" s="8" t="s">
        <v>5243</v>
      </c>
      <c r="G26" s="8" t="s">
        <v>5244</v>
      </c>
      <c r="H26" s="8" t="s">
        <v>5252</v>
      </c>
    </row>
    <row r="27" spans="1:8" ht="36.950000000000003" customHeight="1" x14ac:dyDescent="0.25">
      <c r="A27" s="8" t="s">
        <v>5249</v>
      </c>
      <c r="B27" s="8" t="s">
        <v>62</v>
      </c>
      <c r="C27" s="8" t="s">
        <v>5241</v>
      </c>
      <c r="D27" s="8" t="s">
        <v>356</v>
      </c>
      <c r="E27" s="8" t="s">
        <v>5251</v>
      </c>
      <c r="F27" s="8" t="s">
        <v>5243</v>
      </c>
      <c r="G27" s="8" t="s">
        <v>5244</v>
      </c>
      <c r="H27" s="8" t="s">
        <v>5252</v>
      </c>
    </row>
    <row r="28" spans="1:8" ht="36.950000000000003" customHeight="1" x14ac:dyDescent="0.25">
      <c r="A28" s="8" t="s">
        <v>5249</v>
      </c>
      <c r="B28" s="8" t="s">
        <v>63</v>
      </c>
      <c r="C28" s="8" t="s">
        <v>5241</v>
      </c>
      <c r="D28" s="8" t="s">
        <v>356</v>
      </c>
      <c r="E28" s="8" t="s">
        <v>5251</v>
      </c>
      <c r="F28" s="8" t="s">
        <v>5243</v>
      </c>
      <c r="G28" s="8" t="s">
        <v>5244</v>
      </c>
      <c r="H28" s="8" t="s">
        <v>5252</v>
      </c>
    </row>
    <row r="29" spans="1:8" ht="36.950000000000003" customHeight="1" x14ac:dyDescent="0.25">
      <c r="A29" s="8" t="s">
        <v>5249</v>
      </c>
      <c r="B29" s="8" t="s">
        <v>64</v>
      </c>
      <c r="C29" s="8" t="s">
        <v>5241</v>
      </c>
      <c r="D29" s="8" t="s">
        <v>356</v>
      </c>
      <c r="E29" s="8" t="s">
        <v>5251</v>
      </c>
      <c r="F29" s="8" t="s">
        <v>5243</v>
      </c>
      <c r="G29" s="8" t="s">
        <v>5244</v>
      </c>
      <c r="H29" s="8" t="s">
        <v>5252</v>
      </c>
    </row>
    <row r="30" spans="1:8" ht="36.950000000000003" customHeight="1" x14ac:dyDescent="0.25">
      <c r="A30" s="8" t="s">
        <v>67</v>
      </c>
      <c r="B30" s="8" t="s">
        <v>326</v>
      </c>
      <c r="C30" s="8" t="s">
        <v>5241</v>
      </c>
      <c r="D30" s="8" t="s">
        <v>5250</v>
      </c>
      <c r="E30" s="8" t="s">
        <v>5258</v>
      </c>
      <c r="F30" s="8" t="s">
        <v>5243</v>
      </c>
      <c r="G30" s="8" t="s">
        <v>5244</v>
      </c>
      <c r="H30" s="8" t="s">
        <v>5252</v>
      </c>
    </row>
    <row r="31" spans="1:8" ht="36.950000000000003" customHeight="1" x14ac:dyDescent="0.25">
      <c r="A31" s="8" t="s">
        <v>67</v>
      </c>
      <c r="B31" s="8" t="s">
        <v>327</v>
      </c>
      <c r="C31" s="8" t="s">
        <v>5241</v>
      </c>
      <c r="D31" s="8" t="s">
        <v>5247</v>
      </c>
      <c r="E31" s="8" t="s">
        <v>5259</v>
      </c>
      <c r="F31" s="8" t="s">
        <v>5243</v>
      </c>
      <c r="G31" s="8" t="s">
        <v>5244</v>
      </c>
      <c r="H31" s="8" t="s">
        <v>5252</v>
      </c>
    </row>
    <row r="32" spans="1:8" ht="36.950000000000003" customHeight="1" x14ac:dyDescent="0.25">
      <c r="A32" s="8" t="s">
        <v>67</v>
      </c>
      <c r="B32" s="8" t="s">
        <v>328</v>
      </c>
      <c r="C32" s="8" t="s">
        <v>5241</v>
      </c>
      <c r="D32" s="8" t="s">
        <v>5260</v>
      </c>
      <c r="E32" s="8" t="s">
        <v>5261</v>
      </c>
      <c r="F32" s="8" t="s">
        <v>5243</v>
      </c>
      <c r="G32" s="8" t="s">
        <v>5244</v>
      </c>
      <c r="H32" s="8" t="s">
        <v>5252</v>
      </c>
    </row>
    <row r="33" spans="1:8" ht="36.950000000000003" customHeight="1" x14ac:dyDescent="0.25">
      <c r="A33" s="8" t="s">
        <v>67</v>
      </c>
      <c r="B33" s="8" t="s">
        <v>329</v>
      </c>
      <c r="C33" s="8" t="s">
        <v>5241</v>
      </c>
      <c r="D33" s="8" t="s">
        <v>356</v>
      </c>
      <c r="E33" s="8" t="s">
        <v>5262</v>
      </c>
      <c r="F33" s="8" t="s">
        <v>5243</v>
      </c>
      <c r="G33" s="8" t="s">
        <v>5244</v>
      </c>
      <c r="H33" s="8" t="s">
        <v>5252</v>
      </c>
    </row>
    <row r="34" spans="1:8" ht="36.950000000000003" customHeight="1" x14ac:dyDescent="0.25">
      <c r="A34" s="8" t="s">
        <v>67</v>
      </c>
      <c r="B34" s="8" t="s">
        <v>330</v>
      </c>
      <c r="C34" s="8" t="s">
        <v>5263</v>
      </c>
      <c r="D34" s="8" t="s">
        <v>356</v>
      </c>
      <c r="E34" s="8" t="s">
        <v>5264</v>
      </c>
      <c r="F34" s="8" t="s">
        <v>5265</v>
      </c>
      <c r="G34" s="8" t="s">
        <v>5244</v>
      </c>
      <c r="H34" s="8" t="s">
        <v>5252</v>
      </c>
    </row>
    <row r="35" spans="1:8" ht="36.950000000000003" customHeight="1" x14ac:dyDescent="0.25">
      <c r="A35" s="8" t="s">
        <v>67</v>
      </c>
      <c r="B35" s="8" t="s">
        <v>331</v>
      </c>
      <c r="C35" s="8" t="s">
        <v>5263</v>
      </c>
      <c r="D35" s="8" t="s">
        <v>356</v>
      </c>
      <c r="E35" s="8" t="s">
        <v>5266</v>
      </c>
      <c r="F35" s="8" t="s">
        <v>5265</v>
      </c>
      <c r="G35" s="8" t="s">
        <v>5244</v>
      </c>
      <c r="H35" s="8" t="s">
        <v>5252</v>
      </c>
    </row>
    <row r="36" spans="1:8" ht="36.950000000000003" customHeight="1" x14ac:dyDescent="0.25">
      <c r="A36" s="8" t="s">
        <v>67</v>
      </c>
      <c r="B36" s="8" t="s">
        <v>332</v>
      </c>
      <c r="C36" s="8" t="s">
        <v>5263</v>
      </c>
      <c r="D36" s="8" t="s">
        <v>356</v>
      </c>
      <c r="E36" s="8" t="s">
        <v>5251</v>
      </c>
      <c r="F36" s="8" t="s">
        <v>5265</v>
      </c>
      <c r="G36" s="8" t="s">
        <v>5244</v>
      </c>
      <c r="H36" s="8" t="s">
        <v>5252</v>
      </c>
    </row>
    <row r="37" spans="1:8" ht="36.950000000000003" customHeight="1" x14ac:dyDescent="0.25">
      <c r="A37" s="8" t="s">
        <v>67</v>
      </c>
      <c r="B37" s="8" t="s">
        <v>333</v>
      </c>
      <c r="C37" s="8" t="s">
        <v>5263</v>
      </c>
      <c r="D37" s="8" t="s">
        <v>356</v>
      </c>
      <c r="E37" s="8" t="s">
        <v>5267</v>
      </c>
      <c r="F37" s="8" t="s">
        <v>5265</v>
      </c>
      <c r="G37" s="8" t="s">
        <v>5244</v>
      </c>
      <c r="H37" s="8" t="s">
        <v>5252</v>
      </c>
    </row>
    <row r="38" spans="1:8" ht="36.950000000000003" customHeight="1" x14ac:dyDescent="0.25">
      <c r="A38" s="8" t="s">
        <v>67</v>
      </c>
      <c r="B38" s="8" t="s">
        <v>334</v>
      </c>
      <c r="C38" s="8" t="s">
        <v>5241</v>
      </c>
      <c r="D38" s="8" t="s">
        <v>356</v>
      </c>
      <c r="E38" s="8" t="s">
        <v>5251</v>
      </c>
      <c r="F38" s="8" t="s">
        <v>5243</v>
      </c>
      <c r="G38" s="8" t="s">
        <v>5244</v>
      </c>
      <c r="H38" s="8" t="s">
        <v>5252</v>
      </c>
    </row>
    <row r="39" spans="1:8" ht="36.950000000000003" customHeight="1" x14ac:dyDescent="0.25">
      <c r="A39" s="8" t="s">
        <v>67</v>
      </c>
      <c r="B39" s="8" t="s">
        <v>335</v>
      </c>
      <c r="C39" s="8" t="s">
        <v>5241</v>
      </c>
      <c r="D39" s="8" t="s">
        <v>5250</v>
      </c>
      <c r="E39" s="8" t="s">
        <v>5268</v>
      </c>
      <c r="F39" s="8" t="s">
        <v>5243</v>
      </c>
      <c r="G39" s="8" t="s">
        <v>5244</v>
      </c>
      <c r="H39" s="8" t="s">
        <v>5252</v>
      </c>
    </row>
    <row r="40" spans="1:8" ht="36.950000000000003" customHeight="1" x14ac:dyDescent="0.25">
      <c r="A40" s="8" t="s">
        <v>67</v>
      </c>
      <c r="B40" s="8" t="s">
        <v>336</v>
      </c>
      <c r="C40" s="8" t="s">
        <v>5241</v>
      </c>
      <c r="D40" s="8" t="s">
        <v>5250</v>
      </c>
      <c r="E40" s="8" t="s">
        <v>5269</v>
      </c>
      <c r="F40" s="8" t="s">
        <v>5243</v>
      </c>
      <c r="G40" s="8" t="s">
        <v>5244</v>
      </c>
      <c r="H40" s="8" t="s">
        <v>5252</v>
      </c>
    </row>
    <row r="41" spans="1:8" ht="36.950000000000003" customHeight="1" x14ac:dyDescent="0.25">
      <c r="A41" s="8" t="s">
        <v>67</v>
      </c>
      <c r="B41" s="8" t="s">
        <v>238</v>
      </c>
      <c r="C41" s="8" t="s">
        <v>5241</v>
      </c>
      <c r="D41" s="8" t="s">
        <v>5250</v>
      </c>
      <c r="E41" s="8" t="s">
        <v>5270</v>
      </c>
      <c r="F41" s="8" t="s">
        <v>5243</v>
      </c>
      <c r="G41" s="8" t="s">
        <v>5244</v>
      </c>
      <c r="H41" s="8" t="s">
        <v>5252</v>
      </c>
    </row>
    <row r="42" spans="1:8" ht="36.950000000000003" customHeight="1" x14ac:dyDescent="0.25">
      <c r="A42" s="8" t="s">
        <v>67</v>
      </c>
      <c r="B42" s="8" t="s">
        <v>337</v>
      </c>
      <c r="C42" s="8" t="s">
        <v>5241</v>
      </c>
      <c r="D42" s="8" t="s">
        <v>356</v>
      </c>
      <c r="E42" s="8" t="s">
        <v>5251</v>
      </c>
      <c r="F42" s="8" t="s">
        <v>5243</v>
      </c>
      <c r="G42" s="8" t="s">
        <v>5244</v>
      </c>
      <c r="H42" s="8" t="s">
        <v>5252</v>
      </c>
    </row>
    <row r="43" spans="1:8" ht="36.950000000000003" customHeight="1" x14ac:dyDescent="0.25">
      <c r="A43" s="8" t="s">
        <v>67</v>
      </c>
      <c r="B43" s="8" t="s">
        <v>338</v>
      </c>
      <c r="C43" s="8" t="s">
        <v>5241</v>
      </c>
      <c r="D43" s="8" t="s">
        <v>356</v>
      </c>
      <c r="E43" s="8" t="s">
        <v>5271</v>
      </c>
      <c r="F43" s="8" t="s">
        <v>5243</v>
      </c>
      <c r="G43" s="8" t="s">
        <v>5244</v>
      </c>
      <c r="H43" s="8" t="s">
        <v>5252</v>
      </c>
    </row>
    <row r="44" spans="1:8" ht="36.950000000000003" customHeight="1" x14ac:dyDescent="0.25">
      <c r="A44" s="8" t="s">
        <v>67</v>
      </c>
      <c r="B44" s="8" t="s">
        <v>339</v>
      </c>
      <c r="C44" s="8" t="s">
        <v>5241</v>
      </c>
      <c r="D44" s="8" t="s">
        <v>356</v>
      </c>
      <c r="E44" s="8" t="s">
        <v>5272</v>
      </c>
      <c r="F44" s="8" t="s">
        <v>5243</v>
      </c>
      <c r="G44" s="8" t="s">
        <v>5244</v>
      </c>
      <c r="H44" s="8" t="s">
        <v>5252</v>
      </c>
    </row>
    <row r="45" spans="1:8" ht="36.950000000000003" customHeight="1" x14ac:dyDescent="0.25">
      <c r="A45" s="8" t="s">
        <v>67</v>
      </c>
      <c r="B45" s="8" t="s">
        <v>340</v>
      </c>
      <c r="C45" s="8" t="s">
        <v>5241</v>
      </c>
      <c r="D45" s="8" t="s">
        <v>5260</v>
      </c>
      <c r="E45" s="8" t="s">
        <v>5273</v>
      </c>
      <c r="F45" s="8" t="s">
        <v>5243</v>
      </c>
      <c r="G45" s="8" t="s">
        <v>5244</v>
      </c>
      <c r="H45" s="8" t="s">
        <v>5252</v>
      </c>
    </row>
    <row r="46" spans="1:8" ht="36.950000000000003" customHeight="1" x14ac:dyDescent="0.25">
      <c r="A46" s="8" t="s">
        <v>67</v>
      </c>
      <c r="B46" s="8" t="s">
        <v>341</v>
      </c>
      <c r="C46" s="8" t="s">
        <v>5241</v>
      </c>
      <c r="D46" s="8" t="s">
        <v>5250</v>
      </c>
      <c r="E46" s="8" t="s">
        <v>5274</v>
      </c>
      <c r="F46" s="8" t="s">
        <v>5243</v>
      </c>
      <c r="G46" s="8" t="s">
        <v>5244</v>
      </c>
      <c r="H46" s="8" t="s">
        <v>5252</v>
      </c>
    </row>
    <row r="47" spans="1:8" ht="36.950000000000003" customHeight="1" x14ac:dyDescent="0.25">
      <c r="A47" s="8" t="s">
        <v>79</v>
      </c>
      <c r="B47" s="8" t="s">
        <v>326</v>
      </c>
      <c r="C47" s="8" t="s">
        <v>5241</v>
      </c>
      <c r="D47" s="8" t="s">
        <v>5250</v>
      </c>
      <c r="E47" s="8" t="s">
        <v>5258</v>
      </c>
      <c r="F47" s="8" t="s">
        <v>5243</v>
      </c>
      <c r="G47" s="8" t="s">
        <v>5244</v>
      </c>
      <c r="H47" s="8" t="s">
        <v>5252</v>
      </c>
    </row>
    <row r="48" spans="1:8" ht="36.950000000000003" customHeight="1" x14ac:dyDescent="0.25">
      <c r="A48" s="8" t="s">
        <v>79</v>
      </c>
      <c r="B48" s="8" t="s">
        <v>1673</v>
      </c>
      <c r="C48" s="8" t="s">
        <v>5241</v>
      </c>
      <c r="D48" s="8" t="s">
        <v>356</v>
      </c>
      <c r="E48" s="8" t="s">
        <v>5275</v>
      </c>
      <c r="F48" s="8" t="s">
        <v>5243</v>
      </c>
      <c r="G48" s="8" t="s">
        <v>5244</v>
      </c>
      <c r="H48" s="8" t="s">
        <v>5252</v>
      </c>
    </row>
    <row r="49" spans="1:8" ht="36.950000000000003" customHeight="1" x14ac:dyDescent="0.25">
      <c r="A49" s="8" t="s">
        <v>79</v>
      </c>
      <c r="B49" s="8" t="s">
        <v>329</v>
      </c>
      <c r="C49" s="8" t="s">
        <v>5241</v>
      </c>
      <c r="D49" s="8" t="s">
        <v>356</v>
      </c>
      <c r="E49" s="8" t="s">
        <v>5262</v>
      </c>
      <c r="F49" s="8" t="s">
        <v>5243</v>
      </c>
      <c r="G49" s="8" t="s">
        <v>5244</v>
      </c>
      <c r="H49" s="8" t="s">
        <v>5252</v>
      </c>
    </row>
    <row r="50" spans="1:8" ht="36.950000000000003" customHeight="1" x14ac:dyDescent="0.25">
      <c r="A50" s="8" t="s">
        <v>79</v>
      </c>
      <c r="B50" s="8" t="s">
        <v>1674</v>
      </c>
      <c r="C50" s="8" t="s">
        <v>5241</v>
      </c>
      <c r="D50" s="8" t="s">
        <v>356</v>
      </c>
      <c r="E50" s="8" t="s">
        <v>5251</v>
      </c>
      <c r="F50" s="8" t="s">
        <v>5243</v>
      </c>
      <c r="G50" s="8" t="s">
        <v>5244</v>
      </c>
      <c r="H50" s="8" t="s">
        <v>5252</v>
      </c>
    </row>
    <row r="51" spans="1:8" ht="36.950000000000003" customHeight="1" x14ac:dyDescent="0.25">
      <c r="A51" s="8" t="s">
        <v>79</v>
      </c>
      <c r="B51" s="8" t="s">
        <v>330</v>
      </c>
      <c r="C51" s="8" t="s">
        <v>5263</v>
      </c>
      <c r="D51" s="8" t="s">
        <v>356</v>
      </c>
      <c r="E51" s="8" t="s">
        <v>5264</v>
      </c>
      <c r="F51" s="8" t="s">
        <v>5265</v>
      </c>
      <c r="G51" s="8" t="s">
        <v>5244</v>
      </c>
      <c r="H51" s="8" t="s">
        <v>5252</v>
      </c>
    </row>
    <row r="52" spans="1:8" ht="36.950000000000003" customHeight="1" x14ac:dyDescent="0.25">
      <c r="A52" s="8" t="s">
        <v>79</v>
      </c>
      <c r="B52" s="8" t="s">
        <v>331</v>
      </c>
      <c r="C52" s="8" t="s">
        <v>5263</v>
      </c>
      <c r="D52" s="8" t="s">
        <v>356</v>
      </c>
      <c r="E52" s="8" t="s">
        <v>5266</v>
      </c>
      <c r="F52" s="8" t="s">
        <v>5265</v>
      </c>
      <c r="G52" s="8" t="s">
        <v>5244</v>
      </c>
      <c r="H52" s="8" t="s">
        <v>5252</v>
      </c>
    </row>
    <row r="53" spans="1:8" ht="36.950000000000003" customHeight="1" x14ac:dyDescent="0.25">
      <c r="A53" s="8" t="s">
        <v>79</v>
      </c>
      <c r="B53" s="8" t="s">
        <v>333</v>
      </c>
      <c r="C53" s="8" t="s">
        <v>5263</v>
      </c>
      <c r="D53" s="8" t="s">
        <v>356</v>
      </c>
      <c r="E53" s="8" t="s">
        <v>5267</v>
      </c>
      <c r="F53" s="8" t="s">
        <v>5265</v>
      </c>
      <c r="G53" s="8" t="s">
        <v>5244</v>
      </c>
      <c r="H53" s="8" t="s">
        <v>5252</v>
      </c>
    </row>
    <row r="54" spans="1:8" ht="33.950000000000003" customHeight="1" x14ac:dyDescent="0.25">
      <c r="A54" s="8" t="s">
        <v>79</v>
      </c>
      <c r="B54" s="8" t="s">
        <v>1675</v>
      </c>
      <c r="C54" s="8" t="s">
        <v>5263</v>
      </c>
      <c r="D54" s="8" t="s">
        <v>356</v>
      </c>
      <c r="E54" s="8" t="s">
        <v>5276</v>
      </c>
      <c r="F54" s="8" t="s">
        <v>5265</v>
      </c>
      <c r="G54" s="8" t="s">
        <v>5244</v>
      </c>
      <c r="H54" s="8" t="s">
        <v>5252</v>
      </c>
    </row>
    <row r="55" spans="1:8" ht="36.950000000000003" customHeight="1" x14ac:dyDescent="0.25">
      <c r="A55" s="8" t="s">
        <v>79</v>
      </c>
      <c r="B55" s="8" t="s">
        <v>1676</v>
      </c>
      <c r="C55" s="8" t="s">
        <v>5241</v>
      </c>
      <c r="D55" s="8" t="s">
        <v>356</v>
      </c>
      <c r="E55" s="8" t="s">
        <v>5277</v>
      </c>
      <c r="F55" s="8" t="s">
        <v>5243</v>
      </c>
      <c r="G55" s="8" t="s">
        <v>5244</v>
      </c>
      <c r="H55" s="8" t="s">
        <v>5252</v>
      </c>
    </row>
    <row r="56" spans="1:8" ht="36.950000000000003" customHeight="1" x14ac:dyDescent="0.25">
      <c r="A56" s="8" t="s">
        <v>79</v>
      </c>
      <c r="B56" s="8" t="s">
        <v>335</v>
      </c>
      <c r="C56" s="8" t="s">
        <v>5241</v>
      </c>
      <c r="D56" s="8" t="s">
        <v>5250</v>
      </c>
      <c r="E56" s="8" t="s">
        <v>5268</v>
      </c>
      <c r="F56" s="8" t="s">
        <v>5243</v>
      </c>
      <c r="G56" s="8" t="s">
        <v>5244</v>
      </c>
      <c r="H56" s="8" t="s">
        <v>5252</v>
      </c>
    </row>
    <row r="57" spans="1:8" ht="36.950000000000003" customHeight="1" x14ac:dyDescent="0.25">
      <c r="A57" s="8" t="s">
        <v>79</v>
      </c>
      <c r="B57" s="8" t="s">
        <v>336</v>
      </c>
      <c r="C57" s="8" t="s">
        <v>5241</v>
      </c>
      <c r="D57" s="8" t="s">
        <v>5250</v>
      </c>
      <c r="E57" s="8" t="s">
        <v>5269</v>
      </c>
      <c r="F57" s="8" t="s">
        <v>5243</v>
      </c>
      <c r="G57" s="8" t="s">
        <v>5244</v>
      </c>
      <c r="H57" s="8" t="s">
        <v>5252</v>
      </c>
    </row>
    <row r="58" spans="1:8" ht="36.950000000000003" customHeight="1" x14ac:dyDescent="0.25">
      <c r="A58" s="8" t="s">
        <v>79</v>
      </c>
      <c r="B58" s="8" t="s">
        <v>341</v>
      </c>
      <c r="C58" s="8" t="s">
        <v>5241</v>
      </c>
      <c r="D58" s="8" t="s">
        <v>5250</v>
      </c>
      <c r="E58" s="8" t="s">
        <v>5274</v>
      </c>
      <c r="F58" s="8" t="s">
        <v>5243</v>
      </c>
      <c r="G58" s="8" t="s">
        <v>5244</v>
      </c>
      <c r="H58" s="8" t="s">
        <v>5252</v>
      </c>
    </row>
    <row r="59" spans="1:8" ht="36.950000000000003" customHeight="1" x14ac:dyDescent="0.25">
      <c r="A59" s="8" t="s">
        <v>79</v>
      </c>
      <c r="B59" s="8" t="s">
        <v>238</v>
      </c>
      <c r="C59" s="8" t="s">
        <v>5241</v>
      </c>
      <c r="D59" s="8" t="s">
        <v>5250</v>
      </c>
      <c r="E59" s="8" t="s">
        <v>5270</v>
      </c>
      <c r="F59" s="8" t="s">
        <v>5243</v>
      </c>
      <c r="G59" s="8" t="s">
        <v>5244</v>
      </c>
      <c r="H59" s="8" t="s">
        <v>5252</v>
      </c>
    </row>
    <row r="60" spans="1:8" ht="36.950000000000003" customHeight="1" x14ac:dyDescent="0.25">
      <c r="A60" s="8" t="s">
        <v>79</v>
      </c>
      <c r="B60" s="8" t="s">
        <v>1677</v>
      </c>
      <c r="C60" s="8" t="s">
        <v>5241</v>
      </c>
      <c r="D60" s="8" t="s">
        <v>356</v>
      </c>
      <c r="E60" s="8" t="s">
        <v>5278</v>
      </c>
      <c r="F60" s="8" t="s">
        <v>5243</v>
      </c>
      <c r="G60" s="8" t="s">
        <v>5244</v>
      </c>
      <c r="H60" s="8" t="s">
        <v>5252</v>
      </c>
    </row>
    <row r="61" spans="1:8" ht="36.950000000000003" customHeight="1" x14ac:dyDescent="0.25">
      <c r="A61" s="8" t="s">
        <v>79</v>
      </c>
      <c r="B61" s="8" t="s">
        <v>340</v>
      </c>
      <c r="C61" s="8" t="s">
        <v>5241</v>
      </c>
      <c r="D61" s="8" t="s">
        <v>5260</v>
      </c>
      <c r="E61" s="8" t="s">
        <v>5273</v>
      </c>
      <c r="F61" s="8" t="s">
        <v>5243</v>
      </c>
      <c r="G61" s="8" t="s">
        <v>5244</v>
      </c>
      <c r="H61" s="8" t="s">
        <v>5252</v>
      </c>
    </row>
    <row r="62" spans="1:8" ht="36.950000000000003" customHeight="1" x14ac:dyDescent="0.25">
      <c r="A62" s="8" t="s">
        <v>79</v>
      </c>
      <c r="B62" s="8" t="s">
        <v>339</v>
      </c>
      <c r="C62" s="8" t="s">
        <v>5241</v>
      </c>
      <c r="D62" s="8" t="s">
        <v>356</v>
      </c>
      <c r="E62" s="8" t="s">
        <v>5272</v>
      </c>
      <c r="F62" s="8" t="s">
        <v>5243</v>
      </c>
      <c r="G62" s="8" t="s">
        <v>5244</v>
      </c>
      <c r="H62" s="8" t="s">
        <v>5252</v>
      </c>
    </row>
    <row r="63" spans="1:8" ht="36.950000000000003" customHeight="1" x14ac:dyDescent="0.25">
      <c r="A63" s="8" t="s">
        <v>87</v>
      </c>
      <c r="B63" s="8" t="s">
        <v>326</v>
      </c>
      <c r="C63" s="8" t="s">
        <v>5241</v>
      </c>
      <c r="D63" s="8" t="s">
        <v>5250</v>
      </c>
      <c r="E63" s="8" t="s">
        <v>5258</v>
      </c>
      <c r="F63" s="8" t="s">
        <v>5243</v>
      </c>
      <c r="G63" s="8" t="s">
        <v>5244</v>
      </c>
      <c r="H63" s="8" t="s">
        <v>5252</v>
      </c>
    </row>
    <row r="64" spans="1:8" ht="36.950000000000003" customHeight="1" x14ac:dyDescent="0.25">
      <c r="A64" s="8" t="s">
        <v>87</v>
      </c>
      <c r="B64" s="8" t="s">
        <v>1673</v>
      </c>
      <c r="C64" s="8" t="s">
        <v>5241</v>
      </c>
      <c r="D64" s="8" t="s">
        <v>356</v>
      </c>
      <c r="E64" s="8" t="s">
        <v>5275</v>
      </c>
      <c r="F64" s="8" t="s">
        <v>5243</v>
      </c>
      <c r="G64" s="8" t="s">
        <v>5244</v>
      </c>
      <c r="H64" s="8" t="s">
        <v>5252</v>
      </c>
    </row>
    <row r="65" spans="1:8" ht="36.950000000000003" customHeight="1" x14ac:dyDescent="0.25">
      <c r="A65" s="8" t="s">
        <v>87</v>
      </c>
      <c r="B65" s="8" t="s">
        <v>329</v>
      </c>
      <c r="C65" s="8" t="s">
        <v>5241</v>
      </c>
      <c r="D65" s="8" t="s">
        <v>356</v>
      </c>
      <c r="E65" s="8" t="s">
        <v>5262</v>
      </c>
      <c r="F65" s="8" t="s">
        <v>5243</v>
      </c>
      <c r="G65" s="8" t="s">
        <v>5244</v>
      </c>
      <c r="H65" s="8" t="s">
        <v>5252</v>
      </c>
    </row>
    <row r="66" spans="1:8" ht="36.950000000000003" customHeight="1" x14ac:dyDescent="0.25">
      <c r="A66" s="8" t="s">
        <v>87</v>
      </c>
      <c r="B66" s="8" t="s">
        <v>1674</v>
      </c>
      <c r="C66" s="8" t="s">
        <v>5241</v>
      </c>
      <c r="D66" s="8" t="s">
        <v>356</v>
      </c>
      <c r="E66" s="8" t="s">
        <v>5251</v>
      </c>
      <c r="F66" s="8" t="s">
        <v>5243</v>
      </c>
      <c r="G66" s="8" t="s">
        <v>5244</v>
      </c>
      <c r="H66" s="8" t="s">
        <v>5252</v>
      </c>
    </row>
    <row r="67" spans="1:8" ht="36.950000000000003" customHeight="1" x14ac:dyDescent="0.25">
      <c r="A67" s="8" t="s">
        <v>87</v>
      </c>
      <c r="B67" s="8" t="s">
        <v>330</v>
      </c>
      <c r="C67" s="8" t="s">
        <v>5263</v>
      </c>
      <c r="D67" s="8" t="s">
        <v>356</v>
      </c>
      <c r="E67" s="8" t="s">
        <v>5264</v>
      </c>
      <c r="F67" s="8" t="s">
        <v>5265</v>
      </c>
      <c r="G67" s="8" t="s">
        <v>5244</v>
      </c>
      <c r="H67" s="8" t="s">
        <v>5252</v>
      </c>
    </row>
    <row r="68" spans="1:8" ht="36.950000000000003" customHeight="1" x14ac:dyDescent="0.25">
      <c r="A68" s="8" t="s">
        <v>87</v>
      </c>
      <c r="B68" s="8" t="s">
        <v>331</v>
      </c>
      <c r="C68" s="8" t="s">
        <v>5263</v>
      </c>
      <c r="D68" s="8" t="s">
        <v>356</v>
      </c>
      <c r="E68" s="8" t="s">
        <v>5266</v>
      </c>
      <c r="F68" s="8" t="s">
        <v>5265</v>
      </c>
      <c r="G68" s="8" t="s">
        <v>5244</v>
      </c>
      <c r="H68" s="8" t="s">
        <v>5252</v>
      </c>
    </row>
    <row r="69" spans="1:8" ht="36.950000000000003" customHeight="1" x14ac:dyDescent="0.25">
      <c r="A69" s="8" t="s">
        <v>87</v>
      </c>
      <c r="B69" s="8" t="s">
        <v>333</v>
      </c>
      <c r="C69" s="8" t="s">
        <v>5263</v>
      </c>
      <c r="D69" s="8" t="s">
        <v>356</v>
      </c>
      <c r="E69" s="8" t="s">
        <v>5267</v>
      </c>
      <c r="F69" s="8" t="s">
        <v>5265</v>
      </c>
      <c r="G69" s="8" t="s">
        <v>5244</v>
      </c>
      <c r="H69" s="8" t="s">
        <v>5252</v>
      </c>
    </row>
    <row r="70" spans="1:8" ht="33.950000000000003" customHeight="1" x14ac:dyDescent="0.25">
      <c r="A70" s="8" t="s">
        <v>87</v>
      </c>
      <c r="B70" s="8" t="s">
        <v>1675</v>
      </c>
      <c r="C70" s="8" t="s">
        <v>5263</v>
      </c>
      <c r="D70" s="8" t="s">
        <v>356</v>
      </c>
      <c r="E70" s="8" t="s">
        <v>5276</v>
      </c>
      <c r="F70" s="8" t="s">
        <v>5265</v>
      </c>
      <c r="G70" s="8" t="s">
        <v>5244</v>
      </c>
      <c r="H70" s="8" t="s">
        <v>5252</v>
      </c>
    </row>
    <row r="71" spans="1:8" ht="36.950000000000003" customHeight="1" x14ac:dyDescent="0.25">
      <c r="A71" s="8" t="s">
        <v>87</v>
      </c>
      <c r="B71" s="8" t="s">
        <v>1676</v>
      </c>
      <c r="C71" s="8" t="s">
        <v>5241</v>
      </c>
      <c r="D71" s="8" t="s">
        <v>356</v>
      </c>
      <c r="E71" s="8" t="s">
        <v>5277</v>
      </c>
      <c r="F71" s="8" t="s">
        <v>5243</v>
      </c>
      <c r="G71" s="8" t="s">
        <v>5244</v>
      </c>
      <c r="H71" s="8" t="s">
        <v>5252</v>
      </c>
    </row>
    <row r="72" spans="1:8" ht="36.950000000000003" customHeight="1" x14ac:dyDescent="0.25">
      <c r="A72" s="8" t="s">
        <v>87</v>
      </c>
      <c r="B72" s="8" t="s">
        <v>335</v>
      </c>
      <c r="C72" s="8" t="s">
        <v>5241</v>
      </c>
      <c r="D72" s="8" t="s">
        <v>5250</v>
      </c>
      <c r="E72" s="8" t="s">
        <v>5268</v>
      </c>
      <c r="F72" s="8" t="s">
        <v>5243</v>
      </c>
      <c r="G72" s="8" t="s">
        <v>5244</v>
      </c>
      <c r="H72" s="8" t="s">
        <v>5252</v>
      </c>
    </row>
    <row r="73" spans="1:8" ht="36.950000000000003" customHeight="1" x14ac:dyDescent="0.25">
      <c r="A73" s="8" t="s">
        <v>87</v>
      </c>
      <c r="B73" s="8" t="s">
        <v>336</v>
      </c>
      <c r="C73" s="8" t="s">
        <v>5241</v>
      </c>
      <c r="D73" s="8" t="s">
        <v>5250</v>
      </c>
      <c r="E73" s="8" t="s">
        <v>5269</v>
      </c>
      <c r="F73" s="8" t="s">
        <v>5243</v>
      </c>
      <c r="G73" s="8" t="s">
        <v>5244</v>
      </c>
      <c r="H73" s="8" t="s">
        <v>5252</v>
      </c>
    </row>
    <row r="74" spans="1:8" ht="36.950000000000003" customHeight="1" x14ac:dyDescent="0.25">
      <c r="A74" s="8" t="s">
        <v>87</v>
      </c>
      <c r="B74" s="8" t="s">
        <v>341</v>
      </c>
      <c r="C74" s="8" t="s">
        <v>5241</v>
      </c>
      <c r="D74" s="8" t="s">
        <v>5250</v>
      </c>
      <c r="E74" s="8" t="s">
        <v>5274</v>
      </c>
      <c r="F74" s="8" t="s">
        <v>5243</v>
      </c>
      <c r="G74" s="8" t="s">
        <v>5244</v>
      </c>
      <c r="H74" s="8" t="s">
        <v>5252</v>
      </c>
    </row>
    <row r="75" spans="1:8" ht="36.950000000000003" customHeight="1" x14ac:dyDescent="0.25">
      <c r="A75" s="8" t="s">
        <v>87</v>
      </c>
      <c r="B75" s="8" t="s">
        <v>238</v>
      </c>
      <c r="C75" s="8" t="s">
        <v>5241</v>
      </c>
      <c r="D75" s="8" t="s">
        <v>5250</v>
      </c>
      <c r="E75" s="8" t="s">
        <v>5270</v>
      </c>
      <c r="F75" s="8" t="s">
        <v>5243</v>
      </c>
      <c r="G75" s="8" t="s">
        <v>5244</v>
      </c>
      <c r="H75" s="8" t="s">
        <v>5252</v>
      </c>
    </row>
    <row r="76" spans="1:8" ht="36.950000000000003" customHeight="1" x14ac:dyDescent="0.25">
      <c r="A76" s="8" t="s">
        <v>87</v>
      </c>
      <c r="B76" s="8" t="s">
        <v>1677</v>
      </c>
      <c r="C76" s="8" t="s">
        <v>5241</v>
      </c>
      <c r="D76" s="8" t="s">
        <v>356</v>
      </c>
      <c r="E76" s="8" t="s">
        <v>5278</v>
      </c>
      <c r="F76" s="8" t="s">
        <v>5243</v>
      </c>
      <c r="G76" s="8" t="s">
        <v>5244</v>
      </c>
      <c r="H76" s="8" t="s">
        <v>5252</v>
      </c>
    </row>
    <row r="77" spans="1:8" ht="36.950000000000003" customHeight="1" x14ac:dyDescent="0.25">
      <c r="A77" s="8" t="s">
        <v>87</v>
      </c>
      <c r="B77" s="8" t="s">
        <v>340</v>
      </c>
      <c r="C77" s="8" t="s">
        <v>5241</v>
      </c>
      <c r="D77" s="8" t="s">
        <v>5260</v>
      </c>
      <c r="E77" s="8" t="s">
        <v>5273</v>
      </c>
      <c r="F77" s="8" t="s">
        <v>5243</v>
      </c>
      <c r="G77" s="8" t="s">
        <v>5244</v>
      </c>
      <c r="H77" s="8" t="s">
        <v>5252</v>
      </c>
    </row>
    <row r="78" spans="1:8" ht="36.950000000000003" customHeight="1" x14ac:dyDescent="0.25">
      <c r="A78" s="8" t="s">
        <v>87</v>
      </c>
      <c r="B78" s="8" t="s">
        <v>339</v>
      </c>
      <c r="C78" s="8" t="s">
        <v>5241</v>
      </c>
      <c r="D78" s="8" t="s">
        <v>356</v>
      </c>
      <c r="E78" s="8" t="s">
        <v>5272</v>
      </c>
      <c r="F78" s="8" t="s">
        <v>5243</v>
      </c>
      <c r="G78" s="8" t="s">
        <v>5244</v>
      </c>
      <c r="H78" s="8" t="s">
        <v>5252</v>
      </c>
    </row>
    <row r="79" spans="1:8" ht="36.950000000000003" customHeight="1" x14ac:dyDescent="0.25">
      <c r="A79" s="8" t="s">
        <v>93</v>
      </c>
      <c r="B79" s="8" t="s">
        <v>326</v>
      </c>
      <c r="C79" s="8" t="s">
        <v>5241</v>
      </c>
      <c r="D79" s="8" t="s">
        <v>5250</v>
      </c>
      <c r="E79" s="8" t="s">
        <v>5258</v>
      </c>
      <c r="F79" s="8" t="s">
        <v>5243</v>
      </c>
      <c r="G79" s="8" t="s">
        <v>5244</v>
      </c>
      <c r="H79" s="8" t="s">
        <v>5252</v>
      </c>
    </row>
    <row r="80" spans="1:8" ht="36.950000000000003" customHeight="1" x14ac:dyDescent="0.25">
      <c r="A80" s="8" t="s">
        <v>93</v>
      </c>
      <c r="B80" s="8" t="s">
        <v>1673</v>
      </c>
      <c r="C80" s="8" t="s">
        <v>5241</v>
      </c>
      <c r="D80" s="8" t="s">
        <v>356</v>
      </c>
      <c r="E80" s="8" t="s">
        <v>5275</v>
      </c>
      <c r="F80" s="8" t="s">
        <v>5243</v>
      </c>
      <c r="G80" s="8" t="s">
        <v>5244</v>
      </c>
      <c r="H80" s="8" t="s">
        <v>5252</v>
      </c>
    </row>
    <row r="81" spans="1:8" ht="36.950000000000003" customHeight="1" x14ac:dyDescent="0.25">
      <c r="A81" s="8" t="s">
        <v>93</v>
      </c>
      <c r="B81" s="8" t="s">
        <v>329</v>
      </c>
      <c r="C81" s="8" t="s">
        <v>5241</v>
      </c>
      <c r="D81" s="8" t="s">
        <v>356</v>
      </c>
      <c r="E81" s="8" t="s">
        <v>5262</v>
      </c>
      <c r="F81" s="8" t="s">
        <v>5243</v>
      </c>
      <c r="G81" s="8" t="s">
        <v>5244</v>
      </c>
      <c r="H81" s="8" t="s">
        <v>5252</v>
      </c>
    </row>
    <row r="82" spans="1:8" ht="36.950000000000003" customHeight="1" x14ac:dyDescent="0.25">
      <c r="A82" s="8" t="s">
        <v>93</v>
      </c>
      <c r="B82" s="8" t="s">
        <v>1674</v>
      </c>
      <c r="C82" s="8" t="s">
        <v>5241</v>
      </c>
      <c r="D82" s="8" t="s">
        <v>356</v>
      </c>
      <c r="E82" s="8" t="s">
        <v>5251</v>
      </c>
      <c r="F82" s="8" t="s">
        <v>5243</v>
      </c>
      <c r="G82" s="8" t="s">
        <v>5244</v>
      </c>
      <c r="H82" s="8" t="s">
        <v>5252</v>
      </c>
    </row>
    <row r="83" spans="1:8" ht="36.950000000000003" customHeight="1" x14ac:dyDescent="0.25">
      <c r="A83" s="8" t="s">
        <v>93</v>
      </c>
      <c r="B83" s="8" t="s">
        <v>330</v>
      </c>
      <c r="C83" s="8" t="s">
        <v>5263</v>
      </c>
      <c r="D83" s="8" t="s">
        <v>356</v>
      </c>
      <c r="E83" s="8" t="s">
        <v>5264</v>
      </c>
      <c r="F83" s="8" t="s">
        <v>5265</v>
      </c>
      <c r="G83" s="8" t="s">
        <v>5244</v>
      </c>
      <c r="H83" s="8" t="s">
        <v>5252</v>
      </c>
    </row>
    <row r="84" spans="1:8" ht="36.950000000000003" customHeight="1" x14ac:dyDescent="0.25">
      <c r="A84" s="8" t="s">
        <v>93</v>
      </c>
      <c r="B84" s="8" t="s">
        <v>331</v>
      </c>
      <c r="C84" s="8" t="s">
        <v>5263</v>
      </c>
      <c r="D84" s="8" t="s">
        <v>356</v>
      </c>
      <c r="E84" s="8" t="s">
        <v>5266</v>
      </c>
      <c r="F84" s="8" t="s">
        <v>5265</v>
      </c>
      <c r="G84" s="8" t="s">
        <v>5244</v>
      </c>
      <c r="H84" s="8" t="s">
        <v>5252</v>
      </c>
    </row>
    <row r="85" spans="1:8" ht="36.950000000000003" customHeight="1" x14ac:dyDescent="0.25">
      <c r="A85" s="8" t="s">
        <v>93</v>
      </c>
      <c r="B85" s="8" t="s">
        <v>333</v>
      </c>
      <c r="C85" s="8" t="s">
        <v>5263</v>
      </c>
      <c r="D85" s="8" t="s">
        <v>356</v>
      </c>
      <c r="E85" s="8" t="s">
        <v>5267</v>
      </c>
      <c r="F85" s="8" t="s">
        <v>5265</v>
      </c>
      <c r="G85" s="8" t="s">
        <v>5244</v>
      </c>
      <c r="H85" s="8" t="s">
        <v>5252</v>
      </c>
    </row>
    <row r="86" spans="1:8" ht="33.950000000000003" customHeight="1" x14ac:dyDescent="0.25">
      <c r="A86" s="8" t="s">
        <v>93</v>
      </c>
      <c r="B86" s="8" t="s">
        <v>1675</v>
      </c>
      <c r="C86" s="8" t="s">
        <v>5263</v>
      </c>
      <c r="D86" s="8" t="s">
        <v>356</v>
      </c>
      <c r="E86" s="8" t="s">
        <v>5276</v>
      </c>
      <c r="F86" s="8" t="s">
        <v>5265</v>
      </c>
      <c r="G86" s="8" t="s">
        <v>5244</v>
      </c>
      <c r="H86" s="8" t="s">
        <v>5252</v>
      </c>
    </row>
    <row r="87" spans="1:8" ht="36.950000000000003" customHeight="1" x14ac:dyDescent="0.25">
      <c r="A87" s="8" t="s">
        <v>93</v>
      </c>
      <c r="B87" s="8" t="s">
        <v>1676</v>
      </c>
      <c r="C87" s="8" t="s">
        <v>5241</v>
      </c>
      <c r="D87" s="8" t="s">
        <v>356</v>
      </c>
      <c r="E87" s="8" t="s">
        <v>5277</v>
      </c>
      <c r="F87" s="8" t="s">
        <v>5243</v>
      </c>
      <c r="G87" s="8" t="s">
        <v>5244</v>
      </c>
      <c r="H87" s="8" t="s">
        <v>5252</v>
      </c>
    </row>
    <row r="88" spans="1:8" ht="36.950000000000003" customHeight="1" x14ac:dyDescent="0.25">
      <c r="A88" s="8" t="s">
        <v>93</v>
      </c>
      <c r="B88" s="8" t="s">
        <v>335</v>
      </c>
      <c r="C88" s="8" t="s">
        <v>5241</v>
      </c>
      <c r="D88" s="8" t="s">
        <v>5250</v>
      </c>
      <c r="E88" s="8" t="s">
        <v>5268</v>
      </c>
      <c r="F88" s="8" t="s">
        <v>5243</v>
      </c>
      <c r="G88" s="8" t="s">
        <v>5244</v>
      </c>
      <c r="H88" s="8" t="s">
        <v>5252</v>
      </c>
    </row>
    <row r="89" spans="1:8" ht="36.950000000000003" customHeight="1" x14ac:dyDescent="0.25">
      <c r="A89" s="8" t="s">
        <v>93</v>
      </c>
      <c r="B89" s="8" t="s">
        <v>336</v>
      </c>
      <c r="C89" s="8" t="s">
        <v>5241</v>
      </c>
      <c r="D89" s="8" t="s">
        <v>5250</v>
      </c>
      <c r="E89" s="8" t="s">
        <v>5269</v>
      </c>
      <c r="F89" s="8" t="s">
        <v>5243</v>
      </c>
      <c r="G89" s="8" t="s">
        <v>5244</v>
      </c>
      <c r="H89" s="8" t="s">
        <v>5252</v>
      </c>
    </row>
    <row r="90" spans="1:8" ht="36.950000000000003" customHeight="1" x14ac:dyDescent="0.25">
      <c r="A90" s="8" t="s">
        <v>93</v>
      </c>
      <c r="B90" s="8" t="s">
        <v>341</v>
      </c>
      <c r="C90" s="8" t="s">
        <v>5241</v>
      </c>
      <c r="D90" s="8" t="s">
        <v>5250</v>
      </c>
      <c r="E90" s="8" t="s">
        <v>5274</v>
      </c>
      <c r="F90" s="8" t="s">
        <v>5243</v>
      </c>
      <c r="G90" s="8" t="s">
        <v>5244</v>
      </c>
      <c r="H90" s="8" t="s">
        <v>5252</v>
      </c>
    </row>
    <row r="91" spans="1:8" ht="36.950000000000003" customHeight="1" x14ac:dyDescent="0.25">
      <c r="A91" s="8" t="s">
        <v>93</v>
      </c>
      <c r="B91" s="8" t="s">
        <v>238</v>
      </c>
      <c r="C91" s="8" t="s">
        <v>5241</v>
      </c>
      <c r="D91" s="8" t="s">
        <v>5250</v>
      </c>
      <c r="E91" s="8" t="s">
        <v>5270</v>
      </c>
      <c r="F91" s="8" t="s">
        <v>5243</v>
      </c>
      <c r="G91" s="8" t="s">
        <v>5244</v>
      </c>
      <c r="H91" s="8" t="s">
        <v>5252</v>
      </c>
    </row>
    <row r="92" spans="1:8" ht="36.950000000000003" customHeight="1" x14ac:dyDescent="0.25">
      <c r="A92" s="8" t="s">
        <v>93</v>
      </c>
      <c r="B92" s="8" t="s">
        <v>1677</v>
      </c>
      <c r="C92" s="8" t="s">
        <v>5241</v>
      </c>
      <c r="D92" s="8" t="s">
        <v>356</v>
      </c>
      <c r="E92" s="8" t="s">
        <v>5278</v>
      </c>
      <c r="F92" s="8" t="s">
        <v>5243</v>
      </c>
      <c r="G92" s="8" t="s">
        <v>5244</v>
      </c>
      <c r="H92" s="8" t="s">
        <v>5252</v>
      </c>
    </row>
    <row r="93" spans="1:8" ht="36.950000000000003" customHeight="1" x14ac:dyDescent="0.25">
      <c r="A93" s="8" t="s">
        <v>93</v>
      </c>
      <c r="B93" s="8" t="s">
        <v>340</v>
      </c>
      <c r="C93" s="8" t="s">
        <v>5241</v>
      </c>
      <c r="D93" s="8" t="s">
        <v>5260</v>
      </c>
      <c r="E93" s="8" t="s">
        <v>5273</v>
      </c>
      <c r="F93" s="8" t="s">
        <v>5243</v>
      </c>
      <c r="G93" s="8" t="s">
        <v>5244</v>
      </c>
      <c r="H93" s="8" t="s">
        <v>5252</v>
      </c>
    </row>
    <row r="94" spans="1:8" ht="36.950000000000003" customHeight="1" x14ac:dyDescent="0.25">
      <c r="A94" s="8" t="s">
        <v>93</v>
      </c>
      <c r="B94" s="8" t="s">
        <v>339</v>
      </c>
      <c r="C94" s="8" t="s">
        <v>5241</v>
      </c>
      <c r="D94" s="8" t="s">
        <v>356</v>
      </c>
      <c r="E94" s="8" t="s">
        <v>5272</v>
      </c>
      <c r="F94" s="8" t="s">
        <v>5243</v>
      </c>
      <c r="G94" s="8" t="s">
        <v>5244</v>
      </c>
      <c r="H94" s="8" t="s">
        <v>5252</v>
      </c>
    </row>
    <row r="95" spans="1:8" ht="36.950000000000003" customHeight="1" x14ac:dyDescent="0.25">
      <c r="A95" s="8" t="s">
        <v>98</v>
      </c>
      <c r="B95" s="8" t="s">
        <v>326</v>
      </c>
      <c r="C95" s="8" t="s">
        <v>5241</v>
      </c>
      <c r="D95" s="8" t="s">
        <v>5250</v>
      </c>
      <c r="E95" s="8" t="s">
        <v>5258</v>
      </c>
      <c r="F95" s="8" t="s">
        <v>5243</v>
      </c>
      <c r="G95" s="8" t="s">
        <v>5244</v>
      </c>
      <c r="H95" s="8" t="s">
        <v>5252</v>
      </c>
    </row>
    <row r="96" spans="1:8" ht="36.950000000000003" customHeight="1" x14ac:dyDescent="0.25">
      <c r="A96" s="8" t="s">
        <v>98</v>
      </c>
      <c r="B96" s="8" t="s">
        <v>1673</v>
      </c>
      <c r="C96" s="8" t="s">
        <v>5241</v>
      </c>
      <c r="D96" s="8" t="s">
        <v>356</v>
      </c>
      <c r="E96" s="8" t="s">
        <v>5275</v>
      </c>
      <c r="F96" s="8" t="s">
        <v>5243</v>
      </c>
      <c r="G96" s="8" t="s">
        <v>5244</v>
      </c>
      <c r="H96" s="8" t="s">
        <v>5252</v>
      </c>
    </row>
    <row r="97" spans="1:8" ht="36.950000000000003" customHeight="1" x14ac:dyDescent="0.25">
      <c r="A97" s="8" t="s">
        <v>98</v>
      </c>
      <c r="B97" s="8" t="s">
        <v>329</v>
      </c>
      <c r="C97" s="8" t="s">
        <v>5241</v>
      </c>
      <c r="D97" s="8" t="s">
        <v>356</v>
      </c>
      <c r="E97" s="8" t="s">
        <v>5262</v>
      </c>
      <c r="F97" s="8" t="s">
        <v>5243</v>
      </c>
      <c r="G97" s="8" t="s">
        <v>5244</v>
      </c>
      <c r="H97" s="8" t="s">
        <v>5252</v>
      </c>
    </row>
    <row r="98" spans="1:8" ht="36.950000000000003" customHeight="1" x14ac:dyDescent="0.25">
      <c r="A98" s="8" t="s">
        <v>98</v>
      </c>
      <c r="B98" s="8" t="s">
        <v>1778</v>
      </c>
      <c r="C98" s="8" t="s">
        <v>5241</v>
      </c>
      <c r="D98" s="8" t="s">
        <v>356</v>
      </c>
      <c r="E98" s="8" t="s">
        <v>5251</v>
      </c>
      <c r="F98" s="8" t="s">
        <v>5243</v>
      </c>
      <c r="G98" s="8" t="s">
        <v>5244</v>
      </c>
      <c r="H98" s="8" t="s">
        <v>5252</v>
      </c>
    </row>
    <row r="99" spans="1:8" ht="36.950000000000003" customHeight="1" x14ac:dyDescent="0.25">
      <c r="A99" s="8" t="s">
        <v>98</v>
      </c>
      <c r="B99" s="8" t="s">
        <v>1779</v>
      </c>
      <c r="C99" s="8" t="s">
        <v>5241</v>
      </c>
      <c r="D99" s="8" t="s">
        <v>356</v>
      </c>
      <c r="E99" s="8" t="s">
        <v>5251</v>
      </c>
      <c r="F99" s="8" t="s">
        <v>5243</v>
      </c>
      <c r="G99" s="8" t="s">
        <v>5244</v>
      </c>
      <c r="H99" s="8" t="s">
        <v>5252</v>
      </c>
    </row>
    <row r="100" spans="1:8" ht="36.950000000000003" customHeight="1" x14ac:dyDescent="0.25">
      <c r="A100" s="8" t="s">
        <v>98</v>
      </c>
      <c r="B100" s="8" t="s">
        <v>1780</v>
      </c>
      <c r="C100" s="8" t="s">
        <v>5241</v>
      </c>
      <c r="D100" s="8" t="s">
        <v>356</v>
      </c>
      <c r="E100" s="8" t="s">
        <v>5251</v>
      </c>
      <c r="F100" s="8" t="s">
        <v>5243</v>
      </c>
      <c r="G100" s="8" t="s">
        <v>5244</v>
      </c>
      <c r="H100" s="8" t="s">
        <v>5252</v>
      </c>
    </row>
    <row r="101" spans="1:8" ht="36.950000000000003" customHeight="1" x14ac:dyDescent="0.25">
      <c r="A101" s="8" t="s">
        <v>98</v>
      </c>
      <c r="B101" s="8" t="s">
        <v>1781</v>
      </c>
      <c r="C101" s="8" t="s">
        <v>5263</v>
      </c>
      <c r="D101" s="8" t="s">
        <v>356</v>
      </c>
      <c r="E101" s="8" t="s">
        <v>5251</v>
      </c>
      <c r="F101" s="8" t="s">
        <v>5265</v>
      </c>
      <c r="G101" s="8" t="s">
        <v>5244</v>
      </c>
      <c r="H101" s="8" t="s">
        <v>5252</v>
      </c>
    </row>
    <row r="102" spans="1:8" ht="36.950000000000003" customHeight="1" x14ac:dyDescent="0.25">
      <c r="A102" s="8" t="s">
        <v>98</v>
      </c>
      <c r="B102" s="8" t="s">
        <v>1782</v>
      </c>
      <c r="C102" s="8" t="s">
        <v>5263</v>
      </c>
      <c r="D102" s="8" t="s">
        <v>356</v>
      </c>
      <c r="E102" s="8" t="s">
        <v>5279</v>
      </c>
      <c r="F102" s="8" t="s">
        <v>5265</v>
      </c>
      <c r="G102" s="8" t="s">
        <v>5244</v>
      </c>
      <c r="H102" s="8" t="s">
        <v>5252</v>
      </c>
    </row>
    <row r="103" spans="1:8" ht="36.950000000000003" customHeight="1" x14ac:dyDescent="0.25">
      <c r="A103" s="8" t="s">
        <v>98</v>
      </c>
      <c r="B103" s="8" t="s">
        <v>1783</v>
      </c>
      <c r="C103" s="8" t="s">
        <v>5241</v>
      </c>
      <c r="D103" s="8" t="s">
        <v>356</v>
      </c>
      <c r="E103" s="8" t="s">
        <v>5280</v>
      </c>
      <c r="F103" s="8" t="s">
        <v>5243</v>
      </c>
      <c r="G103" s="8" t="s">
        <v>5244</v>
      </c>
      <c r="H103" s="8" t="s">
        <v>5252</v>
      </c>
    </row>
    <row r="104" spans="1:8" ht="36.950000000000003" customHeight="1" x14ac:dyDescent="0.25">
      <c r="A104" s="8" t="s">
        <v>98</v>
      </c>
      <c r="B104" s="8" t="s">
        <v>1784</v>
      </c>
      <c r="C104" s="8" t="s">
        <v>5263</v>
      </c>
      <c r="D104" s="8" t="s">
        <v>356</v>
      </c>
      <c r="E104" s="8" t="s">
        <v>5251</v>
      </c>
      <c r="F104" s="8" t="s">
        <v>5265</v>
      </c>
      <c r="G104" s="8" t="s">
        <v>5244</v>
      </c>
      <c r="H104" s="8" t="s">
        <v>5252</v>
      </c>
    </row>
    <row r="105" spans="1:8" ht="36.950000000000003" customHeight="1" x14ac:dyDescent="0.25">
      <c r="A105" s="8" t="s">
        <v>98</v>
      </c>
      <c r="B105" s="8" t="s">
        <v>1785</v>
      </c>
      <c r="C105" s="8" t="s">
        <v>5241</v>
      </c>
      <c r="D105" s="8" t="s">
        <v>356</v>
      </c>
      <c r="E105" s="8" t="s">
        <v>5251</v>
      </c>
      <c r="F105" s="8" t="s">
        <v>5243</v>
      </c>
      <c r="G105" s="8" t="s">
        <v>5244</v>
      </c>
      <c r="H105" s="8" t="s">
        <v>5252</v>
      </c>
    </row>
    <row r="106" spans="1:8" ht="36.950000000000003" customHeight="1" x14ac:dyDescent="0.25">
      <c r="A106" s="8" t="s">
        <v>98</v>
      </c>
      <c r="B106" s="8" t="s">
        <v>335</v>
      </c>
      <c r="C106" s="8" t="s">
        <v>5241</v>
      </c>
      <c r="D106" s="8" t="s">
        <v>5250</v>
      </c>
      <c r="E106" s="8" t="s">
        <v>5268</v>
      </c>
      <c r="F106" s="8" t="s">
        <v>5243</v>
      </c>
      <c r="G106" s="8" t="s">
        <v>5244</v>
      </c>
      <c r="H106" s="8" t="s">
        <v>5252</v>
      </c>
    </row>
    <row r="107" spans="1:8" ht="36.950000000000003" customHeight="1" x14ac:dyDescent="0.25">
      <c r="A107" s="8" t="s">
        <v>98</v>
      </c>
      <c r="B107" s="8" t="s">
        <v>336</v>
      </c>
      <c r="C107" s="8" t="s">
        <v>5241</v>
      </c>
      <c r="D107" s="8" t="s">
        <v>5250</v>
      </c>
      <c r="E107" s="8" t="s">
        <v>5269</v>
      </c>
      <c r="F107" s="8" t="s">
        <v>5243</v>
      </c>
      <c r="G107" s="8" t="s">
        <v>5244</v>
      </c>
      <c r="H107" s="8" t="s">
        <v>5252</v>
      </c>
    </row>
    <row r="108" spans="1:8" ht="36.950000000000003" customHeight="1" x14ac:dyDescent="0.25">
      <c r="A108" s="8" t="s">
        <v>98</v>
      </c>
      <c r="B108" s="8" t="s">
        <v>238</v>
      </c>
      <c r="C108" s="8" t="s">
        <v>5241</v>
      </c>
      <c r="D108" s="8" t="s">
        <v>5250</v>
      </c>
      <c r="E108" s="8" t="s">
        <v>5270</v>
      </c>
      <c r="F108" s="8" t="s">
        <v>5243</v>
      </c>
      <c r="G108" s="8" t="s">
        <v>5244</v>
      </c>
      <c r="H108" s="8" t="s">
        <v>5252</v>
      </c>
    </row>
    <row r="109" spans="1:8" ht="36.950000000000003" customHeight="1" x14ac:dyDescent="0.25">
      <c r="A109" s="8" t="s">
        <v>98</v>
      </c>
      <c r="B109" s="8" t="s">
        <v>1786</v>
      </c>
      <c r="C109" s="8" t="s">
        <v>5241</v>
      </c>
      <c r="D109" s="8" t="s">
        <v>356</v>
      </c>
      <c r="E109" s="8" t="s">
        <v>5281</v>
      </c>
      <c r="F109" s="8" t="s">
        <v>5243</v>
      </c>
      <c r="G109" s="8" t="s">
        <v>5244</v>
      </c>
      <c r="H109" s="8" t="s">
        <v>5252</v>
      </c>
    </row>
    <row r="110" spans="1:8" ht="36.950000000000003" customHeight="1" x14ac:dyDescent="0.25">
      <c r="A110" s="8" t="s">
        <v>98</v>
      </c>
      <c r="B110" s="8" t="s">
        <v>338</v>
      </c>
      <c r="C110" s="8" t="s">
        <v>5241</v>
      </c>
      <c r="D110" s="8" t="s">
        <v>356</v>
      </c>
      <c r="E110" s="8" t="s">
        <v>5271</v>
      </c>
      <c r="F110" s="8" t="s">
        <v>5243</v>
      </c>
      <c r="G110" s="8" t="s">
        <v>5244</v>
      </c>
      <c r="H110" s="8" t="s">
        <v>5252</v>
      </c>
    </row>
    <row r="111" spans="1:8" ht="36.950000000000003" customHeight="1" x14ac:dyDescent="0.25">
      <c r="A111" s="8" t="s">
        <v>98</v>
      </c>
      <c r="B111" s="8" t="s">
        <v>340</v>
      </c>
      <c r="C111" s="8" t="s">
        <v>5241</v>
      </c>
      <c r="D111" s="8" t="s">
        <v>5260</v>
      </c>
      <c r="E111" s="8" t="s">
        <v>5273</v>
      </c>
      <c r="F111" s="8" t="s">
        <v>5243</v>
      </c>
      <c r="G111" s="8" t="s">
        <v>5244</v>
      </c>
      <c r="H111" s="8" t="s">
        <v>5252</v>
      </c>
    </row>
    <row r="112" spans="1:8" ht="36.950000000000003" customHeight="1" x14ac:dyDescent="0.25">
      <c r="A112" s="8" t="s">
        <v>98</v>
      </c>
      <c r="B112" s="8" t="s">
        <v>1787</v>
      </c>
      <c r="C112" s="8" t="s">
        <v>5241</v>
      </c>
      <c r="D112" s="8" t="s">
        <v>5247</v>
      </c>
      <c r="E112" s="8" t="s">
        <v>5282</v>
      </c>
      <c r="F112" s="8" t="s">
        <v>5243</v>
      </c>
      <c r="G112" s="8" t="s">
        <v>5244</v>
      </c>
      <c r="H112" s="8" t="s">
        <v>5252</v>
      </c>
    </row>
    <row r="113" spans="1:8" ht="36.950000000000003" customHeight="1" x14ac:dyDescent="0.25">
      <c r="A113" s="8" t="s">
        <v>98</v>
      </c>
      <c r="B113" s="8" t="s">
        <v>1788</v>
      </c>
      <c r="C113" s="8" t="s">
        <v>5241</v>
      </c>
      <c r="D113" s="8" t="s">
        <v>356</v>
      </c>
      <c r="E113" s="8" t="s">
        <v>5283</v>
      </c>
      <c r="F113" s="8" t="s">
        <v>5243</v>
      </c>
      <c r="G113" s="8" t="s">
        <v>5244</v>
      </c>
      <c r="H113" s="8" t="s">
        <v>5252</v>
      </c>
    </row>
    <row r="114" spans="1:8" ht="36.950000000000003" customHeight="1" x14ac:dyDescent="0.25">
      <c r="A114" s="8" t="s">
        <v>98</v>
      </c>
      <c r="B114" s="8" t="s">
        <v>341</v>
      </c>
      <c r="C114" s="8" t="s">
        <v>5241</v>
      </c>
      <c r="D114" s="8" t="s">
        <v>5250</v>
      </c>
      <c r="E114" s="8" t="s">
        <v>5274</v>
      </c>
      <c r="F114" s="8" t="s">
        <v>5243</v>
      </c>
      <c r="G114" s="8" t="s">
        <v>5244</v>
      </c>
      <c r="H114" s="8" t="s">
        <v>5252</v>
      </c>
    </row>
    <row r="115" spans="1:8" ht="36.950000000000003" customHeight="1" x14ac:dyDescent="0.25">
      <c r="A115" s="8" t="s">
        <v>104</v>
      </c>
      <c r="B115" s="8" t="s">
        <v>326</v>
      </c>
      <c r="C115" s="8" t="s">
        <v>5241</v>
      </c>
      <c r="D115" s="8" t="s">
        <v>5250</v>
      </c>
      <c r="E115" s="8" t="s">
        <v>5258</v>
      </c>
      <c r="F115" s="8" t="s">
        <v>5243</v>
      </c>
      <c r="G115" s="8" t="s">
        <v>5244</v>
      </c>
      <c r="H115" s="8" t="s">
        <v>5252</v>
      </c>
    </row>
    <row r="116" spans="1:8" ht="36.950000000000003" customHeight="1" x14ac:dyDescent="0.25">
      <c r="A116" s="8" t="s">
        <v>104</v>
      </c>
      <c r="B116" s="8" t="s">
        <v>327</v>
      </c>
      <c r="C116" s="8" t="s">
        <v>5241</v>
      </c>
      <c r="D116" s="8" t="s">
        <v>5247</v>
      </c>
      <c r="E116" s="8" t="s">
        <v>5259</v>
      </c>
      <c r="F116" s="8" t="s">
        <v>5243</v>
      </c>
      <c r="G116" s="8" t="s">
        <v>5244</v>
      </c>
      <c r="H116" s="8" t="s">
        <v>5252</v>
      </c>
    </row>
    <row r="117" spans="1:8" ht="36.950000000000003" customHeight="1" x14ac:dyDescent="0.25">
      <c r="A117" s="8" t="s">
        <v>104</v>
      </c>
      <c r="B117" s="8" t="s">
        <v>328</v>
      </c>
      <c r="C117" s="8" t="s">
        <v>5241</v>
      </c>
      <c r="D117" s="8" t="s">
        <v>5260</v>
      </c>
      <c r="E117" s="8" t="s">
        <v>5261</v>
      </c>
      <c r="F117" s="8" t="s">
        <v>5243</v>
      </c>
      <c r="G117" s="8" t="s">
        <v>5244</v>
      </c>
      <c r="H117" s="8" t="s">
        <v>5252</v>
      </c>
    </row>
    <row r="118" spans="1:8" ht="36.950000000000003" customHeight="1" x14ac:dyDescent="0.25">
      <c r="A118" s="8" t="s">
        <v>104</v>
      </c>
      <c r="B118" s="8" t="s">
        <v>2205</v>
      </c>
      <c r="C118" s="8" t="s">
        <v>5241</v>
      </c>
      <c r="D118" s="8" t="s">
        <v>356</v>
      </c>
      <c r="E118" s="8" t="s">
        <v>5284</v>
      </c>
      <c r="F118" s="8" t="s">
        <v>5243</v>
      </c>
      <c r="G118" s="8" t="s">
        <v>5244</v>
      </c>
      <c r="H118" s="8" t="s">
        <v>5252</v>
      </c>
    </row>
    <row r="119" spans="1:8" ht="36.950000000000003" customHeight="1" x14ac:dyDescent="0.25">
      <c r="A119" s="8" t="s">
        <v>104</v>
      </c>
      <c r="B119" s="8" t="s">
        <v>330</v>
      </c>
      <c r="C119" s="8" t="s">
        <v>5263</v>
      </c>
      <c r="D119" s="8" t="s">
        <v>356</v>
      </c>
      <c r="E119" s="8" t="s">
        <v>5264</v>
      </c>
      <c r="F119" s="8" t="s">
        <v>5265</v>
      </c>
      <c r="G119" s="8" t="s">
        <v>5244</v>
      </c>
      <c r="H119" s="8" t="s">
        <v>5252</v>
      </c>
    </row>
    <row r="120" spans="1:8" ht="36.950000000000003" customHeight="1" x14ac:dyDescent="0.25">
      <c r="A120" s="8" t="s">
        <v>104</v>
      </c>
      <c r="B120" s="8" t="s">
        <v>333</v>
      </c>
      <c r="C120" s="8" t="s">
        <v>5263</v>
      </c>
      <c r="D120" s="8" t="s">
        <v>356</v>
      </c>
      <c r="E120" s="8" t="s">
        <v>5267</v>
      </c>
      <c r="F120" s="8" t="s">
        <v>5265</v>
      </c>
      <c r="G120" s="8" t="s">
        <v>5244</v>
      </c>
      <c r="H120" s="8" t="s">
        <v>5252</v>
      </c>
    </row>
    <row r="121" spans="1:8" ht="36.950000000000003" customHeight="1" x14ac:dyDescent="0.25">
      <c r="A121" s="8" t="s">
        <v>104</v>
      </c>
      <c r="B121" s="8" t="s">
        <v>1783</v>
      </c>
      <c r="C121" s="8" t="s">
        <v>5241</v>
      </c>
      <c r="D121" s="8" t="s">
        <v>356</v>
      </c>
      <c r="E121" s="8" t="s">
        <v>5280</v>
      </c>
      <c r="F121" s="8" t="s">
        <v>5243</v>
      </c>
      <c r="G121" s="8" t="s">
        <v>5244</v>
      </c>
      <c r="H121" s="8" t="s">
        <v>5252</v>
      </c>
    </row>
    <row r="122" spans="1:8" ht="36.950000000000003" customHeight="1" x14ac:dyDescent="0.25">
      <c r="A122" s="8" t="s">
        <v>104</v>
      </c>
      <c r="B122" s="8" t="s">
        <v>2206</v>
      </c>
      <c r="C122" s="8" t="s">
        <v>5241</v>
      </c>
      <c r="D122" s="8" t="s">
        <v>356</v>
      </c>
      <c r="E122" s="8" t="s">
        <v>5285</v>
      </c>
      <c r="F122" s="8" t="s">
        <v>5243</v>
      </c>
      <c r="G122" s="8" t="s">
        <v>5244</v>
      </c>
      <c r="H122" s="8" t="s">
        <v>5252</v>
      </c>
    </row>
    <row r="123" spans="1:8" ht="36.950000000000003" customHeight="1" x14ac:dyDescent="0.25">
      <c r="A123" s="8" t="s">
        <v>104</v>
      </c>
      <c r="B123" s="8" t="s">
        <v>2207</v>
      </c>
      <c r="C123" s="8" t="s">
        <v>5241</v>
      </c>
      <c r="D123" s="8" t="s">
        <v>356</v>
      </c>
      <c r="E123" s="8" t="s">
        <v>5251</v>
      </c>
      <c r="F123" s="8" t="s">
        <v>5243</v>
      </c>
      <c r="G123" s="8" t="s">
        <v>5244</v>
      </c>
      <c r="H123" s="8" t="s">
        <v>5252</v>
      </c>
    </row>
    <row r="124" spans="1:8" ht="36.950000000000003" customHeight="1" x14ac:dyDescent="0.25">
      <c r="A124" s="8" t="s">
        <v>104</v>
      </c>
      <c r="B124" s="8" t="s">
        <v>2208</v>
      </c>
      <c r="C124" s="8" t="s">
        <v>5241</v>
      </c>
      <c r="D124" s="8" t="s">
        <v>356</v>
      </c>
      <c r="E124" s="8" t="s">
        <v>5251</v>
      </c>
      <c r="F124" s="8" t="s">
        <v>5243</v>
      </c>
      <c r="G124" s="8" t="s">
        <v>5244</v>
      </c>
      <c r="H124" s="8" t="s">
        <v>5252</v>
      </c>
    </row>
    <row r="125" spans="1:8" ht="36.950000000000003" customHeight="1" x14ac:dyDescent="0.25">
      <c r="A125" s="8" t="s">
        <v>104</v>
      </c>
      <c r="B125" s="8" t="s">
        <v>335</v>
      </c>
      <c r="C125" s="8" t="s">
        <v>5241</v>
      </c>
      <c r="D125" s="8" t="s">
        <v>5250</v>
      </c>
      <c r="E125" s="8" t="s">
        <v>5268</v>
      </c>
      <c r="F125" s="8" t="s">
        <v>5243</v>
      </c>
      <c r="G125" s="8" t="s">
        <v>5244</v>
      </c>
      <c r="H125" s="8" t="s">
        <v>5252</v>
      </c>
    </row>
    <row r="126" spans="1:8" ht="36.950000000000003" customHeight="1" x14ac:dyDescent="0.25">
      <c r="A126" s="8" t="s">
        <v>104</v>
      </c>
      <c r="B126" s="8" t="s">
        <v>336</v>
      </c>
      <c r="C126" s="8" t="s">
        <v>5241</v>
      </c>
      <c r="D126" s="8" t="s">
        <v>5250</v>
      </c>
      <c r="E126" s="8" t="s">
        <v>5269</v>
      </c>
      <c r="F126" s="8" t="s">
        <v>5243</v>
      </c>
      <c r="G126" s="8" t="s">
        <v>5244</v>
      </c>
      <c r="H126" s="8" t="s">
        <v>5252</v>
      </c>
    </row>
    <row r="127" spans="1:8" ht="36.950000000000003" customHeight="1" x14ac:dyDescent="0.25">
      <c r="A127" s="8" t="s">
        <v>104</v>
      </c>
      <c r="B127" s="8" t="s">
        <v>238</v>
      </c>
      <c r="C127" s="8" t="s">
        <v>5241</v>
      </c>
      <c r="D127" s="8" t="s">
        <v>5250</v>
      </c>
      <c r="E127" s="8" t="s">
        <v>5270</v>
      </c>
      <c r="F127" s="8" t="s">
        <v>5243</v>
      </c>
      <c r="G127" s="8" t="s">
        <v>5244</v>
      </c>
      <c r="H127" s="8" t="s">
        <v>5252</v>
      </c>
    </row>
    <row r="128" spans="1:8" ht="36.950000000000003" customHeight="1" x14ac:dyDescent="0.25">
      <c r="A128" s="8" t="s">
        <v>104</v>
      </c>
      <c r="B128" s="8" t="s">
        <v>2209</v>
      </c>
      <c r="C128" s="8" t="s">
        <v>5241</v>
      </c>
      <c r="D128" s="8" t="s">
        <v>356</v>
      </c>
      <c r="E128" s="8" t="s">
        <v>5251</v>
      </c>
      <c r="F128" s="8" t="s">
        <v>5243</v>
      </c>
      <c r="G128" s="8" t="s">
        <v>5244</v>
      </c>
      <c r="H128" s="8" t="s">
        <v>5252</v>
      </c>
    </row>
    <row r="129" spans="1:8" ht="36.950000000000003" customHeight="1" x14ac:dyDescent="0.25">
      <c r="A129" s="8" t="s">
        <v>104</v>
      </c>
      <c r="B129" s="8" t="s">
        <v>2210</v>
      </c>
      <c r="C129" s="8" t="s">
        <v>5241</v>
      </c>
      <c r="D129" s="8" t="s">
        <v>356</v>
      </c>
      <c r="E129" s="8" t="s">
        <v>5251</v>
      </c>
      <c r="F129" s="8" t="s">
        <v>5243</v>
      </c>
      <c r="G129" s="8" t="s">
        <v>5244</v>
      </c>
      <c r="H129" s="8" t="s">
        <v>5252</v>
      </c>
    </row>
    <row r="130" spans="1:8" ht="36.950000000000003" customHeight="1" x14ac:dyDescent="0.25">
      <c r="A130" s="8" t="s">
        <v>104</v>
      </c>
      <c r="B130" s="8" t="s">
        <v>338</v>
      </c>
      <c r="C130" s="8" t="s">
        <v>5241</v>
      </c>
      <c r="D130" s="8" t="s">
        <v>356</v>
      </c>
      <c r="E130" s="8" t="s">
        <v>5271</v>
      </c>
      <c r="F130" s="8" t="s">
        <v>5243</v>
      </c>
      <c r="G130" s="8" t="s">
        <v>5244</v>
      </c>
      <c r="H130" s="8" t="s">
        <v>5252</v>
      </c>
    </row>
    <row r="131" spans="1:8" ht="36.950000000000003" customHeight="1" x14ac:dyDescent="0.25">
      <c r="A131" s="8" t="s">
        <v>104</v>
      </c>
      <c r="B131" s="8" t="s">
        <v>340</v>
      </c>
      <c r="C131" s="8" t="s">
        <v>5241</v>
      </c>
      <c r="D131" s="8" t="s">
        <v>5260</v>
      </c>
      <c r="E131" s="8" t="s">
        <v>5273</v>
      </c>
      <c r="F131" s="8" t="s">
        <v>5243</v>
      </c>
      <c r="G131" s="8" t="s">
        <v>5244</v>
      </c>
      <c r="H131" s="8" t="s">
        <v>5252</v>
      </c>
    </row>
    <row r="132" spans="1:8" ht="36.950000000000003" customHeight="1" x14ac:dyDescent="0.25">
      <c r="A132" s="8" t="s">
        <v>104</v>
      </c>
      <c r="B132" s="8" t="s">
        <v>341</v>
      </c>
      <c r="C132" s="8" t="s">
        <v>5241</v>
      </c>
      <c r="D132" s="8" t="s">
        <v>5250</v>
      </c>
      <c r="E132" s="8" t="s">
        <v>5274</v>
      </c>
      <c r="F132" s="8" t="s">
        <v>5243</v>
      </c>
      <c r="G132" s="8" t="s">
        <v>5244</v>
      </c>
      <c r="H132" s="8" t="s">
        <v>5252</v>
      </c>
    </row>
    <row r="133" spans="1:8" ht="36.950000000000003" customHeight="1" x14ac:dyDescent="0.25">
      <c r="A133" s="8" t="s">
        <v>110</v>
      </c>
      <c r="B133" s="8" t="s">
        <v>326</v>
      </c>
      <c r="C133" s="8" t="s">
        <v>5241</v>
      </c>
      <c r="D133" s="8" t="s">
        <v>5250</v>
      </c>
      <c r="E133" s="8" t="s">
        <v>5258</v>
      </c>
      <c r="F133" s="8" t="s">
        <v>5243</v>
      </c>
      <c r="G133" s="8" t="s">
        <v>5244</v>
      </c>
      <c r="H133" s="8" t="s">
        <v>5252</v>
      </c>
    </row>
    <row r="134" spans="1:8" ht="36.950000000000003" customHeight="1" x14ac:dyDescent="0.25">
      <c r="A134" s="8" t="s">
        <v>110</v>
      </c>
      <c r="B134" s="8" t="s">
        <v>327</v>
      </c>
      <c r="C134" s="8" t="s">
        <v>5241</v>
      </c>
      <c r="D134" s="8" t="s">
        <v>5247</v>
      </c>
      <c r="E134" s="8" t="s">
        <v>5259</v>
      </c>
      <c r="F134" s="8" t="s">
        <v>5243</v>
      </c>
      <c r="G134" s="8" t="s">
        <v>5244</v>
      </c>
      <c r="H134" s="8" t="s">
        <v>5252</v>
      </c>
    </row>
    <row r="135" spans="1:8" ht="36.950000000000003" customHeight="1" x14ac:dyDescent="0.25">
      <c r="A135" s="8" t="s">
        <v>110</v>
      </c>
      <c r="B135" s="8" t="s">
        <v>328</v>
      </c>
      <c r="C135" s="8" t="s">
        <v>5241</v>
      </c>
      <c r="D135" s="8" t="s">
        <v>5260</v>
      </c>
      <c r="E135" s="8" t="s">
        <v>5261</v>
      </c>
      <c r="F135" s="8" t="s">
        <v>5243</v>
      </c>
      <c r="G135" s="8" t="s">
        <v>5244</v>
      </c>
      <c r="H135" s="8" t="s">
        <v>5252</v>
      </c>
    </row>
    <row r="136" spans="1:8" ht="36.950000000000003" customHeight="1" x14ac:dyDescent="0.25">
      <c r="A136" s="8" t="s">
        <v>110</v>
      </c>
      <c r="B136" s="8" t="s">
        <v>329</v>
      </c>
      <c r="C136" s="8" t="s">
        <v>5241</v>
      </c>
      <c r="D136" s="8" t="s">
        <v>356</v>
      </c>
      <c r="E136" s="8" t="s">
        <v>5262</v>
      </c>
      <c r="F136" s="8" t="s">
        <v>5243</v>
      </c>
      <c r="G136" s="8" t="s">
        <v>5244</v>
      </c>
      <c r="H136" s="8" t="s">
        <v>5252</v>
      </c>
    </row>
    <row r="137" spans="1:8" ht="36.950000000000003" customHeight="1" x14ac:dyDescent="0.25">
      <c r="A137" s="8" t="s">
        <v>110</v>
      </c>
      <c r="B137" s="8" t="s">
        <v>330</v>
      </c>
      <c r="C137" s="8" t="s">
        <v>5263</v>
      </c>
      <c r="D137" s="8" t="s">
        <v>356</v>
      </c>
      <c r="E137" s="8" t="s">
        <v>5264</v>
      </c>
      <c r="F137" s="8" t="s">
        <v>5265</v>
      </c>
      <c r="G137" s="8" t="s">
        <v>5244</v>
      </c>
      <c r="H137" s="8" t="s">
        <v>5252</v>
      </c>
    </row>
    <row r="138" spans="1:8" ht="36.950000000000003" customHeight="1" x14ac:dyDescent="0.25">
      <c r="A138" s="8" t="s">
        <v>110</v>
      </c>
      <c r="B138" s="8" t="s">
        <v>333</v>
      </c>
      <c r="C138" s="8" t="s">
        <v>5263</v>
      </c>
      <c r="D138" s="8" t="s">
        <v>356</v>
      </c>
      <c r="E138" s="8" t="s">
        <v>5267</v>
      </c>
      <c r="F138" s="8" t="s">
        <v>5265</v>
      </c>
      <c r="G138" s="8" t="s">
        <v>5244</v>
      </c>
      <c r="H138" s="8" t="s">
        <v>5252</v>
      </c>
    </row>
    <row r="139" spans="1:8" ht="36.950000000000003" customHeight="1" x14ac:dyDescent="0.25">
      <c r="A139" s="8" t="s">
        <v>110</v>
      </c>
      <c r="B139" s="8" t="s">
        <v>2628</v>
      </c>
      <c r="C139" s="8" t="s">
        <v>5241</v>
      </c>
      <c r="D139" s="8" t="s">
        <v>356</v>
      </c>
      <c r="E139" s="8" t="s">
        <v>5251</v>
      </c>
      <c r="F139" s="8" t="s">
        <v>5243</v>
      </c>
      <c r="G139" s="8" t="s">
        <v>5244</v>
      </c>
      <c r="H139" s="8" t="s">
        <v>5252</v>
      </c>
    </row>
    <row r="140" spans="1:8" ht="36.950000000000003" customHeight="1" x14ac:dyDescent="0.25">
      <c r="A140" s="8" t="s">
        <v>110</v>
      </c>
      <c r="B140" s="8" t="s">
        <v>335</v>
      </c>
      <c r="C140" s="8" t="s">
        <v>5241</v>
      </c>
      <c r="D140" s="8" t="s">
        <v>5250</v>
      </c>
      <c r="E140" s="8" t="s">
        <v>5268</v>
      </c>
      <c r="F140" s="8" t="s">
        <v>5243</v>
      </c>
      <c r="G140" s="8" t="s">
        <v>5244</v>
      </c>
      <c r="H140" s="8" t="s">
        <v>5252</v>
      </c>
    </row>
    <row r="141" spans="1:8" ht="36.950000000000003" customHeight="1" x14ac:dyDescent="0.25">
      <c r="A141" s="8" t="s">
        <v>110</v>
      </c>
      <c r="B141" s="8" t="s">
        <v>336</v>
      </c>
      <c r="C141" s="8" t="s">
        <v>5241</v>
      </c>
      <c r="D141" s="8" t="s">
        <v>5250</v>
      </c>
      <c r="E141" s="8" t="s">
        <v>5269</v>
      </c>
      <c r="F141" s="8" t="s">
        <v>5243</v>
      </c>
      <c r="G141" s="8" t="s">
        <v>5244</v>
      </c>
      <c r="H141" s="8" t="s">
        <v>5252</v>
      </c>
    </row>
    <row r="142" spans="1:8" ht="36.950000000000003" customHeight="1" x14ac:dyDescent="0.25">
      <c r="A142" s="8" t="s">
        <v>110</v>
      </c>
      <c r="B142" s="8" t="s">
        <v>238</v>
      </c>
      <c r="C142" s="8" t="s">
        <v>5241</v>
      </c>
      <c r="D142" s="8" t="s">
        <v>5250</v>
      </c>
      <c r="E142" s="8" t="s">
        <v>5270</v>
      </c>
      <c r="F142" s="8" t="s">
        <v>5243</v>
      </c>
      <c r="G142" s="8" t="s">
        <v>5244</v>
      </c>
      <c r="H142" s="8" t="s">
        <v>5252</v>
      </c>
    </row>
    <row r="143" spans="1:8" ht="36.950000000000003" customHeight="1" x14ac:dyDescent="0.25">
      <c r="A143" s="8" t="s">
        <v>110</v>
      </c>
      <c r="B143" s="8" t="s">
        <v>338</v>
      </c>
      <c r="C143" s="8" t="s">
        <v>5241</v>
      </c>
      <c r="D143" s="8" t="s">
        <v>356</v>
      </c>
      <c r="E143" s="8" t="s">
        <v>5271</v>
      </c>
      <c r="F143" s="8" t="s">
        <v>5243</v>
      </c>
      <c r="G143" s="8" t="s">
        <v>5244</v>
      </c>
      <c r="H143" s="8" t="s">
        <v>5252</v>
      </c>
    </row>
    <row r="144" spans="1:8" ht="36.950000000000003" customHeight="1" x14ac:dyDescent="0.25">
      <c r="A144" s="8" t="s">
        <v>110</v>
      </c>
      <c r="B144" s="8" t="s">
        <v>339</v>
      </c>
      <c r="C144" s="8" t="s">
        <v>5241</v>
      </c>
      <c r="D144" s="8" t="s">
        <v>356</v>
      </c>
      <c r="E144" s="8" t="s">
        <v>5272</v>
      </c>
      <c r="F144" s="8" t="s">
        <v>5243</v>
      </c>
      <c r="G144" s="8" t="s">
        <v>5244</v>
      </c>
      <c r="H144" s="8" t="s">
        <v>5252</v>
      </c>
    </row>
    <row r="145" spans="1:8" ht="36.950000000000003" customHeight="1" x14ac:dyDescent="0.25">
      <c r="A145" s="8" t="s">
        <v>110</v>
      </c>
      <c r="B145" s="8" t="s">
        <v>341</v>
      </c>
      <c r="C145" s="8" t="s">
        <v>5241</v>
      </c>
      <c r="D145" s="8" t="s">
        <v>5250</v>
      </c>
      <c r="E145" s="8" t="s">
        <v>5274</v>
      </c>
      <c r="F145" s="8" t="s">
        <v>5243</v>
      </c>
      <c r="G145" s="8" t="s">
        <v>5244</v>
      </c>
      <c r="H145" s="8" t="s">
        <v>5252</v>
      </c>
    </row>
    <row r="146" spans="1:8" ht="36.950000000000003" customHeight="1" x14ac:dyDescent="0.25">
      <c r="A146" s="8" t="s">
        <v>118</v>
      </c>
      <c r="B146" s="8" t="s">
        <v>326</v>
      </c>
      <c r="C146" s="8" t="s">
        <v>5241</v>
      </c>
      <c r="D146" s="8" t="s">
        <v>5250</v>
      </c>
      <c r="E146" s="8" t="s">
        <v>5258</v>
      </c>
      <c r="F146" s="8" t="s">
        <v>5243</v>
      </c>
      <c r="G146" s="8" t="s">
        <v>5244</v>
      </c>
      <c r="H146" s="8" t="s">
        <v>5252</v>
      </c>
    </row>
    <row r="147" spans="1:8" ht="36.950000000000003" customHeight="1" x14ac:dyDescent="0.25">
      <c r="A147" s="8" t="s">
        <v>118</v>
      </c>
      <c r="B147" s="8" t="s">
        <v>1673</v>
      </c>
      <c r="C147" s="8" t="s">
        <v>5241</v>
      </c>
      <c r="D147" s="8" t="s">
        <v>356</v>
      </c>
      <c r="E147" s="8" t="s">
        <v>5275</v>
      </c>
      <c r="F147" s="8" t="s">
        <v>5243</v>
      </c>
      <c r="G147" s="8" t="s">
        <v>5244</v>
      </c>
      <c r="H147" s="8" t="s">
        <v>5252</v>
      </c>
    </row>
    <row r="148" spans="1:8" ht="36.950000000000003" customHeight="1" x14ac:dyDescent="0.25">
      <c r="A148" s="8" t="s">
        <v>118</v>
      </c>
      <c r="B148" s="8" t="s">
        <v>329</v>
      </c>
      <c r="C148" s="8" t="s">
        <v>5241</v>
      </c>
      <c r="D148" s="8" t="s">
        <v>356</v>
      </c>
      <c r="E148" s="8" t="s">
        <v>5262</v>
      </c>
      <c r="F148" s="8" t="s">
        <v>5243</v>
      </c>
      <c r="G148" s="8" t="s">
        <v>5244</v>
      </c>
      <c r="H148" s="8" t="s">
        <v>5252</v>
      </c>
    </row>
    <row r="149" spans="1:8" ht="36.950000000000003" customHeight="1" x14ac:dyDescent="0.25">
      <c r="A149" s="8" t="s">
        <v>118</v>
      </c>
      <c r="B149" s="8" t="s">
        <v>1674</v>
      </c>
      <c r="C149" s="8" t="s">
        <v>5241</v>
      </c>
      <c r="D149" s="8" t="s">
        <v>356</v>
      </c>
      <c r="E149" s="8" t="s">
        <v>5251</v>
      </c>
      <c r="F149" s="8" t="s">
        <v>5243</v>
      </c>
      <c r="G149" s="8" t="s">
        <v>5244</v>
      </c>
      <c r="H149" s="8" t="s">
        <v>5252</v>
      </c>
    </row>
    <row r="150" spans="1:8" ht="36.950000000000003" customHeight="1" x14ac:dyDescent="0.25">
      <c r="A150" s="8" t="s">
        <v>118</v>
      </c>
      <c r="B150" s="8" t="s">
        <v>330</v>
      </c>
      <c r="C150" s="8" t="s">
        <v>5263</v>
      </c>
      <c r="D150" s="8" t="s">
        <v>356</v>
      </c>
      <c r="E150" s="8" t="s">
        <v>5264</v>
      </c>
      <c r="F150" s="8" t="s">
        <v>5265</v>
      </c>
      <c r="G150" s="8" t="s">
        <v>5244</v>
      </c>
      <c r="H150" s="8" t="s">
        <v>5252</v>
      </c>
    </row>
    <row r="151" spans="1:8" ht="36.950000000000003" customHeight="1" x14ac:dyDescent="0.25">
      <c r="A151" s="8" t="s">
        <v>118</v>
      </c>
      <c r="B151" s="8" t="s">
        <v>331</v>
      </c>
      <c r="C151" s="8" t="s">
        <v>5263</v>
      </c>
      <c r="D151" s="8" t="s">
        <v>356</v>
      </c>
      <c r="E151" s="8" t="s">
        <v>5266</v>
      </c>
      <c r="F151" s="8" t="s">
        <v>5265</v>
      </c>
      <c r="G151" s="8" t="s">
        <v>5244</v>
      </c>
      <c r="H151" s="8" t="s">
        <v>5252</v>
      </c>
    </row>
    <row r="152" spans="1:8" ht="36.950000000000003" customHeight="1" x14ac:dyDescent="0.25">
      <c r="A152" s="8" t="s">
        <v>118</v>
      </c>
      <c r="B152" s="8" t="s">
        <v>333</v>
      </c>
      <c r="C152" s="8" t="s">
        <v>5263</v>
      </c>
      <c r="D152" s="8" t="s">
        <v>356</v>
      </c>
      <c r="E152" s="8" t="s">
        <v>5267</v>
      </c>
      <c r="F152" s="8" t="s">
        <v>5265</v>
      </c>
      <c r="G152" s="8" t="s">
        <v>5244</v>
      </c>
      <c r="H152" s="8" t="s">
        <v>5252</v>
      </c>
    </row>
    <row r="153" spans="1:8" ht="33.950000000000003" customHeight="1" x14ac:dyDescent="0.25">
      <c r="A153" s="8" t="s">
        <v>118</v>
      </c>
      <c r="B153" s="8" t="s">
        <v>1675</v>
      </c>
      <c r="C153" s="8" t="s">
        <v>5263</v>
      </c>
      <c r="D153" s="8" t="s">
        <v>356</v>
      </c>
      <c r="E153" s="8" t="s">
        <v>5276</v>
      </c>
      <c r="F153" s="8" t="s">
        <v>5265</v>
      </c>
      <c r="G153" s="8" t="s">
        <v>5244</v>
      </c>
      <c r="H153" s="8" t="s">
        <v>5252</v>
      </c>
    </row>
    <row r="154" spans="1:8" ht="36.950000000000003" customHeight="1" x14ac:dyDescent="0.25">
      <c r="A154" s="8" t="s">
        <v>118</v>
      </c>
      <c r="B154" s="8" t="s">
        <v>1676</v>
      </c>
      <c r="C154" s="8" t="s">
        <v>5241</v>
      </c>
      <c r="D154" s="8" t="s">
        <v>356</v>
      </c>
      <c r="E154" s="8" t="s">
        <v>5277</v>
      </c>
      <c r="F154" s="8" t="s">
        <v>5243</v>
      </c>
      <c r="G154" s="8" t="s">
        <v>5244</v>
      </c>
      <c r="H154" s="8" t="s">
        <v>5252</v>
      </c>
    </row>
    <row r="155" spans="1:8" ht="36.950000000000003" customHeight="1" x14ac:dyDescent="0.25">
      <c r="A155" s="8" t="s">
        <v>118</v>
      </c>
      <c r="B155" s="8" t="s">
        <v>335</v>
      </c>
      <c r="C155" s="8" t="s">
        <v>5241</v>
      </c>
      <c r="D155" s="8" t="s">
        <v>5250</v>
      </c>
      <c r="E155" s="8" t="s">
        <v>5268</v>
      </c>
      <c r="F155" s="8" t="s">
        <v>5243</v>
      </c>
      <c r="G155" s="8" t="s">
        <v>5244</v>
      </c>
      <c r="H155" s="8" t="s">
        <v>5252</v>
      </c>
    </row>
    <row r="156" spans="1:8" ht="36.950000000000003" customHeight="1" x14ac:dyDescent="0.25">
      <c r="A156" s="8" t="s">
        <v>118</v>
      </c>
      <c r="B156" s="8" t="s">
        <v>336</v>
      </c>
      <c r="C156" s="8" t="s">
        <v>5241</v>
      </c>
      <c r="D156" s="8" t="s">
        <v>5250</v>
      </c>
      <c r="E156" s="8" t="s">
        <v>5269</v>
      </c>
      <c r="F156" s="8" t="s">
        <v>5243</v>
      </c>
      <c r="G156" s="8" t="s">
        <v>5244</v>
      </c>
      <c r="H156" s="8" t="s">
        <v>5252</v>
      </c>
    </row>
    <row r="157" spans="1:8" ht="36.950000000000003" customHeight="1" x14ac:dyDescent="0.25">
      <c r="A157" s="8" t="s">
        <v>118</v>
      </c>
      <c r="B157" s="8" t="s">
        <v>341</v>
      </c>
      <c r="C157" s="8" t="s">
        <v>5241</v>
      </c>
      <c r="D157" s="8" t="s">
        <v>5250</v>
      </c>
      <c r="E157" s="8" t="s">
        <v>5274</v>
      </c>
      <c r="F157" s="8" t="s">
        <v>5243</v>
      </c>
      <c r="G157" s="8" t="s">
        <v>5244</v>
      </c>
      <c r="H157" s="8" t="s">
        <v>5252</v>
      </c>
    </row>
    <row r="158" spans="1:8" ht="36.950000000000003" customHeight="1" x14ac:dyDescent="0.25">
      <c r="A158" s="8" t="s">
        <v>118</v>
      </c>
      <c r="B158" s="8" t="s">
        <v>238</v>
      </c>
      <c r="C158" s="8" t="s">
        <v>5241</v>
      </c>
      <c r="D158" s="8" t="s">
        <v>5250</v>
      </c>
      <c r="E158" s="8" t="s">
        <v>5270</v>
      </c>
      <c r="F158" s="8" t="s">
        <v>5243</v>
      </c>
      <c r="G158" s="8" t="s">
        <v>5244</v>
      </c>
      <c r="H158" s="8" t="s">
        <v>5252</v>
      </c>
    </row>
    <row r="159" spans="1:8" ht="36.950000000000003" customHeight="1" x14ac:dyDescent="0.25">
      <c r="A159" s="8" t="s">
        <v>118</v>
      </c>
      <c r="B159" s="8" t="s">
        <v>1677</v>
      </c>
      <c r="C159" s="8" t="s">
        <v>5241</v>
      </c>
      <c r="D159" s="8" t="s">
        <v>356</v>
      </c>
      <c r="E159" s="8" t="s">
        <v>5278</v>
      </c>
      <c r="F159" s="8" t="s">
        <v>5243</v>
      </c>
      <c r="G159" s="8" t="s">
        <v>5244</v>
      </c>
      <c r="H159" s="8" t="s">
        <v>5252</v>
      </c>
    </row>
    <row r="160" spans="1:8" ht="36.950000000000003" customHeight="1" x14ac:dyDescent="0.25">
      <c r="A160" s="8" t="s">
        <v>118</v>
      </c>
      <c r="B160" s="8" t="s">
        <v>340</v>
      </c>
      <c r="C160" s="8" t="s">
        <v>5241</v>
      </c>
      <c r="D160" s="8" t="s">
        <v>5260</v>
      </c>
      <c r="E160" s="8" t="s">
        <v>5273</v>
      </c>
      <c r="F160" s="8" t="s">
        <v>5243</v>
      </c>
      <c r="G160" s="8" t="s">
        <v>5244</v>
      </c>
      <c r="H160" s="8" t="s">
        <v>5252</v>
      </c>
    </row>
    <row r="161" spans="1:8" ht="36.950000000000003" customHeight="1" x14ac:dyDescent="0.25">
      <c r="A161" s="8" t="s">
        <v>118</v>
      </c>
      <c r="B161" s="8" t="s">
        <v>339</v>
      </c>
      <c r="C161" s="8" t="s">
        <v>5241</v>
      </c>
      <c r="D161" s="8" t="s">
        <v>356</v>
      </c>
      <c r="E161" s="8" t="s">
        <v>5272</v>
      </c>
      <c r="F161" s="8" t="s">
        <v>5243</v>
      </c>
      <c r="G161" s="8" t="s">
        <v>5244</v>
      </c>
      <c r="H161" s="8" t="s">
        <v>5252</v>
      </c>
    </row>
    <row r="162" spans="1:8" ht="36.950000000000003" customHeight="1" x14ac:dyDescent="0.25">
      <c r="A162" s="8" t="s">
        <v>123</v>
      </c>
      <c r="B162" s="8" t="s">
        <v>326</v>
      </c>
      <c r="C162" s="8" t="s">
        <v>5241</v>
      </c>
      <c r="D162" s="8" t="s">
        <v>5250</v>
      </c>
      <c r="E162" s="8" t="s">
        <v>5258</v>
      </c>
      <c r="F162" s="8" t="s">
        <v>5243</v>
      </c>
      <c r="G162" s="8" t="s">
        <v>5244</v>
      </c>
      <c r="H162" s="8" t="s">
        <v>5252</v>
      </c>
    </row>
    <row r="163" spans="1:8" ht="36.950000000000003" customHeight="1" x14ac:dyDescent="0.25">
      <c r="A163" s="8" t="s">
        <v>123</v>
      </c>
      <c r="B163" s="8" t="s">
        <v>1673</v>
      </c>
      <c r="C163" s="8" t="s">
        <v>5241</v>
      </c>
      <c r="D163" s="8" t="s">
        <v>356</v>
      </c>
      <c r="E163" s="8" t="s">
        <v>5275</v>
      </c>
      <c r="F163" s="8" t="s">
        <v>5243</v>
      </c>
      <c r="G163" s="8" t="s">
        <v>5244</v>
      </c>
      <c r="H163" s="8" t="s">
        <v>5252</v>
      </c>
    </row>
    <row r="164" spans="1:8" ht="36.950000000000003" customHeight="1" x14ac:dyDescent="0.25">
      <c r="A164" s="8" t="s">
        <v>123</v>
      </c>
      <c r="B164" s="8" t="s">
        <v>329</v>
      </c>
      <c r="C164" s="8" t="s">
        <v>5241</v>
      </c>
      <c r="D164" s="8" t="s">
        <v>356</v>
      </c>
      <c r="E164" s="8" t="s">
        <v>5262</v>
      </c>
      <c r="F164" s="8" t="s">
        <v>5243</v>
      </c>
      <c r="G164" s="8" t="s">
        <v>5244</v>
      </c>
      <c r="H164" s="8" t="s">
        <v>5252</v>
      </c>
    </row>
    <row r="165" spans="1:8" ht="36.950000000000003" customHeight="1" x14ac:dyDescent="0.25">
      <c r="A165" s="8" t="s">
        <v>123</v>
      </c>
      <c r="B165" s="8" t="s">
        <v>1674</v>
      </c>
      <c r="C165" s="8" t="s">
        <v>5241</v>
      </c>
      <c r="D165" s="8" t="s">
        <v>356</v>
      </c>
      <c r="E165" s="8" t="s">
        <v>5251</v>
      </c>
      <c r="F165" s="8" t="s">
        <v>5243</v>
      </c>
      <c r="G165" s="8" t="s">
        <v>5244</v>
      </c>
      <c r="H165" s="8" t="s">
        <v>5252</v>
      </c>
    </row>
    <row r="166" spans="1:8" ht="36.950000000000003" customHeight="1" x14ac:dyDescent="0.25">
      <c r="A166" s="8" t="s">
        <v>123</v>
      </c>
      <c r="B166" s="8" t="s">
        <v>330</v>
      </c>
      <c r="C166" s="8" t="s">
        <v>5263</v>
      </c>
      <c r="D166" s="8" t="s">
        <v>356</v>
      </c>
      <c r="E166" s="8" t="s">
        <v>5264</v>
      </c>
      <c r="F166" s="8" t="s">
        <v>5265</v>
      </c>
      <c r="G166" s="8" t="s">
        <v>5244</v>
      </c>
      <c r="H166" s="8" t="s">
        <v>5252</v>
      </c>
    </row>
    <row r="167" spans="1:8" ht="36.950000000000003" customHeight="1" x14ac:dyDescent="0.25">
      <c r="A167" s="8" t="s">
        <v>123</v>
      </c>
      <c r="B167" s="8" t="s">
        <v>331</v>
      </c>
      <c r="C167" s="8" t="s">
        <v>5263</v>
      </c>
      <c r="D167" s="8" t="s">
        <v>356</v>
      </c>
      <c r="E167" s="8" t="s">
        <v>5266</v>
      </c>
      <c r="F167" s="8" t="s">
        <v>5265</v>
      </c>
      <c r="G167" s="8" t="s">
        <v>5244</v>
      </c>
      <c r="H167" s="8" t="s">
        <v>5252</v>
      </c>
    </row>
    <row r="168" spans="1:8" ht="36.950000000000003" customHeight="1" x14ac:dyDescent="0.25">
      <c r="A168" s="8" t="s">
        <v>123</v>
      </c>
      <c r="B168" s="8" t="s">
        <v>333</v>
      </c>
      <c r="C168" s="8" t="s">
        <v>5263</v>
      </c>
      <c r="D168" s="8" t="s">
        <v>356</v>
      </c>
      <c r="E168" s="8" t="s">
        <v>5267</v>
      </c>
      <c r="F168" s="8" t="s">
        <v>5265</v>
      </c>
      <c r="G168" s="8" t="s">
        <v>5244</v>
      </c>
      <c r="H168" s="8" t="s">
        <v>5252</v>
      </c>
    </row>
    <row r="169" spans="1:8" ht="33.950000000000003" customHeight="1" x14ac:dyDescent="0.25">
      <c r="A169" s="8" t="s">
        <v>123</v>
      </c>
      <c r="B169" s="8" t="s">
        <v>1675</v>
      </c>
      <c r="C169" s="8" t="s">
        <v>5263</v>
      </c>
      <c r="D169" s="8" t="s">
        <v>356</v>
      </c>
      <c r="E169" s="8" t="s">
        <v>5276</v>
      </c>
      <c r="F169" s="8" t="s">
        <v>5265</v>
      </c>
      <c r="G169" s="8" t="s">
        <v>5244</v>
      </c>
      <c r="H169" s="8" t="s">
        <v>5252</v>
      </c>
    </row>
    <row r="170" spans="1:8" ht="36.950000000000003" customHeight="1" x14ac:dyDescent="0.25">
      <c r="A170" s="8" t="s">
        <v>123</v>
      </c>
      <c r="B170" s="8" t="s">
        <v>1676</v>
      </c>
      <c r="C170" s="8" t="s">
        <v>5241</v>
      </c>
      <c r="D170" s="8" t="s">
        <v>356</v>
      </c>
      <c r="E170" s="8" t="s">
        <v>5277</v>
      </c>
      <c r="F170" s="8" t="s">
        <v>5243</v>
      </c>
      <c r="G170" s="8" t="s">
        <v>5244</v>
      </c>
      <c r="H170" s="8" t="s">
        <v>5252</v>
      </c>
    </row>
    <row r="171" spans="1:8" ht="36.950000000000003" customHeight="1" x14ac:dyDescent="0.25">
      <c r="A171" s="8" t="s">
        <v>123</v>
      </c>
      <c r="B171" s="8" t="s">
        <v>335</v>
      </c>
      <c r="C171" s="8" t="s">
        <v>5241</v>
      </c>
      <c r="D171" s="8" t="s">
        <v>5250</v>
      </c>
      <c r="E171" s="8" t="s">
        <v>5268</v>
      </c>
      <c r="F171" s="8" t="s">
        <v>5243</v>
      </c>
      <c r="G171" s="8" t="s">
        <v>5244</v>
      </c>
      <c r="H171" s="8" t="s">
        <v>5252</v>
      </c>
    </row>
    <row r="172" spans="1:8" ht="36.950000000000003" customHeight="1" x14ac:dyDescent="0.25">
      <c r="A172" s="8" t="s">
        <v>123</v>
      </c>
      <c r="B172" s="8" t="s">
        <v>336</v>
      </c>
      <c r="C172" s="8" t="s">
        <v>5241</v>
      </c>
      <c r="D172" s="8" t="s">
        <v>5250</v>
      </c>
      <c r="E172" s="8" t="s">
        <v>5269</v>
      </c>
      <c r="F172" s="8" t="s">
        <v>5243</v>
      </c>
      <c r="G172" s="8" t="s">
        <v>5244</v>
      </c>
      <c r="H172" s="8" t="s">
        <v>5252</v>
      </c>
    </row>
    <row r="173" spans="1:8" ht="36.950000000000003" customHeight="1" x14ac:dyDescent="0.25">
      <c r="A173" s="8" t="s">
        <v>123</v>
      </c>
      <c r="B173" s="8" t="s">
        <v>341</v>
      </c>
      <c r="C173" s="8" t="s">
        <v>5241</v>
      </c>
      <c r="D173" s="8" t="s">
        <v>5250</v>
      </c>
      <c r="E173" s="8" t="s">
        <v>5274</v>
      </c>
      <c r="F173" s="8" t="s">
        <v>5243</v>
      </c>
      <c r="G173" s="8" t="s">
        <v>5244</v>
      </c>
      <c r="H173" s="8" t="s">
        <v>5252</v>
      </c>
    </row>
    <row r="174" spans="1:8" ht="36.950000000000003" customHeight="1" x14ac:dyDescent="0.25">
      <c r="A174" s="8" t="s">
        <v>123</v>
      </c>
      <c r="B174" s="8" t="s">
        <v>238</v>
      </c>
      <c r="C174" s="8" t="s">
        <v>5241</v>
      </c>
      <c r="D174" s="8" t="s">
        <v>5250</v>
      </c>
      <c r="E174" s="8" t="s">
        <v>5270</v>
      </c>
      <c r="F174" s="8" t="s">
        <v>5243</v>
      </c>
      <c r="G174" s="8" t="s">
        <v>5244</v>
      </c>
      <c r="H174" s="8" t="s">
        <v>5252</v>
      </c>
    </row>
    <row r="175" spans="1:8" ht="36.950000000000003" customHeight="1" x14ac:dyDescent="0.25">
      <c r="A175" s="8" t="s">
        <v>123</v>
      </c>
      <c r="B175" s="8" t="s">
        <v>1677</v>
      </c>
      <c r="C175" s="8" t="s">
        <v>5241</v>
      </c>
      <c r="D175" s="8" t="s">
        <v>356</v>
      </c>
      <c r="E175" s="8" t="s">
        <v>5278</v>
      </c>
      <c r="F175" s="8" t="s">
        <v>5243</v>
      </c>
      <c r="G175" s="8" t="s">
        <v>5244</v>
      </c>
      <c r="H175" s="8" t="s">
        <v>5252</v>
      </c>
    </row>
    <row r="176" spans="1:8" ht="36.950000000000003" customHeight="1" x14ac:dyDescent="0.25">
      <c r="A176" s="8" t="s">
        <v>123</v>
      </c>
      <c r="B176" s="8" t="s">
        <v>340</v>
      </c>
      <c r="C176" s="8" t="s">
        <v>5241</v>
      </c>
      <c r="D176" s="8" t="s">
        <v>5260</v>
      </c>
      <c r="E176" s="8" t="s">
        <v>5273</v>
      </c>
      <c r="F176" s="8" t="s">
        <v>5243</v>
      </c>
      <c r="G176" s="8" t="s">
        <v>5244</v>
      </c>
      <c r="H176" s="8" t="s">
        <v>5252</v>
      </c>
    </row>
    <row r="177" spans="1:8" ht="36.950000000000003" customHeight="1" x14ac:dyDescent="0.25">
      <c r="A177" s="8" t="s">
        <v>123</v>
      </c>
      <c r="B177" s="8" t="s">
        <v>339</v>
      </c>
      <c r="C177" s="8" t="s">
        <v>5241</v>
      </c>
      <c r="D177" s="8" t="s">
        <v>356</v>
      </c>
      <c r="E177" s="8" t="s">
        <v>5272</v>
      </c>
      <c r="F177" s="8" t="s">
        <v>5243</v>
      </c>
      <c r="G177" s="8" t="s">
        <v>5244</v>
      </c>
      <c r="H177" s="8" t="s">
        <v>5252</v>
      </c>
    </row>
    <row r="178" spans="1:8" ht="36.950000000000003" customHeight="1" x14ac:dyDescent="0.25">
      <c r="A178" s="8" t="s">
        <v>127</v>
      </c>
      <c r="B178" s="8" t="s">
        <v>326</v>
      </c>
      <c r="C178" s="8" t="s">
        <v>5241</v>
      </c>
      <c r="D178" s="8" t="s">
        <v>5250</v>
      </c>
      <c r="E178" s="8" t="s">
        <v>5258</v>
      </c>
      <c r="F178" s="8" t="s">
        <v>5243</v>
      </c>
      <c r="G178" s="8" t="s">
        <v>5244</v>
      </c>
      <c r="H178" s="8" t="s">
        <v>5252</v>
      </c>
    </row>
    <row r="179" spans="1:8" ht="36.950000000000003" customHeight="1" x14ac:dyDescent="0.25">
      <c r="A179" s="8" t="s">
        <v>127</v>
      </c>
      <c r="B179" s="8" t="s">
        <v>1673</v>
      </c>
      <c r="C179" s="8" t="s">
        <v>5241</v>
      </c>
      <c r="D179" s="8" t="s">
        <v>356</v>
      </c>
      <c r="E179" s="8" t="s">
        <v>5275</v>
      </c>
      <c r="F179" s="8" t="s">
        <v>5243</v>
      </c>
      <c r="G179" s="8" t="s">
        <v>5244</v>
      </c>
      <c r="H179" s="8" t="s">
        <v>5252</v>
      </c>
    </row>
    <row r="180" spans="1:8" ht="36.950000000000003" customHeight="1" x14ac:dyDescent="0.25">
      <c r="A180" s="8" t="s">
        <v>127</v>
      </c>
      <c r="B180" s="8" t="s">
        <v>329</v>
      </c>
      <c r="C180" s="8" t="s">
        <v>5241</v>
      </c>
      <c r="D180" s="8" t="s">
        <v>356</v>
      </c>
      <c r="E180" s="8" t="s">
        <v>5262</v>
      </c>
      <c r="F180" s="8" t="s">
        <v>5243</v>
      </c>
      <c r="G180" s="8" t="s">
        <v>5244</v>
      </c>
      <c r="H180" s="8" t="s">
        <v>5252</v>
      </c>
    </row>
    <row r="181" spans="1:8" ht="36.950000000000003" customHeight="1" x14ac:dyDescent="0.25">
      <c r="A181" s="8" t="s">
        <v>127</v>
      </c>
      <c r="B181" s="8" t="s">
        <v>1674</v>
      </c>
      <c r="C181" s="8" t="s">
        <v>5241</v>
      </c>
      <c r="D181" s="8" t="s">
        <v>356</v>
      </c>
      <c r="E181" s="8" t="s">
        <v>5251</v>
      </c>
      <c r="F181" s="8" t="s">
        <v>5243</v>
      </c>
      <c r="G181" s="8" t="s">
        <v>5244</v>
      </c>
      <c r="H181" s="8" t="s">
        <v>5252</v>
      </c>
    </row>
    <row r="182" spans="1:8" ht="36.950000000000003" customHeight="1" x14ac:dyDescent="0.25">
      <c r="A182" s="8" t="s">
        <v>127</v>
      </c>
      <c r="B182" s="8" t="s">
        <v>330</v>
      </c>
      <c r="C182" s="8" t="s">
        <v>5263</v>
      </c>
      <c r="D182" s="8" t="s">
        <v>356</v>
      </c>
      <c r="E182" s="8" t="s">
        <v>5264</v>
      </c>
      <c r="F182" s="8" t="s">
        <v>5265</v>
      </c>
      <c r="G182" s="8" t="s">
        <v>5244</v>
      </c>
      <c r="H182" s="8" t="s">
        <v>5252</v>
      </c>
    </row>
    <row r="183" spans="1:8" ht="36.950000000000003" customHeight="1" x14ac:dyDescent="0.25">
      <c r="A183" s="8" t="s">
        <v>127</v>
      </c>
      <c r="B183" s="8" t="s">
        <v>331</v>
      </c>
      <c r="C183" s="8" t="s">
        <v>5263</v>
      </c>
      <c r="D183" s="8" t="s">
        <v>356</v>
      </c>
      <c r="E183" s="8" t="s">
        <v>5266</v>
      </c>
      <c r="F183" s="8" t="s">
        <v>5265</v>
      </c>
      <c r="G183" s="8" t="s">
        <v>5244</v>
      </c>
      <c r="H183" s="8" t="s">
        <v>5252</v>
      </c>
    </row>
    <row r="184" spans="1:8" ht="36.950000000000003" customHeight="1" x14ac:dyDescent="0.25">
      <c r="A184" s="8" t="s">
        <v>127</v>
      </c>
      <c r="B184" s="8" t="s">
        <v>333</v>
      </c>
      <c r="C184" s="8" t="s">
        <v>5263</v>
      </c>
      <c r="D184" s="8" t="s">
        <v>356</v>
      </c>
      <c r="E184" s="8" t="s">
        <v>5267</v>
      </c>
      <c r="F184" s="8" t="s">
        <v>5265</v>
      </c>
      <c r="G184" s="8" t="s">
        <v>5244</v>
      </c>
      <c r="H184" s="8" t="s">
        <v>5252</v>
      </c>
    </row>
    <row r="185" spans="1:8" ht="33.950000000000003" customHeight="1" x14ac:dyDescent="0.25">
      <c r="A185" s="8" t="s">
        <v>127</v>
      </c>
      <c r="B185" s="8" t="s">
        <v>1675</v>
      </c>
      <c r="C185" s="8" t="s">
        <v>5263</v>
      </c>
      <c r="D185" s="8" t="s">
        <v>356</v>
      </c>
      <c r="E185" s="8" t="s">
        <v>5276</v>
      </c>
      <c r="F185" s="8" t="s">
        <v>5265</v>
      </c>
      <c r="G185" s="8" t="s">
        <v>5244</v>
      </c>
      <c r="H185" s="8" t="s">
        <v>5252</v>
      </c>
    </row>
    <row r="186" spans="1:8" ht="36.950000000000003" customHeight="1" x14ac:dyDescent="0.25">
      <c r="A186" s="8" t="s">
        <v>127</v>
      </c>
      <c r="B186" s="8" t="s">
        <v>1676</v>
      </c>
      <c r="C186" s="8" t="s">
        <v>5241</v>
      </c>
      <c r="D186" s="8" t="s">
        <v>356</v>
      </c>
      <c r="E186" s="8" t="s">
        <v>5277</v>
      </c>
      <c r="F186" s="8" t="s">
        <v>5243</v>
      </c>
      <c r="G186" s="8" t="s">
        <v>5244</v>
      </c>
      <c r="H186" s="8" t="s">
        <v>5252</v>
      </c>
    </row>
    <row r="187" spans="1:8" ht="36.950000000000003" customHeight="1" x14ac:dyDescent="0.25">
      <c r="A187" s="8" t="s">
        <v>127</v>
      </c>
      <c r="B187" s="8" t="s">
        <v>335</v>
      </c>
      <c r="C187" s="8" t="s">
        <v>5241</v>
      </c>
      <c r="D187" s="8" t="s">
        <v>5250</v>
      </c>
      <c r="E187" s="8" t="s">
        <v>5268</v>
      </c>
      <c r="F187" s="8" t="s">
        <v>5243</v>
      </c>
      <c r="G187" s="8" t="s">
        <v>5244</v>
      </c>
      <c r="H187" s="8" t="s">
        <v>5252</v>
      </c>
    </row>
    <row r="188" spans="1:8" ht="36.950000000000003" customHeight="1" x14ac:dyDescent="0.25">
      <c r="A188" s="8" t="s">
        <v>127</v>
      </c>
      <c r="B188" s="8" t="s">
        <v>336</v>
      </c>
      <c r="C188" s="8" t="s">
        <v>5241</v>
      </c>
      <c r="D188" s="8" t="s">
        <v>5250</v>
      </c>
      <c r="E188" s="8" t="s">
        <v>5269</v>
      </c>
      <c r="F188" s="8" t="s">
        <v>5243</v>
      </c>
      <c r="G188" s="8" t="s">
        <v>5244</v>
      </c>
      <c r="H188" s="8" t="s">
        <v>5252</v>
      </c>
    </row>
    <row r="189" spans="1:8" ht="36.950000000000003" customHeight="1" x14ac:dyDescent="0.25">
      <c r="A189" s="8" t="s">
        <v>127</v>
      </c>
      <c r="B189" s="8" t="s">
        <v>341</v>
      </c>
      <c r="C189" s="8" t="s">
        <v>5241</v>
      </c>
      <c r="D189" s="8" t="s">
        <v>5250</v>
      </c>
      <c r="E189" s="8" t="s">
        <v>5274</v>
      </c>
      <c r="F189" s="8" t="s">
        <v>5243</v>
      </c>
      <c r="G189" s="8" t="s">
        <v>5244</v>
      </c>
      <c r="H189" s="8" t="s">
        <v>5252</v>
      </c>
    </row>
    <row r="190" spans="1:8" ht="36.950000000000003" customHeight="1" x14ac:dyDescent="0.25">
      <c r="A190" s="8" t="s">
        <v>127</v>
      </c>
      <c r="B190" s="8" t="s">
        <v>238</v>
      </c>
      <c r="C190" s="8" t="s">
        <v>5241</v>
      </c>
      <c r="D190" s="8" t="s">
        <v>5250</v>
      </c>
      <c r="E190" s="8" t="s">
        <v>5270</v>
      </c>
      <c r="F190" s="8" t="s">
        <v>5243</v>
      </c>
      <c r="G190" s="8" t="s">
        <v>5244</v>
      </c>
      <c r="H190" s="8" t="s">
        <v>5252</v>
      </c>
    </row>
    <row r="191" spans="1:8" ht="36.950000000000003" customHeight="1" x14ac:dyDescent="0.25">
      <c r="A191" s="8" t="s">
        <v>127</v>
      </c>
      <c r="B191" s="8" t="s">
        <v>1677</v>
      </c>
      <c r="C191" s="8" t="s">
        <v>5241</v>
      </c>
      <c r="D191" s="8" t="s">
        <v>356</v>
      </c>
      <c r="E191" s="8" t="s">
        <v>5278</v>
      </c>
      <c r="F191" s="8" t="s">
        <v>5243</v>
      </c>
      <c r="G191" s="8" t="s">
        <v>5244</v>
      </c>
      <c r="H191" s="8" t="s">
        <v>5252</v>
      </c>
    </row>
    <row r="192" spans="1:8" ht="36.950000000000003" customHeight="1" x14ac:dyDescent="0.25">
      <c r="A192" s="8" t="s">
        <v>127</v>
      </c>
      <c r="B192" s="8" t="s">
        <v>340</v>
      </c>
      <c r="C192" s="8" t="s">
        <v>5241</v>
      </c>
      <c r="D192" s="8" t="s">
        <v>5260</v>
      </c>
      <c r="E192" s="8" t="s">
        <v>5273</v>
      </c>
      <c r="F192" s="8" t="s">
        <v>5243</v>
      </c>
      <c r="G192" s="8" t="s">
        <v>5244</v>
      </c>
      <c r="H192" s="8" t="s">
        <v>5252</v>
      </c>
    </row>
    <row r="193" spans="1:8" ht="36.950000000000003" customHeight="1" x14ac:dyDescent="0.25">
      <c r="A193" s="8" t="s">
        <v>127</v>
      </c>
      <c r="B193" s="8" t="s">
        <v>339</v>
      </c>
      <c r="C193" s="8" t="s">
        <v>5241</v>
      </c>
      <c r="D193" s="8" t="s">
        <v>356</v>
      </c>
      <c r="E193" s="8" t="s">
        <v>5272</v>
      </c>
      <c r="F193" s="8" t="s">
        <v>5243</v>
      </c>
      <c r="G193" s="8" t="s">
        <v>5244</v>
      </c>
      <c r="H193" s="8" t="s">
        <v>5252</v>
      </c>
    </row>
    <row r="194" spans="1:8" ht="36.950000000000003" customHeight="1" x14ac:dyDescent="0.25">
      <c r="A194" s="8" t="s">
        <v>133</v>
      </c>
      <c r="B194" s="8" t="s">
        <v>326</v>
      </c>
      <c r="C194" s="8" t="s">
        <v>5241</v>
      </c>
      <c r="D194" s="8" t="s">
        <v>5250</v>
      </c>
      <c r="E194" s="8" t="s">
        <v>5258</v>
      </c>
      <c r="F194" s="8" t="s">
        <v>5243</v>
      </c>
      <c r="G194" s="8" t="s">
        <v>5244</v>
      </c>
      <c r="H194" s="8" t="s">
        <v>5252</v>
      </c>
    </row>
    <row r="195" spans="1:8" ht="36.950000000000003" customHeight="1" x14ac:dyDescent="0.25">
      <c r="A195" s="8" t="s">
        <v>133</v>
      </c>
      <c r="B195" s="8" t="s">
        <v>1673</v>
      </c>
      <c r="C195" s="8" t="s">
        <v>5241</v>
      </c>
      <c r="D195" s="8" t="s">
        <v>356</v>
      </c>
      <c r="E195" s="8" t="s">
        <v>5275</v>
      </c>
      <c r="F195" s="8" t="s">
        <v>5243</v>
      </c>
      <c r="G195" s="8" t="s">
        <v>5244</v>
      </c>
      <c r="H195" s="8" t="s">
        <v>5252</v>
      </c>
    </row>
    <row r="196" spans="1:8" ht="36.950000000000003" customHeight="1" x14ac:dyDescent="0.25">
      <c r="A196" s="8" t="s">
        <v>133</v>
      </c>
      <c r="B196" s="8" t="s">
        <v>329</v>
      </c>
      <c r="C196" s="8" t="s">
        <v>5241</v>
      </c>
      <c r="D196" s="8" t="s">
        <v>356</v>
      </c>
      <c r="E196" s="8" t="s">
        <v>5262</v>
      </c>
      <c r="F196" s="8" t="s">
        <v>5243</v>
      </c>
      <c r="G196" s="8" t="s">
        <v>5244</v>
      </c>
      <c r="H196" s="8" t="s">
        <v>5252</v>
      </c>
    </row>
    <row r="197" spans="1:8" ht="36.950000000000003" customHeight="1" x14ac:dyDescent="0.25">
      <c r="A197" s="8" t="s">
        <v>133</v>
      </c>
      <c r="B197" s="8" t="s">
        <v>1674</v>
      </c>
      <c r="C197" s="8" t="s">
        <v>5241</v>
      </c>
      <c r="D197" s="8" t="s">
        <v>356</v>
      </c>
      <c r="E197" s="8" t="s">
        <v>5251</v>
      </c>
      <c r="F197" s="8" t="s">
        <v>5243</v>
      </c>
      <c r="G197" s="8" t="s">
        <v>5244</v>
      </c>
      <c r="H197" s="8" t="s">
        <v>5252</v>
      </c>
    </row>
    <row r="198" spans="1:8" ht="36.950000000000003" customHeight="1" x14ac:dyDescent="0.25">
      <c r="A198" s="8" t="s">
        <v>133</v>
      </c>
      <c r="B198" s="8" t="s">
        <v>330</v>
      </c>
      <c r="C198" s="8" t="s">
        <v>5263</v>
      </c>
      <c r="D198" s="8" t="s">
        <v>356</v>
      </c>
      <c r="E198" s="8" t="s">
        <v>5264</v>
      </c>
      <c r="F198" s="8" t="s">
        <v>5265</v>
      </c>
      <c r="G198" s="8" t="s">
        <v>5244</v>
      </c>
      <c r="H198" s="8" t="s">
        <v>5252</v>
      </c>
    </row>
    <row r="199" spans="1:8" ht="36.950000000000003" customHeight="1" x14ac:dyDescent="0.25">
      <c r="A199" s="8" t="s">
        <v>133</v>
      </c>
      <c r="B199" s="8" t="s">
        <v>331</v>
      </c>
      <c r="C199" s="8" t="s">
        <v>5263</v>
      </c>
      <c r="D199" s="8" t="s">
        <v>356</v>
      </c>
      <c r="E199" s="8" t="s">
        <v>5266</v>
      </c>
      <c r="F199" s="8" t="s">
        <v>5265</v>
      </c>
      <c r="G199" s="8" t="s">
        <v>5244</v>
      </c>
      <c r="H199" s="8" t="s">
        <v>5252</v>
      </c>
    </row>
    <row r="200" spans="1:8" ht="36.950000000000003" customHeight="1" x14ac:dyDescent="0.25">
      <c r="A200" s="8" t="s">
        <v>133</v>
      </c>
      <c r="B200" s="8" t="s">
        <v>333</v>
      </c>
      <c r="C200" s="8" t="s">
        <v>5263</v>
      </c>
      <c r="D200" s="8" t="s">
        <v>356</v>
      </c>
      <c r="E200" s="8" t="s">
        <v>5267</v>
      </c>
      <c r="F200" s="8" t="s">
        <v>5265</v>
      </c>
      <c r="G200" s="8" t="s">
        <v>5244</v>
      </c>
      <c r="H200" s="8" t="s">
        <v>5252</v>
      </c>
    </row>
    <row r="201" spans="1:8" ht="33.950000000000003" customHeight="1" x14ac:dyDescent="0.25">
      <c r="A201" s="8" t="s">
        <v>133</v>
      </c>
      <c r="B201" s="8" t="s">
        <v>1675</v>
      </c>
      <c r="C201" s="8" t="s">
        <v>5263</v>
      </c>
      <c r="D201" s="8" t="s">
        <v>356</v>
      </c>
      <c r="E201" s="8" t="s">
        <v>5276</v>
      </c>
      <c r="F201" s="8" t="s">
        <v>5265</v>
      </c>
      <c r="G201" s="8" t="s">
        <v>5244</v>
      </c>
      <c r="H201" s="8" t="s">
        <v>5252</v>
      </c>
    </row>
    <row r="202" spans="1:8" ht="36.950000000000003" customHeight="1" x14ac:dyDescent="0.25">
      <c r="A202" s="8" t="s">
        <v>133</v>
      </c>
      <c r="B202" s="8" t="s">
        <v>1676</v>
      </c>
      <c r="C202" s="8" t="s">
        <v>5241</v>
      </c>
      <c r="D202" s="8" t="s">
        <v>356</v>
      </c>
      <c r="E202" s="8" t="s">
        <v>5277</v>
      </c>
      <c r="F202" s="8" t="s">
        <v>5243</v>
      </c>
      <c r="G202" s="8" t="s">
        <v>5244</v>
      </c>
      <c r="H202" s="8" t="s">
        <v>5252</v>
      </c>
    </row>
    <row r="203" spans="1:8" ht="36.950000000000003" customHeight="1" x14ac:dyDescent="0.25">
      <c r="A203" s="8" t="s">
        <v>133</v>
      </c>
      <c r="B203" s="8" t="s">
        <v>335</v>
      </c>
      <c r="C203" s="8" t="s">
        <v>5241</v>
      </c>
      <c r="D203" s="8" t="s">
        <v>5250</v>
      </c>
      <c r="E203" s="8" t="s">
        <v>5268</v>
      </c>
      <c r="F203" s="8" t="s">
        <v>5243</v>
      </c>
      <c r="G203" s="8" t="s">
        <v>5244</v>
      </c>
      <c r="H203" s="8" t="s">
        <v>5252</v>
      </c>
    </row>
    <row r="204" spans="1:8" ht="36.950000000000003" customHeight="1" x14ac:dyDescent="0.25">
      <c r="A204" s="8" t="s">
        <v>133</v>
      </c>
      <c r="B204" s="8" t="s">
        <v>336</v>
      </c>
      <c r="C204" s="8" t="s">
        <v>5241</v>
      </c>
      <c r="D204" s="8" t="s">
        <v>5250</v>
      </c>
      <c r="E204" s="8" t="s">
        <v>5269</v>
      </c>
      <c r="F204" s="8" t="s">
        <v>5243</v>
      </c>
      <c r="G204" s="8" t="s">
        <v>5244</v>
      </c>
      <c r="H204" s="8" t="s">
        <v>5252</v>
      </c>
    </row>
    <row r="205" spans="1:8" ht="36.950000000000003" customHeight="1" x14ac:dyDescent="0.25">
      <c r="A205" s="8" t="s">
        <v>133</v>
      </c>
      <c r="B205" s="8" t="s">
        <v>341</v>
      </c>
      <c r="C205" s="8" t="s">
        <v>5241</v>
      </c>
      <c r="D205" s="8" t="s">
        <v>5250</v>
      </c>
      <c r="E205" s="8" t="s">
        <v>5274</v>
      </c>
      <c r="F205" s="8" t="s">
        <v>5243</v>
      </c>
      <c r="G205" s="8" t="s">
        <v>5244</v>
      </c>
      <c r="H205" s="8" t="s">
        <v>5252</v>
      </c>
    </row>
    <row r="206" spans="1:8" ht="36.950000000000003" customHeight="1" x14ac:dyDescent="0.25">
      <c r="A206" s="8" t="s">
        <v>133</v>
      </c>
      <c r="B206" s="8" t="s">
        <v>238</v>
      </c>
      <c r="C206" s="8" t="s">
        <v>5241</v>
      </c>
      <c r="D206" s="8" t="s">
        <v>5250</v>
      </c>
      <c r="E206" s="8" t="s">
        <v>5270</v>
      </c>
      <c r="F206" s="8" t="s">
        <v>5243</v>
      </c>
      <c r="G206" s="8" t="s">
        <v>5244</v>
      </c>
      <c r="H206" s="8" t="s">
        <v>5252</v>
      </c>
    </row>
    <row r="207" spans="1:8" ht="36.950000000000003" customHeight="1" x14ac:dyDescent="0.25">
      <c r="A207" s="8" t="s">
        <v>133</v>
      </c>
      <c r="B207" s="8" t="s">
        <v>1677</v>
      </c>
      <c r="C207" s="8" t="s">
        <v>5241</v>
      </c>
      <c r="D207" s="8" t="s">
        <v>356</v>
      </c>
      <c r="E207" s="8" t="s">
        <v>5278</v>
      </c>
      <c r="F207" s="8" t="s">
        <v>5243</v>
      </c>
      <c r="G207" s="8" t="s">
        <v>5244</v>
      </c>
      <c r="H207" s="8" t="s">
        <v>5252</v>
      </c>
    </row>
    <row r="208" spans="1:8" ht="36.950000000000003" customHeight="1" x14ac:dyDescent="0.25">
      <c r="A208" s="8" t="s">
        <v>133</v>
      </c>
      <c r="B208" s="8" t="s">
        <v>340</v>
      </c>
      <c r="C208" s="8" t="s">
        <v>5241</v>
      </c>
      <c r="D208" s="8" t="s">
        <v>5260</v>
      </c>
      <c r="E208" s="8" t="s">
        <v>5273</v>
      </c>
      <c r="F208" s="8" t="s">
        <v>5243</v>
      </c>
      <c r="G208" s="8" t="s">
        <v>5244</v>
      </c>
      <c r="H208" s="8" t="s">
        <v>5252</v>
      </c>
    </row>
    <row r="209" spans="1:8" ht="36.950000000000003" customHeight="1" x14ac:dyDescent="0.25">
      <c r="A209" s="8" t="s">
        <v>133</v>
      </c>
      <c r="B209" s="8" t="s">
        <v>339</v>
      </c>
      <c r="C209" s="8" t="s">
        <v>5241</v>
      </c>
      <c r="D209" s="8" t="s">
        <v>356</v>
      </c>
      <c r="E209" s="8" t="s">
        <v>5272</v>
      </c>
      <c r="F209" s="8" t="s">
        <v>5243</v>
      </c>
      <c r="G209" s="8" t="s">
        <v>5244</v>
      </c>
      <c r="H209" s="8" t="s">
        <v>5252</v>
      </c>
    </row>
    <row r="210" spans="1:8" ht="36.950000000000003" customHeight="1" x14ac:dyDescent="0.25">
      <c r="A210" s="8" t="s">
        <v>138</v>
      </c>
      <c r="B210" s="8" t="s">
        <v>326</v>
      </c>
      <c r="C210" s="8" t="s">
        <v>5241</v>
      </c>
      <c r="D210" s="8" t="s">
        <v>5250</v>
      </c>
      <c r="E210" s="8" t="s">
        <v>5258</v>
      </c>
      <c r="F210" s="8" t="s">
        <v>5243</v>
      </c>
      <c r="G210" s="8" t="s">
        <v>5244</v>
      </c>
      <c r="H210" s="8" t="s">
        <v>5252</v>
      </c>
    </row>
    <row r="211" spans="1:8" ht="36.950000000000003" customHeight="1" x14ac:dyDescent="0.25">
      <c r="A211" s="8" t="s">
        <v>138</v>
      </c>
      <c r="B211" s="8" t="s">
        <v>1673</v>
      </c>
      <c r="C211" s="8" t="s">
        <v>5241</v>
      </c>
      <c r="D211" s="8" t="s">
        <v>356</v>
      </c>
      <c r="E211" s="8" t="s">
        <v>5275</v>
      </c>
      <c r="F211" s="8" t="s">
        <v>5243</v>
      </c>
      <c r="G211" s="8" t="s">
        <v>5244</v>
      </c>
      <c r="H211" s="8" t="s">
        <v>5252</v>
      </c>
    </row>
    <row r="212" spans="1:8" ht="36.950000000000003" customHeight="1" x14ac:dyDescent="0.25">
      <c r="A212" s="8" t="s">
        <v>138</v>
      </c>
      <c r="B212" s="8" t="s">
        <v>329</v>
      </c>
      <c r="C212" s="8" t="s">
        <v>5241</v>
      </c>
      <c r="D212" s="8" t="s">
        <v>356</v>
      </c>
      <c r="E212" s="8" t="s">
        <v>5262</v>
      </c>
      <c r="F212" s="8" t="s">
        <v>5243</v>
      </c>
      <c r="G212" s="8" t="s">
        <v>5244</v>
      </c>
      <c r="H212" s="8" t="s">
        <v>5252</v>
      </c>
    </row>
    <row r="213" spans="1:8" ht="36.950000000000003" customHeight="1" x14ac:dyDescent="0.25">
      <c r="A213" s="8" t="s">
        <v>138</v>
      </c>
      <c r="B213" s="8" t="s">
        <v>1674</v>
      </c>
      <c r="C213" s="8" t="s">
        <v>5241</v>
      </c>
      <c r="D213" s="8" t="s">
        <v>356</v>
      </c>
      <c r="E213" s="8" t="s">
        <v>5251</v>
      </c>
      <c r="F213" s="8" t="s">
        <v>5243</v>
      </c>
      <c r="G213" s="8" t="s">
        <v>5244</v>
      </c>
      <c r="H213" s="8" t="s">
        <v>5252</v>
      </c>
    </row>
    <row r="214" spans="1:8" ht="36.950000000000003" customHeight="1" x14ac:dyDescent="0.25">
      <c r="A214" s="8" t="s">
        <v>138</v>
      </c>
      <c r="B214" s="8" t="s">
        <v>330</v>
      </c>
      <c r="C214" s="8" t="s">
        <v>5263</v>
      </c>
      <c r="D214" s="8" t="s">
        <v>356</v>
      </c>
      <c r="E214" s="8" t="s">
        <v>5264</v>
      </c>
      <c r="F214" s="8" t="s">
        <v>5265</v>
      </c>
      <c r="G214" s="8" t="s">
        <v>5244</v>
      </c>
      <c r="H214" s="8" t="s">
        <v>5252</v>
      </c>
    </row>
    <row r="215" spans="1:8" ht="36.950000000000003" customHeight="1" x14ac:dyDescent="0.25">
      <c r="A215" s="8" t="s">
        <v>138</v>
      </c>
      <c r="B215" s="8" t="s">
        <v>331</v>
      </c>
      <c r="C215" s="8" t="s">
        <v>5263</v>
      </c>
      <c r="D215" s="8" t="s">
        <v>356</v>
      </c>
      <c r="E215" s="8" t="s">
        <v>5266</v>
      </c>
      <c r="F215" s="8" t="s">
        <v>5265</v>
      </c>
      <c r="G215" s="8" t="s">
        <v>5244</v>
      </c>
      <c r="H215" s="8" t="s">
        <v>5252</v>
      </c>
    </row>
    <row r="216" spans="1:8" ht="36.950000000000003" customHeight="1" x14ac:dyDescent="0.25">
      <c r="A216" s="8" t="s">
        <v>138</v>
      </c>
      <c r="B216" s="8" t="s">
        <v>333</v>
      </c>
      <c r="C216" s="8" t="s">
        <v>5263</v>
      </c>
      <c r="D216" s="8" t="s">
        <v>356</v>
      </c>
      <c r="E216" s="8" t="s">
        <v>5267</v>
      </c>
      <c r="F216" s="8" t="s">
        <v>5265</v>
      </c>
      <c r="G216" s="8" t="s">
        <v>5244</v>
      </c>
      <c r="H216" s="8" t="s">
        <v>5252</v>
      </c>
    </row>
    <row r="217" spans="1:8" ht="33.950000000000003" customHeight="1" x14ac:dyDescent="0.25">
      <c r="A217" s="8" t="s">
        <v>138</v>
      </c>
      <c r="B217" s="8" t="s">
        <v>1675</v>
      </c>
      <c r="C217" s="8" t="s">
        <v>5263</v>
      </c>
      <c r="D217" s="8" t="s">
        <v>356</v>
      </c>
      <c r="E217" s="8" t="s">
        <v>5276</v>
      </c>
      <c r="F217" s="8" t="s">
        <v>5265</v>
      </c>
      <c r="G217" s="8" t="s">
        <v>5244</v>
      </c>
      <c r="H217" s="8" t="s">
        <v>5252</v>
      </c>
    </row>
    <row r="218" spans="1:8" ht="36.950000000000003" customHeight="1" x14ac:dyDescent="0.25">
      <c r="A218" s="8" t="s">
        <v>138</v>
      </c>
      <c r="B218" s="8" t="s">
        <v>1676</v>
      </c>
      <c r="C218" s="8" t="s">
        <v>5241</v>
      </c>
      <c r="D218" s="8" t="s">
        <v>356</v>
      </c>
      <c r="E218" s="8" t="s">
        <v>5277</v>
      </c>
      <c r="F218" s="8" t="s">
        <v>5243</v>
      </c>
      <c r="G218" s="8" t="s">
        <v>5244</v>
      </c>
      <c r="H218" s="8" t="s">
        <v>5252</v>
      </c>
    </row>
    <row r="219" spans="1:8" ht="36.950000000000003" customHeight="1" x14ac:dyDescent="0.25">
      <c r="A219" s="8" t="s">
        <v>138</v>
      </c>
      <c r="B219" s="8" t="s">
        <v>335</v>
      </c>
      <c r="C219" s="8" t="s">
        <v>5241</v>
      </c>
      <c r="D219" s="8" t="s">
        <v>5250</v>
      </c>
      <c r="E219" s="8" t="s">
        <v>5268</v>
      </c>
      <c r="F219" s="8" t="s">
        <v>5243</v>
      </c>
      <c r="G219" s="8" t="s">
        <v>5244</v>
      </c>
      <c r="H219" s="8" t="s">
        <v>5252</v>
      </c>
    </row>
    <row r="220" spans="1:8" ht="36.950000000000003" customHeight="1" x14ac:dyDescent="0.25">
      <c r="A220" s="8" t="s">
        <v>138</v>
      </c>
      <c r="B220" s="8" t="s">
        <v>336</v>
      </c>
      <c r="C220" s="8" t="s">
        <v>5241</v>
      </c>
      <c r="D220" s="8" t="s">
        <v>5250</v>
      </c>
      <c r="E220" s="8" t="s">
        <v>5269</v>
      </c>
      <c r="F220" s="8" t="s">
        <v>5243</v>
      </c>
      <c r="G220" s="8" t="s">
        <v>5244</v>
      </c>
      <c r="H220" s="8" t="s">
        <v>5252</v>
      </c>
    </row>
    <row r="221" spans="1:8" ht="36.950000000000003" customHeight="1" x14ac:dyDescent="0.25">
      <c r="A221" s="8" t="s">
        <v>138</v>
      </c>
      <c r="B221" s="8" t="s">
        <v>341</v>
      </c>
      <c r="C221" s="8" t="s">
        <v>5241</v>
      </c>
      <c r="D221" s="8" t="s">
        <v>5250</v>
      </c>
      <c r="E221" s="8" t="s">
        <v>5274</v>
      </c>
      <c r="F221" s="8" t="s">
        <v>5243</v>
      </c>
      <c r="G221" s="8" t="s">
        <v>5244</v>
      </c>
      <c r="H221" s="8" t="s">
        <v>5252</v>
      </c>
    </row>
    <row r="222" spans="1:8" ht="36.950000000000003" customHeight="1" x14ac:dyDescent="0.25">
      <c r="A222" s="8" t="s">
        <v>138</v>
      </c>
      <c r="B222" s="8" t="s">
        <v>238</v>
      </c>
      <c r="C222" s="8" t="s">
        <v>5241</v>
      </c>
      <c r="D222" s="8" t="s">
        <v>5250</v>
      </c>
      <c r="E222" s="8" t="s">
        <v>5270</v>
      </c>
      <c r="F222" s="8" t="s">
        <v>5243</v>
      </c>
      <c r="G222" s="8" t="s">
        <v>5244</v>
      </c>
      <c r="H222" s="8" t="s">
        <v>5252</v>
      </c>
    </row>
    <row r="223" spans="1:8" ht="36.950000000000003" customHeight="1" x14ac:dyDescent="0.25">
      <c r="A223" s="8" t="s">
        <v>138</v>
      </c>
      <c r="B223" s="8" t="s">
        <v>1677</v>
      </c>
      <c r="C223" s="8" t="s">
        <v>5241</v>
      </c>
      <c r="D223" s="8" t="s">
        <v>356</v>
      </c>
      <c r="E223" s="8" t="s">
        <v>5278</v>
      </c>
      <c r="F223" s="8" t="s">
        <v>5243</v>
      </c>
      <c r="G223" s="8" t="s">
        <v>5244</v>
      </c>
      <c r="H223" s="8" t="s">
        <v>5252</v>
      </c>
    </row>
    <row r="224" spans="1:8" ht="36.950000000000003" customHeight="1" x14ac:dyDescent="0.25">
      <c r="A224" s="8" t="s">
        <v>138</v>
      </c>
      <c r="B224" s="8" t="s">
        <v>340</v>
      </c>
      <c r="C224" s="8" t="s">
        <v>5241</v>
      </c>
      <c r="D224" s="8" t="s">
        <v>5260</v>
      </c>
      <c r="E224" s="8" t="s">
        <v>5273</v>
      </c>
      <c r="F224" s="8" t="s">
        <v>5243</v>
      </c>
      <c r="G224" s="8" t="s">
        <v>5244</v>
      </c>
      <c r="H224" s="8" t="s">
        <v>5252</v>
      </c>
    </row>
    <row r="225" spans="1:8" ht="36.950000000000003" customHeight="1" x14ac:dyDescent="0.25">
      <c r="A225" s="8" t="s">
        <v>138</v>
      </c>
      <c r="B225" s="8" t="s">
        <v>339</v>
      </c>
      <c r="C225" s="8" t="s">
        <v>5241</v>
      </c>
      <c r="D225" s="8" t="s">
        <v>356</v>
      </c>
      <c r="E225" s="8" t="s">
        <v>5272</v>
      </c>
      <c r="F225" s="8" t="s">
        <v>5243</v>
      </c>
      <c r="G225" s="8" t="s">
        <v>5244</v>
      </c>
      <c r="H225" s="8" t="s">
        <v>5252</v>
      </c>
    </row>
    <row r="226" spans="1:8" ht="36.950000000000003" customHeight="1" x14ac:dyDescent="0.25">
      <c r="A226" s="8" t="s">
        <v>4551</v>
      </c>
      <c r="B226" s="8" t="s">
        <v>327</v>
      </c>
      <c r="C226" s="8" t="s">
        <v>5241</v>
      </c>
      <c r="D226" s="8" t="s">
        <v>5247</v>
      </c>
      <c r="E226" s="8" t="s">
        <v>5259</v>
      </c>
      <c r="F226" s="8" t="s">
        <v>5243</v>
      </c>
      <c r="G226" s="8" t="s">
        <v>5286</v>
      </c>
      <c r="H226" s="8" t="s">
        <v>5252</v>
      </c>
    </row>
    <row r="227" spans="1:8" ht="36.950000000000003" customHeight="1" x14ac:dyDescent="0.25">
      <c r="A227" s="8" t="s">
        <v>4551</v>
      </c>
      <c r="B227" s="8" t="s">
        <v>328</v>
      </c>
      <c r="C227" s="8" t="s">
        <v>5241</v>
      </c>
      <c r="D227" s="8" t="s">
        <v>5250</v>
      </c>
      <c r="E227" s="8" t="s">
        <v>5261</v>
      </c>
      <c r="F227" s="8" t="s">
        <v>5243</v>
      </c>
      <c r="G227" s="8" t="s">
        <v>5286</v>
      </c>
      <c r="H227" s="8" t="s">
        <v>5252</v>
      </c>
    </row>
    <row r="228" spans="1:8" ht="36.950000000000003" customHeight="1" x14ac:dyDescent="0.25">
      <c r="A228" s="8" t="s">
        <v>4551</v>
      </c>
      <c r="B228" s="8" t="s">
        <v>2810</v>
      </c>
      <c r="C228" s="8" t="s">
        <v>5241</v>
      </c>
      <c r="D228" s="8" t="s">
        <v>356</v>
      </c>
      <c r="E228" s="8" t="s">
        <v>5287</v>
      </c>
      <c r="F228" s="8" t="s">
        <v>5243</v>
      </c>
      <c r="G228" s="8" t="s">
        <v>5286</v>
      </c>
      <c r="H228" s="8" t="s">
        <v>5252</v>
      </c>
    </row>
    <row r="229" spans="1:8" ht="36.950000000000003" customHeight="1" x14ac:dyDescent="0.25">
      <c r="A229" s="8" t="s">
        <v>4551</v>
      </c>
      <c r="B229" s="8" t="s">
        <v>2811</v>
      </c>
      <c r="C229" s="8" t="s">
        <v>5263</v>
      </c>
      <c r="D229" s="8" t="s">
        <v>5247</v>
      </c>
      <c r="E229" s="8" t="s">
        <v>5288</v>
      </c>
      <c r="F229" s="8" t="s">
        <v>5243</v>
      </c>
      <c r="G229" s="8" t="s">
        <v>5286</v>
      </c>
      <c r="H229" s="8" t="s">
        <v>5252</v>
      </c>
    </row>
    <row r="230" spans="1:8" ht="36.950000000000003" customHeight="1" x14ac:dyDescent="0.25">
      <c r="A230" s="8" t="s">
        <v>4551</v>
      </c>
      <c r="B230" s="8" t="s">
        <v>2812</v>
      </c>
      <c r="C230" s="8" t="s">
        <v>5241</v>
      </c>
      <c r="D230" s="8" t="s">
        <v>5247</v>
      </c>
      <c r="E230" s="8" t="s">
        <v>5289</v>
      </c>
      <c r="F230" s="8" t="s">
        <v>5243</v>
      </c>
      <c r="G230" s="8" t="s">
        <v>5286</v>
      </c>
      <c r="H230" s="8" t="s">
        <v>5252</v>
      </c>
    </row>
    <row r="231" spans="1:8" ht="36.950000000000003" customHeight="1" x14ac:dyDescent="0.25">
      <c r="A231" s="8" t="s">
        <v>4551</v>
      </c>
      <c r="B231" s="8" t="s">
        <v>2813</v>
      </c>
      <c r="C231" s="8" t="s">
        <v>5241</v>
      </c>
      <c r="D231" s="8" t="s">
        <v>5247</v>
      </c>
      <c r="E231" s="8" t="s">
        <v>5251</v>
      </c>
      <c r="F231" s="8" t="s">
        <v>5243</v>
      </c>
      <c r="G231" s="8" t="s">
        <v>5286</v>
      </c>
      <c r="H231" s="8" t="s">
        <v>5252</v>
      </c>
    </row>
    <row r="232" spans="1:8" ht="36.950000000000003" customHeight="1" x14ac:dyDescent="0.25">
      <c r="A232" s="8" t="s">
        <v>4551</v>
      </c>
      <c r="B232" s="8" t="s">
        <v>2814</v>
      </c>
      <c r="C232" s="8" t="s">
        <v>5241</v>
      </c>
      <c r="D232" s="8" t="s">
        <v>5247</v>
      </c>
      <c r="E232" s="8" t="s">
        <v>5290</v>
      </c>
      <c r="F232" s="8" t="s">
        <v>5243</v>
      </c>
      <c r="G232" s="8" t="s">
        <v>5286</v>
      </c>
      <c r="H232" s="8" t="s">
        <v>5252</v>
      </c>
    </row>
    <row r="233" spans="1:8" ht="36.950000000000003" customHeight="1" x14ac:dyDescent="0.25">
      <c r="A233" s="8" t="s">
        <v>4551</v>
      </c>
      <c r="B233" s="8" t="s">
        <v>238</v>
      </c>
      <c r="C233" s="8" t="s">
        <v>5241</v>
      </c>
      <c r="D233" s="8" t="s">
        <v>5250</v>
      </c>
      <c r="E233" s="8" t="s">
        <v>5270</v>
      </c>
      <c r="F233" s="8" t="s">
        <v>5243</v>
      </c>
      <c r="G233" s="8" t="s">
        <v>5286</v>
      </c>
      <c r="H233" s="8" t="s">
        <v>5252</v>
      </c>
    </row>
    <row r="234" spans="1:8" ht="36.950000000000003" customHeight="1" x14ac:dyDescent="0.25">
      <c r="A234" s="8" t="s">
        <v>4551</v>
      </c>
      <c r="B234" s="8" t="s">
        <v>2815</v>
      </c>
      <c r="C234" s="8" t="s">
        <v>5263</v>
      </c>
      <c r="D234" s="8" t="s">
        <v>356</v>
      </c>
      <c r="E234" s="8" t="s">
        <v>5251</v>
      </c>
      <c r="F234" s="8" t="s">
        <v>5243</v>
      </c>
      <c r="G234" s="8" t="s">
        <v>5286</v>
      </c>
      <c r="H234" s="8" t="s">
        <v>5252</v>
      </c>
    </row>
    <row r="235" spans="1:8" ht="36.950000000000003" customHeight="1" x14ac:dyDescent="0.25">
      <c r="A235" s="8" t="s">
        <v>4551</v>
      </c>
      <c r="B235" s="8" t="s">
        <v>2816</v>
      </c>
      <c r="C235" s="8" t="s">
        <v>5241</v>
      </c>
      <c r="D235" s="8" t="s">
        <v>356</v>
      </c>
      <c r="E235" s="8" t="s">
        <v>5251</v>
      </c>
      <c r="F235" s="8" t="s">
        <v>5243</v>
      </c>
      <c r="G235" s="8" t="s">
        <v>5286</v>
      </c>
      <c r="H235" s="8" t="s">
        <v>5252</v>
      </c>
    </row>
    <row r="236" spans="1:8" ht="36.950000000000003" customHeight="1" x14ac:dyDescent="0.25">
      <c r="A236" s="8" t="s">
        <v>4542</v>
      </c>
      <c r="B236" s="8" t="s">
        <v>335</v>
      </c>
      <c r="C236" s="8" t="s">
        <v>5241</v>
      </c>
      <c r="D236" s="8" t="s">
        <v>5250</v>
      </c>
      <c r="E236" s="8" t="s">
        <v>5268</v>
      </c>
      <c r="F236" s="8" t="s">
        <v>5243</v>
      </c>
      <c r="G236" s="8" t="s">
        <v>5286</v>
      </c>
      <c r="H236" s="8" t="s">
        <v>5252</v>
      </c>
    </row>
    <row r="237" spans="1:8" ht="36.950000000000003" customHeight="1" x14ac:dyDescent="0.25">
      <c r="A237" s="8" t="s">
        <v>4542</v>
      </c>
      <c r="B237" s="8" t="s">
        <v>3249</v>
      </c>
      <c r="C237" s="8" t="s">
        <v>5241</v>
      </c>
      <c r="D237" s="8" t="s">
        <v>5250</v>
      </c>
      <c r="E237" s="8" t="s">
        <v>5251</v>
      </c>
      <c r="F237" s="8" t="s">
        <v>5243</v>
      </c>
      <c r="G237" s="8" t="s">
        <v>5286</v>
      </c>
      <c r="H237" s="8" t="s">
        <v>5252</v>
      </c>
    </row>
    <row r="238" spans="1:8" ht="36.950000000000003" customHeight="1" x14ac:dyDescent="0.25">
      <c r="A238" s="8" t="s">
        <v>4542</v>
      </c>
      <c r="B238" s="8" t="s">
        <v>3250</v>
      </c>
      <c r="C238" s="8" t="s">
        <v>5241</v>
      </c>
      <c r="D238" s="8" t="s">
        <v>356</v>
      </c>
      <c r="E238" s="8" t="s">
        <v>5251</v>
      </c>
      <c r="F238" s="8" t="s">
        <v>5243</v>
      </c>
      <c r="G238" s="8" t="s">
        <v>5286</v>
      </c>
      <c r="H238" s="8" t="s">
        <v>5252</v>
      </c>
    </row>
    <row r="239" spans="1:8" ht="36.950000000000003" customHeight="1" x14ac:dyDescent="0.25">
      <c r="A239" s="8" t="s">
        <v>4542</v>
      </c>
      <c r="B239" s="8" t="s">
        <v>3251</v>
      </c>
      <c r="C239" s="8" t="s">
        <v>5263</v>
      </c>
      <c r="D239" s="8" t="s">
        <v>356</v>
      </c>
      <c r="E239" s="8" t="s">
        <v>5251</v>
      </c>
      <c r="F239" s="8" t="s">
        <v>5243</v>
      </c>
      <c r="G239" s="8" t="s">
        <v>5286</v>
      </c>
      <c r="H239" s="8" t="s">
        <v>5252</v>
      </c>
    </row>
    <row r="240" spans="1:8" ht="36.950000000000003" customHeight="1" x14ac:dyDescent="0.25">
      <c r="A240" s="8" t="s">
        <v>4542</v>
      </c>
      <c r="B240" s="8" t="s">
        <v>3252</v>
      </c>
      <c r="C240" s="8" t="s">
        <v>5241</v>
      </c>
      <c r="D240" s="8" t="s">
        <v>5250</v>
      </c>
      <c r="E240" s="8" t="s">
        <v>5291</v>
      </c>
      <c r="F240" s="8" t="s">
        <v>5243</v>
      </c>
      <c r="G240" s="8" t="s">
        <v>5286</v>
      </c>
      <c r="H240" s="8" t="s">
        <v>5252</v>
      </c>
    </row>
    <row r="241" spans="1:8" ht="36.950000000000003" customHeight="1" x14ac:dyDescent="0.25">
      <c r="A241" s="8" t="s">
        <v>4542</v>
      </c>
      <c r="B241" s="8" t="s">
        <v>3253</v>
      </c>
      <c r="C241" s="8" t="s">
        <v>5241</v>
      </c>
      <c r="D241" s="8" t="s">
        <v>356</v>
      </c>
      <c r="E241" s="8" t="s">
        <v>5251</v>
      </c>
      <c r="F241" s="8" t="s">
        <v>5243</v>
      </c>
      <c r="G241" s="8" t="s">
        <v>5286</v>
      </c>
      <c r="H241" s="8" t="s">
        <v>5252</v>
      </c>
    </row>
    <row r="242" spans="1:8" ht="36.950000000000003" customHeight="1" x14ac:dyDescent="0.25">
      <c r="A242" s="8" t="s">
        <v>4542</v>
      </c>
      <c r="B242" s="8" t="s">
        <v>3254</v>
      </c>
      <c r="C242" s="8" t="s">
        <v>5241</v>
      </c>
      <c r="D242" s="8" t="s">
        <v>356</v>
      </c>
      <c r="E242" s="8" t="s">
        <v>5292</v>
      </c>
      <c r="F242" s="8" t="s">
        <v>5243</v>
      </c>
      <c r="G242" s="8" t="s">
        <v>5286</v>
      </c>
      <c r="H242" s="8" t="s">
        <v>5252</v>
      </c>
    </row>
    <row r="243" spans="1:8" ht="36.950000000000003" customHeight="1" x14ac:dyDescent="0.25">
      <c r="A243" s="8" t="s">
        <v>4542</v>
      </c>
      <c r="B243" s="8" t="s">
        <v>3255</v>
      </c>
      <c r="C243" s="8" t="s">
        <v>5241</v>
      </c>
      <c r="D243" s="8" t="s">
        <v>356</v>
      </c>
      <c r="E243" s="8" t="s">
        <v>5293</v>
      </c>
      <c r="F243" s="8" t="s">
        <v>5243</v>
      </c>
      <c r="G243" s="8" t="s">
        <v>5286</v>
      </c>
      <c r="H243" s="8" t="s">
        <v>5252</v>
      </c>
    </row>
    <row r="244" spans="1:8" ht="36.950000000000003" customHeight="1" x14ac:dyDescent="0.25">
      <c r="A244" s="8" t="s">
        <v>4542</v>
      </c>
      <c r="B244" s="8" t="s">
        <v>3256</v>
      </c>
      <c r="C244" s="8" t="s">
        <v>5241</v>
      </c>
      <c r="D244" s="8" t="s">
        <v>356</v>
      </c>
      <c r="E244" s="8" t="s">
        <v>5251</v>
      </c>
      <c r="F244" s="8" t="s">
        <v>5243</v>
      </c>
      <c r="G244" s="8" t="s">
        <v>5286</v>
      </c>
      <c r="H244" s="8" t="s">
        <v>5252</v>
      </c>
    </row>
    <row r="245" spans="1:8" ht="36.950000000000003" customHeight="1" x14ac:dyDescent="0.25">
      <c r="A245" s="8" t="s">
        <v>4542</v>
      </c>
      <c r="B245" s="8" t="s">
        <v>3257</v>
      </c>
      <c r="C245" s="8" t="s">
        <v>5241</v>
      </c>
      <c r="D245" s="8" t="s">
        <v>356</v>
      </c>
      <c r="E245" s="8" t="s">
        <v>5251</v>
      </c>
      <c r="F245" s="8" t="s">
        <v>5243</v>
      </c>
      <c r="G245" s="8" t="s">
        <v>5286</v>
      </c>
      <c r="H245" s="8" t="s">
        <v>5252</v>
      </c>
    </row>
    <row r="246" spans="1:8" ht="36.950000000000003" customHeight="1" x14ac:dyDescent="0.25">
      <c r="A246" s="8" t="s">
        <v>4542</v>
      </c>
      <c r="B246" s="8" t="s">
        <v>3258</v>
      </c>
      <c r="C246" s="8" t="s">
        <v>5241</v>
      </c>
      <c r="D246" s="8" t="s">
        <v>356</v>
      </c>
      <c r="E246" s="8" t="s">
        <v>5251</v>
      </c>
      <c r="F246" s="8" t="s">
        <v>5243</v>
      </c>
      <c r="G246" s="8" t="s">
        <v>5286</v>
      </c>
      <c r="H246" s="8" t="s">
        <v>5252</v>
      </c>
    </row>
    <row r="247" spans="1:8" ht="36.950000000000003" customHeight="1" x14ac:dyDescent="0.25">
      <c r="A247" s="8" t="s">
        <v>4542</v>
      </c>
      <c r="B247" s="8" t="s">
        <v>3259</v>
      </c>
      <c r="C247" s="8" t="s">
        <v>5241</v>
      </c>
      <c r="D247" s="8" t="s">
        <v>356</v>
      </c>
      <c r="E247" s="8" t="s">
        <v>5251</v>
      </c>
      <c r="F247" s="8" t="s">
        <v>5243</v>
      </c>
      <c r="G247" s="8" t="s">
        <v>5286</v>
      </c>
      <c r="H247" s="8" t="s">
        <v>5252</v>
      </c>
    </row>
    <row r="248" spans="1:8" ht="36.950000000000003" customHeight="1" x14ac:dyDescent="0.25">
      <c r="A248" s="8" t="s">
        <v>4542</v>
      </c>
      <c r="B248" s="8" t="s">
        <v>3260</v>
      </c>
      <c r="C248" s="8" t="s">
        <v>5241</v>
      </c>
      <c r="D248" s="8" t="s">
        <v>356</v>
      </c>
      <c r="E248" s="8" t="s">
        <v>5294</v>
      </c>
      <c r="F248" s="8" t="s">
        <v>5243</v>
      </c>
      <c r="G248" s="8" t="s">
        <v>5286</v>
      </c>
      <c r="H248" s="8" t="s">
        <v>5252</v>
      </c>
    </row>
    <row r="249" spans="1:8" ht="36.950000000000003" customHeight="1" x14ac:dyDescent="0.25">
      <c r="A249" s="8" t="s">
        <v>4542</v>
      </c>
      <c r="B249" s="8" t="s">
        <v>3261</v>
      </c>
      <c r="C249" s="8" t="s">
        <v>5241</v>
      </c>
      <c r="D249" s="8" t="s">
        <v>5247</v>
      </c>
      <c r="E249" s="8" t="s">
        <v>5295</v>
      </c>
      <c r="F249" s="8" t="s">
        <v>5243</v>
      </c>
      <c r="G249" s="8" t="s">
        <v>5286</v>
      </c>
      <c r="H249" s="8" t="s">
        <v>5252</v>
      </c>
    </row>
    <row r="250" spans="1:8" ht="36.950000000000003" customHeight="1" x14ac:dyDescent="0.25">
      <c r="A250" s="8" t="s">
        <v>4542</v>
      </c>
      <c r="B250" s="8" t="s">
        <v>3262</v>
      </c>
      <c r="C250" s="8" t="s">
        <v>5241</v>
      </c>
      <c r="D250" s="8" t="s">
        <v>5247</v>
      </c>
      <c r="E250" s="8" t="s">
        <v>5296</v>
      </c>
      <c r="F250" s="8" t="s">
        <v>5243</v>
      </c>
      <c r="G250" s="8" t="s">
        <v>5286</v>
      </c>
      <c r="H250" s="8" t="s">
        <v>5252</v>
      </c>
    </row>
    <row r="251" spans="1:8" ht="36.950000000000003" customHeight="1" x14ac:dyDescent="0.25">
      <c r="A251" s="8" t="s">
        <v>4542</v>
      </c>
      <c r="B251" s="8" t="s">
        <v>3263</v>
      </c>
      <c r="C251" s="8" t="s">
        <v>5241</v>
      </c>
      <c r="D251" s="8" t="s">
        <v>356</v>
      </c>
      <c r="E251" s="8" t="s">
        <v>5297</v>
      </c>
      <c r="F251" s="8" t="s">
        <v>5243</v>
      </c>
      <c r="G251" s="8" t="s">
        <v>5244</v>
      </c>
      <c r="H251" s="8" t="s">
        <v>5252</v>
      </c>
    </row>
    <row r="252" spans="1:8" ht="36.950000000000003" customHeight="1" x14ac:dyDescent="0.25">
      <c r="A252" s="8" t="s">
        <v>4542</v>
      </c>
      <c r="B252" s="8" t="s">
        <v>3264</v>
      </c>
      <c r="C252" s="8" t="s">
        <v>5241</v>
      </c>
      <c r="D252" s="8" t="s">
        <v>356</v>
      </c>
      <c r="E252" s="8" t="s">
        <v>5298</v>
      </c>
      <c r="F252" s="8" t="s">
        <v>5243</v>
      </c>
      <c r="G252" s="8" t="s">
        <v>5244</v>
      </c>
      <c r="H252" s="8" t="s">
        <v>5252</v>
      </c>
    </row>
    <row r="253" spans="1:8" ht="36.950000000000003" customHeight="1" x14ac:dyDescent="0.25">
      <c r="A253" s="8" t="s">
        <v>4542</v>
      </c>
      <c r="B253" s="8" t="s">
        <v>3265</v>
      </c>
      <c r="C253" s="8" t="s">
        <v>5241</v>
      </c>
      <c r="D253" s="8" t="s">
        <v>356</v>
      </c>
      <c r="E253" s="8" t="s">
        <v>5299</v>
      </c>
      <c r="F253" s="8" t="s">
        <v>5243</v>
      </c>
      <c r="G253" s="8" t="s">
        <v>5244</v>
      </c>
      <c r="H253" s="8" t="s">
        <v>5252</v>
      </c>
    </row>
    <row r="254" spans="1:8" ht="36.950000000000003" customHeight="1" x14ac:dyDescent="0.25">
      <c r="A254" s="8" t="s">
        <v>4542</v>
      </c>
      <c r="B254" s="8" t="s">
        <v>3266</v>
      </c>
      <c r="C254" s="8" t="s">
        <v>5241</v>
      </c>
      <c r="D254" s="8" t="s">
        <v>356</v>
      </c>
      <c r="E254" s="8" t="s">
        <v>5300</v>
      </c>
      <c r="F254" s="8" t="s">
        <v>5243</v>
      </c>
      <c r="G254" s="8" t="s">
        <v>5244</v>
      </c>
      <c r="H254" s="8" t="s">
        <v>5252</v>
      </c>
    </row>
    <row r="255" spans="1:8" ht="36.950000000000003" customHeight="1" x14ac:dyDescent="0.25">
      <c r="A255" s="8" t="s">
        <v>4665</v>
      </c>
      <c r="B255" s="8" t="s">
        <v>3911</v>
      </c>
      <c r="C255" s="8" t="s">
        <v>5241</v>
      </c>
      <c r="D255" s="8" t="s">
        <v>356</v>
      </c>
      <c r="E255" s="8" t="s">
        <v>5301</v>
      </c>
      <c r="F255" s="8" t="s">
        <v>5243</v>
      </c>
      <c r="G255" s="8" t="s">
        <v>5244</v>
      </c>
      <c r="H255" s="8" t="s">
        <v>5252</v>
      </c>
    </row>
    <row r="256" spans="1:8" ht="36.950000000000003" customHeight="1" x14ac:dyDescent="0.25">
      <c r="A256" s="8" t="s">
        <v>4665</v>
      </c>
      <c r="B256" s="8" t="s">
        <v>3912</v>
      </c>
      <c r="C256" s="8" t="s">
        <v>5246</v>
      </c>
      <c r="D256" s="8" t="s">
        <v>356</v>
      </c>
      <c r="E256" s="8" t="s">
        <v>5248</v>
      </c>
      <c r="F256" s="8" t="s">
        <v>5243</v>
      </c>
      <c r="G256" s="8" t="s">
        <v>5244</v>
      </c>
      <c r="H256" s="8" t="s">
        <v>5252</v>
      </c>
    </row>
    <row r="257" spans="1:8" ht="36.950000000000003" customHeight="1" x14ac:dyDescent="0.25">
      <c r="A257" s="8" t="s">
        <v>4665</v>
      </c>
      <c r="B257" s="8" t="s">
        <v>3913</v>
      </c>
      <c r="C257" s="8" t="s">
        <v>5241</v>
      </c>
      <c r="D257" s="8" t="s">
        <v>5247</v>
      </c>
      <c r="E257" s="8" t="s">
        <v>5302</v>
      </c>
      <c r="F257" s="8" t="s">
        <v>5243</v>
      </c>
      <c r="G257" s="8" t="s">
        <v>5244</v>
      </c>
      <c r="H257" s="8" t="s">
        <v>5252</v>
      </c>
    </row>
    <row r="258" spans="1:8" ht="36.950000000000003" customHeight="1" x14ac:dyDescent="0.25">
      <c r="A258" s="8" t="s">
        <v>4665</v>
      </c>
      <c r="B258" s="8" t="s">
        <v>3914</v>
      </c>
      <c r="C258" s="8" t="s">
        <v>5241</v>
      </c>
      <c r="D258" s="8" t="s">
        <v>356</v>
      </c>
      <c r="E258" s="8" t="s">
        <v>5301</v>
      </c>
      <c r="F258" s="8" t="s">
        <v>5243</v>
      </c>
      <c r="G258" s="8" t="s">
        <v>5244</v>
      </c>
      <c r="H258" s="8" t="s">
        <v>5252</v>
      </c>
    </row>
    <row r="259" spans="1:8" ht="36.950000000000003" customHeight="1" x14ac:dyDescent="0.25">
      <c r="A259" s="8" t="s">
        <v>4665</v>
      </c>
      <c r="B259" s="8" t="s">
        <v>3915</v>
      </c>
      <c r="C259" s="8" t="s">
        <v>5241</v>
      </c>
      <c r="D259" s="8" t="s">
        <v>356</v>
      </c>
      <c r="E259" s="8" t="s">
        <v>5301</v>
      </c>
      <c r="F259" s="8" t="s">
        <v>5243</v>
      </c>
      <c r="G259" s="8" t="s">
        <v>5244</v>
      </c>
      <c r="H259" s="8" t="s">
        <v>5252</v>
      </c>
    </row>
    <row r="260" spans="1:8" ht="36.950000000000003" customHeight="1" x14ac:dyDescent="0.25">
      <c r="A260" s="8" t="s">
        <v>4665</v>
      </c>
      <c r="B260" s="8" t="s">
        <v>331</v>
      </c>
      <c r="C260" s="8" t="s">
        <v>5246</v>
      </c>
      <c r="D260" s="8" t="s">
        <v>356</v>
      </c>
      <c r="E260" s="8" t="s">
        <v>5301</v>
      </c>
      <c r="F260" s="8" t="s">
        <v>5243</v>
      </c>
      <c r="G260" s="8" t="s">
        <v>5244</v>
      </c>
      <c r="H260" s="8" t="s">
        <v>5252</v>
      </c>
    </row>
    <row r="261" spans="1:8" ht="36.950000000000003" customHeight="1" x14ac:dyDescent="0.25">
      <c r="A261" s="8" t="s">
        <v>4665</v>
      </c>
      <c r="B261" s="8" t="s">
        <v>332</v>
      </c>
      <c r="C261" s="8" t="s">
        <v>5246</v>
      </c>
      <c r="D261" s="8" t="s">
        <v>356</v>
      </c>
      <c r="E261" s="8" t="s">
        <v>5301</v>
      </c>
      <c r="F261" s="8" t="s">
        <v>5243</v>
      </c>
      <c r="G261" s="8" t="s">
        <v>5244</v>
      </c>
      <c r="H261" s="8" t="s">
        <v>5252</v>
      </c>
    </row>
    <row r="262" spans="1:8" ht="36.950000000000003" customHeight="1" x14ac:dyDescent="0.25">
      <c r="A262" s="8" t="s">
        <v>4665</v>
      </c>
      <c r="B262" s="8" t="s">
        <v>333</v>
      </c>
      <c r="C262" s="8" t="s">
        <v>5246</v>
      </c>
      <c r="D262" s="8" t="s">
        <v>356</v>
      </c>
      <c r="E262" s="8" t="s">
        <v>5301</v>
      </c>
      <c r="F262" s="8" t="s">
        <v>5243</v>
      </c>
      <c r="G262" s="8" t="s">
        <v>5244</v>
      </c>
      <c r="H262" s="8" t="s">
        <v>5252</v>
      </c>
    </row>
    <row r="263" spans="1:8" ht="36.950000000000003" customHeight="1" x14ac:dyDescent="0.25">
      <c r="A263" s="8" t="s">
        <v>4665</v>
      </c>
      <c r="B263" s="8" t="s">
        <v>3916</v>
      </c>
      <c r="C263" s="8" t="s">
        <v>5246</v>
      </c>
      <c r="D263" s="8" t="s">
        <v>356</v>
      </c>
      <c r="E263" s="8" t="s">
        <v>5303</v>
      </c>
      <c r="F263" s="8" t="s">
        <v>5243</v>
      </c>
      <c r="G263" s="8" t="s">
        <v>5244</v>
      </c>
      <c r="H263" s="8" t="s">
        <v>5252</v>
      </c>
    </row>
    <row r="264" spans="1:8" ht="36.950000000000003" customHeight="1" x14ac:dyDescent="0.25">
      <c r="A264" s="8" t="s">
        <v>4665</v>
      </c>
      <c r="B264" s="8" t="s">
        <v>3917</v>
      </c>
      <c r="C264" s="8" t="s">
        <v>5246</v>
      </c>
      <c r="D264" s="8" t="s">
        <v>356</v>
      </c>
      <c r="E264" s="8" t="s">
        <v>5301</v>
      </c>
      <c r="F264" s="8" t="s">
        <v>5243</v>
      </c>
      <c r="G264" s="8" t="s">
        <v>5244</v>
      </c>
      <c r="H264" s="8" t="s">
        <v>5252</v>
      </c>
    </row>
    <row r="265" spans="1:8" ht="36.950000000000003" customHeight="1" x14ac:dyDescent="0.25">
      <c r="A265" s="8" t="s">
        <v>4665</v>
      </c>
      <c r="B265" s="8" t="s">
        <v>3918</v>
      </c>
      <c r="C265" s="8" t="s">
        <v>5246</v>
      </c>
      <c r="D265" s="8" t="s">
        <v>356</v>
      </c>
      <c r="E265" s="8" t="s">
        <v>5304</v>
      </c>
      <c r="F265" s="8" t="s">
        <v>5243</v>
      </c>
      <c r="G265" s="8" t="s">
        <v>5244</v>
      </c>
      <c r="H265" s="8" t="s">
        <v>5252</v>
      </c>
    </row>
    <row r="266" spans="1:8" ht="36.950000000000003" customHeight="1" x14ac:dyDescent="0.25">
      <c r="A266" s="8" t="s">
        <v>4665</v>
      </c>
      <c r="B266" s="8" t="s">
        <v>3919</v>
      </c>
      <c r="C266" s="8" t="s">
        <v>5246</v>
      </c>
      <c r="D266" s="8" t="s">
        <v>356</v>
      </c>
      <c r="E266" s="8" t="s">
        <v>5305</v>
      </c>
      <c r="F266" s="8" t="s">
        <v>5243</v>
      </c>
      <c r="G266" s="8" t="s">
        <v>5244</v>
      </c>
      <c r="H266" s="8" t="s">
        <v>5252</v>
      </c>
    </row>
    <row r="267" spans="1:8" ht="36.950000000000003" customHeight="1" x14ac:dyDescent="0.25">
      <c r="A267" s="8" t="s">
        <v>4665</v>
      </c>
      <c r="B267" s="8" t="s">
        <v>335</v>
      </c>
      <c r="C267" s="8" t="s">
        <v>5241</v>
      </c>
      <c r="D267" s="8" t="s">
        <v>5250</v>
      </c>
      <c r="E267" s="8" t="s">
        <v>5301</v>
      </c>
      <c r="F267" s="8" t="s">
        <v>5243</v>
      </c>
      <c r="G267" s="8" t="s">
        <v>5244</v>
      </c>
      <c r="H267" s="8" t="s">
        <v>5252</v>
      </c>
    </row>
    <row r="268" spans="1:8" ht="36.950000000000003" customHeight="1" x14ac:dyDescent="0.25">
      <c r="A268" s="8" t="s">
        <v>4665</v>
      </c>
      <c r="B268" s="8" t="s">
        <v>3920</v>
      </c>
      <c r="C268" s="8" t="s">
        <v>5241</v>
      </c>
      <c r="D268" s="8" t="s">
        <v>356</v>
      </c>
      <c r="E268" s="8" t="s">
        <v>5301</v>
      </c>
      <c r="F268" s="8" t="s">
        <v>5243</v>
      </c>
      <c r="G268" s="8" t="s">
        <v>5244</v>
      </c>
      <c r="H268" s="8" t="s">
        <v>5252</v>
      </c>
    </row>
    <row r="269" spans="1:8" ht="36.950000000000003" customHeight="1" x14ac:dyDescent="0.25">
      <c r="A269" s="8" t="s">
        <v>4665</v>
      </c>
      <c r="B269" s="8" t="s">
        <v>3921</v>
      </c>
      <c r="C269" s="8" t="s">
        <v>5241</v>
      </c>
      <c r="D269" s="8" t="s">
        <v>356</v>
      </c>
      <c r="E269" s="8" t="s">
        <v>5306</v>
      </c>
      <c r="F269" s="8" t="s">
        <v>5243</v>
      </c>
      <c r="G269" s="8" t="s">
        <v>5244</v>
      </c>
      <c r="H269" s="8" t="s">
        <v>5252</v>
      </c>
    </row>
    <row r="270" spans="1:8" ht="36.950000000000003" customHeight="1" x14ac:dyDescent="0.25">
      <c r="A270" s="8" t="s">
        <v>4665</v>
      </c>
      <c r="B270" s="8" t="s">
        <v>3922</v>
      </c>
      <c r="C270" s="8" t="s">
        <v>5241</v>
      </c>
      <c r="D270" s="8" t="s">
        <v>356</v>
      </c>
      <c r="E270" s="8" t="s">
        <v>5307</v>
      </c>
      <c r="F270" s="8" t="s">
        <v>5243</v>
      </c>
      <c r="G270" s="8" t="s">
        <v>5244</v>
      </c>
      <c r="H270" s="8" t="s">
        <v>5252</v>
      </c>
    </row>
    <row r="271" spans="1:8" ht="36.950000000000003" customHeight="1" x14ac:dyDescent="0.25">
      <c r="A271" s="8" t="s">
        <v>4665</v>
      </c>
      <c r="B271" s="8" t="s">
        <v>3923</v>
      </c>
      <c r="C271" s="8" t="s">
        <v>5241</v>
      </c>
      <c r="D271" s="8" t="s">
        <v>356</v>
      </c>
      <c r="E271" s="8" t="s">
        <v>5301</v>
      </c>
      <c r="F271" s="8" t="s">
        <v>5243</v>
      </c>
      <c r="G271" s="8" t="s">
        <v>5244</v>
      </c>
      <c r="H271" s="8" t="s">
        <v>5252</v>
      </c>
    </row>
    <row r="272" spans="1:8" ht="36.950000000000003" customHeight="1" x14ac:dyDescent="0.25">
      <c r="A272" s="8" t="s">
        <v>4756</v>
      </c>
      <c r="B272" s="8" t="s">
        <v>4090</v>
      </c>
      <c r="C272" s="8" t="s">
        <v>5241</v>
      </c>
      <c r="D272" s="8" t="s">
        <v>356</v>
      </c>
      <c r="E272" s="8" t="s">
        <v>5251</v>
      </c>
      <c r="F272" s="8" t="s">
        <v>5243</v>
      </c>
      <c r="G272" s="8" t="s">
        <v>5286</v>
      </c>
      <c r="H272" s="8" t="s">
        <v>5252</v>
      </c>
    </row>
    <row r="273" spans="1:8" ht="36.950000000000003" customHeight="1" x14ac:dyDescent="0.25">
      <c r="A273" s="8" t="s">
        <v>4756</v>
      </c>
      <c r="B273" s="8" t="s">
        <v>48</v>
      </c>
      <c r="C273" s="8" t="s">
        <v>5241</v>
      </c>
      <c r="D273" s="8" t="s">
        <v>5250</v>
      </c>
      <c r="E273" s="8" t="s">
        <v>5251</v>
      </c>
      <c r="F273" s="8" t="s">
        <v>5243</v>
      </c>
      <c r="G273" s="8" t="s">
        <v>5286</v>
      </c>
      <c r="H273" s="8" t="s">
        <v>5252</v>
      </c>
    </row>
    <row r="274" spans="1:8" ht="36.950000000000003" customHeight="1" x14ac:dyDescent="0.25">
      <c r="A274" s="8" t="s">
        <v>4756</v>
      </c>
      <c r="B274" s="8" t="s">
        <v>4091</v>
      </c>
      <c r="C274" s="8" t="s">
        <v>5241</v>
      </c>
      <c r="D274" s="8" t="s">
        <v>356</v>
      </c>
      <c r="E274" s="8" t="s">
        <v>5251</v>
      </c>
      <c r="F274" s="8" t="s">
        <v>5243</v>
      </c>
      <c r="G274" s="8" t="s">
        <v>5286</v>
      </c>
      <c r="H274" s="8" t="s">
        <v>5252</v>
      </c>
    </row>
    <row r="275" spans="1:8" ht="36.950000000000003" customHeight="1" x14ac:dyDescent="0.25">
      <c r="A275" s="8" t="s">
        <v>4756</v>
      </c>
      <c r="B275" s="8" t="s">
        <v>4092</v>
      </c>
      <c r="C275" s="8" t="s">
        <v>5241</v>
      </c>
      <c r="D275" s="8" t="s">
        <v>356</v>
      </c>
      <c r="E275" s="8" t="s">
        <v>5251</v>
      </c>
      <c r="F275" s="8" t="s">
        <v>5243</v>
      </c>
      <c r="G275" s="8" t="s">
        <v>5286</v>
      </c>
      <c r="H275" s="8" t="s">
        <v>5252</v>
      </c>
    </row>
    <row r="276" spans="1:8" ht="36.950000000000003" customHeight="1" x14ac:dyDescent="0.25">
      <c r="A276" s="8" t="s">
        <v>4756</v>
      </c>
      <c r="B276" s="8" t="s">
        <v>4093</v>
      </c>
      <c r="C276" s="8" t="s">
        <v>5241</v>
      </c>
      <c r="D276" s="8" t="s">
        <v>356</v>
      </c>
      <c r="E276" s="8" t="s">
        <v>5251</v>
      </c>
      <c r="F276" s="8" t="s">
        <v>5243</v>
      </c>
      <c r="G276" s="8" t="s">
        <v>5286</v>
      </c>
      <c r="H276" s="8" t="s">
        <v>5252</v>
      </c>
    </row>
    <row r="277" spans="1:8" ht="36.950000000000003" customHeight="1" x14ac:dyDescent="0.25">
      <c r="A277" s="8" t="s">
        <v>4756</v>
      </c>
      <c r="B277" s="8" t="s">
        <v>4094</v>
      </c>
      <c r="C277" s="8" t="s">
        <v>5241</v>
      </c>
      <c r="D277" s="8" t="s">
        <v>356</v>
      </c>
      <c r="E277" s="8" t="s">
        <v>5251</v>
      </c>
      <c r="F277" s="8" t="s">
        <v>5243</v>
      </c>
      <c r="G277" s="8" t="s">
        <v>5286</v>
      </c>
      <c r="H277" s="8" t="s">
        <v>5252</v>
      </c>
    </row>
    <row r="278" spans="1:8" ht="36.950000000000003" customHeight="1" x14ac:dyDescent="0.25">
      <c r="A278" s="8" t="s">
        <v>4756</v>
      </c>
      <c r="B278" s="8" t="s">
        <v>4095</v>
      </c>
      <c r="C278" s="8" t="s">
        <v>5241</v>
      </c>
      <c r="D278" s="8" t="s">
        <v>356</v>
      </c>
      <c r="E278" s="8" t="s">
        <v>5251</v>
      </c>
      <c r="F278" s="8" t="s">
        <v>5243</v>
      </c>
      <c r="G278" s="8" t="s">
        <v>5286</v>
      </c>
      <c r="H278" s="8" t="s">
        <v>5252</v>
      </c>
    </row>
    <row r="279" spans="1:8" ht="36.950000000000003" customHeight="1" x14ac:dyDescent="0.25">
      <c r="A279" s="8" t="s">
        <v>4756</v>
      </c>
      <c r="B279" s="8" t="s">
        <v>238</v>
      </c>
      <c r="C279" s="8" t="s">
        <v>5241</v>
      </c>
      <c r="D279" s="8" t="s">
        <v>5250</v>
      </c>
      <c r="E279" s="8" t="s">
        <v>5270</v>
      </c>
      <c r="F279" s="8" t="s">
        <v>5243</v>
      </c>
      <c r="G279" s="8" t="s">
        <v>5286</v>
      </c>
      <c r="H279" s="8" t="s">
        <v>5252</v>
      </c>
    </row>
    <row r="280" spans="1:8" ht="36.950000000000003" customHeight="1" x14ac:dyDescent="0.25">
      <c r="A280" s="8" t="s">
        <v>4756</v>
      </c>
      <c r="B280" s="8" t="s">
        <v>4096</v>
      </c>
      <c r="C280" s="8" t="s">
        <v>5241</v>
      </c>
      <c r="D280" s="8" t="s">
        <v>356</v>
      </c>
      <c r="E280" s="8" t="s">
        <v>5251</v>
      </c>
      <c r="F280" s="8" t="s">
        <v>5243</v>
      </c>
      <c r="G280" s="8" t="s">
        <v>5286</v>
      </c>
      <c r="H280" s="8" t="s">
        <v>5252</v>
      </c>
    </row>
    <row r="281" spans="1:8" ht="36.950000000000003" customHeight="1" x14ac:dyDescent="0.25">
      <c r="A281" s="8" t="s">
        <v>4756</v>
      </c>
      <c r="B281" s="8" t="s">
        <v>4097</v>
      </c>
      <c r="C281" s="8" t="s">
        <v>5241</v>
      </c>
      <c r="D281" s="8" t="s">
        <v>356</v>
      </c>
      <c r="E281" s="8" t="s">
        <v>5251</v>
      </c>
      <c r="F281" s="8" t="s">
        <v>5243</v>
      </c>
      <c r="G281" s="8" t="s">
        <v>5286</v>
      </c>
      <c r="H281" s="8" t="s">
        <v>5252</v>
      </c>
    </row>
    <row r="282" spans="1:8" ht="36.950000000000003" customHeight="1" x14ac:dyDescent="0.25">
      <c r="A282" s="8" t="s">
        <v>4756</v>
      </c>
      <c r="B282" s="8" t="s">
        <v>4098</v>
      </c>
      <c r="C282" s="8" t="s">
        <v>5246</v>
      </c>
      <c r="D282" s="8" t="s">
        <v>5247</v>
      </c>
      <c r="E282" s="8" t="s">
        <v>5308</v>
      </c>
      <c r="F282" s="8" t="s">
        <v>5243</v>
      </c>
      <c r="G282" s="8" t="s">
        <v>5244</v>
      </c>
      <c r="H282" s="8" t="s">
        <v>5252</v>
      </c>
    </row>
    <row r="283" spans="1:8" ht="36.950000000000003" customHeight="1" x14ac:dyDescent="0.25">
      <c r="A283" s="8" t="s">
        <v>4756</v>
      </c>
      <c r="B283" s="8" t="s">
        <v>4099</v>
      </c>
      <c r="C283" s="8" t="s">
        <v>5241</v>
      </c>
      <c r="D283" s="8" t="s">
        <v>5247</v>
      </c>
      <c r="E283" s="8" t="s">
        <v>5308</v>
      </c>
      <c r="F283" s="8" t="s">
        <v>5243</v>
      </c>
      <c r="G283" s="8" t="s">
        <v>5244</v>
      </c>
      <c r="H283" s="8" t="s">
        <v>5252</v>
      </c>
    </row>
    <row r="284" spans="1:8" ht="36.950000000000003" customHeight="1" x14ac:dyDescent="0.25">
      <c r="A284" s="8" t="s">
        <v>4756</v>
      </c>
      <c r="B284" s="8" t="s">
        <v>4100</v>
      </c>
      <c r="C284" s="8" t="s">
        <v>5241</v>
      </c>
      <c r="D284" s="8" t="s">
        <v>5247</v>
      </c>
      <c r="E284" s="8" t="s">
        <v>5308</v>
      </c>
      <c r="F284" s="8" t="s">
        <v>5243</v>
      </c>
      <c r="G284" s="8" t="s">
        <v>5244</v>
      </c>
      <c r="H284" s="8" t="s">
        <v>5252</v>
      </c>
    </row>
    <row r="285" spans="1:8" ht="36.950000000000003" customHeight="1" x14ac:dyDescent="0.25">
      <c r="A285" s="8" t="s">
        <v>5309</v>
      </c>
      <c r="B285" s="8" t="s">
        <v>5310</v>
      </c>
      <c r="C285" s="8" t="s">
        <v>5311</v>
      </c>
      <c r="D285" s="8" t="s">
        <v>356</v>
      </c>
      <c r="E285" s="8" t="s">
        <v>5312</v>
      </c>
      <c r="F285" s="8" t="s">
        <v>5243</v>
      </c>
      <c r="G285" s="8" t="s">
        <v>5313</v>
      </c>
      <c r="H285" s="8" t="s">
        <v>5245</v>
      </c>
    </row>
    <row r="286" spans="1:8" ht="36.950000000000003" customHeight="1" x14ac:dyDescent="0.25">
      <c r="A286" s="8" t="s">
        <v>5309</v>
      </c>
      <c r="B286" s="8" t="s">
        <v>5314</v>
      </c>
      <c r="C286" s="8" t="s">
        <v>5311</v>
      </c>
      <c r="D286" s="8" t="s">
        <v>356</v>
      </c>
      <c r="E286" s="8" t="s">
        <v>5315</v>
      </c>
      <c r="F286" s="8" t="s">
        <v>5243</v>
      </c>
      <c r="G286" s="8" t="s">
        <v>5313</v>
      </c>
      <c r="H286" s="8" t="s">
        <v>5245</v>
      </c>
    </row>
    <row r="287" spans="1:8" ht="36.950000000000003" customHeight="1" x14ac:dyDescent="0.25">
      <c r="A287" s="8" t="s">
        <v>5309</v>
      </c>
      <c r="B287" s="8" t="s">
        <v>5316</v>
      </c>
      <c r="C287" s="8" t="s">
        <v>5311</v>
      </c>
      <c r="D287" s="8" t="s">
        <v>356</v>
      </c>
      <c r="E287" s="8" t="s">
        <v>5317</v>
      </c>
      <c r="F287" s="8" t="s">
        <v>5243</v>
      </c>
      <c r="G287" s="8" t="s">
        <v>5313</v>
      </c>
      <c r="H287" s="8" t="s">
        <v>5245</v>
      </c>
    </row>
    <row r="288" spans="1:8" ht="36.950000000000003" customHeight="1" x14ac:dyDescent="0.25">
      <c r="A288" s="8" t="s">
        <v>5309</v>
      </c>
      <c r="B288" s="8" t="s">
        <v>238</v>
      </c>
      <c r="C288" s="8" t="s">
        <v>5311</v>
      </c>
      <c r="D288" s="8" t="s">
        <v>5250</v>
      </c>
      <c r="E288" s="8" t="s">
        <v>5270</v>
      </c>
      <c r="F288" s="8" t="s">
        <v>5243</v>
      </c>
      <c r="G288" s="8" t="s">
        <v>5313</v>
      </c>
      <c r="H288" s="8" t="s">
        <v>5245</v>
      </c>
    </row>
    <row r="289" spans="1:8" ht="36.950000000000003" customHeight="1" x14ac:dyDescent="0.25">
      <c r="A289" s="8" t="s">
        <v>5309</v>
      </c>
      <c r="B289" s="8" t="s">
        <v>5318</v>
      </c>
      <c r="C289" s="8" t="s">
        <v>5311</v>
      </c>
      <c r="D289" s="8" t="s">
        <v>356</v>
      </c>
      <c r="E289" s="8" t="s">
        <v>5319</v>
      </c>
      <c r="F289" s="8" t="s">
        <v>5243</v>
      </c>
      <c r="G289" s="8" t="s">
        <v>5313</v>
      </c>
      <c r="H289" s="8" t="s">
        <v>5245</v>
      </c>
    </row>
    <row r="290" spans="1:8" ht="36.950000000000003" customHeight="1" x14ac:dyDescent="0.25">
      <c r="A290" s="8" t="s">
        <v>5309</v>
      </c>
      <c r="B290" s="8" t="s">
        <v>5320</v>
      </c>
      <c r="C290" s="8" t="s">
        <v>5311</v>
      </c>
      <c r="D290" s="8" t="s">
        <v>356</v>
      </c>
      <c r="E290" s="8" t="s">
        <v>5321</v>
      </c>
      <c r="F290" s="8" t="s">
        <v>5243</v>
      </c>
      <c r="G290" s="8" t="s">
        <v>5313</v>
      </c>
      <c r="H290" s="8" t="s">
        <v>5245</v>
      </c>
    </row>
    <row r="291" spans="1:8" ht="36.950000000000003" customHeight="1" x14ac:dyDescent="0.25">
      <c r="A291" s="8" t="s">
        <v>5309</v>
      </c>
      <c r="B291" s="8" t="s">
        <v>5322</v>
      </c>
      <c r="C291" s="8" t="s">
        <v>5311</v>
      </c>
      <c r="D291" s="8" t="s">
        <v>356</v>
      </c>
      <c r="E291" s="8" t="s">
        <v>5323</v>
      </c>
      <c r="F291" s="8" t="s">
        <v>5243</v>
      </c>
      <c r="G291" s="8" t="s">
        <v>5313</v>
      </c>
      <c r="H291" s="8" t="s">
        <v>5245</v>
      </c>
    </row>
    <row r="292" spans="1:8" ht="36.950000000000003" customHeight="1" x14ac:dyDescent="0.25">
      <c r="A292" s="8" t="s">
        <v>5324</v>
      </c>
      <c r="B292" s="8" t="s">
        <v>5325</v>
      </c>
      <c r="C292" s="8" t="s">
        <v>5311</v>
      </c>
      <c r="D292" s="8" t="s">
        <v>356</v>
      </c>
      <c r="E292" s="8" t="s">
        <v>5326</v>
      </c>
      <c r="F292" s="8" t="s">
        <v>5243</v>
      </c>
      <c r="G292" s="8" t="s">
        <v>5313</v>
      </c>
      <c r="H292" s="8" t="s">
        <v>5245</v>
      </c>
    </row>
    <row r="293" spans="1:8" ht="36.950000000000003" customHeight="1" x14ac:dyDescent="0.25">
      <c r="A293" s="8" t="s">
        <v>5324</v>
      </c>
      <c r="B293" s="8" t="s">
        <v>5327</v>
      </c>
      <c r="C293" s="8" t="s">
        <v>5311</v>
      </c>
      <c r="D293" s="8" t="s">
        <v>356</v>
      </c>
      <c r="E293" s="8" t="s">
        <v>5328</v>
      </c>
      <c r="F293" s="8" t="s">
        <v>5243</v>
      </c>
      <c r="G293" s="8" t="s">
        <v>5313</v>
      </c>
      <c r="H293" s="8" t="s">
        <v>5245</v>
      </c>
    </row>
    <row r="294" spans="1:8" ht="36.950000000000003" customHeight="1" x14ac:dyDescent="0.25">
      <c r="A294" s="8" t="s">
        <v>5324</v>
      </c>
      <c r="B294" s="8" t="s">
        <v>5329</v>
      </c>
      <c r="C294" s="8" t="s">
        <v>5311</v>
      </c>
      <c r="D294" s="8" t="s">
        <v>356</v>
      </c>
      <c r="E294" s="8" t="s">
        <v>5330</v>
      </c>
      <c r="F294" s="8" t="s">
        <v>5243</v>
      </c>
      <c r="G294" s="8" t="s">
        <v>5313</v>
      </c>
      <c r="H294" s="8" t="s">
        <v>5245</v>
      </c>
    </row>
    <row r="295" spans="1:8" ht="36.950000000000003" customHeight="1" x14ac:dyDescent="0.25">
      <c r="A295" s="8" t="s">
        <v>5324</v>
      </c>
      <c r="B295" s="8" t="s">
        <v>5331</v>
      </c>
      <c r="C295" s="8" t="s">
        <v>5311</v>
      </c>
      <c r="D295" s="8" t="s">
        <v>356</v>
      </c>
      <c r="E295" s="8" t="s">
        <v>5332</v>
      </c>
      <c r="F295" s="8" t="s">
        <v>5243</v>
      </c>
      <c r="G295" s="8" t="s">
        <v>5313</v>
      </c>
      <c r="H295" s="8" t="s">
        <v>5245</v>
      </c>
    </row>
    <row r="296" spans="1:8" ht="36.950000000000003" customHeight="1" x14ac:dyDescent="0.25">
      <c r="A296" s="8" t="s">
        <v>5324</v>
      </c>
      <c r="B296" s="8" t="s">
        <v>5333</v>
      </c>
      <c r="C296" s="8" t="s">
        <v>5311</v>
      </c>
      <c r="D296" s="8" t="s">
        <v>356</v>
      </c>
      <c r="E296" s="8" t="s">
        <v>5334</v>
      </c>
      <c r="F296" s="8" t="s">
        <v>5243</v>
      </c>
      <c r="G296" s="8" t="s">
        <v>5313</v>
      </c>
      <c r="H296" s="8" t="s">
        <v>5245</v>
      </c>
    </row>
    <row r="297" spans="1:8" ht="36.950000000000003" customHeight="1" x14ac:dyDescent="0.25">
      <c r="A297" s="8" t="s">
        <v>5324</v>
      </c>
      <c r="B297" s="8" t="s">
        <v>5335</v>
      </c>
      <c r="C297" s="8" t="s">
        <v>5311</v>
      </c>
      <c r="D297" s="8" t="s">
        <v>356</v>
      </c>
      <c r="E297" s="8" t="s">
        <v>5336</v>
      </c>
      <c r="F297" s="8" t="s">
        <v>5243</v>
      </c>
      <c r="G297" s="8" t="s">
        <v>5313</v>
      </c>
      <c r="H297" s="8" t="s">
        <v>5245</v>
      </c>
    </row>
    <row r="298" spans="1:8" ht="36.950000000000003" customHeight="1" x14ac:dyDescent="0.25">
      <c r="A298" s="8" t="s">
        <v>5324</v>
      </c>
      <c r="B298" s="8" t="s">
        <v>5337</v>
      </c>
      <c r="C298" s="8" t="s">
        <v>5311</v>
      </c>
      <c r="D298" s="8" t="s">
        <v>356</v>
      </c>
      <c r="E298" s="8" t="s">
        <v>5338</v>
      </c>
      <c r="F298" s="8" t="s">
        <v>5243</v>
      </c>
      <c r="G298" s="8" t="s">
        <v>5313</v>
      </c>
      <c r="H298" s="8" t="s">
        <v>5245</v>
      </c>
    </row>
    <row r="299" spans="1:8" ht="36.950000000000003" customHeight="1" x14ac:dyDescent="0.25">
      <c r="A299" s="8" t="s">
        <v>5324</v>
      </c>
      <c r="B299" s="8" t="s">
        <v>5339</v>
      </c>
      <c r="C299" s="8" t="s">
        <v>5311</v>
      </c>
      <c r="D299" s="8" t="s">
        <v>356</v>
      </c>
      <c r="E299" s="8" t="s">
        <v>5340</v>
      </c>
      <c r="F299" s="8" t="s">
        <v>5243</v>
      </c>
      <c r="G299" s="8" t="s">
        <v>5313</v>
      </c>
      <c r="H299" s="8" t="s">
        <v>5245</v>
      </c>
    </row>
    <row r="300" spans="1:8" ht="36.950000000000003" customHeight="1" x14ac:dyDescent="0.25">
      <c r="A300" s="8" t="s">
        <v>5324</v>
      </c>
      <c r="B300" s="8" t="s">
        <v>5341</v>
      </c>
      <c r="C300" s="8" t="s">
        <v>5311</v>
      </c>
      <c r="D300" s="8" t="s">
        <v>356</v>
      </c>
      <c r="E300" s="8" t="s">
        <v>5342</v>
      </c>
      <c r="F300" s="8" t="s">
        <v>5243</v>
      </c>
      <c r="G300" s="8" t="s">
        <v>5313</v>
      </c>
      <c r="H300" s="8" t="s">
        <v>5245</v>
      </c>
    </row>
    <row r="301" spans="1:8" ht="36.950000000000003" customHeight="1" x14ac:dyDescent="0.25">
      <c r="A301" s="8" t="s">
        <v>5324</v>
      </c>
      <c r="B301" s="8" t="s">
        <v>5343</v>
      </c>
      <c r="C301" s="8" t="s">
        <v>5311</v>
      </c>
      <c r="D301" s="8" t="s">
        <v>356</v>
      </c>
      <c r="E301" s="8" t="s">
        <v>5344</v>
      </c>
      <c r="F301" s="8" t="s">
        <v>5243</v>
      </c>
      <c r="G301" s="8" t="s">
        <v>5313</v>
      </c>
      <c r="H301" s="8" t="s">
        <v>5245</v>
      </c>
    </row>
    <row r="302" spans="1:8" ht="36.950000000000003" customHeight="1" x14ac:dyDescent="0.25">
      <c r="A302" s="8" t="s">
        <v>5324</v>
      </c>
      <c r="B302" s="8" t="s">
        <v>1674</v>
      </c>
      <c r="C302" s="8" t="s">
        <v>5311</v>
      </c>
      <c r="D302" s="8" t="s">
        <v>356</v>
      </c>
      <c r="E302" s="8" t="s">
        <v>5345</v>
      </c>
      <c r="F302" s="8" t="s">
        <v>5243</v>
      </c>
      <c r="G302" s="8" t="s">
        <v>5313</v>
      </c>
      <c r="H302" s="8" t="s">
        <v>5245</v>
      </c>
    </row>
    <row r="303" spans="1:8" ht="36.950000000000003" customHeight="1" x14ac:dyDescent="0.25">
      <c r="A303" s="8" t="s">
        <v>5346</v>
      </c>
      <c r="B303" s="8" t="s">
        <v>4522</v>
      </c>
      <c r="C303" s="8" t="s">
        <v>5241</v>
      </c>
      <c r="D303" s="8" t="s">
        <v>356</v>
      </c>
      <c r="E303" s="8" t="s">
        <v>5251</v>
      </c>
      <c r="F303" s="8" t="s">
        <v>5243</v>
      </c>
      <c r="G303" s="8" t="s">
        <v>5286</v>
      </c>
      <c r="H303" s="8" t="s">
        <v>5245</v>
      </c>
    </row>
    <row r="304" spans="1:8" ht="36.950000000000003" customHeight="1" x14ac:dyDescent="0.25">
      <c r="A304" s="8" t="s">
        <v>5346</v>
      </c>
      <c r="B304" s="8" t="s">
        <v>4523</v>
      </c>
      <c r="C304" s="8" t="s">
        <v>5241</v>
      </c>
      <c r="D304" s="8" t="s">
        <v>356</v>
      </c>
      <c r="E304" s="8" t="s">
        <v>5251</v>
      </c>
      <c r="F304" s="8" t="s">
        <v>5243</v>
      </c>
      <c r="G304" s="8" t="s">
        <v>5286</v>
      </c>
      <c r="H304" s="8" t="s">
        <v>5245</v>
      </c>
    </row>
    <row r="305" spans="1:8" ht="36.950000000000003" customHeight="1" x14ac:dyDescent="0.25">
      <c r="A305" s="8" t="s">
        <v>5346</v>
      </c>
      <c r="B305" s="8" t="s">
        <v>50</v>
      </c>
      <c r="C305" s="8" t="s">
        <v>5241</v>
      </c>
      <c r="D305" s="8" t="s">
        <v>356</v>
      </c>
      <c r="E305" s="8" t="s">
        <v>5251</v>
      </c>
      <c r="F305" s="8" t="s">
        <v>5243</v>
      </c>
      <c r="G305" s="8" t="s">
        <v>5286</v>
      </c>
      <c r="H305" s="8" t="s">
        <v>5245</v>
      </c>
    </row>
    <row r="306" spans="1:8" ht="36.950000000000003" customHeight="1" x14ac:dyDescent="0.25">
      <c r="A306" s="8" t="s">
        <v>5346</v>
      </c>
      <c r="B306" s="8" t="s">
        <v>326</v>
      </c>
      <c r="C306" s="8" t="s">
        <v>5241</v>
      </c>
      <c r="D306" s="8" t="s">
        <v>5250</v>
      </c>
      <c r="E306" s="8" t="s">
        <v>5258</v>
      </c>
      <c r="F306" s="8" t="s">
        <v>5243</v>
      </c>
      <c r="G306" s="8" t="s">
        <v>5286</v>
      </c>
      <c r="H306" s="8" t="s">
        <v>5245</v>
      </c>
    </row>
    <row r="307" spans="1:8" ht="36.950000000000003" customHeight="1" x14ac:dyDescent="0.25">
      <c r="A307" s="8" t="s">
        <v>5346</v>
      </c>
      <c r="B307" s="8" t="s">
        <v>236</v>
      </c>
      <c r="C307" s="8" t="s">
        <v>5241</v>
      </c>
      <c r="D307" s="8" t="s">
        <v>356</v>
      </c>
      <c r="E307" s="8" t="s">
        <v>5251</v>
      </c>
      <c r="F307" s="8" t="s">
        <v>5243</v>
      </c>
      <c r="G307" s="8" t="s">
        <v>5286</v>
      </c>
      <c r="H307" s="8" t="s">
        <v>5245</v>
      </c>
    </row>
    <row r="308" spans="1:8" ht="36.950000000000003" customHeight="1" x14ac:dyDescent="0.25">
      <c r="A308" s="8" t="s">
        <v>5346</v>
      </c>
      <c r="B308" s="8" t="s">
        <v>4524</v>
      </c>
      <c r="C308" s="8" t="s">
        <v>5241</v>
      </c>
      <c r="D308" s="8" t="s">
        <v>356</v>
      </c>
      <c r="E308" s="8" t="s">
        <v>5251</v>
      </c>
      <c r="F308" s="8" t="s">
        <v>5243</v>
      </c>
      <c r="G308" s="8" t="s">
        <v>5286</v>
      </c>
      <c r="H308" s="8" t="s">
        <v>5245</v>
      </c>
    </row>
    <row r="309" spans="1:8" ht="36.950000000000003" customHeight="1" x14ac:dyDescent="0.25">
      <c r="A309" s="8" t="s">
        <v>5346</v>
      </c>
      <c r="B309" s="8" t="s">
        <v>4525</v>
      </c>
      <c r="C309" s="8" t="s">
        <v>5241</v>
      </c>
      <c r="D309" s="8" t="s">
        <v>5247</v>
      </c>
      <c r="E309" s="8" t="s">
        <v>5251</v>
      </c>
      <c r="F309" s="8" t="s">
        <v>5243</v>
      </c>
      <c r="G309" s="8" t="s">
        <v>5286</v>
      </c>
      <c r="H309" s="8" t="s">
        <v>5245</v>
      </c>
    </row>
    <row r="310" spans="1:8" ht="36.950000000000003" customHeight="1" x14ac:dyDescent="0.25">
      <c r="A310" s="8" t="s">
        <v>5346</v>
      </c>
      <c r="B310" s="8" t="s">
        <v>4526</v>
      </c>
      <c r="C310" s="8" t="s">
        <v>5241</v>
      </c>
      <c r="D310" s="8" t="s">
        <v>356</v>
      </c>
      <c r="E310" s="8" t="s">
        <v>5251</v>
      </c>
      <c r="F310" s="8" t="s">
        <v>5243</v>
      </c>
      <c r="G310" s="8" t="s">
        <v>5286</v>
      </c>
      <c r="H310" s="8" t="s">
        <v>5245</v>
      </c>
    </row>
    <row r="311" spans="1:8" ht="36.950000000000003" customHeight="1" x14ac:dyDescent="0.25">
      <c r="A311" s="8" t="s">
        <v>5347</v>
      </c>
      <c r="B311" s="8" t="s">
        <v>4777</v>
      </c>
      <c r="C311" s="8" t="s">
        <v>5241</v>
      </c>
      <c r="D311" s="8" t="s">
        <v>5250</v>
      </c>
      <c r="E311" s="8" t="s">
        <v>5251</v>
      </c>
      <c r="F311" s="8" t="s">
        <v>5243</v>
      </c>
      <c r="G311" s="8" t="s">
        <v>5286</v>
      </c>
      <c r="H311" s="8" t="s">
        <v>5252</v>
      </c>
    </row>
    <row r="312" spans="1:8" ht="36.950000000000003" customHeight="1" x14ac:dyDescent="0.25">
      <c r="A312" s="8" t="s">
        <v>5347</v>
      </c>
      <c r="B312" s="8" t="s">
        <v>4778</v>
      </c>
      <c r="C312" s="8" t="s">
        <v>5254</v>
      </c>
      <c r="D312" s="8" t="s">
        <v>5250</v>
      </c>
      <c r="E312" s="8" t="s">
        <v>5251</v>
      </c>
      <c r="F312" s="8" t="s">
        <v>5243</v>
      </c>
      <c r="G312" s="8" t="s">
        <v>5286</v>
      </c>
      <c r="H312" s="8" t="s">
        <v>5252</v>
      </c>
    </row>
    <row r="313" spans="1:8" ht="36.950000000000003" customHeight="1" x14ac:dyDescent="0.25">
      <c r="A313" s="8" t="s">
        <v>5347</v>
      </c>
      <c r="B313" s="8" t="s">
        <v>4779</v>
      </c>
      <c r="C313" s="8" t="s">
        <v>5241</v>
      </c>
      <c r="D313" s="8" t="s">
        <v>356</v>
      </c>
      <c r="E313" s="8" t="s">
        <v>5251</v>
      </c>
      <c r="F313" s="8" t="s">
        <v>5243</v>
      </c>
      <c r="G313" s="8" t="s">
        <v>5286</v>
      </c>
      <c r="H313" s="8" t="s">
        <v>5252</v>
      </c>
    </row>
    <row r="314" spans="1:8" ht="36.950000000000003" customHeight="1" x14ac:dyDescent="0.25">
      <c r="A314" s="8" t="s">
        <v>5347</v>
      </c>
      <c r="B314" s="8" t="s">
        <v>4780</v>
      </c>
      <c r="C314" s="8" t="s">
        <v>5241</v>
      </c>
      <c r="D314" s="8" t="s">
        <v>356</v>
      </c>
      <c r="E314" s="8" t="s">
        <v>5251</v>
      </c>
      <c r="F314" s="8" t="s">
        <v>5243</v>
      </c>
      <c r="G314" s="8" t="s">
        <v>5286</v>
      </c>
      <c r="H314" s="8" t="s">
        <v>5252</v>
      </c>
    </row>
    <row r="315" spans="1:8" ht="36.950000000000003" customHeight="1" x14ac:dyDescent="0.25">
      <c r="A315" s="8" t="s">
        <v>5347</v>
      </c>
      <c r="B315" s="8" t="s">
        <v>4781</v>
      </c>
      <c r="C315" s="8" t="s">
        <v>5241</v>
      </c>
      <c r="D315" s="8" t="s">
        <v>356</v>
      </c>
      <c r="E315" s="8" t="s">
        <v>5251</v>
      </c>
      <c r="F315" s="8" t="s">
        <v>5243</v>
      </c>
      <c r="G315" s="8" t="s">
        <v>5286</v>
      </c>
      <c r="H315" s="8" t="s">
        <v>5252</v>
      </c>
    </row>
    <row r="316" spans="1:8" ht="36.950000000000003" customHeight="1" x14ac:dyDescent="0.25">
      <c r="A316" s="8" t="s">
        <v>5347</v>
      </c>
      <c r="B316" s="8" t="s">
        <v>238</v>
      </c>
      <c r="C316" s="8" t="s">
        <v>5241</v>
      </c>
      <c r="D316" s="8" t="s">
        <v>5250</v>
      </c>
      <c r="E316" s="8" t="s">
        <v>5270</v>
      </c>
      <c r="F316" s="8" t="s">
        <v>5243</v>
      </c>
      <c r="G316" s="8" t="s">
        <v>5286</v>
      </c>
      <c r="H316" s="8" t="s">
        <v>5252</v>
      </c>
    </row>
    <row r="317" spans="1:8" ht="36.950000000000003" customHeight="1" x14ac:dyDescent="0.25">
      <c r="A317" s="8" t="s">
        <v>4775</v>
      </c>
      <c r="B317" s="8" t="s">
        <v>4308</v>
      </c>
      <c r="C317" s="8" t="s">
        <v>5311</v>
      </c>
      <c r="D317" s="8" t="s">
        <v>356</v>
      </c>
      <c r="E317" s="8" t="s">
        <v>5348</v>
      </c>
      <c r="F317" s="8" t="s">
        <v>5243</v>
      </c>
      <c r="G317" s="8" t="s">
        <v>5349</v>
      </c>
      <c r="H317" s="8" t="s">
        <v>5245</v>
      </c>
    </row>
    <row r="318" spans="1:8" ht="36.950000000000003" customHeight="1" x14ac:dyDescent="0.25">
      <c r="A318" s="8" t="s">
        <v>4775</v>
      </c>
      <c r="B318" s="8" t="s">
        <v>4309</v>
      </c>
      <c r="C318" s="8" t="s">
        <v>5311</v>
      </c>
      <c r="D318" s="8" t="s">
        <v>356</v>
      </c>
      <c r="E318" s="8" t="s">
        <v>5350</v>
      </c>
      <c r="F318" s="8" t="s">
        <v>5243</v>
      </c>
      <c r="G318" s="8" t="s">
        <v>5349</v>
      </c>
      <c r="H318" s="8" t="s">
        <v>5245</v>
      </c>
    </row>
    <row r="319" spans="1:8" ht="36.950000000000003" customHeight="1" x14ac:dyDescent="0.25">
      <c r="A319" s="8" t="s">
        <v>4775</v>
      </c>
      <c r="B319" s="8" t="s">
        <v>326</v>
      </c>
      <c r="C319" s="8" t="s">
        <v>5311</v>
      </c>
      <c r="D319" s="8" t="s">
        <v>5250</v>
      </c>
      <c r="E319" s="8" t="s">
        <v>5351</v>
      </c>
      <c r="F319" s="8" t="s">
        <v>5243</v>
      </c>
      <c r="G319" s="8" t="s">
        <v>5349</v>
      </c>
      <c r="H319" s="8" t="s">
        <v>5245</v>
      </c>
    </row>
    <row r="320" spans="1:8" ht="36.950000000000003" customHeight="1" x14ac:dyDescent="0.25">
      <c r="A320" s="8" t="s">
        <v>4775</v>
      </c>
      <c r="B320" s="8" t="s">
        <v>4310</v>
      </c>
      <c r="C320" s="8" t="s">
        <v>5311</v>
      </c>
      <c r="D320" s="8" t="s">
        <v>356</v>
      </c>
      <c r="E320" s="8" t="s">
        <v>5352</v>
      </c>
      <c r="F320" s="8" t="s">
        <v>5243</v>
      </c>
      <c r="G320" s="8" t="s">
        <v>5349</v>
      </c>
      <c r="H320" s="8" t="s">
        <v>5245</v>
      </c>
    </row>
    <row r="321" spans="1:8" ht="36.950000000000003" customHeight="1" x14ac:dyDescent="0.25">
      <c r="A321" s="8" t="s">
        <v>4775</v>
      </c>
      <c r="B321" s="8" t="s">
        <v>4311</v>
      </c>
      <c r="C321" s="8" t="s">
        <v>5311</v>
      </c>
      <c r="D321" s="8" t="s">
        <v>356</v>
      </c>
      <c r="E321" s="8" t="s">
        <v>5353</v>
      </c>
      <c r="F321" s="8" t="s">
        <v>5243</v>
      </c>
      <c r="G321" s="8" t="s">
        <v>5349</v>
      </c>
      <c r="H321" s="8" t="s">
        <v>5245</v>
      </c>
    </row>
    <row r="322" spans="1:8" ht="36.950000000000003" customHeight="1" x14ac:dyDescent="0.25">
      <c r="A322" s="8" t="s">
        <v>4775</v>
      </c>
      <c r="B322" s="8" t="s">
        <v>4312</v>
      </c>
      <c r="C322" s="8" t="s">
        <v>5311</v>
      </c>
      <c r="D322" s="8" t="s">
        <v>356</v>
      </c>
      <c r="E322" s="8" t="s">
        <v>5354</v>
      </c>
      <c r="F322" s="8" t="s">
        <v>5243</v>
      </c>
      <c r="G322" s="8" t="s">
        <v>5349</v>
      </c>
      <c r="H322" s="8" t="s">
        <v>5245</v>
      </c>
    </row>
    <row r="323" spans="1:8" ht="36.950000000000003" customHeight="1" x14ac:dyDescent="0.25">
      <c r="A323" s="8" t="s">
        <v>4775</v>
      </c>
      <c r="B323" s="8" t="s">
        <v>238</v>
      </c>
      <c r="C323" s="8" t="s">
        <v>5311</v>
      </c>
      <c r="D323" s="8" t="s">
        <v>5250</v>
      </c>
      <c r="E323" s="8" t="s">
        <v>5270</v>
      </c>
      <c r="F323" s="8" t="s">
        <v>5243</v>
      </c>
      <c r="G323" s="8" t="s">
        <v>5349</v>
      </c>
      <c r="H323" s="8" t="s">
        <v>5245</v>
      </c>
    </row>
    <row r="324" spans="1:8" ht="36.950000000000003" customHeight="1" x14ac:dyDescent="0.25">
      <c r="A324" s="8" t="s">
        <v>4775</v>
      </c>
      <c r="B324" s="8" t="s">
        <v>340</v>
      </c>
      <c r="C324" s="8" t="s">
        <v>5311</v>
      </c>
      <c r="D324" s="8" t="s">
        <v>5247</v>
      </c>
      <c r="E324" s="8" t="s">
        <v>5273</v>
      </c>
      <c r="F324" s="8" t="s">
        <v>5243</v>
      </c>
      <c r="G324" s="8" t="s">
        <v>5349</v>
      </c>
      <c r="H324" s="8" t="s">
        <v>5245</v>
      </c>
    </row>
    <row r="325" spans="1:8" ht="36.950000000000003" customHeight="1" x14ac:dyDescent="0.25">
      <c r="A325" s="8" t="s">
        <v>4775</v>
      </c>
      <c r="B325" s="8" t="s">
        <v>4221</v>
      </c>
      <c r="C325" s="8" t="s">
        <v>5311</v>
      </c>
      <c r="D325" s="8" t="s">
        <v>356</v>
      </c>
      <c r="E325" s="8" t="s">
        <v>5355</v>
      </c>
      <c r="F325" s="8" t="s">
        <v>5243</v>
      </c>
      <c r="G325" s="8" t="s">
        <v>5349</v>
      </c>
      <c r="H325" s="8" t="s">
        <v>5245</v>
      </c>
    </row>
    <row r="326" spans="1:8" ht="36.950000000000003" customHeight="1" x14ac:dyDescent="0.25">
      <c r="A326" s="8" t="s">
        <v>4775</v>
      </c>
      <c r="B326" s="8" t="s">
        <v>3260</v>
      </c>
      <c r="C326" s="8" t="s">
        <v>5311</v>
      </c>
      <c r="D326" s="8" t="s">
        <v>356</v>
      </c>
      <c r="E326" s="8" t="s">
        <v>5294</v>
      </c>
      <c r="F326" s="8" t="s">
        <v>5243</v>
      </c>
      <c r="G326" s="8" t="s">
        <v>5349</v>
      </c>
      <c r="H326" s="8" t="s">
        <v>5245</v>
      </c>
    </row>
    <row r="327" spans="1:8" ht="36.950000000000003" customHeight="1" x14ac:dyDescent="0.25">
      <c r="A327" s="8" t="s">
        <v>5356</v>
      </c>
      <c r="B327" s="8" t="s">
        <v>5120</v>
      </c>
      <c r="C327" s="8" t="s">
        <v>5241</v>
      </c>
      <c r="D327" s="8" t="s">
        <v>356</v>
      </c>
      <c r="E327" s="8" t="s">
        <v>5251</v>
      </c>
      <c r="F327" s="8" t="s">
        <v>5243</v>
      </c>
      <c r="G327" s="8" t="s">
        <v>5244</v>
      </c>
      <c r="H327" s="8" t="s">
        <v>5252</v>
      </c>
    </row>
    <row r="328" spans="1:8" ht="36.950000000000003" customHeight="1" x14ac:dyDescent="0.25">
      <c r="A328" s="8" t="s">
        <v>5356</v>
      </c>
      <c r="B328" s="8" t="s">
        <v>5121</v>
      </c>
      <c r="C328" s="8" t="s">
        <v>5241</v>
      </c>
      <c r="D328" s="8" t="s">
        <v>356</v>
      </c>
      <c r="E328" s="8" t="s">
        <v>5251</v>
      </c>
      <c r="F328" s="8" t="s">
        <v>5243</v>
      </c>
      <c r="G328" s="8" t="s">
        <v>5244</v>
      </c>
      <c r="H328" s="8" t="s">
        <v>5252</v>
      </c>
    </row>
    <row r="329" spans="1:8" ht="36.950000000000003" customHeight="1" x14ac:dyDescent="0.25">
      <c r="A329" s="8" t="s">
        <v>5356</v>
      </c>
      <c r="B329" s="8" t="s">
        <v>4311</v>
      </c>
      <c r="C329" s="8" t="s">
        <v>5241</v>
      </c>
      <c r="D329" s="8" t="s">
        <v>356</v>
      </c>
      <c r="E329" s="8" t="s">
        <v>5251</v>
      </c>
      <c r="F329" s="8" t="s">
        <v>5243</v>
      </c>
      <c r="G329" s="8" t="s">
        <v>5244</v>
      </c>
      <c r="H329" s="8" t="s">
        <v>5252</v>
      </c>
    </row>
    <row r="330" spans="1:8" ht="36.950000000000003" customHeight="1" x14ac:dyDescent="0.25">
      <c r="A330" s="8" t="s">
        <v>4761</v>
      </c>
      <c r="B330" s="8" t="s">
        <v>5148</v>
      </c>
      <c r="C330" s="8" t="s">
        <v>5241</v>
      </c>
      <c r="D330" s="8" t="s">
        <v>5250</v>
      </c>
      <c r="E330" s="8" t="s">
        <v>5251</v>
      </c>
      <c r="F330" s="8" t="s">
        <v>5243</v>
      </c>
      <c r="G330" s="8" t="s">
        <v>5286</v>
      </c>
      <c r="H330" s="8" t="s">
        <v>5252</v>
      </c>
    </row>
    <row r="331" spans="1:8" ht="36.950000000000003" customHeight="1" x14ac:dyDescent="0.25">
      <c r="A331" s="8" t="s">
        <v>4761</v>
      </c>
      <c r="B331" s="8" t="s">
        <v>4778</v>
      </c>
      <c r="C331" s="8" t="s">
        <v>5254</v>
      </c>
      <c r="D331" s="8" t="s">
        <v>5250</v>
      </c>
      <c r="E331" s="8" t="s">
        <v>5251</v>
      </c>
      <c r="F331" s="8" t="s">
        <v>5243</v>
      </c>
      <c r="G331" s="8" t="s">
        <v>5286</v>
      </c>
      <c r="H331" s="8" t="s">
        <v>5252</v>
      </c>
    </row>
    <row r="332" spans="1:8" ht="36.950000000000003" customHeight="1" x14ac:dyDescent="0.25">
      <c r="A332" s="8" t="s">
        <v>4761</v>
      </c>
      <c r="B332" s="8" t="s">
        <v>5149</v>
      </c>
      <c r="C332" s="8" t="s">
        <v>5241</v>
      </c>
      <c r="D332" s="8" t="s">
        <v>356</v>
      </c>
      <c r="E332" s="8" t="s">
        <v>5251</v>
      </c>
      <c r="F332" s="8" t="s">
        <v>5243</v>
      </c>
      <c r="G332" s="8" t="s">
        <v>5286</v>
      </c>
      <c r="H332" s="8" t="s">
        <v>5252</v>
      </c>
    </row>
    <row r="333" spans="1:8" ht="36.950000000000003" customHeight="1" x14ac:dyDescent="0.25">
      <c r="A333" s="8" t="s">
        <v>4751</v>
      </c>
      <c r="B333" s="8" t="s">
        <v>5196</v>
      </c>
      <c r="C333" s="8" t="s">
        <v>5241</v>
      </c>
      <c r="D333" s="8" t="s">
        <v>356</v>
      </c>
      <c r="E333" s="8" t="s">
        <v>5251</v>
      </c>
      <c r="F333" s="8" t="s">
        <v>5243</v>
      </c>
      <c r="G333" s="8" t="s">
        <v>5244</v>
      </c>
      <c r="H333" s="8" t="s">
        <v>5252</v>
      </c>
    </row>
    <row r="334" spans="1:8" ht="36.950000000000003" customHeight="1" x14ac:dyDescent="0.25">
      <c r="A334" s="8" t="s">
        <v>4751</v>
      </c>
      <c r="B334" s="8" t="s">
        <v>5197</v>
      </c>
      <c r="C334" s="8" t="s">
        <v>5241</v>
      </c>
      <c r="D334" s="8" t="s">
        <v>356</v>
      </c>
      <c r="E334" s="8" t="s">
        <v>5251</v>
      </c>
      <c r="F334" s="8" t="s">
        <v>5243</v>
      </c>
      <c r="G334" s="8" t="s">
        <v>5244</v>
      </c>
      <c r="H334" s="8" t="s">
        <v>5252</v>
      </c>
    </row>
    <row r="335" spans="1:8" ht="36.950000000000003" customHeight="1" x14ac:dyDescent="0.25">
      <c r="A335" s="8" t="s">
        <v>4751</v>
      </c>
      <c r="B335" s="8" t="s">
        <v>5198</v>
      </c>
      <c r="C335" s="8" t="s">
        <v>5263</v>
      </c>
      <c r="D335" s="8" t="s">
        <v>356</v>
      </c>
      <c r="E335" s="8" t="s">
        <v>5251</v>
      </c>
      <c r="F335" s="8" t="s">
        <v>5243</v>
      </c>
      <c r="G335" s="8" t="s">
        <v>5244</v>
      </c>
      <c r="H335" s="8" t="s">
        <v>5252</v>
      </c>
    </row>
    <row r="336" spans="1:8" ht="36.950000000000003" customHeight="1" x14ac:dyDescent="0.25">
      <c r="A336" s="8" t="s">
        <v>4751</v>
      </c>
      <c r="B336" s="8" t="s">
        <v>5199</v>
      </c>
      <c r="C336" s="8" t="s">
        <v>5241</v>
      </c>
      <c r="D336" s="8" t="s">
        <v>356</v>
      </c>
      <c r="E336" s="8" t="s">
        <v>5251</v>
      </c>
      <c r="F336" s="8" t="s">
        <v>5243</v>
      </c>
      <c r="G336" s="8" t="s">
        <v>5244</v>
      </c>
      <c r="H336" s="8" t="s">
        <v>5252</v>
      </c>
    </row>
    <row r="337" spans="1:8" ht="36.950000000000003" customHeight="1" x14ac:dyDescent="0.25">
      <c r="A337" s="8" t="s">
        <v>5357</v>
      </c>
      <c r="B337" s="8" t="s">
        <v>5233</v>
      </c>
      <c r="C337" s="8" t="s">
        <v>5241</v>
      </c>
      <c r="D337" s="8" t="s">
        <v>356</v>
      </c>
      <c r="E337" s="8" t="s">
        <v>5251</v>
      </c>
      <c r="F337" s="8" t="s">
        <v>5243</v>
      </c>
      <c r="G337" s="8" t="s">
        <v>5286</v>
      </c>
      <c r="H337" s="8" t="s">
        <v>5252</v>
      </c>
    </row>
    <row r="338" spans="1:8" ht="36.950000000000003" customHeight="1" x14ac:dyDescent="0.25">
      <c r="A338" s="8" t="s">
        <v>5357</v>
      </c>
      <c r="B338" s="8" t="s">
        <v>5234</v>
      </c>
      <c r="C338" s="8" t="s">
        <v>5241</v>
      </c>
      <c r="D338" s="8" t="s">
        <v>356</v>
      </c>
      <c r="E338" s="8" t="s">
        <v>5251</v>
      </c>
      <c r="F338" s="8" t="s">
        <v>5243</v>
      </c>
      <c r="G338" s="8" t="s">
        <v>5286</v>
      </c>
      <c r="H338" s="8" t="s">
        <v>5252</v>
      </c>
    </row>
    <row r="339" spans="1:8" ht="36.950000000000003" customHeight="1" x14ac:dyDescent="0.25">
      <c r="A339" s="8" t="s">
        <v>5357</v>
      </c>
      <c r="B339" s="8" t="s">
        <v>5235</v>
      </c>
      <c r="C339" s="8" t="s">
        <v>5241</v>
      </c>
      <c r="D339" s="8" t="s">
        <v>356</v>
      </c>
      <c r="E339" s="8" t="s">
        <v>5251</v>
      </c>
      <c r="F339" s="8" t="s">
        <v>5243</v>
      </c>
      <c r="G339" s="8" t="s">
        <v>5286</v>
      </c>
      <c r="H339" s="8" t="s">
        <v>5252</v>
      </c>
    </row>
    <row r="340" spans="1:8" ht="36.950000000000003" customHeight="1" x14ac:dyDescent="0.25">
      <c r="A340" s="8" t="s">
        <v>5357</v>
      </c>
      <c r="B340" s="8" t="s">
        <v>5149</v>
      </c>
      <c r="C340" s="8" t="s">
        <v>5241</v>
      </c>
      <c r="D340" s="8" t="s">
        <v>356</v>
      </c>
      <c r="E340" s="8" t="s">
        <v>5251</v>
      </c>
      <c r="F340" s="8" t="s">
        <v>5243</v>
      </c>
      <c r="G340" s="8" t="s">
        <v>5286</v>
      </c>
      <c r="H340" s="8" t="s">
        <v>5252</v>
      </c>
    </row>
    <row r="341" spans="1:8" ht="36.950000000000003" customHeight="1" x14ac:dyDescent="0.25">
      <c r="A341" s="8" t="s">
        <v>5357</v>
      </c>
      <c r="B341" s="8" t="s">
        <v>5358</v>
      </c>
      <c r="C341" s="8" t="s">
        <v>5241</v>
      </c>
      <c r="D341" s="8" t="s">
        <v>356</v>
      </c>
      <c r="E341" s="8" t="s">
        <v>5251</v>
      </c>
      <c r="F341" s="8" t="s">
        <v>5243</v>
      </c>
      <c r="G341" s="8" t="s">
        <v>5286</v>
      </c>
      <c r="H341" s="8" t="s">
        <v>5252</v>
      </c>
    </row>
    <row r="342" spans="1:8" ht="36.950000000000003" customHeight="1" x14ac:dyDescent="0.25">
      <c r="A342" s="8" t="s">
        <v>5357</v>
      </c>
      <c r="B342" s="8" t="s">
        <v>5359</v>
      </c>
      <c r="C342" s="8" t="s">
        <v>5241</v>
      </c>
      <c r="D342" s="8" t="s">
        <v>356</v>
      </c>
      <c r="E342" s="8" t="s">
        <v>5251</v>
      </c>
      <c r="F342" s="8" t="s">
        <v>5243</v>
      </c>
      <c r="G342" s="8" t="s">
        <v>5286</v>
      </c>
      <c r="H342" s="8" t="s">
        <v>5252</v>
      </c>
    </row>
    <row r="343" spans="1:8" ht="36.950000000000003" customHeight="1" x14ac:dyDescent="0.25">
      <c r="A343" s="8" t="s">
        <v>5357</v>
      </c>
      <c r="B343" s="8" t="s">
        <v>5360</v>
      </c>
      <c r="C343" s="8" t="s">
        <v>5241</v>
      </c>
      <c r="D343" s="8" t="s">
        <v>356</v>
      </c>
      <c r="E343" s="8" t="s">
        <v>5251</v>
      </c>
      <c r="F343" s="8" t="s">
        <v>5243</v>
      </c>
      <c r="G343" s="8" t="s">
        <v>5286</v>
      </c>
      <c r="H343" s="8" t="s">
        <v>5252</v>
      </c>
    </row>
    <row r="344" spans="1:8" ht="36.950000000000003" customHeight="1" x14ac:dyDescent="0.25">
      <c r="A344" s="8" t="s">
        <v>5361</v>
      </c>
      <c r="B344" s="8" t="s">
        <v>338</v>
      </c>
      <c r="C344" s="8" t="s">
        <v>5311</v>
      </c>
      <c r="D344" s="8" t="s">
        <v>356</v>
      </c>
      <c r="E344" s="8" t="s">
        <v>5362</v>
      </c>
      <c r="F344" s="8" t="s">
        <v>5243</v>
      </c>
      <c r="G344" s="8" t="s">
        <v>5349</v>
      </c>
      <c r="H344" s="8" t="s">
        <v>5245</v>
      </c>
    </row>
    <row r="345" spans="1:8" ht="36.950000000000003" customHeight="1" x14ac:dyDescent="0.25">
      <c r="A345" s="8" t="s">
        <v>5361</v>
      </c>
      <c r="B345" s="8" t="s">
        <v>5363</v>
      </c>
      <c r="C345" s="8" t="s">
        <v>5311</v>
      </c>
      <c r="D345" s="8" t="s">
        <v>356</v>
      </c>
      <c r="E345" s="8" t="s">
        <v>5364</v>
      </c>
      <c r="F345" s="8" t="s">
        <v>5243</v>
      </c>
      <c r="G345" s="8" t="s">
        <v>5349</v>
      </c>
      <c r="H345" s="8" t="s">
        <v>5245</v>
      </c>
    </row>
    <row r="346" spans="1:8" ht="36.950000000000003" customHeight="1" x14ac:dyDescent="0.25">
      <c r="A346" s="8" t="s">
        <v>5361</v>
      </c>
      <c r="B346" s="8" t="s">
        <v>5365</v>
      </c>
      <c r="C346" s="8" t="s">
        <v>5311</v>
      </c>
      <c r="D346" s="8" t="s">
        <v>356</v>
      </c>
      <c r="E346" s="8" t="s">
        <v>5366</v>
      </c>
      <c r="F346" s="8" t="s">
        <v>5243</v>
      </c>
      <c r="G346" s="8" t="s">
        <v>5349</v>
      </c>
      <c r="H346" s="8" t="s">
        <v>5245</v>
      </c>
    </row>
    <row r="347" spans="1:8" ht="36.950000000000003" customHeight="1" x14ac:dyDescent="0.25">
      <c r="A347" s="8" t="s">
        <v>5361</v>
      </c>
      <c r="B347" s="8" t="s">
        <v>5367</v>
      </c>
      <c r="C347" s="8" t="s">
        <v>5311</v>
      </c>
      <c r="D347" s="8" t="s">
        <v>5247</v>
      </c>
      <c r="E347" s="8" t="s">
        <v>5368</v>
      </c>
      <c r="F347" s="8" t="s">
        <v>5243</v>
      </c>
      <c r="G347" s="8" t="s">
        <v>5349</v>
      </c>
      <c r="H347" s="8" t="s">
        <v>5245</v>
      </c>
    </row>
    <row r="348" spans="1:8" ht="36.950000000000003" customHeight="1" x14ac:dyDescent="0.25">
      <c r="A348" s="8" t="s">
        <v>5361</v>
      </c>
      <c r="B348" s="8" t="s">
        <v>5369</v>
      </c>
      <c r="C348" s="8" t="s">
        <v>5311</v>
      </c>
      <c r="D348" s="8" t="s">
        <v>5247</v>
      </c>
      <c r="E348" s="8" t="s">
        <v>5370</v>
      </c>
      <c r="F348" s="8" t="s">
        <v>5243</v>
      </c>
      <c r="G348" s="8" t="s">
        <v>5349</v>
      </c>
      <c r="H348" s="8" t="s">
        <v>5245</v>
      </c>
    </row>
    <row r="349" spans="1:8" ht="36.950000000000003" customHeight="1" x14ac:dyDescent="0.25">
      <c r="A349" s="8" t="s">
        <v>5361</v>
      </c>
      <c r="B349" s="8" t="s">
        <v>5371</v>
      </c>
      <c r="C349" s="8" t="s">
        <v>5311</v>
      </c>
      <c r="D349" s="8" t="s">
        <v>5247</v>
      </c>
      <c r="E349" s="8" t="s">
        <v>5372</v>
      </c>
      <c r="F349" s="8" t="s">
        <v>5243</v>
      </c>
      <c r="G349" s="8" t="s">
        <v>5349</v>
      </c>
      <c r="H349" s="8" t="s">
        <v>5245</v>
      </c>
    </row>
    <row r="350" spans="1:8" ht="36.950000000000003" customHeight="1" x14ac:dyDescent="0.25">
      <c r="A350" s="8" t="s">
        <v>5361</v>
      </c>
      <c r="B350" s="8" t="s">
        <v>5373</v>
      </c>
      <c r="C350" s="8" t="s">
        <v>5311</v>
      </c>
      <c r="D350" s="8" t="s">
        <v>5247</v>
      </c>
      <c r="E350" s="8" t="s">
        <v>5374</v>
      </c>
      <c r="F350" s="8" t="s">
        <v>5243</v>
      </c>
      <c r="G350" s="8" t="s">
        <v>5349</v>
      </c>
      <c r="H350" s="8" t="s">
        <v>5245</v>
      </c>
    </row>
    <row r="351" spans="1:8" ht="36.950000000000003" customHeight="1" x14ac:dyDescent="0.25">
      <c r="A351" s="8" t="s">
        <v>5361</v>
      </c>
      <c r="B351" s="8" t="s">
        <v>5375</v>
      </c>
      <c r="C351" s="8" t="s">
        <v>5311</v>
      </c>
      <c r="D351" s="8" t="s">
        <v>5247</v>
      </c>
      <c r="E351" s="8" t="s">
        <v>5376</v>
      </c>
      <c r="F351" s="8" t="s">
        <v>5243</v>
      </c>
      <c r="G351" s="8" t="s">
        <v>5349</v>
      </c>
      <c r="H351" s="8" t="s">
        <v>5245</v>
      </c>
    </row>
    <row r="352" spans="1:8" ht="36.950000000000003" customHeight="1" x14ac:dyDescent="0.25">
      <c r="A352" s="8" t="s">
        <v>5361</v>
      </c>
      <c r="B352" s="8" t="s">
        <v>327</v>
      </c>
      <c r="C352" s="8" t="s">
        <v>5311</v>
      </c>
      <c r="D352" s="8" t="s">
        <v>5247</v>
      </c>
      <c r="E352" s="8" t="s">
        <v>5377</v>
      </c>
      <c r="F352" s="8" t="s">
        <v>5243</v>
      </c>
      <c r="G352" s="8" t="s">
        <v>5349</v>
      </c>
      <c r="H352" s="8" t="s">
        <v>5245</v>
      </c>
    </row>
    <row r="353" spans="1:8" ht="36.950000000000003" customHeight="1" x14ac:dyDescent="0.25">
      <c r="A353" s="8" t="s">
        <v>5361</v>
      </c>
      <c r="B353" s="8" t="s">
        <v>5378</v>
      </c>
      <c r="C353" s="8" t="s">
        <v>5311</v>
      </c>
      <c r="D353" s="8" t="s">
        <v>5247</v>
      </c>
      <c r="E353" s="8" t="s">
        <v>5379</v>
      </c>
      <c r="F353" s="8" t="s">
        <v>5243</v>
      </c>
      <c r="G353" s="8" t="s">
        <v>5349</v>
      </c>
      <c r="H353" s="8" t="s">
        <v>5245</v>
      </c>
    </row>
    <row r="354" spans="1:8" ht="36.950000000000003" customHeight="1" x14ac:dyDescent="0.25">
      <c r="A354" s="8" t="s">
        <v>5361</v>
      </c>
      <c r="B354" s="8" t="s">
        <v>5380</v>
      </c>
      <c r="C354" s="8" t="s">
        <v>5311</v>
      </c>
      <c r="D354" s="8" t="s">
        <v>5247</v>
      </c>
      <c r="E354" s="8" t="s">
        <v>5381</v>
      </c>
      <c r="F354" s="8" t="s">
        <v>5243</v>
      </c>
      <c r="G354" s="8" t="s">
        <v>5349</v>
      </c>
      <c r="H354" s="8" t="s">
        <v>5245</v>
      </c>
    </row>
    <row r="355" spans="1:8" ht="36.950000000000003" customHeight="1" x14ac:dyDescent="0.25">
      <c r="A355" s="8" t="s">
        <v>5361</v>
      </c>
      <c r="B355" s="8" t="s">
        <v>5382</v>
      </c>
      <c r="C355" s="8" t="s">
        <v>5311</v>
      </c>
      <c r="D355" s="8" t="s">
        <v>356</v>
      </c>
      <c r="E355" s="8" t="s">
        <v>5383</v>
      </c>
      <c r="F355" s="8" t="s">
        <v>5243</v>
      </c>
      <c r="G355" s="8" t="s">
        <v>5349</v>
      </c>
      <c r="H355" s="8" t="s">
        <v>5245</v>
      </c>
    </row>
    <row r="356" spans="1:8" ht="36.950000000000003" customHeight="1" x14ac:dyDescent="0.25">
      <c r="A356" s="8" t="s">
        <v>5361</v>
      </c>
      <c r="B356" s="8" t="s">
        <v>5384</v>
      </c>
      <c r="C356" s="8" t="s">
        <v>5311</v>
      </c>
      <c r="D356" s="8" t="s">
        <v>356</v>
      </c>
      <c r="E356" s="8" t="s">
        <v>5385</v>
      </c>
      <c r="F356" s="8" t="s">
        <v>5243</v>
      </c>
      <c r="G356" s="8" t="s">
        <v>5349</v>
      </c>
      <c r="H356" s="8" t="s">
        <v>5245</v>
      </c>
    </row>
    <row r="357" spans="1:8" ht="36.950000000000003" customHeight="1" x14ac:dyDescent="0.25">
      <c r="A357" s="8" t="s">
        <v>5361</v>
      </c>
      <c r="B357" s="8" t="s">
        <v>5386</v>
      </c>
      <c r="C357" s="8" t="s">
        <v>5311</v>
      </c>
      <c r="D357" s="8" t="s">
        <v>5247</v>
      </c>
      <c r="E357" s="8" t="s">
        <v>5387</v>
      </c>
      <c r="F357" s="8" t="s">
        <v>5243</v>
      </c>
      <c r="G357" s="8" t="s">
        <v>5349</v>
      </c>
      <c r="H357" s="8" t="s">
        <v>5245</v>
      </c>
    </row>
    <row r="358" spans="1:8" ht="36.950000000000003" customHeight="1" x14ac:dyDescent="0.25">
      <c r="A358" s="8" t="s">
        <v>5361</v>
      </c>
      <c r="B358" s="8" t="s">
        <v>5388</v>
      </c>
      <c r="C358" s="8" t="s">
        <v>5311</v>
      </c>
      <c r="D358" s="8" t="s">
        <v>356</v>
      </c>
      <c r="E358" s="8" t="s">
        <v>5389</v>
      </c>
      <c r="F358" s="8" t="s">
        <v>5243</v>
      </c>
      <c r="G358" s="8" t="s">
        <v>5349</v>
      </c>
      <c r="H358" s="8" t="s">
        <v>5245</v>
      </c>
    </row>
    <row r="359" spans="1:8" ht="36.950000000000003" customHeight="1" x14ac:dyDescent="0.25">
      <c r="A359" s="8" t="s">
        <v>5361</v>
      </c>
      <c r="B359" s="8" t="s">
        <v>5390</v>
      </c>
      <c r="C359" s="8" t="s">
        <v>5311</v>
      </c>
      <c r="D359" s="8" t="s">
        <v>5247</v>
      </c>
      <c r="E359" s="8" t="s">
        <v>5391</v>
      </c>
      <c r="F359" s="8" t="s">
        <v>5243</v>
      </c>
      <c r="G359" s="8" t="s">
        <v>5349</v>
      </c>
      <c r="H359" s="8" t="s">
        <v>5245</v>
      </c>
    </row>
    <row r="360" spans="1:8" ht="36.950000000000003" customHeight="1" x14ac:dyDescent="0.25">
      <c r="A360" s="8" t="s">
        <v>5361</v>
      </c>
      <c r="B360" s="8" t="s">
        <v>5392</v>
      </c>
      <c r="C360" s="8" t="s">
        <v>5311</v>
      </c>
      <c r="D360" s="8" t="s">
        <v>5247</v>
      </c>
      <c r="E360" s="8" t="s">
        <v>5393</v>
      </c>
      <c r="F360" s="8" t="s">
        <v>5243</v>
      </c>
      <c r="G360" s="8" t="s">
        <v>5349</v>
      </c>
      <c r="H360" s="8" t="s">
        <v>5245</v>
      </c>
    </row>
    <row r="361" spans="1:8" ht="36.950000000000003" customHeight="1" x14ac:dyDescent="0.25">
      <c r="A361" s="8" t="s">
        <v>5361</v>
      </c>
      <c r="B361" s="8" t="s">
        <v>5394</v>
      </c>
      <c r="C361" s="8" t="s">
        <v>5311</v>
      </c>
      <c r="D361" s="8" t="s">
        <v>356</v>
      </c>
      <c r="E361" s="8" t="s">
        <v>5395</v>
      </c>
      <c r="F361" s="8" t="s">
        <v>5243</v>
      </c>
      <c r="G361" s="8" t="s">
        <v>5349</v>
      </c>
      <c r="H361" s="8" t="s">
        <v>5245</v>
      </c>
    </row>
    <row r="362" spans="1:8" ht="36.950000000000003" customHeight="1" x14ac:dyDescent="0.25">
      <c r="A362" s="8" t="s">
        <v>5361</v>
      </c>
      <c r="B362" s="8" t="s">
        <v>5396</v>
      </c>
      <c r="C362" s="8" t="s">
        <v>5311</v>
      </c>
      <c r="D362" s="8" t="s">
        <v>356</v>
      </c>
      <c r="E362" s="8" t="s">
        <v>5397</v>
      </c>
      <c r="F362" s="8" t="s">
        <v>5243</v>
      </c>
      <c r="G362" s="8" t="s">
        <v>5349</v>
      </c>
      <c r="H362" s="8" t="s">
        <v>5245</v>
      </c>
    </row>
    <row r="363" spans="1:8" ht="36.950000000000003" customHeight="1" x14ac:dyDescent="0.25">
      <c r="A363" s="8" t="s">
        <v>4772</v>
      </c>
      <c r="B363" s="8" t="s">
        <v>141</v>
      </c>
      <c r="C363" s="8" t="s">
        <v>5311</v>
      </c>
      <c r="D363" s="8" t="s">
        <v>356</v>
      </c>
      <c r="E363" s="8" t="s">
        <v>5398</v>
      </c>
      <c r="F363" s="8" t="s">
        <v>5243</v>
      </c>
      <c r="G363" s="8" t="s">
        <v>5313</v>
      </c>
      <c r="H363" s="8" t="s">
        <v>5245</v>
      </c>
    </row>
    <row r="364" spans="1:8" ht="36.950000000000003" customHeight="1" x14ac:dyDescent="0.25">
      <c r="A364" s="8" t="s">
        <v>4772</v>
      </c>
      <c r="B364" s="8" t="s">
        <v>142</v>
      </c>
      <c r="C364" s="8" t="s">
        <v>5311</v>
      </c>
      <c r="D364" s="8" t="s">
        <v>356</v>
      </c>
      <c r="E364" s="8" t="s">
        <v>5399</v>
      </c>
      <c r="F364" s="8" t="s">
        <v>5243</v>
      </c>
      <c r="G364" s="8" t="s">
        <v>5313</v>
      </c>
      <c r="H364" s="8" t="s">
        <v>5245</v>
      </c>
    </row>
    <row r="365" spans="1:8" ht="36.950000000000003" customHeight="1" x14ac:dyDescent="0.25">
      <c r="A365" s="8" t="s">
        <v>4772</v>
      </c>
      <c r="B365" s="8" t="s">
        <v>143</v>
      </c>
      <c r="C365" s="8" t="s">
        <v>5311</v>
      </c>
      <c r="D365" s="8" t="s">
        <v>356</v>
      </c>
      <c r="E365" s="8" t="s">
        <v>5400</v>
      </c>
      <c r="F365" s="8" t="s">
        <v>5243</v>
      </c>
      <c r="G365" s="8" t="s">
        <v>5313</v>
      </c>
      <c r="H365" s="8" t="s">
        <v>5245</v>
      </c>
    </row>
    <row r="366" spans="1:8" ht="36.950000000000003" customHeight="1" x14ac:dyDescent="0.25">
      <c r="A366" s="8" t="s">
        <v>4772</v>
      </c>
      <c r="B366" s="8" t="s">
        <v>144</v>
      </c>
      <c r="C366" s="8" t="s">
        <v>5311</v>
      </c>
      <c r="D366" s="8" t="s">
        <v>356</v>
      </c>
      <c r="E366" s="8" t="s">
        <v>5401</v>
      </c>
      <c r="F366" s="8" t="s">
        <v>5243</v>
      </c>
      <c r="G366" s="8" t="s">
        <v>5313</v>
      </c>
      <c r="H366" s="8" t="s">
        <v>5245</v>
      </c>
    </row>
    <row r="367" spans="1:8" ht="36.950000000000003" customHeight="1" x14ac:dyDescent="0.25">
      <c r="A367" s="8" t="s">
        <v>4772</v>
      </c>
      <c r="B367" s="8" t="s">
        <v>145</v>
      </c>
      <c r="C367" s="8" t="s">
        <v>5311</v>
      </c>
      <c r="D367" s="8" t="s">
        <v>356</v>
      </c>
      <c r="E367" s="8" t="s">
        <v>5402</v>
      </c>
      <c r="F367" s="8" t="s">
        <v>5243</v>
      </c>
      <c r="G367" s="8" t="s">
        <v>5313</v>
      </c>
      <c r="H367" s="8" t="s">
        <v>5245</v>
      </c>
    </row>
    <row r="368" spans="1:8" ht="36.950000000000003" customHeight="1" x14ac:dyDescent="0.25">
      <c r="A368" s="8" t="s">
        <v>4772</v>
      </c>
      <c r="B368" s="8" t="s">
        <v>146</v>
      </c>
      <c r="C368" s="8" t="s">
        <v>5311</v>
      </c>
      <c r="D368" s="8" t="s">
        <v>356</v>
      </c>
      <c r="E368" s="8" t="s">
        <v>5403</v>
      </c>
      <c r="F368" s="8" t="s">
        <v>5243</v>
      </c>
      <c r="G368" s="8" t="s">
        <v>5313</v>
      </c>
      <c r="H368" s="8" t="s">
        <v>5245</v>
      </c>
    </row>
    <row r="369" spans="1:8" ht="36.950000000000003" customHeight="1" x14ac:dyDescent="0.25">
      <c r="A369" s="8" t="s">
        <v>4772</v>
      </c>
      <c r="B369" s="8" t="s">
        <v>147</v>
      </c>
      <c r="C369" s="8" t="s">
        <v>5311</v>
      </c>
      <c r="D369" s="8" t="s">
        <v>356</v>
      </c>
      <c r="E369" s="8" t="s">
        <v>5404</v>
      </c>
      <c r="F369" s="8" t="s">
        <v>5243</v>
      </c>
      <c r="G369" s="8" t="s">
        <v>5313</v>
      </c>
      <c r="H369" s="8" t="s">
        <v>5245</v>
      </c>
    </row>
    <row r="370" spans="1:8" ht="36.950000000000003" customHeight="1" x14ac:dyDescent="0.25">
      <c r="A370" s="8" t="s">
        <v>4772</v>
      </c>
      <c r="B370" s="8" t="s">
        <v>148</v>
      </c>
      <c r="C370" s="8" t="s">
        <v>5311</v>
      </c>
      <c r="D370" s="8" t="s">
        <v>356</v>
      </c>
      <c r="E370" s="8" t="s">
        <v>5405</v>
      </c>
      <c r="F370" s="8" t="s">
        <v>5243</v>
      </c>
      <c r="G370" s="8" t="s">
        <v>5313</v>
      </c>
      <c r="H370" s="8" t="s">
        <v>5245</v>
      </c>
    </row>
    <row r="371" spans="1:8" ht="36.950000000000003" customHeight="1" x14ac:dyDescent="0.25">
      <c r="A371" s="8" t="s">
        <v>4772</v>
      </c>
      <c r="B371" s="8" t="s">
        <v>149</v>
      </c>
      <c r="C371" s="8" t="s">
        <v>5311</v>
      </c>
      <c r="D371" s="8" t="s">
        <v>356</v>
      </c>
      <c r="E371" s="8" t="s">
        <v>5406</v>
      </c>
      <c r="F371" s="8" t="s">
        <v>5243</v>
      </c>
      <c r="G371" s="8" t="s">
        <v>5313</v>
      </c>
      <c r="H371" s="8" t="s">
        <v>5245</v>
      </c>
    </row>
    <row r="372" spans="1:8" ht="36.950000000000003" customHeight="1" x14ac:dyDescent="0.25">
      <c r="A372" s="8" t="s">
        <v>4772</v>
      </c>
      <c r="B372" s="8" t="s">
        <v>150</v>
      </c>
      <c r="C372" s="8" t="s">
        <v>5311</v>
      </c>
      <c r="D372" s="8" t="s">
        <v>356</v>
      </c>
      <c r="E372" s="8" t="s">
        <v>5407</v>
      </c>
      <c r="F372" s="8" t="s">
        <v>5243</v>
      </c>
      <c r="G372" s="8" t="s">
        <v>5313</v>
      </c>
      <c r="H372" s="8" t="s">
        <v>5245</v>
      </c>
    </row>
    <row r="373" spans="1:8" ht="36.950000000000003" customHeight="1" x14ac:dyDescent="0.25">
      <c r="A373" s="8" t="s">
        <v>4772</v>
      </c>
      <c r="B373" s="8" t="s">
        <v>151</v>
      </c>
      <c r="C373" s="8" t="s">
        <v>5311</v>
      </c>
      <c r="D373" s="8" t="s">
        <v>356</v>
      </c>
      <c r="E373" s="8" t="s">
        <v>5408</v>
      </c>
      <c r="F373" s="8" t="s">
        <v>5243</v>
      </c>
      <c r="G373" s="8" t="s">
        <v>5313</v>
      </c>
      <c r="H373" s="8" t="s">
        <v>5245</v>
      </c>
    </row>
    <row r="374" spans="1:8" ht="36.950000000000003" customHeight="1" x14ac:dyDescent="0.25">
      <c r="A374" s="8" t="s">
        <v>4772</v>
      </c>
      <c r="B374" s="8" t="s">
        <v>152</v>
      </c>
      <c r="C374" s="8" t="s">
        <v>5311</v>
      </c>
      <c r="D374" s="8" t="s">
        <v>356</v>
      </c>
      <c r="E374" s="8" t="s">
        <v>5409</v>
      </c>
      <c r="F374" s="8" t="s">
        <v>5243</v>
      </c>
      <c r="G374" s="8" t="s">
        <v>5313</v>
      </c>
      <c r="H374" s="8" t="s">
        <v>5245</v>
      </c>
    </row>
    <row r="375" spans="1:8" ht="36.950000000000003" customHeight="1" x14ac:dyDescent="0.25">
      <c r="A375" s="8" t="s">
        <v>5410</v>
      </c>
      <c r="B375" s="8" t="s">
        <v>233</v>
      </c>
      <c r="C375" s="8" t="s">
        <v>5311</v>
      </c>
      <c r="D375" s="8" t="s">
        <v>356</v>
      </c>
      <c r="E375" s="8" t="s">
        <v>5411</v>
      </c>
      <c r="F375" s="8" t="s">
        <v>5243</v>
      </c>
      <c r="G375" s="8" t="s">
        <v>5349</v>
      </c>
      <c r="H375" s="8" t="s">
        <v>5245</v>
      </c>
    </row>
    <row r="376" spans="1:8" ht="36.950000000000003" customHeight="1" x14ac:dyDescent="0.25">
      <c r="A376" s="8" t="s">
        <v>5410</v>
      </c>
      <c r="B376" s="8" t="s">
        <v>234</v>
      </c>
      <c r="C376" s="8" t="s">
        <v>5311</v>
      </c>
      <c r="D376" s="8" t="s">
        <v>356</v>
      </c>
      <c r="E376" s="8" t="s">
        <v>5412</v>
      </c>
      <c r="F376" s="8" t="s">
        <v>5243</v>
      </c>
      <c r="G376" s="8" t="s">
        <v>5349</v>
      </c>
      <c r="H376" s="8" t="s">
        <v>5245</v>
      </c>
    </row>
    <row r="377" spans="1:8" ht="36.950000000000003" customHeight="1" x14ac:dyDescent="0.25">
      <c r="A377" s="8" t="s">
        <v>5410</v>
      </c>
      <c r="B377" s="8" t="s">
        <v>235</v>
      </c>
      <c r="C377" s="8" t="s">
        <v>5311</v>
      </c>
      <c r="D377" s="8" t="s">
        <v>356</v>
      </c>
      <c r="E377" s="8" t="s">
        <v>5413</v>
      </c>
      <c r="F377" s="8" t="s">
        <v>5243</v>
      </c>
      <c r="G377" s="8" t="s">
        <v>5349</v>
      </c>
      <c r="H377" s="8" t="s">
        <v>5245</v>
      </c>
    </row>
    <row r="378" spans="1:8" ht="36.950000000000003" customHeight="1" x14ac:dyDescent="0.25">
      <c r="A378" s="8" t="s">
        <v>5410</v>
      </c>
      <c r="B378" s="8" t="s">
        <v>236</v>
      </c>
      <c r="C378" s="8" t="s">
        <v>5311</v>
      </c>
      <c r="D378" s="8" t="s">
        <v>356</v>
      </c>
      <c r="E378" s="8" t="s">
        <v>5414</v>
      </c>
      <c r="F378" s="8" t="s">
        <v>5243</v>
      </c>
      <c r="G378" s="8" t="s">
        <v>5349</v>
      </c>
      <c r="H378" s="8" t="s">
        <v>5245</v>
      </c>
    </row>
    <row r="379" spans="1:8" ht="36.950000000000003" customHeight="1" x14ac:dyDescent="0.25">
      <c r="A379" s="8" t="s">
        <v>5410</v>
      </c>
      <c r="B379" s="8" t="s">
        <v>237</v>
      </c>
      <c r="C379" s="8" t="s">
        <v>5311</v>
      </c>
      <c r="D379" s="8" t="s">
        <v>356</v>
      </c>
      <c r="E379" s="8" t="s">
        <v>5415</v>
      </c>
      <c r="F379" s="8" t="s">
        <v>5243</v>
      </c>
      <c r="G379" s="8" t="s">
        <v>5349</v>
      </c>
      <c r="H379" s="8" t="s">
        <v>5245</v>
      </c>
    </row>
    <row r="380" spans="1:8" ht="36.950000000000003" customHeight="1" x14ac:dyDescent="0.25">
      <c r="A380" s="8" t="s">
        <v>5410</v>
      </c>
      <c r="B380" s="8" t="s">
        <v>238</v>
      </c>
      <c r="C380" s="8" t="s">
        <v>5311</v>
      </c>
      <c r="D380" s="8" t="s">
        <v>5250</v>
      </c>
      <c r="E380" s="8" t="s">
        <v>5270</v>
      </c>
      <c r="F380" s="8" t="s">
        <v>5243</v>
      </c>
      <c r="G380" s="8" t="s">
        <v>5349</v>
      </c>
      <c r="H380" s="8" t="s">
        <v>5245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8354A"/>
    <outlinePr summaryBelow="0" summaryRight="0"/>
    <pageSetUpPr fitToPage="1"/>
  </sheetPr>
  <dimension ref="A1:G58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27" customWidth="1"/>
    <col min="3" max="3" width="20" customWidth="1"/>
    <col min="4" max="4" width="61" customWidth="1"/>
    <col min="5" max="7" width="27" customWidth="1"/>
  </cols>
  <sheetData>
    <row r="1" spans="1:7" ht="42.95" customHeight="1" x14ac:dyDescent="0.25">
      <c r="A1" s="7" t="s">
        <v>5233</v>
      </c>
      <c r="B1" s="7" t="s">
        <v>5234</v>
      </c>
      <c r="C1" s="7" t="s">
        <v>5235</v>
      </c>
      <c r="D1" s="7" t="s">
        <v>5149</v>
      </c>
      <c r="E1" s="7" t="s">
        <v>5358</v>
      </c>
      <c r="F1" s="7" t="s">
        <v>5359</v>
      </c>
      <c r="G1" s="7" t="s">
        <v>5360</v>
      </c>
    </row>
    <row r="2" spans="1:7" ht="33.950000000000003" customHeight="1" x14ac:dyDescent="0.25">
      <c r="A2" s="8" t="s">
        <v>5416</v>
      </c>
      <c r="B2" s="8" t="s">
        <v>5417</v>
      </c>
      <c r="C2" s="8" t="s">
        <v>5418</v>
      </c>
      <c r="D2" s="8" t="s">
        <v>5419</v>
      </c>
      <c r="E2" s="8" t="s">
        <v>5420</v>
      </c>
      <c r="F2" s="8" t="s">
        <v>5421</v>
      </c>
      <c r="G2" s="8" t="s">
        <v>5422</v>
      </c>
    </row>
    <row r="3" spans="1:7" ht="33.950000000000003" customHeight="1" x14ac:dyDescent="0.25">
      <c r="A3" s="8" t="s">
        <v>141</v>
      </c>
      <c r="B3" s="8" t="s">
        <v>5417</v>
      </c>
      <c r="C3" s="8" t="s">
        <v>5418</v>
      </c>
      <c r="D3" s="8" t="s">
        <v>5423</v>
      </c>
      <c r="E3" s="8" t="s">
        <v>5424</v>
      </c>
      <c r="F3" s="8" t="s">
        <v>5421</v>
      </c>
      <c r="G3" s="8" t="s">
        <v>5422</v>
      </c>
    </row>
    <row r="4" spans="1:7" ht="33.950000000000003" customHeight="1" x14ac:dyDescent="0.25">
      <c r="A4" s="8" t="s">
        <v>48</v>
      </c>
      <c r="B4" s="8" t="s">
        <v>5425</v>
      </c>
      <c r="C4" s="8" t="s">
        <v>5418</v>
      </c>
      <c r="D4" s="8" t="s">
        <v>5426</v>
      </c>
      <c r="E4" s="8" t="s">
        <v>77</v>
      </c>
      <c r="F4" s="8" t="s">
        <v>5421</v>
      </c>
      <c r="G4" s="8" t="s">
        <v>5422</v>
      </c>
    </row>
    <row r="5" spans="1:7" ht="36.950000000000003" customHeight="1" x14ac:dyDescent="0.25">
      <c r="A5" s="8" t="s">
        <v>5427</v>
      </c>
      <c r="B5" s="8" t="s">
        <v>5417</v>
      </c>
      <c r="C5" s="8" t="s">
        <v>5418</v>
      </c>
      <c r="D5" s="8" t="s">
        <v>5428</v>
      </c>
      <c r="E5" s="8" t="s">
        <v>5429</v>
      </c>
      <c r="F5" s="8" t="s">
        <v>5421</v>
      </c>
      <c r="G5" s="8" t="s">
        <v>5422</v>
      </c>
    </row>
    <row r="6" spans="1:7" ht="36.950000000000003" customHeight="1" x14ac:dyDescent="0.25">
      <c r="A6" s="8" t="s">
        <v>5430</v>
      </c>
      <c r="B6" s="8" t="s">
        <v>5417</v>
      </c>
      <c r="C6" s="8" t="s">
        <v>5418</v>
      </c>
      <c r="D6" s="8" t="s">
        <v>5431</v>
      </c>
      <c r="E6" s="8" t="s">
        <v>5432</v>
      </c>
      <c r="F6" s="8" t="s">
        <v>5421</v>
      </c>
      <c r="G6" s="8" t="s">
        <v>5422</v>
      </c>
    </row>
    <row r="7" spans="1:7" ht="33.950000000000003" customHeight="1" x14ac:dyDescent="0.25">
      <c r="A7" s="8" t="s">
        <v>5433</v>
      </c>
      <c r="B7" s="8" t="s">
        <v>5417</v>
      </c>
      <c r="C7" s="8" t="s">
        <v>5434</v>
      </c>
      <c r="D7" s="8" t="s">
        <v>5435</v>
      </c>
      <c r="E7" s="8" t="s">
        <v>5436</v>
      </c>
      <c r="F7" s="8" t="s">
        <v>5421</v>
      </c>
      <c r="G7" s="8" t="s">
        <v>5422</v>
      </c>
    </row>
    <row r="8" spans="1:7" ht="36.950000000000003" customHeight="1" x14ac:dyDescent="0.25">
      <c r="A8" s="8" t="s">
        <v>5437</v>
      </c>
      <c r="B8" s="8" t="s">
        <v>5425</v>
      </c>
      <c r="C8" s="8" t="s">
        <v>5418</v>
      </c>
      <c r="D8" s="8" t="s">
        <v>5438</v>
      </c>
      <c r="E8" s="8" t="s">
        <v>5439</v>
      </c>
      <c r="F8" s="8" t="s">
        <v>5421</v>
      </c>
      <c r="G8" s="8" t="s">
        <v>5422</v>
      </c>
    </row>
    <row r="9" spans="1:7" ht="33.950000000000003" customHeight="1" x14ac:dyDescent="0.25">
      <c r="A9" s="8" t="s">
        <v>5440</v>
      </c>
      <c r="B9" s="8" t="s">
        <v>5441</v>
      </c>
      <c r="C9" s="8" t="s">
        <v>5418</v>
      </c>
      <c r="D9" s="8" t="s">
        <v>5442</v>
      </c>
      <c r="E9" s="8" t="s">
        <v>5443</v>
      </c>
      <c r="F9" s="8" t="s">
        <v>5421</v>
      </c>
      <c r="G9" s="8" t="s">
        <v>5422</v>
      </c>
    </row>
    <row r="10" spans="1:7" ht="33.950000000000003" customHeight="1" x14ac:dyDescent="0.25">
      <c r="A10" s="8" t="s">
        <v>5444</v>
      </c>
      <c r="B10" s="8" t="s">
        <v>5441</v>
      </c>
      <c r="C10" s="8" t="s">
        <v>5418</v>
      </c>
      <c r="D10" s="8" t="s">
        <v>5445</v>
      </c>
      <c r="E10" s="8" t="s">
        <v>5446</v>
      </c>
      <c r="F10" s="8" t="s">
        <v>5421</v>
      </c>
      <c r="G10" s="8" t="s">
        <v>5422</v>
      </c>
    </row>
    <row r="11" spans="1:7" ht="33.950000000000003" customHeight="1" x14ac:dyDescent="0.25">
      <c r="A11" s="8" t="s">
        <v>5447</v>
      </c>
      <c r="B11" s="8" t="s">
        <v>5448</v>
      </c>
      <c r="C11" s="8" t="s">
        <v>5434</v>
      </c>
      <c r="D11" s="8" t="s">
        <v>5449</v>
      </c>
      <c r="E11" s="15" t="s">
        <v>5450</v>
      </c>
      <c r="F11" s="8" t="s">
        <v>5421</v>
      </c>
      <c r="G11" s="8" t="s">
        <v>5422</v>
      </c>
    </row>
    <row r="12" spans="1:7" ht="33.950000000000003" customHeight="1" x14ac:dyDescent="0.25">
      <c r="A12" s="8" t="s">
        <v>5451</v>
      </c>
      <c r="B12" s="8" t="s">
        <v>5452</v>
      </c>
      <c r="C12" s="8" t="s">
        <v>5418</v>
      </c>
      <c r="D12" s="8" t="s">
        <v>5453</v>
      </c>
      <c r="E12" s="8" t="s">
        <v>5454</v>
      </c>
      <c r="F12" s="8" t="s">
        <v>5421</v>
      </c>
      <c r="G12" s="8" t="s">
        <v>5422</v>
      </c>
    </row>
    <row r="13" spans="1:7" ht="33.950000000000003" customHeight="1" x14ac:dyDescent="0.25">
      <c r="A13" s="8" t="s">
        <v>335</v>
      </c>
      <c r="B13" s="8" t="s">
        <v>5417</v>
      </c>
      <c r="C13" s="8" t="s">
        <v>5434</v>
      </c>
      <c r="D13" s="8" t="s">
        <v>5455</v>
      </c>
      <c r="E13" s="8" t="s">
        <v>5456</v>
      </c>
      <c r="F13" s="8" t="s">
        <v>5421</v>
      </c>
      <c r="G13" s="8" t="s">
        <v>5422</v>
      </c>
    </row>
    <row r="14" spans="1:7" ht="33.950000000000003" customHeight="1" x14ac:dyDescent="0.25">
      <c r="A14" s="8" t="s">
        <v>340</v>
      </c>
      <c r="B14" s="8" t="s">
        <v>5457</v>
      </c>
      <c r="C14" s="8" t="s">
        <v>5418</v>
      </c>
      <c r="D14" s="8" t="s">
        <v>5458</v>
      </c>
      <c r="E14" s="8" t="s">
        <v>5459</v>
      </c>
      <c r="F14" s="8" t="s">
        <v>5421</v>
      </c>
      <c r="G14" s="8" t="s">
        <v>5422</v>
      </c>
    </row>
    <row r="15" spans="1:7" ht="36.950000000000003" customHeight="1" x14ac:dyDescent="0.25">
      <c r="A15" s="8" t="s">
        <v>5460</v>
      </c>
      <c r="B15" s="8" t="s">
        <v>5448</v>
      </c>
      <c r="C15" s="8" t="s">
        <v>5434</v>
      </c>
      <c r="D15" s="8" t="s">
        <v>5461</v>
      </c>
      <c r="E15" s="15" t="s">
        <v>5462</v>
      </c>
      <c r="F15" s="8" t="s">
        <v>5421</v>
      </c>
      <c r="G15" s="8" t="s">
        <v>5422</v>
      </c>
    </row>
    <row r="16" spans="1:7" ht="36.950000000000003" customHeight="1" x14ac:dyDescent="0.25">
      <c r="A16" s="8" t="s">
        <v>5463</v>
      </c>
      <c r="B16" s="8" t="s">
        <v>5441</v>
      </c>
      <c r="C16" s="8" t="s">
        <v>5464</v>
      </c>
      <c r="D16" s="8" t="s">
        <v>5465</v>
      </c>
      <c r="E16" s="8" t="s">
        <v>5466</v>
      </c>
      <c r="F16" s="8" t="s">
        <v>5421</v>
      </c>
      <c r="G16" s="8" t="s">
        <v>5422</v>
      </c>
    </row>
    <row r="17" spans="1:7" ht="33.950000000000003" customHeight="1" x14ac:dyDescent="0.25">
      <c r="A17" s="8" t="s">
        <v>3922</v>
      </c>
      <c r="B17" s="8" t="s">
        <v>5425</v>
      </c>
      <c r="C17" s="8" t="s">
        <v>5418</v>
      </c>
      <c r="D17" s="8" t="s">
        <v>5467</v>
      </c>
      <c r="E17" s="8" t="s">
        <v>5468</v>
      </c>
      <c r="F17" s="8" t="s">
        <v>5421</v>
      </c>
      <c r="G17" s="8" t="s">
        <v>5422</v>
      </c>
    </row>
    <row r="18" spans="1:7" ht="33.950000000000003" customHeight="1" x14ac:dyDescent="0.25">
      <c r="A18" s="8" t="s">
        <v>5469</v>
      </c>
      <c r="B18" s="8" t="s">
        <v>5425</v>
      </c>
      <c r="C18" s="8" t="s">
        <v>5418</v>
      </c>
      <c r="D18" s="8" t="s">
        <v>5470</v>
      </c>
      <c r="E18" s="8" t="s">
        <v>5471</v>
      </c>
      <c r="F18" s="8" t="s">
        <v>5421</v>
      </c>
      <c r="G18" s="8" t="s">
        <v>5422</v>
      </c>
    </row>
    <row r="19" spans="1:7" ht="36.950000000000003" customHeight="1" x14ac:dyDescent="0.25">
      <c r="A19" s="8" t="s">
        <v>5472</v>
      </c>
      <c r="B19" s="8" t="s">
        <v>5473</v>
      </c>
      <c r="C19" s="8" t="s">
        <v>5434</v>
      </c>
      <c r="D19" s="8" t="s">
        <v>5474</v>
      </c>
      <c r="E19" s="8" t="s">
        <v>5475</v>
      </c>
      <c r="F19" s="8" t="s">
        <v>5421</v>
      </c>
      <c r="G19" s="8" t="s">
        <v>5422</v>
      </c>
    </row>
    <row r="20" spans="1:7" ht="33.950000000000003" customHeight="1" x14ac:dyDescent="0.25">
      <c r="A20" s="8" t="s">
        <v>5476</v>
      </c>
      <c r="B20" s="8" t="s">
        <v>5425</v>
      </c>
      <c r="C20" s="8" t="s">
        <v>5464</v>
      </c>
      <c r="D20" s="8" t="s">
        <v>5477</v>
      </c>
      <c r="E20" s="8" t="s">
        <v>4343</v>
      </c>
      <c r="F20" s="8" t="s">
        <v>5421</v>
      </c>
      <c r="G20" s="8" t="s">
        <v>5422</v>
      </c>
    </row>
    <row r="21" spans="1:7" ht="36.950000000000003" customHeight="1" x14ac:dyDescent="0.25">
      <c r="A21" s="8" t="s">
        <v>5478</v>
      </c>
      <c r="B21" s="8" t="s">
        <v>5441</v>
      </c>
      <c r="C21" s="8" t="s">
        <v>5434</v>
      </c>
      <c r="D21" s="8" t="s">
        <v>5479</v>
      </c>
      <c r="E21" s="8" t="s">
        <v>5480</v>
      </c>
      <c r="F21" s="8" t="s">
        <v>5421</v>
      </c>
      <c r="G21" s="8" t="s">
        <v>5422</v>
      </c>
    </row>
    <row r="22" spans="1:7" ht="33.950000000000003" customHeight="1" x14ac:dyDescent="0.25">
      <c r="A22" s="8" t="s">
        <v>5481</v>
      </c>
      <c r="B22" s="8" t="s">
        <v>5425</v>
      </c>
      <c r="C22" s="8" t="s">
        <v>5418</v>
      </c>
      <c r="D22" s="8" t="s">
        <v>5482</v>
      </c>
      <c r="E22" s="8" t="s">
        <v>5483</v>
      </c>
      <c r="F22" s="8" t="s">
        <v>5421</v>
      </c>
      <c r="G22" s="8" t="s">
        <v>5422</v>
      </c>
    </row>
    <row r="23" spans="1:7" ht="33.950000000000003" customHeight="1" x14ac:dyDescent="0.25">
      <c r="A23" s="8" t="s">
        <v>5484</v>
      </c>
      <c r="B23" s="8" t="s">
        <v>5417</v>
      </c>
      <c r="C23" s="8" t="s">
        <v>5418</v>
      </c>
      <c r="D23" s="8" t="s">
        <v>5485</v>
      </c>
      <c r="E23" s="8" t="s">
        <v>5486</v>
      </c>
      <c r="F23" s="8" t="s">
        <v>5421</v>
      </c>
      <c r="G23" s="8" t="s">
        <v>5422</v>
      </c>
    </row>
    <row r="24" spans="1:7" ht="36.950000000000003" customHeight="1" x14ac:dyDescent="0.25">
      <c r="A24" s="8" t="s">
        <v>5487</v>
      </c>
      <c r="B24" s="8" t="s">
        <v>5488</v>
      </c>
      <c r="C24" s="8" t="s">
        <v>5434</v>
      </c>
      <c r="D24" s="8" t="s">
        <v>5489</v>
      </c>
      <c r="E24" s="8"/>
      <c r="F24" s="8" t="s">
        <v>65</v>
      </c>
      <c r="G24" s="8" t="s">
        <v>5422</v>
      </c>
    </row>
    <row r="25" spans="1:7" ht="36.950000000000003" customHeight="1" x14ac:dyDescent="0.25">
      <c r="A25" s="8" t="s">
        <v>5490</v>
      </c>
      <c r="B25" s="8" t="s">
        <v>5488</v>
      </c>
      <c r="C25" s="8" t="s">
        <v>5434</v>
      </c>
      <c r="D25" s="8" t="s">
        <v>5491</v>
      </c>
      <c r="E25" s="8"/>
      <c r="F25" s="8" t="s">
        <v>77</v>
      </c>
      <c r="G25" s="8" t="s">
        <v>5422</v>
      </c>
    </row>
    <row r="26" spans="1:7" ht="36.950000000000003" customHeight="1" x14ac:dyDescent="0.25">
      <c r="A26" s="8" t="s">
        <v>5492</v>
      </c>
      <c r="B26" s="8" t="s">
        <v>5488</v>
      </c>
      <c r="C26" s="8" t="s">
        <v>5434</v>
      </c>
      <c r="D26" s="8" t="s">
        <v>5493</v>
      </c>
      <c r="E26" s="8"/>
      <c r="F26" s="8" t="s">
        <v>85</v>
      </c>
      <c r="G26" s="8" t="s">
        <v>5422</v>
      </c>
    </row>
    <row r="27" spans="1:7" ht="36.950000000000003" customHeight="1" x14ac:dyDescent="0.25">
      <c r="A27" s="8" t="s">
        <v>5494</v>
      </c>
      <c r="B27" s="8" t="s">
        <v>5488</v>
      </c>
      <c r="C27" s="8" t="s">
        <v>5434</v>
      </c>
      <c r="D27" s="8" t="s">
        <v>5495</v>
      </c>
      <c r="E27" s="8"/>
      <c r="F27" s="8" t="s">
        <v>91</v>
      </c>
      <c r="G27" s="8" t="s">
        <v>5422</v>
      </c>
    </row>
    <row r="28" spans="1:7" ht="36.950000000000003" customHeight="1" x14ac:dyDescent="0.25">
      <c r="A28" s="8" t="s">
        <v>5496</v>
      </c>
      <c r="B28" s="8" t="s">
        <v>5488</v>
      </c>
      <c r="C28" s="8" t="s">
        <v>5434</v>
      </c>
      <c r="D28" s="8" t="s">
        <v>5497</v>
      </c>
      <c r="E28" s="8"/>
      <c r="F28" s="8" t="s">
        <v>96</v>
      </c>
      <c r="G28" s="8" t="s">
        <v>5422</v>
      </c>
    </row>
    <row r="29" spans="1:7" ht="51" customHeight="1" x14ac:dyDescent="0.25">
      <c r="A29" s="8" t="s">
        <v>5498</v>
      </c>
      <c r="B29" s="8" t="s">
        <v>5488</v>
      </c>
      <c r="C29" s="8" t="s">
        <v>5434</v>
      </c>
      <c r="D29" s="8" t="s">
        <v>5499</v>
      </c>
      <c r="E29" s="8"/>
      <c r="F29" s="8" t="s">
        <v>102</v>
      </c>
      <c r="G29" s="8" t="s">
        <v>5422</v>
      </c>
    </row>
    <row r="30" spans="1:7" ht="36.950000000000003" customHeight="1" x14ac:dyDescent="0.25">
      <c r="A30" s="8" t="s">
        <v>5500</v>
      </c>
      <c r="B30" s="8" t="s">
        <v>5488</v>
      </c>
      <c r="C30" s="8" t="s">
        <v>5434</v>
      </c>
      <c r="D30" s="8" t="s">
        <v>5501</v>
      </c>
      <c r="E30" s="8"/>
      <c r="F30" s="8" t="s">
        <v>108</v>
      </c>
      <c r="G30" s="8" t="s">
        <v>5422</v>
      </c>
    </row>
    <row r="31" spans="1:7" ht="36.950000000000003" customHeight="1" x14ac:dyDescent="0.25">
      <c r="A31" s="8" t="s">
        <v>5502</v>
      </c>
      <c r="B31" s="8" t="s">
        <v>5488</v>
      </c>
      <c r="C31" s="8" t="s">
        <v>5434</v>
      </c>
      <c r="D31" s="8" t="s">
        <v>5503</v>
      </c>
      <c r="E31" s="8"/>
      <c r="F31" s="8" t="s">
        <v>116</v>
      </c>
      <c r="G31" s="8" t="s">
        <v>5422</v>
      </c>
    </row>
    <row r="32" spans="1:7" ht="36.950000000000003" customHeight="1" x14ac:dyDescent="0.25">
      <c r="A32" s="8" t="s">
        <v>5504</v>
      </c>
      <c r="B32" s="8" t="s">
        <v>5488</v>
      </c>
      <c r="C32" s="8" t="s">
        <v>5434</v>
      </c>
      <c r="D32" s="8" t="s">
        <v>5505</v>
      </c>
      <c r="E32" s="8"/>
      <c r="F32" s="8" t="s">
        <v>121</v>
      </c>
      <c r="G32" s="8" t="s">
        <v>5422</v>
      </c>
    </row>
    <row r="33" spans="1:7" ht="36.950000000000003" customHeight="1" x14ac:dyDescent="0.25">
      <c r="A33" s="8" t="s">
        <v>5506</v>
      </c>
      <c r="B33" s="8" t="s">
        <v>5488</v>
      </c>
      <c r="C33" s="8" t="s">
        <v>5434</v>
      </c>
      <c r="D33" s="8" t="s">
        <v>5507</v>
      </c>
      <c r="E33" s="8"/>
      <c r="F33" s="8" t="s">
        <v>125</v>
      </c>
      <c r="G33" s="8" t="s">
        <v>5422</v>
      </c>
    </row>
    <row r="34" spans="1:7" ht="51" customHeight="1" x14ac:dyDescent="0.25">
      <c r="A34" s="8" t="s">
        <v>5508</v>
      </c>
      <c r="B34" s="8" t="s">
        <v>5488</v>
      </c>
      <c r="C34" s="8" t="s">
        <v>5434</v>
      </c>
      <c r="D34" s="8" t="s">
        <v>5509</v>
      </c>
      <c r="E34" s="8"/>
      <c r="F34" s="8" t="s">
        <v>131</v>
      </c>
      <c r="G34" s="8" t="s">
        <v>5422</v>
      </c>
    </row>
    <row r="35" spans="1:7" ht="36.950000000000003" customHeight="1" x14ac:dyDescent="0.25">
      <c r="A35" s="8" t="s">
        <v>5510</v>
      </c>
      <c r="B35" s="8" t="s">
        <v>5488</v>
      </c>
      <c r="C35" s="8" t="s">
        <v>5434</v>
      </c>
      <c r="D35" s="8" t="s">
        <v>5511</v>
      </c>
      <c r="E35" s="8"/>
      <c r="F35" s="8" t="s">
        <v>136</v>
      </c>
      <c r="G35" s="8" t="s">
        <v>5422</v>
      </c>
    </row>
    <row r="36" spans="1:7" ht="36.950000000000003" customHeight="1" x14ac:dyDescent="0.25">
      <c r="A36" s="8" t="s">
        <v>5512</v>
      </c>
      <c r="B36" s="8" t="s">
        <v>5513</v>
      </c>
      <c r="C36" s="8" t="s">
        <v>5418</v>
      </c>
      <c r="D36" s="8" t="s">
        <v>5514</v>
      </c>
      <c r="E36" s="8" t="s">
        <v>3280</v>
      </c>
      <c r="F36" s="8" t="s">
        <v>5421</v>
      </c>
      <c r="G36" s="8" t="s">
        <v>5422</v>
      </c>
    </row>
    <row r="37" spans="1:7" ht="36.950000000000003" customHeight="1" x14ac:dyDescent="0.25">
      <c r="A37" s="8" t="s">
        <v>5515</v>
      </c>
      <c r="B37" s="8" t="s">
        <v>5441</v>
      </c>
      <c r="C37" s="8" t="s">
        <v>5418</v>
      </c>
      <c r="D37" s="8" t="s">
        <v>5516</v>
      </c>
      <c r="E37" s="8" t="s">
        <v>5517</v>
      </c>
      <c r="F37" s="8" t="s">
        <v>5421</v>
      </c>
      <c r="G37" s="8" t="s">
        <v>5422</v>
      </c>
    </row>
    <row r="38" spans="1:7" ht="36.950000000000003" customHeight="1" x14ac:dyDescent="0.25">
      <c r="A38" s="8" t="s">
        <v>5518</v>
      </c>
      <c r="B38" s="8" t="s">
        <v>5513</v>
      </c>
      <c r="C38" s="8" t="s">
        <v>5519</v>
      </c>
      <c r="D38" s="8" t="s">
        <v>5520</v>
      </c>
      <c r="E38" s="8" t="s">
        <v>5521</v>
      </c>
      <c r="F38" s="8" t="s">
        <v>96</v>
      </c>
      <c r="G38" s="8" t="s">
        <v>5422</v>
      </c>
    </row>
    <row r="39" spans="1:7" ht="36.950000000000003" customHeight="1" x14ac:dyDescent="0.25">
      <c r="A39" s="8" t="s">
        <v>5522</v>
      </c>
      <c r="B39" s="8" t="s">
        <v>5523</v>
      </c>
      <c r="C39" s="8" t="s">
        <v>5418</v>
      </c>
      <c r="D39" s="8" t="s">
        <v>5524</v>
      </c>
      <c r="E39" s="8" t="s">
        <v>1885</v>
      </c>
      <c r="F39" s="8" t="s">
        <v>5421</v>
      </c>
      <c r="G39" s="8" t="s">
        <v>5422</v>
      </c>
    </row>
    <row r="40" spans="1:7" ht="33.950000000000003" customHeight="1" x14ac:dyDescent="0.25">
      <c r="A40" s="8" t="s">
        <v>5122</v>
      </c>
      <c r="B40" s="8" t="s">
        <v>5525</v>
      </c>
      <c r="C40" s="8" t="s">
        <v>69</v>
      </c>
      <c r="D40" s="8" t="s">
        <v>5526</v>
      </c>
      <c r="E40" s="8"/>
      <c r="F40" s="8" t="s">
        <v>5421</v>
      </c>
      <c r="G40" s="8" t="s">
        <v>5422</v>
      </c>
    </row>
    <row r="41" spans="1:7" ht="33.950000000000003" customHeight="1" x14ac:dyDescent="0.25">
      <c r="A41" s="8" t="s">
        <v>5527</v>
      </c>
      <c r="B41" s="8" t="s">
        <v>5525</v>
      </c>
      <c r="C41" s="8" t="s">
        <v>356</v>
      </c>
      <c r="D41" s="8" t="s">
        <v>5528</v>
      </c>
      <c r="E41" s="8"/>
      <c r="F41" s="8" t="s">
        <v>5421</v>
      </c>
      <c r="G41" s="8" t="s">
        <v>5422</v>
      </c>
    </row>
    <row r="42" spans="1:7" ht="33.950000000000003" customHeight="1" x14ac:dyDescent="0.25">
      <c r="A42" s="8" t="s">
        <v>5529</v>
      </c>
      <c r="B42" s="8" t="s">
        <v>5530</v>
      </c>
      <c r="C42" s="8" t="s">
        <v>356</v>
      </c>
      <c r="D42" s="8" t="s">
        <v>5531</v>
      </c>
      <c r="E42" s="8"/>
      <c r="F42" s="8" t="s">
        <v>5421</v>
      </c>
      <c r="G42" s="8" t="s">
        <v>5422</v>
      </c>
    </row>
    <row r="43" spans="1:7" ht="33.950000000000003" customHeight="1" x14ac:dyDescent="0.25">
      <c r="A43" s="8" t="s">
        <v>5532</v>
      </c>
      <c r="B43" s="8" t="s">
        <v>5513</v>
      </c>
      <c r="C43" s="8" t="s">
        <v>356</v>
      </c>
      <c r="D43" s="8" t="s">
        <v>5533</v>
      </c>
      <c r="E43" s="8"/>
      <c r="F43" s="8" t="s">
        <v>5421</v>
      </c>
      <c r="G43" s="8" t="s">
        <v>5422</v>
      </c>
    </row>
    <row r="44" spans="1:7" ht="33.950000000000003" customHeight="1" x14ac:dyDescent="0.25">
      <c r="A44" s="8" t="s">
        <v>5534</v>
      </c>
      <c r="B44" s="8" t="s">
        <v>5535</v>
      </c>
      <c r="C44" s="8" t="s">
        <v>356</v>
      </c>
      <c r="D44" s="8" t="s">
        <v>5536</v>
      </c>
      <c r="E44" s="8"/>
      <c r="F44" s="8" t="s">
        <v>5421</v>
      </c>
      <c r="G44" s="8" t="s">
        <v>5422</v>
      </c>
    </row>
    <row r="45" spans="1:7" ht="33.950000000000003" customHeight="1" x14ac:dyDescent="0.25">
      <c r="A45" s="8" t="s">
        <v>5537</v>
      </c>
      <c r="B45" s="8" t="s">
        <v>5538</v>
      </c>
      <c r="C45" s="8" t="s">
        <v>356</v>
      </c>
      <c r="D45" s="8" t="s">
        <v>5539</v>
      </c>
      <c r="E45" s="8"/>
      <c r="F45" s="8" t="s">
        <v>5421</v>
      </c>
      <c r="G45" s="8" t="s">
        <v>5422</v>
      </c>
    </row>
    <row r="46" spans="1:7" ht="33.950000000000003" customHeight="1" x14ac:dyDescent="0.25">
      <c r="A46" s="8" t="s">
        <v>5540</v>
      </c>
      <c r="B46" s="8" t="s">
        <v>5538</v>
      </c>
      <c r="C46" s="8" t="s">
        <v>356</v>
      </c>
      <c r="D46" s="8" t="s">
        <v>5541</v>
      </c>
      <c r="E46" s="8"/>
      <c r="F46" s="8" t="s">
        <v>5421</v>
      </c>
      <c r="G46" s="8" t="s">
        <v>5422</v>
      </c>
    </row>
    <row r="47" spans="1:7" ht="36.950000000000003" customHeight="1" x14ac:dyDescent="0.25">
      <c r="A47" s="8" t="s">
        <v>5542</v>
      </c>
      <c r="B47" s="8" t="s">
        <v>5543</v>
      </c>
      <c r="C47" s="8" t="s">
        <v>356</v>
      </c>
      <c r="D47" s="8" t="s">
        <v>5544</v>
      </c>
      <c r="E47" s="8"/>
      <c r="F47" s="8" t="s">
        <v>5421</v>
      </c>
      <c r="G47" s="8" t="s">
        <v>5422</v>
      </c>
    </row>
    <row r="48" spans="1:7" ht="33.950000000000003" customHeight="1" x14ac:dyDescent="0.25">
      <c r="A48" s="8" t="s">
        <v>5545</v>
      </c>
      <c r="B48" s="8" t="s">
        <v>5535</v>
      </c>
      <c r="C48" s="8" t="s">
        <v>356</v>
      </c>
      <c r="D48" s="8" t="s">
        <v>5546</v>
      </c>
      <c r="E48" s="8"/>
      <c r="F48" s="8" t="s">
        <v>5421</v>
      </c>
      <c r="G48" s="8" t="s">
        <v>5422</v>
      </c>
    </row>
    <row r="49" spans="1:7" ht="33.950000000000003" customHeight="1" x14ac:dyDescent="0.25">
      <c r="A49" s="8" t="s">
        <v>5547</v>
      </c>
      <c r="B49" s="8" t="s">
        <v>5548</v>
      </c>
      <c r="C49" s="8" t="s">
        <v>356</v>
      </c>
      <c r="D49" s="8" t="s">
        <v>5549</v>
      </c>
      <c r="E49" s="8"/>
      <c r="F49" s="8" t="s">
        <v>5421</v>
      </c>
      <c r="G49" s="8" t="s">
        <v>5422</v>
      </c>
    </row>
    <row r="50" spans="1:7" ht="36.950000000000003" customHeight="1" x14ac:dyDescent="0.25">
      <c r="A50" s="8" t="s">
        <v>3912</v>
      </c>
      <c r="B50" s="8" t="s">
        <v>5550</v>
      </c>
      <c r="C50" s="8" t="s">
        <v>356</v>
      </c>
      <c r="D50" s="8" t="s">
        <v>5551</v>
      </c>
      <c r="E50" s="8"/>
      <c r="F50" s="8" t="s">
        <v>5421</v>
      </c>
      <c r="G50" s="8" t="s">
        <v>5552</v>
      </c>
    </row>
    <row r="51" spans="1:7" ht="36.950000000000003" customHeight="1" x14ac:dyDescent="0.25">
      <c r="A51" s="8" t="s">
        <v>3913</v>
      </c>
      <c r="B51" s="8" t="s">
        <v>5553</v>
      </c>
      <c r="C51" s="8" t="s">
        <v>356</v>
      </c>
      <c r="D51" s="8" t="s">
        <v>5554</v>
      </c>
      <c r="E51" s="8"/>
      <c r="F51" s="8" t="s">
        <v>5421</v>
      </c>
      <c r="G51" s="8" t="s">
        <v>5552</v>
      </c>
    </row>
    <row r="52" spans="1:7" ht="36.950000000000003" customHeight="1" x14ac:dyDescent="0.25">
      <c r="A52" s="8" t="s">
        <v>5555</v>
      </c>
      <c r="B52" s="8" t="s">
        <v>5550</v>
      </c>
      <c r="C52" s="8" t="s">
        <v>356</v>
      </c>
      <c r="D52" s="8" t="s">
        <v>5556</v>
      </c>
      <c r="E52" s="8"/>
      <c r="F52" s="8" t="s">
        <v>5421</v>
      </c>
      <c r="G52" s="8" t="s">
        <v>5552</v>
      </c>
    </row>
    <row r="53" spans="1:7" ht="36.950000000000003" customHeight="1" x14ac:dyDescent="0.25">
      <c r="A53" s="8" t="s">
        <v>5557</v>
      </c>
      <c r="B53" s="8" t="s">
        <v>5558</v>
      </c>
      <c r="C53" s="8" t="s">
        <v>356</v>
      </c>
      <c r="D53" s="8" t="s">
        <v>5559</v>
      </c>
      <c r="E53" s="8"/>
      <c r="F53" s="8" t="s">
        <v>5421</v>
      </c>
      <c r="G53" s="8" t="s">
        <v>5552</v>
      </c>
    </row>
    <row r="54" spans="1:7" ht="36.950000000000003" customHeight="1" x14ac:dyDescent="0.25">
      <c r="A54" s="8" t="s">
        <v>5560</v>
      </c>
      <c r="B54" s="8" t="s">
        <v>5553</v>
      </c>
      <c r="C54" s="8" t="s">
        <v>356</v>
      </c>
      <c r="D54" s="8" t="s">
        <v>5561</v>
      </c>
      <c r="E54" s="8"/>
      <c r="F54" s="8" t="s">
        <v>5421</v>
      </c>
      <c r="G54" s="8" t="s">
        <v>5552</v>
      </c>
    </row>
    <row r="55" spans="1:7" ht="33.950000000000003" customHeight="1" x14ac:dyDescent="0.25">
      <c r="A55" s="8" t="s">
        <v>5562</v>
      </c>
      <c r="B55" s="8" t="s">
        <v>5553</v>
      </c>
      <c r="C55" s="8" t="s">
        <v>356</v>
      </c>
      <c r="D55" s="8" t="s">
        <v>5563</v>
      </c>
      <c r="E55" s="8"/>
      <c r="F55" s="8" t="s">
        <v>5421</v>
      </c>
      <c r="G55" s="8" t="s">
        <v>5552</v>
      </c>
    </row>
    <row r="56" spans="1:7" ht="36.950000000000003" customHeight="1" x14ac:dyDescent="0.25">
      <c r="A56" s="8" t="s">
        <v>5564</v>
      </c>
      <c r="B56" s="8" t="s">
        <v>5553</v>
      </c>
      <c r="C56" s="8" t="s">
        <v>356</v>
      </c>
      <c r="D56" s="8" t="s">
        <v>5565</v>
      </c>
      <c r="E56" s="8"/>
      <c r="F56" s="8" t="s">
        <v>5421</v>
      </c>
      <c r="G56" s="8" t="s">
        <v>5552</v>
      </c>
    </row>
    <row r="57" spans="1:7" ht="36.950000000000003" customHeight="1" x14ac:dyDescent="0.25">
      <c r="A57" s="8" t="s">
        <v>5566</v>
      </c>
      <c r="B57" s="8" t="s">
        <v>5513</v>
      </c>
      <c r="C57" s="8" t="s">
        <v>5418</v>
      </c>
      <c r="D57" s="8" t="s">
        <v>5567</v>
      </c>
      <c r="E57" s="8" t="s">
        <v>5568</v>
      </c>
      <c r="F57" s="8" t="s">
        <v>65</v>
      </c>
      <c r="G57" s="8" t="s">
        <v>5422</v>
      </c>
    </row>
    <row r="58" spans="1:7" ht="33.950000000000003" customHeight="1" x14ac:dyDescent="0.25">
      <c r="A58" s="8" t="s">
        <v>5569</v>
      </c>
      <c r="B58" s="8" t="s">
        <v>5513</v>
      </c>
      <c r="C58" s="8" t="s">
        <v>5418</v>
      </c>
      <c r="D58" s="8" t="s">
        <v>5570</v>
      </c>
      <c r="E58" s="8" t="s">
        <v>4040</v>
      </c>
      <c r="F58" s="8" t="s">
        <v>3741</v>
      </c>
      <c r="G58" s="8" t="s">
        <v>5422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8354A"/>
    <outlinePr summaryBelow="0" summaryRight="0"/>
    <pageSetUpPr fitToPage="1"/>
  </sheetPr>
  <dimension ref="A1:S2905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4" width="27" customWidth="1"/>
    <col min="5" max="5" width="29" customWidth="1"/>
    <col min="6" max="7" width="27" customWidth="1"/>
    <col min="8" max="9" width="29" customWidth="1"/>
    <col min="10" max="15" width="27" customWidth="1"/>
    <col min="16" max="16" width="52" customWidth="1"/>
    <col min="17" max="18" width="61" customWidth="1"/>
    <col min="19" max="19" width="60" hidden="1" customWidth="1"/>
  </cols>
  <sheetData>
    <row r="1" spans="1:19" ht="42.95" customHeight="1" x14ac:dyDescent="0.25">
      <c r="A1" s="7" t="s">
        <v>338</v>
      </c>
      <c r="B1" s="7" t="s">
        <v>5363</v>
      </c>
      <c r="C1" s="7" t="s">
        <v>5365</v>
      </c>
      <c r="D1" s="7" t="s">
        <v>5367</v>
      </c>
      <c r="E1" s="7" t="s">
        <v>5369</v>
      </c>
      <c r="F1" s="7" t="s">
        <v>5371</v>
      </c>
      <c r="G1" s="7" t="s">
        <v>5373</v>
      </c>
      <c r="H1" s="7" t="s">
        <v>5375</v>
      </c>
      <c r="I1" s="7" t="s">
        <v>327</v>
      </c>
      <c r="J1" s="7" t="s">
        <v>5378</v>
      </c>
      <c r="K1" s="7" t="s">
        <v>5380</v>
      </c>
      <c r="L1" s="7" t="s">
        <v>5382</v>
      </c>
      <c r="M1" s="7" t="s">
        <v>5384</v>
      </c>
      <c r="N1" s="7" t="s">
        <v>5386</v>
      </c>
      <c r="O1" s="7" t="s">
        <v>5388</v>
      </c>
      <c r="P1" s="7" t="s">
        <v>5390</v>
      </c>
      <c r="Q1" s="7" t="s">
        <v>5392</v>
      </c>
      <c r="R1" s="7" t="s">
        <v>5394</v>
      </c>
      <c r="S1" s="7" t="s">
        <v>5396</v>
      </c>
    </row>
    <row r="2" spans="1:19" ht="93" customHeight="1" x14ac:dyDescent="0.25">
      <c r="A2" s="8" t="s">
        <v>1795</v>
      </c>
      <c r="B2" s="8" t="s">
        <v>5571</v>
      </c>
      <c r="C2" s="8" t="s">
        <v>5572</v>
      </c>
      <c r="D2" s="10">
        <v>2</v>
      </c>
      <c r="E2" s="8" t="s">
        <v>1789</v>
      </c>
      <c r="F2" s="8" t="s">
        <v>1790</v>
      </c>
      <c r="G2" s="8" t="s">
        <v>98</v>
      </c>
      <c r="H2" s="8" t="s">
        <v>1789</v>
      </c>
      <c r="I2" s="8"/>
      <c r="J2" s="8"/>
      <c r="K2" s="8"/>
      <c r="L2" s="15" t="s">
        <v>1685</v>
      </c>
      <c r="M2" s="8" t="s">
        <v>5573</v>
      </c>
      <c r="N2" s="15" t="s">
        <v>1685</v>
      </c>
      <c r="O2" s="8" t="s">
        <v>5574</v>
      </c>
      <c r="P2" s="11" t="s">
        <v>3268</v>
      </c>
      <c r="Q2" s="8" t="s">
        <v>5575</v>
      </c>
      <c r="R2" s="8" t="s">
        <v>5576</v>
      </c>
      <c r="S2" s="8" t="s">
        <v>5577</v>
      </c>
    </row>
    <row r="3" spans="1:19" ht="107.1" customHeight="1" x14ac:dyDescent="0.25">
      <c r="A3" s="8" t="s">
        <v>1801</v>
      </c>
      <c r="B3" s="8" t="s">
        <v>5571</v>
      </c>
      <c r="C3" s="8" t="s">
        <v>5572</v>
      </c>
      <c r="D3" s="10">
        <v>3</v>
      </c>
      <c r="E3" s="8" t="s">
        <v>1796</v>
      </c>
      <c r="F3" s="8" t="s">
        <v>1797</v>
      </c>
      <c r="G3" s="8" t="s">
        <v>98</v>
      </c>
      <c r="H3" s="8" t="s">
        <v>1796</v>
      </c>
      <c r="I3" s="8"/>
      <c r="J3" s="8"/>
      <c r="K3" s="8"/>
      <c r="L3" s="15" t="s">
        <v>1685</v>
      </c>
      <c r="M3" s="8" t="s">
        <v>5578</v>
      </c>
      <c r="N3" s="8"/>
      <c r="O3" s="8" t="s">
        <v>5574</v>
      </c>
      <c r="P3" s="11" t="s">
        <v>3374</v>
      </c>
      <c r="Q3" s="8" t="s">
        <v>5575</v>
      </c>
      <c r="R3" s="8" t="s">
        <v>5576</v>
      </c>
      <c r="S3" s="8" t="s">
        <v>5579</v>
      </c>
    </row>
    <row r="4" spans="1:19" ht="107.1" customHeight="1" x14ac:dyDescent="0.25">
      <c r="A4" s="8" t="s">
        <v>1810</v>
      </c>
      <c r="B4" s="8" t="s">
        <v>5571</v>
      </c>
      <c r="C4" s="8" t="s">
        <v>5572</v>
      </c>
      <c r="D4" s="10">
        <v>4</v>
      </c>
      <c r="E4" s="8" t="s">
        <v>1802</v>
      </c>
      <c r="F4" s="8" t="s">
        <v>1803</v>
      </c>
      <c r="G4" s="8" t="s">
        <v>98</v>
      </c>
      <c r="H4" s="8" t="s">
        <v>1802</v>
      </c>
      <c r="I4" s="8"/>
      <c r="J4" s="8"/>
      <c r="K4" s="8"/>
      <c r="L4" s="15" t="s">
        <v>1685</v>
      </c>
      <c r="M4" s="8" t="s">
        <v>5578</v>
      </c>
      <c r="N4" s="8"/>
      <c r="O4" s="8" t="s">
        <v>5574</v>
      </c>
      <c r="P4" s="11" t="s">
        <v>3376</v>
      </c>
      <c r="Q4" s="8" t="s">
        <v>5575</v>
      </c>
      <c r="R4" s="8" t="s">
        <v>5576</v>
      </c>
      <c r="S4" s="8" t="s">
        <v>5580</v>
      </c>
    </row>
    <row r="5" spans="1:19" ht="107.1" customHeight="1" x14ac:dyDescent="0.25">
      <c r="A5" s="8" t="s">
        <v>1816</v>
      </c>
      <c r="B5" s="8" t="s">
        <v>5571</v>
      </c>
      <c r="C5" s="8" t="s">
        <v>5572</v>
      </c>
      <c r="D5" s="10">
        <v>5</v>
      </c>
      <c r="E5" s="8" t="s">
        <v>1811</v>
      </c>
      <c r="F5" s="8" t="s">
        <v>1812</v>
      </c>
      <c r="G5" s="8" t="s">
        <v>98</v>
      </c>
      <c r="H5" s="8" t="s">
        <v>1811</v>
      </c>
      <c r="I5" s="8"/>
      <c r="J5" s="8"/>
      <c r="K5" s="8"/>
      <c r="L5" s="15" t="s">
        <v>1685</v>
      </c>
      <c r="M5" s="8" t="s">
        <v>5578</v>
      </c>
      <c r="N5" s="8"/>
      <c r="O5" s="8" t="s">
        <v>5574</v>
      </c>
      <c r="P5" s="11" t="s">
        <v>3377</v>
      </c>
      <c r="Q5" s="8" t="s">
        <v>5575</v>
      </c>
      <c r="R5" s="8" t="s">
        <v>5576</v>
      </c>
      <c r="S5" s="8" t="s">
        <v>5581</v>
      </c>
    </row>
    <row r="6" spans="1:19" ht="120.95" customHeight="1" x14ac:dyDescent="0.25">
      <c r="A6" s="8" t="s">
        <v>1825</v>
      </c>
      <c r="B6" s="8" t="s">
        <v>5571</v>
      </c>
      <c r="C6" s="8" t="s">
        <v>5572</v>
      </c>
      <c r="D6" s="10">
        <v>6</v>
      </c>
      <c r="E6" s="8" t="s">
        <v>1817</v>
      </c>
      <c r="F6" s="8" t="s">
        <v>1818</v>
      </c>
      <c r="G6" s="8" t="s">
        <v>98</v>
      </c>
      <c r="H6" s="8" t="s">
        <v>1817</v>
      </c>
      <c r="I6" s="8"/>
      <c r="J6" s="8"/>
      <c r="K6" s="8"/>
      <c r="L6" s="15" t="s">
        <v>1685</v>
      </c>
      <c r="M6" s="8" t="s">
        <v>5573</v>
      </c>
      <c r="N6" s="15" t="s">
        <v>1685</v>
      </c>
      <c r="O6" s="8" t="s">
        <v>5574</v>
      </c>
      <c r="P6" s="11" t="s">
        <v>3282</v>
      </c>
      <c r="Q6" s="8" t="s">
        <v>5575</v>
      </c>
      <c r="R6" s="8" t="s">
        <v>5576</v>
      </c>
      <c r="S6" s="8" t="s">
        <v>5582</v>
      </c>
    </row>
    <row r="7" spans="1:19" ht="107.1" customHeight="1" x14ac:dyDescent="0.25">
      <c r="A7" s="8" t="s">
        <v>1830</v>
      </c>
      <c r="B7" s="8" t="s">
        <v>5571</v>
      </c>
      <c r="C7" s="8" t="s">
        <v>5572</v>
      </c>
      <c r="D7" s="10">
        <v>7</v>
      </c>
      <c r="E7" s="8" t="s">
        <v>1826</v>
      </c>
      <c r="F7" s="8" t="s">
        <v>1827</v>
      </c>
      <c r="G7" s="8" t="s">
        <v>98</v>
      </c>
      <c r="H7" s="8" t="s">
        <v>1826</v>
      </c>
      <c r="I7" s="8"/>
      <c r="J7" s="8"/>
      <c r="K7" s="8"/>
      <c r="L7" s="15" t="s">
        <v>1685</v>
      </c>
      <c r="M7" s="8" t="s">
        <v>5578</v>
      </c>
      <c r="N7" s="8"/>
      <c r="O7" s="8" t="s">
        <v>5574</v>
      </c>
      <c r="P7" s="11" t="s">
        <v>3378</v>
      </c>
      <c r="Q7" s="8" t="s">
        <v>5575</v>
      </c>
      <c r="R7" s="8" t="s">
        <v>5576</v>
      </c>
      <c r="S7" s="8" t="s">
        <v>5583</v>
      </c>
    </row>
    <row r="8" spans="1:19" ht="107.1" customHeight="1" x14ac:dyDescent="0.25">
      <c r="A8" s="8" t="s">
        <v>1837</v>
      </c>
      <c r="B8" s="8" t="s">
        <v>5571</v>
      </c>
      <c r="C8" s="8" t="s">
        <v>5572</v>
      </c>
      <c r="D8" s="10">
        <v>8</v>
      </c>
      <c r="E8" s="8" t="s">
        <v>1831</v>
      </c>
      <c r="F8" s="8" t="s">
        <v>1832</v>
      </c>
      <c r="G8" s="8" t="s">
        <v>98</v>
      </c>
      <c r="H8" s="8" t="s">
        <v>1831</v>
      </c>
      <c r="I8" s="8"/>
      <c r="J8" s="8"/>
      <c r="K8" s="8"/>
      <c r="L8" s="15" t="s">
        <v>1685</v>
      </c>
      <c r="M8" s="8" t="s">
        <v>5578</v>
      </c>
      <c r="N8" s="8"/>
      <c r="O8" s="8" t="s">
        <v>5574</v>
      </c>
      <c r="P8" s="11" t="s">
        <v>3379</v>
      </c>
      <c r="Q8" s="8" t="s">
        <v>5575</v>
      </c>
      <c r="R8" s="8" t="s">
        <v>5576</v>
      </c>
      <c r="S8" s="8" t="s">
        <v>5584</v>
      </c>
    </row>
    <row r="9" spans="1:19" ht="120.95" customHeight="1" x14ac:dyDescent="0.25">
      <c r="A9" s="8" t="s">
        <v>1845</v>
      </c>
      <c r="B9" s="8" t="s">
        <v>5571</v>
      </c>
      <c r="C9" s="8" t="s">
        <v>5572</v>
      </c>
      <c r="D9" s="10">
        <v>9</v>
      </c>
      <c r="E9" s="8" t="s">
        <v>1838</v>
      </c>
      <c r="F9" s="8" t="s">
        <v>1839</v>
      </c>
      <c r="G9" s="8" t="s">
        <v>98</v>
      </c>
      <c r="H9" s="8" t="s">
        <v>1838</v>
      </c>
      <c r="I9" s="8"/>
      <c r="J9" s="8"/>
      <c r="K9" s="8"/>
      <c r="L9" s="15" t="s">
        <v>1685</v>
      </c>
      <c r="M9" s="8" t="s">
        <v>5578</v>
      </c>
      <c r="N9" s="8"/>
      <c r="O9" s="8" t="s">
        <v>5574</v>
      </c>
      <c r="P9" s="11" t="s">
        <v>3380</v>
      </c>
      <c r="Q9" s="8" t="s">
        <v>5575</v>
      </c>
      <c r="R9" s="8" t="s">
        <v>5576</v>
      </c>
      <c r="S9" s="8" t="s">
        <v>5585</v>
      </c>
    </row>
    <row r="10" spans="1:19" ht="107.1" customHeight="1" x14ac:dyDescent="0.25">
      <c r="A10" s="8" t="s">
        <v>1851</v>
      </c>
      <c r="B10" s="8" t="s">
        <v>5571</v>
      </c>
      <c r="C10" s="8" t="s">
        <v>5572</v>
      </c>
      <c r="D10" s="10">
        <v>10</v>
      </c>
      <c r="E10" s="8" t="s">
        <v>1846</v>
      </c>
      <c r="F10" s="8" t="s">
        <v>1847</v>
      </c>
      <c r="G10" s="8" t="s">
        <v>98</v>
      </c>
      <c r="H10" s="8" t="s">
        <v>1846</v>
      </c>
      <c r="I10" s="8"/>
      <c r="J10" s="8"/>
      <c r="K10" s="8"/>
      <c r="L10" s="15" t="s">
        <v>1685</v>
      </c>
      <c r="M10" s="8" t="s">
        <v>5578</v>
      </c>
      <c r="N10" s="8"/>
      <c r="O10" s="8" t="s">
        <v>5574</v>
      </c>
      <c r="P10" s="11" t="s">
        <v>3381</v>
      </c>
      <c r="Q10" s="8" t="s">
        <v>5575</v>
      </c>
      <c r="R10" s="8" t="s">
        <v>5576</v>
      </c>
      <c r="S10" s="8" t="s">
        <v>5586</v>
      </c>
    </row>
    <row r="11" spans="1:19" ht="93" customHeight="1" x14ac:dyDescent="0.25">
      <c r="A11" s="8" t="s">
        <v>1856</v>
      </c>
      <c r="B11" s="8" t="s">
        <v>5571</v>
      </c>
      <c r="C11" s="8" t="s">
        <v>5572</v>
      </c>
      <c r="D11" s="10">
        <v>11</v>
      </c>
      <c r="E11" s="8" t="s">
        <v>1852</v>
      </c>
      <c r="F11" s="8" t="s">
        <v>1853</v>
      </c>
      <c r="G11" s="8" t="s">
        <v>98</v>
      </c>
      <c r="H11" s="8" t="s">
        <v>1852</v>
      </c>
      <c r="I11" s="8"/>
      <c r="J11" s="8"/>
      <c r="K11" s="8"/>
      <c r="L11" s="15" t="s">
        <v>1685</v>
      </c>
      <c r="M11" s="8" t="s">
        <v>5578</v>
      </c>
      <c r="N11" s="8"/>
      <c r="O11" s="8" t="s">
        <v>5574</v>
      </c>
      <c r="P11" s="11" t="s">
        <v>3382</v>
      </c>
      <c r="Q11" s="8" t="s">
        <v>5587</v>
      </c>
      <c r="R11" s="8" t="s">
        <v>5576</v>
      </c>
      <c r="S11" s="8" t="s">
        <v>5588</v>
      </c>
    </row>
    <row r="12" spans="1:19" ht="107.1" customHeight="1" x14ac:dyDescent="0.25">
      <c r="A12" s="8" t="s">
        <v>1863</v>
      </c>
      <c r="B12" s="8" t="s">
        <v>5571</v>
      </c>
      <c r="C12" s="8" t="s">
        <v>5572</v>
      </c>
      <c r="D12" s="10">
        <v>12</v>
      </c>
      <c r="E12" s="8" t="s">
        <v>1857</v>
      </c>
      <c r="F12" s="8" t="s">
        <v>1858</v>
      </c>
      <c r="G12" s="8" t="s">
        <v>98</v>
      </c>
      <c r="H12" s="8" t="s">
        <v>1857</v>
      </c>
      <c r="I12" s="8"/>
      <c r="J12" s="8"/>
      <c r="K12" s="8"/>
      <c r="L12" s="15" t="s">
        <v>1685</v>
      </c>
      <c r="M12" s="8" t="s">
        <v>5578</v>
      </c>
      <c r="N12" s="8"/>
      <c r="O12" s="8" t="s">
        <v>5574</v>
      </c>
      <c r="P12" s="11" t="s">
        <v>3383</v>
      </c>
      <c r="Q12" s="8" t="s">
        <v>5587</v>
      </c>
      <c r="R12" s="8" t="s">
        <v>5576</v>
      </c>
      <c r="S12" s="8" t="s">
        <v>5589</v>
      </c>
    </row>
    <row r="13" spans="1:19" ht="93" customHeight="1" x14ac:dyDescent="0.25">
      <c r="A13" s="8" t="s">
        <v>1871</v>
      </c>
      <c r="B13" s="8" t="s">
        <v>5571</v>
      </c>
      <c r="C13" s="8" t="s">
        <v>5572</v>
      </c>
      <c r="D13" s="10">
        <v>13</v>
      </c>
      <c r="E13" s="8" t="s">
        <v>1864</v>
      </c>
      <c r="F13" s="8" t="s">
        <v>1865</v>
      </c>
      <c r="G13" s="8" t="s">
        <v>98</v>
      </c>
      <c r="H13" s="8" t="s">
        <v>1864</v>
      </c>
      <c r="I13" s="8"/>
      <c r="J13" s="8"/>
      <c r="K13" s="8"/>
      <c r="L13" s="15" t="s">
        <v>1685</v>
      </c>
      <c r="M13" s="8" t="s">
        <v>5578</v>
      </c>
      <c r="N13" s="8"/>
      <c r="O13" s="8" t="s">
        <v>5574</v>
      </c>
      <c r="P13" s="11" t="s">
        <v>3384</v>
      </c>
      <c r="Q13" s="8" t="s">
        <v>5587</v>
      </c>
      <c r="R13" s="8" t="s">
        <v>5576</v>
      </c>
      <c r="S13" s="8" t="s">
        <v>5590</v>
      </c>
    </row>
    <row r="14" spans="1:19" ht="107.1" customHeight="1" x14ac:dyDescent="0.25">
      <c r="A14" s="8" t="s">
        <v>1878</v>
      </c>
      <c r="B14" s="8" t="s">
        <v>5571</v>
      </c>
      <c r="C14" s="8" t="s">
        <v>5572</v>
      </c>
      <c r="D14" s="10">
        <v>14</v>
      </c>
      <c r="E14" s="8" t="s">
        <v>1872</v>
      </c>
      <c r="F14" s="8" t="s">
        <v>1873</v>
      </c>
      <c r="G14" s="8" t="s">
        <v>98</v>
      </c>
      <c r="H14" s="8" t="s">
        <v>1872</v>
      </c>
      <c r="I14" s="8"/>
      <c r="J14" s="8"/>
      <c r="K14" s="8"/>
      <c r="L14" s="15" t="s">
        <v>1685</v>
      </c>
      <c r="M14" s="8" t="s">
        <v>5573</v>
      </c>
      <c r="N14" s="15" t="s">
        <v>1685</v>
      </c>
      <c r="O14" s="8" t="s">
        <v>5574</v>
      </c>
      <c r="P14" s="11" t="s">
        <v>3291</v>
      </c>
      <c r="Q14" s="8" t="s">
        <v>5575</v>
      </c>
      <c r="R14" s="8" t="s">
        <v>5576</v>
      </c>
      <c r="S14" s="8" t="s">
        <v>5591</v>
      </c>
    </row>
    <row r="15" spans="1:19" ht="107.1" customHeight="1" x14ac:dyDescent="0.25">
      <c r="A15" s="8" t="s">
        <v>1882</v>
      </c>
      <c r="B15" s="8" t="s">
        <v>5571</v>
      </c>
      <c r="C15" s="8" t="s">
        <v>5572</v>
      </c>
      <c r="D15" s="10">
        <v>15</v>
      </c>
      <c r="E15" s="8" t="s">
        <v>1879</v>
      </c>
      <c r="F15" s="8" t="s">
        <v>1880</v>
      </c>
      <c r="G15" s="8" t="s">
        <v>98</v>
      </c>
      <c r="H15" s="8" t="s">
        <v>1879</v>
      </c>
      <c r="I15" s="8"/>
      <c r="J15" s="8"/>
      <c r="K15" s="8"/>
      <c r="L15" s="15" t="s">
        <v>1685</v>
      </c>
      <c r="M15" s="8" t="s">
        <v>5578</v>
      </c>
      <c r="N15" s="8"/>
      <c r="O15" s="8" t="s">
        <v>5574</v>
      </c>
      <c r="P15" s="11" t="s">
        <v>3387</v>
      </c>
      <c r="Q15" s="8" t="s">
        <v>5575</v>
      </c>
      <c r="R15" s="8" t="s">
        <v>5576</v>
      </c>
      <c r="S15" s="8" t="s">
        <v>5592</v>
      </c>
    </row>
    <row r="16" spans="1:19" ht="107.1" customHeight="1" x14ac:dyDescent="0.25">
      <c r="A16" s="8" t="s">
        <v>1887</v>
      </c>
      <c r="B16" s="8" t="s">
        <v>5571</v>
      </c>
      <c r="C16" s="8" t="s">
        <v>5572</v>
      </c>
      <c r="D16" s="10">
        <v>16</v>
      </c>
      <c r="E16" s="8" t="s">
        <v>1883</v>
      </c>
      <c r="F16" s="8" t="s">
        <v>1884</v>
      </c>
      <c r="G16" s="8" t="s">
        <v>98</v>
      </c>
      <c r="H16" s="8" t="s">
        <v>1883</v>
      </c>
      <c r="I16" s="8"/>
      <c r="J16" s="8"/>
      <c r="K16" s="8"/>
      <c r="L16" s="15" t="s">
        <v>1685</v>
      </c>
      <c r="M16" s="8" t="s">
        <v>5573</v>
      </c>
      <c r="N16" s="15" t="s">
        <v>1685</v>
      </c>
      <c r="O16" s="8" t="s">
        <v>5574</v>
      </c>
      <c r="P16" s="11" t="s">
        <v>3278</v>
      </c>
      <c r="Q16" s="8" t="s">
        <v>5575</v>
      </c>
      <c r="R16" s="8" t="s">
        <v>5576</v>
      </c>
      <c r="S16" s="8" t="s">
        <v>5593</v>
      </c>
    </row>
    <row r="17" spans="1:19" ht="107.1" customHeight="1" x14ac:dyDescent="0.25">
      <c r="A17" s="8" t="s">
        <v>1893</v>
      </c>
      <c r="B17" s="8" t="s">
        <v>5571</v>
      </c>
      <c r="C17" s="8" t="s">
        <v>5572</v>
      </c>
      <c r="D17" s="10">
        <v>17</v>
      </c>
      <c r="E17" s="8" t="s">
        <v>1888</v>
      </c>
      <c r="F17" s="8" t="s">
        <v>1889</v>
      </c>
      <c r="G17" s="8" t="s">
        <v>98</v>
      </c>
      <c r="H17" s="8" t="s">
        <v>1888</v>
      </c>
      <c r="I17" s="8"/>
      <c r="J17" s="8"/>
      <c r="K17" s="8"/>
      <c r="L17" s="15" t="s">
        <v>1685</v>
      </c>
      <c r="M17" s="8" t="s">
        <v>5578</v>
      </c>
      <c r="N17" s="8"/>
      <c r="O17" s="8" t="s">
        <v>5574</v>
      </c>
      <c r="P17" s="11" t="s">
        <v>3388</v>
      </c>
      <c r="Q17" s="8" t="s">
        <v>5575</v>
      </c>
      <c r="R17" s="8" t="s">
        <v>5576</v>
      </c>
      <c r="S17" s="8" t="s">
        <v>5594</v>
      </c>
    </row>
    <row r="18" spans="1:19" ht="107.1" customHeight="1" x14ac:dyDescent="0.25">
      <c r="A18" s="8" t="s">
        <v>1901</v>
      </c>
      <c r="B18" s="8" t="s">
        <v>5571</v>
      </c>
      <c r="C18" s="8" t="s">
        <v>5572</v>
      </c>
      <c r="D18" s="10">
        <v>18</v>
      </c>
      <c r="E18" s="8" t="s">
        <v>1894</v>
      </c>
      <c r="F18" s="8" t="s">
        <v>1895</v>
      </c>
      <c r="G18" s="8" t="s">
        <v>98</v>
      </c>
      <c r="H18" s="8" t="s">
        <v>1894</v>
      </c>
      <c r="I18" s="8"/>
      <c r="J18" s="8"/>
      <c r="K18" s="8"/>
      <c r="L18" s="15" t="s">
        <v>1685</v>
      </c>
      <c r="M18" s="8" t="s">
        <v>5578</v>
      </c>
      <c r="N18" s="8"/>
      <c r="O18" s="8" t="s">
        <v>5574</v>
      </c>
      <c r="P18" s="11" t="s">
        <v>3389</v>
      </c>
      <c r="Q18" s="8" t="s">
        <v>5575</v>
      </c>
      <c r="R18" s="8" t="s">
        <v>5576</v>
      </c>
      <c r="S18" s="8" t="s">
        <v>5595</v>
      </c>
    </row>
    <row r="19" spans="1:19" ht="93" customHeight="1" x14ac:dyDescent="0.25">
      <c r="A19" s="8" t="s">
        <v>1907</v>
      </c>
      <c r="B19" s="8" t="s">
        <v>5571</v>
      </c>
      <c r="C19" s="8" t="s">
        <v>5572</v>
      </c>
      <c r="D19" s="10">
        <v>19</v>
      </c>
      <c r="E19" s="8" t="s">
        <v>1902</v>
      </c>
      <c r="F19" s="8" t="s">
        <v>1903</v>
      </c>
      <c r="G19" s="8" t="s">
        <v>98</v>
      </c>
      <c r="H19" s="8" t="s">
        <v>1902</v>
      </c>
      <c r="I19" s="8"/>
      <c r="J19" s="8"/>
      <c r="K19" s="8"/>
      <c r="L19" s="15" t="s">
        <v>1685</v>
      </c>
      <c r="M19" s="8" t="s">
        <v>5578</v>
      </c>
      <c r="N19" s="8"/>
      <c r="O19" s="8" t="s">
        <v>5574</v>
      </c>
      <c r="P19" s="11" t="s">
        <v>3390</v>
      </c>
      <c r="Q19" s="8" t="s">
        <v>5587</v>
      </c>
      <c r="R19" s="8" t="s">
        <v>5576</v>
      </c>
      <c r="S19" s="8" t="s">
        <v>5596</v>
      </c>
    </row>
    <row r="20" spans="1:19" ht="107.1" customHeight="1" x14ac:dyDescent="0.25">
      <c r="A20" s="8" t="s">
        <v>1911</v>
      </c>
      <c r="B20" s="8" t="s">
        <v>5571</v>
      </c>
      <c r="C20" s="8" t="s">
        <v>5572</v>
      </c>
      <c r="D20" s="10">
        <v>20</v>
      </c>
      <c r="E20" s="8" t="s">
        <v>1908</v>
      </c>
      <c r="F20" s="8" t="s">
        <v>1909</v>
      </c>
      <c r="G20" s="8" t="s">
        <v>98</v>
      </c>
      <c r="H20" s="8" t="s">
        <v>1908</v>
      </c>
      <c r="I20" s="8"/>
      <c r="J20" s="8"/>
      <c r="K20" s="8"/>
      <c r="L20" s="15" t="s">
        <v>1685</v>
      </c>
      <c r="M20" s="8" t="s">
        <v>5578</v>
      </c>
      <c r="N20" s="8"/>
      <c r="O20" s="8" t="s">
        <v>5574</v>
      </c>
      <c r="P20" s="11" t="s">
        <v>3391</v>
      </c>
      <c r="Q20" s="8" t="s">
        <v>5575</v>
      </c>
      <c r="R20" s="8" t="s">
        <v>5576</v>
      </c>
      <c r="S20" s="8" t="s">
        <v>5597</v>
      </c>
    </row>
    <row r="21" spans="1:19" ht="107.1" customHeight="1" x14ac:dyDescent="0.25">
      <c r="A21" s="8" t="s">
        <v>1918</v>
      </c>
      <c r="B21" s="8" t="s">
        <v>5571</v>
      </c>
      <c r="C21" s="8" t="s">
        <v>5572</v>
      </c>
      <c r="D21" s="10">
        <v>21</v>
      </c>
      <c r="E21" s="8" t="s">
        <v>1912</v>
      </c>
      <c r="F21" s="8" t="s">
        <v>1913</v>
      </c>
      <c r="G21" s="8" t="s">
        <v>98</v>
      </c>
      <c r="H21" s="8" t="s">
        <v>1912</v>
      </c>
      <c r="I21" s="8"/>
      <c r="J21" s="8"/>
      <c r="K21" s="8"/>
      <c r="L21" s="15" t="s">
        <v>1685</v>
      </c>
      <c r="M21" s="8" t="s">
        <v>5578</v>
      </c>
      <c r="N21" s="8"/>
      <c r="O21" s="8" t="s">
        <v>5574</v>
      </c>
      <c r="P21" s="11" t="s">
        <v>3392</v>
      </c>
      <c r="Q21" s="8" t="s">
        <v>5575</v>
      </c>
      <c r="R21" s="8" t="s">
        <v>5576</v>
      </c>
      <c r="S21" s="8" t="s">
        <v>5598</v>
      </c>
    </row>
    <row r="22" spans="1:19" ht="107.1" customHeight="1" x14ac:dyDescent="0.25">
      <c r="A22" s="8" t="s">
        <v>1924</v>
      </c>
      <c r="B22" s="8" t="s">
        <v>5571</v>
      </c>
      <c r="C22" s="8" t="s">
        <v>5572</v>
      </c>
      <c r="D22" s="10">
        <v>22</v>
      </c>
      <c r="E22" s="8" t="s">
        <v>1919</v>
      </c>
      <c r="F22" s="8" t="s">
        <v>1920</v>
      </c>
      <c r="G22" s="8" t="s">
        <v>98</v>
      </c>
      <c r="H22" s="8" t="s">
        <v>1919</v>
      </c>
      <c r="I22" s="8"/>
      <c r="J22" s="8"/>
      <c r="K22" s="8"/>
      <c r="L22" s="15" t="s">
        <v>1685</v>
      </c>
      <c r="M22" s="8" t="s">
        <v>5578</v>
      </c>
      <c r="N22" s="8"/>
      <c r="O22" s="8" t="s">
        <v>5574</v>
      </c>
      <c r="P22" s="11" t="s">
        <v>3393</v>
      </c>
      <c r="Q22" s="8" t="s">
        <v>5575</v>
      </c>
      <c r="R22" s="8" t="s">
        <v>5576</v>
      </c>
      <c r="S22" s="8" t="s">
        <v>5599</v>
      </c>
    </row>
    <row r="23" spans="1:19" ht="107.1" customHeight="1" x14ac:dyDescent="0.25">
      <c r="A23" s="8" t="s">
        <v>1930</v>
      </c>
      <c r="B23" s="8" t="s">
        <v>5571</v>
      </c>
      <c r="C23" s="8" t="s">
        <v>5572</v>
      </c>
      <c r="D23" s="10">
        <v>23</v>
      </c>
      <c r="E23" s="8" t="s">
        <v>1925</v>
      </c>
      <c r="F23" s="8" t="s">
        <v>1926</v>
      </c>
      <c r="G23" s="8" t="s">
        <v>98</v>
      </c>
      <c r="H23" s="8" t="s">
        <v>1925</v>
      </c>
      <c r="I23" s="8"/>
      <c r="J23" s="8"/>
      <c r="K23" s="8"/>
      <c r="L23" s="15" t="s">
        <v>1685</v>
      </c>
      <c r="M23" s="8" t="s">
        <v>5578</v>
      </c>
      <c r="N23" s="8"/>
      <c r="O23" s="8" t="s">
        <v>5574</v>
      </c>
      <c r="P23" s="11" t="s">
        <v>3394</v>
      </c>
      <c r="Q23" s="8" t="s">
        <v>5575</v>
      </c>
      <c r="R23" s="8" t="s">
        <v>5576</v>
      </c>
      <c r="S23" s="8" t="s">
        <v>5600</v>
      </c>
    </row>
    <row r="24" spans="1:19" ht="93" customHeight="1" x14ac:dyDescent="0.25">
      <c r="A24" s="8" t="s">
        <v>1936</v>
      </c>
      <c r="B24" s="8" t="s">
        <v>5571</v>
      </c>
      <c r="C24" s="8" t="s">
        <v>5572</v>
      </c>
      <c r="D24" s="10">
        <v>24</v>
      </c>
      <c r="E24" s="8" t="s">
        <v>1931</v>
      </c>
      <c r="F24" s="8" t="s">
        <v>1932</v>
      </c>
      <c r="G24" s="8" t="s">
        <v>98</v>
      </c>
      <c r="H24" s="8" t="s">
        <v>1931</v>
      </c>
      <c r="I24" s="8"/>
      <c r="J24" s="8"/>
      <c r="K24" s="8"/>
      <c r="L24" s="15" t="s">
        <v>1685</v>
      </c>
      <c r="M24" s="8" t="s">
        <v>5578</v>
      </c>
      <c r="N24" s="8"/>
      <c r="O24" s="8" t="s">
        <v>5574</v>
      </c>
      <c r="P24" s="11" t="s">
        <v>3395</v>
      </c>
      <c r="Q24" s="8" t="s">
        <v>5575</v>
      </c>
      <c r="R24" s="8" t="s">
        <v>5576</v>
      </c>
      <c r="S24" s="8" t="s">
        <v>5601</v>
      </c>
    </row>
    <row r="25" spans="1:19" ht="107.1" customHeight="1" x14ac:dyDescent="0.25">
      <c r="A25" s="8" t="s">
        <v>1943</v>
      </c>
      <c r="B25" s="8" t="s">
        <v>5571</v>
      </c>
      <c r="C25" s="8" t="s">
        <v>5572</v>
      </c>
      <c r="D25" s="10">
        <v>25</v>
      </c>
      <c r="E25" s="8" t="s">
        <v>1937</v>
      </c>
      <c r="F25" s="8" t="s">
        <v>1938</v>
      </c>
      <c r="G25" s="8" t="s">
        <v>98</v>
      </c>
      <c r="H25" s="8" t="s">
        <v>1937</v>
      </c>
      <c r="I25" s="8"/>
      <c r="J25" s="8"/>
      <c r="K25" s="8"/>
      <c r="L25" s="15" t="s">
        <v>1685</v>
      </c>
      <c r="M25" s="8" t="s">
        <v>5573</v>
      </c>
      <c r="N25" s="15" t="s">
        <v>1685</v>
      </c>
      <c r="O25" s="8" t="s">
        <v>5574</v>
      </c>
      <c r="P25" s="11" t="s">
        <v>3284</v>
      </c>
      <c r="Q25" s="8" t="s">
        <v>5575</v>
      </c>
      <c r="R25" s="8" t="s">
        <v>5576</v>
      </c>
      <c r="S25" s="8" t="s">
        <v>5602</v>
      </c>
    </row>
    <row r="26" spans="1:19" ht="107.1" customHeight="1" x14ac:dyDescent="0.25">
      <c r="A26" s="8" t="s">
        <v>1951</v>
      </c>
      <c r="B26" s="8" t="s">
        <v>5571</v>
      </c>
      <c r="C26" s="8" t="s">
        <v>5572</v>
      </c>
      <c r="D26" s="10">
        <v>26</v>
      </c>
      <c r="E26" s="8" t="s">
        <v>1944</v>
      </c>
      <c r="F26" s="8" t="s">
        <v>1945</v>
      </c>
      <c r="G26" s="8" t="s">
        <v>98</v>
      </c>
      <c r="H26" s="8" t="s">
        <v>1944</v>
      </c>
      <c r="I26" s="8"/>
      <c r="J26" s="8"/>
      <c r="K26" s="8"/>
      <c r="L26" s="15" t="s">
        <v>1685</v>
      </c>
      <c r="M26" s="8" t="s">
        <v>5573</v>
      </c>
      <c r="N26" s="15" t="s">
        <v>1685</v>
      </c>
      <c r="O26" s="8" t="s">
        <v>5574</v>
      </c>
      <c r="P26" s="11" t="s">
        <v>3286</v>
      </c>
      <c r="Q26" s="8" t="s">
        <v>5575</v>
      </c>
      <c r="R26" s="8" t="s">
        <v>5576</v>
      </c>
      <c r="S26" s="8" t="s">
        <v>5603</v>
      </c>
    </row>
    <row r="27" spans="1:19" ht="107.1" customHeight="1" x14ac:dyDescent="0.25">
      <c r="A27" s="8" t="s">
        <v>1956</v>
      </c>
      <c r="B27" s="8" t="s">
        <v>5571</v>
      </c>
      <c r="C27" s="8" t="s">
        <v>5572</v>
      </c>
      <c r="D27" s="10">
        <v>27</v>
      </c>
      <c r="E27" s="8" t="s">
        <v>1952</v>
      </c>
      <c r="F27" s="8" t="s">
        <v>1953</v>
      </c>
      <c r="G27" s="8" t="s">
        <v>98</v>
      </c>
      <c r="H27" s="8" t="s">
        <v>1952</v>
      </c>
      <c r="I27" s="8"/>
      <c r="J27" s="8"/>
      <c r="K27" s="8"/>
      <c r="L27" s="15" t="s">
        <v>1685</v>
      </c>
      <c r="M27" s="8" t="s">
        <v>5578</v>
      </c>
      <c r="N27" s="8"/>
      <c r="O27" s="8" t="s">
        <v>5574</v>
      </c>
      <c r="P27" s="11" t="s">
        <v>3396</v>
      </c>
      <c r="Q27" s="8" t="s">
        <v>5575</v>
      </c>
      <c r="R27" s="8" t="s">
        <v>5576</v>
      </c>
      <c r="S27" s="8" t="s">
        <v>5604</v>
      </c>
    </row>
    <row r="28" spans="1:19" ht="107.1" customHeight="1" x14ac:dyDescent="0.25">
      <c r="A28" s="8" t="s">
        <v>1964</v>
      </c>
      <c r="B28" s="8" t="s">
        <v>5571</v>
      </c>
      <c r="C28" s="8" t="s">
        <v>5572</v>
      </c>
      <c r="D28" s="10">
        <v>28</v>
      </c>
      <c r="E28" s="8" t="s">
        <v>1957</v>
      </c>
      <c r="F28" s="8" t="s">
        <v>1958</v>
      </c>
      <c r="G28" s="8" t="s">
        <v>98</v>
      </c>
      <c r="H28" s="8" t="s">
        <v>1957</v>
      </c>
      <c r="I28" s="8"/>
      <c r="J28" s="8"/>
      <c r="K28" s="8"/>
      <c r="L28" s="15" t="s">
        <v>1685</v>
      </c>
      <c r="M28" s="8" t="s">
        <v>5605</v>
      </c>
      <c r="N28" s="15" t="s">
        <v>1685</v>
      </c>
      <c r="O28" s="8" t="s">
        <v>5574</v>
      </c>
      <c r="P28" s="11" t="s">
        <v>3397</v>
      </c>
      <c r="Q28" s="8" t="s">
        <v>5575</v>
      </c>
      <c r="R28" s="8" t="s">
        <v>5576</v>
      </c>
      <c r="S28" s="8" t="s">
        <v>5606</v>
      </c>
    </row>
    <row r="29" spans="1:19" ht="93" customHeight="1" x14ac:dyDescent="0.25">
      <c r="A29" s="8" t="s">
        <v>1970</v>
      </c>
      <c r="B29" s="8" t="s">
        <v>5571</v>
      </c>
      <c r="C29" s="8" t="s">
        <v>5572</v>
      </c>
      <c r="D29" s="10">
        <v>29</v>
      </c>
      <c r="E29" s="8" t="s">
        <v>1965</v>
      </c>
      <c r="F29" s="8" t="s">
        <v>1966</v>
      </c>
      <c r="G29" s="8" t="s">
        <v>98</v>
      </c>
      <c r="H29" s="8" t="s">
        <v>1965</v>
      </c>
      <c r="I29" s="8"/>
      <c r="J29" s="8"/>
      <c r="K29" s="8"/>
      <c r="L29" s="15" t="s">
        <v>1685</v>
      </c>
      <c r="M29" s="8" t="s">
        <v>5578</v>
      </c>
      <c r="N29" s="8"/>
      <c r="O29" s="8" t="s">
        <v>5574</v>
      </c>
      <c r="P29" s="11" t="s">
        <v>3399</v>
      </c>
      <c r="Q29" s="8" t="s">
        <v>5575</v>
      </c>
      <c r="R29" s="8" t="s">
        <v>5576</v>
      </c>
      <c r="S29" s="8" t="s">
        <v>5607</v>
      </c>
    </row>
    <row r="30" spans="1:19" ht="107.1" customHeight="1" x14ac:dyDescent="0.25">
      <c r="A30" s="8" t="s">
        <v>1976</v>
      </c>
      <c r="B30" s="8" t="s">
        <v>5571</v>
      </c>
      <c r="C30" s="8" t="s">
        <v>5572</v>
      </c>
      <c r="D30" s="10">
        <v>30</v>
      </c>
      <c r="E30" s="8" t="s">
        <v>1971</v>
      </c>
      <c r="F30" s="8" t="s">
        <v>1972</v>
      </c>
      <c r="G30" s="8" t="s">
        <v>98</v>
      </c>
      <c r="H30" s="8" t="s">
        <v>1971</v>
      </c>
      <c r="I30" s="8"/>
      <c r="J30" s="8"/>
      <c r="K30" s="8"/>
      <c r="L30" s="15" t="s">
        <v>1685</v>
      </c>
      <c r="M30" s="8" t="s">
        <v>5578</v>
      </c>
      <c r="N30" s="8"/>
      <c r="O30" s="8" t="s">
        <v>5574</v>
      </c>
      <c r="P30" s="11" t="s">
        <v>3400</v>
      </c>
      <c r="Q30" s="8" t="s">
        <v>5575</v>
      </c>
      <c r="R30" s="8" t="s">
        <v>5576</v>
      </c>
      <c r="S30" s="8" t="s">
        <v>5608</v>
      </c>
    </row>
    <row r="31" spans="1:19" ht="107.1" customHeight="1" x14ac:dyDescent="0.25">
      <c r="A31" s="8" t="s">
        <v>1981</v>
      </c>
      <c r="B31" s="8" t="s">
        <v>5571</v>
      </c>
      <c r="C31" s="8" t="s">
        <v>5572</v>
      </c>
      <c r="D31" s="10">
        <v>31</v>
      </c>
      <c r="E31" s="8" t="s">
        <v>1977</v>
      </c>
      <c r="F31" s="8" t="s">
        <v>1978</v>
      </c>
      <c r="G31" s="8" t="s">
        <v>98</v>
      </c>
      <c r="H31" s="8" t="s">
        <v>1977</v>
      </c>
      <c r="I31" s="8"/>
      <c r="J31" s="8"/>
      <c r="K31" s="8"/>
      <c r="L31" s="15" t="s">
        <v>1685</v>
      </c>
      <c r="M31" s="8" t="s">
        <v>5578</v>
      </c>
      <c r="N31" s="8"/>
      <c r="O31" s="8" t="s">
        <v>5574</v>
      </c>
      <c r="P31" s="11" t="s">
        <v>3401</v>
      </c>
      <c r="Q31" s="8" t="s">
        <v>5575</v>
      </c>
      <c r="R31" s="8" t="s">
        <v>5576</v>
      </c>
      <c r="S31" s="8" t="s">
        <v>5609</v>
      </c>
    </row>
    <row r="32" spans="1:19" ht="107.1" customHeight="1" x14ac:dyDescent="0.25">
      <c r="A32" s="8" t="s">
        <v>1987</v>
      </c>
      <c r="B32" s="8" t="s">
        <v>5571</v>
      </c>
      <c r="C32" s="8" t="s">
        <v>5572</v>
      </c>
      <c r="D32" s="10">
        <v>32</v>
      </c>
      <c r="E32" s="8" t="s">
        <v>1982</v>
      </c>
      <c r="F32" s="8" t="s">
        <v>1983</v>
      </c>
      <c r="G32" s="8" t="s">
        <v>98</v>
      </c>
      <c r="H32" s="8" t="s">
        <v>1982</v>
      </c>
      <c r="I32" s="8"/>
      <c r="J32" s="8"/>
      <c r="K32" s="8"/>
      <c r="L32" s="15" t="s">
        <v>1685</v>
      </c>
      <c r="M32" s="8" t="s">
        <v>5578</v>
      </c>
      <c r="N32" s="8"/>
      <c r="O32" s="8" t="s">
        <v>5574</v>
      </c>
      <c r="P32" s="11" t="s">
        <v>3402</v>
      </c>
      <c r="Q32" s="8" t="s">
        <v>5575</v>
      </c>
      <c r="R32" s="8" t="s">
        <v>5576</v>
      </c>
      <c r="S32" s="8" t="s">
        <v>5610</v>
      </c>
    </row>
    <row r="33" spans="1:19" ht="93" customHeight="1" x14ac:dyDescent="0.25">
      <c r="A33" s="8" t="s">
        <v>1994</v>
      </c>
      <c r="B33" s="8" t="s">
        <v>5571</v>
      </c>
      <c r="C33" s="8" t="s">
        <v>5572</v>
      </c>
      <c r="D33" s="10">
        <v>33</v>
      </c>
      <c r="E33" s="8" t="s">
        <v>1988</v>
      </c>
      <c r="F33" s="8" t="s">
        <v>1989</v>
      </c>
      <c r="G33" s="8" t="s">
        <v>98</v>
      </c>
      <c r="H33" s="8" t="s">
        <v>1988</v>
      </c>
      <c r="I33" s="8"/>
      <c r="J33" s="8"/>
      <c r="K33" s="8"/>
      <c r="L33" s="15" t="s">
        <v>1685</v>
      </c>
      <c r="M33" s="8" t="s">
        <v>5578</v>
      </c>
      <c r="N33" s="8"/>
      <c r="O33" s="8" t="s">
        <v>5574</v>
      </c>
      <c r="P33" s="11" t="s">
        <v>3403</v>
      </c>
      <c r="Q33" s="8" t="s">
        <v>5575</v>
      </c>
      <c r="R33" s="8" t="s">
        <v>5576</v>
      </c>
      <c r="S33" s="8" t="s">
        <v>5611</v>
      </c>
    </row>
    <row r="34" spans="1:19" ht="107.1" customHeight="1" x14ac:dyDescent="0.25">
      <c r="A34" s="8" t="s">
        <v>1999</v>
      </c>
      <c r="B34" s="8" t="s">
        <v>5571</v>
      </c>
      <c r="C34" s="8" t="s">
        <v>5572</v>
      </c>
      <c r="D34" s="10">
        <v>34</v>
      </c>
      <c r="E34" s="8" t="s">
        <v>1995</v>
      </c>
      <c r="F34" s="8" t="s">
        <v>1996</v>
      </c>
      <c r="G34" s="8" t="s">
        <v>98</v>
      </c>
      <c r="H34" s="8" t="s">
        <v>1995</v>
      </c>
      <c r="I34" s="8"/>
      <c r="J34" s="8"/>
      <c r="K34" s="8"/>
      <c r="L34" s="15" t="s">
        <v>1685</v>
      </c>
      <c r="M34" s="8" t="s">
        <v>5578</v>
      </c>
      <c r="N34" s="8"/>
      <c r="O34" s="8" t="s">
        <v>5574</v>
      </c>
      <c r="P34" s="11" t="s">
        <v>3404</v>
      </c>
      <c r="Q34" s="8" t="s">
        <v>5575</v>
      </c>
      <c r="R34" s="8" t="s">
        <v>5576</v>
      </c>
      <c r="S34" s="8" t="s">
        <v>5612</v>
      </c>
    </row>
    <row r="35" spans="1:19" ht="93" customHeight="1" x14ac:dyDescent="0.25">
      <c r="A35" s="8" t="s">
        <v>2004</v>
      </c>
      <c r="B35" s="8" t="s">
        <v>5571</v>
      </c>
      <c r="C35" s="8" t="s">
        <v>5572</v>
      </c>
      <c r="D35" s="10">
        <v>35</v>
      </c>
      <c r="E35" s="8" t="s">
        <v>2000</v>
      </c>
      <c r="F35" s="8" t="s">
        <v>2001</v>
      </c>
      <c r="G35" s="8" t="s">
        <v>98</v>
      </c>
      <c r="H35" s="8" t="s">
        <v>2000</v>
      </c>
      <c r="I35" s="8"/>
      <c r="J35" s="8"/>
      <c r="K35" s="8"/>
      <c r="L35" s="15" t="s">
        <v>1685</v>
      </c>
      <c r="M35" s="8" t="s">
        <v>5578</v>
      </c>
      <c r="N35" s="8"/>
      <c r="O35" s="8" t="s">
        <v>5574</v>
      </c>
      <c r="P35" s="11" t="s">
        <v>3405</v>
      </c>
      <c r="Q35" s="8" t="s">
        <v>5575</v>
      </c>
      <c r="R35" s="8" t="s">
        <v>5576</v>
      </c>
      <c r="S35" s="8" t="s">
        <v>5613</v>
      </c>
    </row>
    <row r="36" spans="1:19" ht="120.95" customHeight="1" x14ac:dyDescent="0.25">
      <c r="A36" s="8" t="s">
        <v>2009</v>
      </c>
      <c r="B36" s="8" t="s">
        <v>5571</v>
      </c>
      <c r="C36" s="8" t="s">
        <v>5572</v>
      </c>
      <c r="D36" s="10">
        <v>36</v>
      </c>
      <c r="E36" s="8" t="s">
        <v>2005</v>
      </c>
      <c r="F36" s="8" t="s">
        <v>2006</v>
      </c>
      <c r="G36" s="8" t="s">
        <v>98</v>
      </c>
      <c r="H36" s="8" t="s">
        <v>2005</v>
      </c>
      <c r="I36" s="8"/>
      <c r="J36" s="8"/>
      <c r="K36" s="8"/>
      <c r="L36" s="15" t="s">
        <v>1685</v>
      </c>
      <c r="M36" s="8" t="s">
        <v>5578</v>
      </c>
      <c r="N36" s="8"/>
      <c r="O36" s="8" t="s">
        <v>5574</v>
      </c>
      <c r="P36" s="11" t="s">
        <v>3406</v>
      </c>
      <c r="Q36" s="8" t="s">
        <v>5575</v>
      </c>
      <c r="R36" s="8" t="s">
        <v>5576</v>
      </c>
      <c r="S36" s="8" t="s">
        <v>5614</v>
      </c>
    </row>
    <row r="37" spans="1:19" ht="93" customHeight="1" x14ac:dyDescent="0.25">
      <c r="A37" s="8" t="s">
        <v>2014</v>
      </c>
      <c r="B37" s="8" t="s">
        <v>5571</v>
      </c>
      <c r="C37" s="8" t="s">
        <v>5572</v>
      </c>
      <c r="D37" s="10">
        <v>37</v>
      </c>
      <c r="E37" s="8" t="s">
        <v>2010</v>
      </c>
      <c r="F37" s="8" t="s">
        <v>2011</v>
      </c>
      <c r="G37" s="8" t="s">
        <v>98</v>
      </c>
      <c r="H37" s="8" t="s">
        <v>2010</v>
      </c>
      <c r="I37" s="8"/>
      <c r="J37" s="8"/>
      <c r="K37" s="8"/>
      <c r="L37" s="15" t="s">
        <v>1685</v>
      </c>
      <c r="M37" s="8" t="s">
        <v>5578</v>
      </c>
      <c r="N37" s="8"/>
      <c r="O37" s="8" t="s">
        <v>5574</v>
      </c>
      <c r="P37" s="11" t="s">
        <v>3407</v>
      </c>
      <c r="Q37" s="8" t="s">
        <v>5575</v>
      </c>
      <c r="R37" s="8" t="s">
        <v>5576</v>
      </c>
      <c r="S37" s="8" t="s">
        <v>5615</v>
      </c>
    </row>
    <row r="38" spans="1:19" ht="93" customHeight="1" x14ac:dyDescent="0.25">
      <c r="A38" s="8" t="s">
        <v>2019</v>
      </c>
      <c r="B38" s="8" t="s">
        <v>5571</v>
      </c>
      <c r="C38" s="8" t="s">
        <v>5572</v>
      </c>
      <c r="D38" s="10">
        <v>38</v>
      </c>
      <c r="E38" s="8" t="s">
        <v>2015</v>
      </c>
      <c r="F38" s="8" t="s">
        <v>2016</v>
      </c>
      <c r="G38" s="8" t="s">
        <v>98</v>
      </c>
      <c r="H38" s="8" t="s">
        <v>2015</v>
      </c>
      <c r="I38" s="8"/>
      <c r="J38" s="8"/>
      <c r="K38" s="8"/>
      <c r="L38" s="15" t="s">
        <v>1685</v>
      </c>
      <c r="M38" s="8" t="s">
        <v>5578</v>
      </c>
      <c r="N38" s="8"/>
      <c r="O38" s="8" t="s">
        <v>5574</v>
      </c>
      <c r="P38" s="11" t="s">
        <v>3408</v>
      </c>
      <c r="Q38" s="8" t="s">
        <v>5575</v>
      </c>
      <c r="R38" s="8" t="s">
        <v>5576</v>
      </c>
      <c r="S38" s="8" t="s">
        <v>5616</v>
      </c>
    </row>
    <row r="39" spans="1:19" ht="107.1" customHeight="1" x14ac:dyDescent="0.25">
      <c r="A39" s="8" t="s">
        <v>2024</v>
      </c>
      <c r="B39" s="8" t="s">
        <v>5571</v>
      </c>
      <c r="C39" s="8" t="s">
        <v>5572</v>
      </c>
      <c r="D39" s="10">
        <v>39</v>
      </c>
      <c r="E39" s="8" t="s">
        <v>2020</v>
      </c>
      <c r="F39" s="8" t="s">
        <v>2021</v>
      </c>
      <c r="G39" s="8" t="s">
        <v>98</v>
      </c>
      <c r="H39" s="8" t="s">
        <v>2020</v>
      </c>
      <c r="I39" s="8"/>
      <c r="J39" s="8"/>
      <c r="K39" s="8"/>
      <c r="L39" s="15" t="s">
        <v>1685</v>
      </c>
      <c r="M39" s="8" t="s">
        <v>5578</v>
      </c>
      <c r="N39" s="8"/>
      <c r="O39" s="8" t="s">
        <v>5574</v>
      </c>
      <c r="P39" s="11" t="s">
        <v>3409</v>
      </c>
      <c r="Q39" s="8" t="s">
        <v>5575</v>
      </c>
      <c r="R39" s="8" t="s">
        <v>5576</v>
      </c>
      <c r="S39" s="8" t="s">
        <v>5617</v>
      </c>
    </row>
    <row r="40" spans="1:19" ht="93" customHeight="1" x14ac:dyDescent="0.25">
      <c r="A40" s="8" t="s">
        <v>2029</v>
      </c>
      <c r="B40" s="8" t="s">
        <v>5571</v>
      </c>
      <c r="C40" s="8" t="s">
        <v>5572</v>
      </c>
      <c r="D40" s="10">
        <v>40</v>
      </c>
      <c r="E40" s="8" t="s">
        <v>2025</v>
      </c>
      <c r="F40" s="8" t="s">
        <v>2026</v>
      </c>
      <c r="G40" s="8" t="s">
        <v>98</v>
      </c>
      <c r="H40" s="8" t="s">
        <v>2025</v>
      </c>
      <c r="I40" s="8"/>
      <c r="J40" s="8"/>
      <c r="K40" s="8"/>
      <c r="L40" s="15" t="s">
        <v>1685</v>
      </c>
      <c r="M40" s="8" t="s">
        <v>5578</v>
      </c>
      <c r="N40" s="8"/>
      <c r="O40" s="8" t="s">
        <v>5574</v>
      </c>
      <c r="P40" s="11" t="s">
        <v>3410</v>
      </c>
      <c r="Q40" s="8" t="s">
        <v>5575</v>
      </c>
      <c r="R40" s="8" t="s">
        <v>5576</v>
      </c>
      <c r="S40" s="8" t="s">
        <v>5618</v>
      </c>
    </row>
    <row r="41" spans="1:19" ht="93" customHeight="1" x14ac:dyDescent="0.25">
      <c r="A41" s="8" t="s">
        <v>2034</v>
      </c>
      <c r="B41" s="8" t="s">
        <v>5571</v>
      </c>
      <c r="C41" s="8" t="s">
        <v>5572</v>
      </c>
      <c r="D41" s="10">
        <v>41</v>
      </c>
      <c r="E41" s="8" t="s">
        <v>2030</v>
      </c>
      <c r="F41" s="8" t="s">
        <v>2031</v>
      </c>
      <c r="G41" s="8" t="s">
        <v>98</v>
      </c>
      <c r="H41" s="8" t="s">
        <v>2030</v>
      </c>
      <c r="I41" s="8"/>
      <c r="J41" s="8"/>
      <c r="K41" s="8"/>
      <c r="L41" s="15" t="s">
        <v>1685</v>
      </c>
      <c r="M41" s="8" t="s">
        <v>5578</v>
      </c>
      <c r="N41" s="8"/>
      <c r="O41" s="8" t="s">
        <v>5574</v>
      </c>
      <c r="P41" s="11" t="s">
        <v>3411</v>
      </c>
      <c r="Q41" s="8" t="s">
        <v>5575</v>
      </c>
      <c r="R41" s="8" t="s">
        <v>5576</v>
      </c>
      <c r="S41" s="8" t="s">
        <v>5619</v>
      </c>
    </row>
    <row r="42" spans="1:19" ht="93" customHeight="1" x14ac:dyDescent="0.25">
      <c r="A42" s="8" t="s">
        <v>2040</v>
      </c>
      <c r="B42" s="8" t="s">
        <v>5571</v>
      </c>
      <c r="C42" s="8" t="s">
        <v>5572</v>
      </c>
      <c r="D42" s="10">
        <v>42</v>
      </c>
      <c r="E42" s="8" t="s">
        <v>2035</v>
      </c>
      <c r="F42" s="8" t="s">
        <v>2036</v>
      </c>
      <c r="G42" s="8" t="s">
        <v>98</v>
      </c>
      <c r="H42" s="8" t="s">
        <v>2035</v>
      </c>
      <c r="I42" s="8"/>
      <c r="J42" s="8"/>
      <c r="K42" s="8"/>
      <c r="L42" s="15" t="s">
        <v>1685</v>
      </c>
      <c r="M42" s="8" t="s">
        <v>5573</v>
      </c>
      <c r="N42" s="15" t="s">
        <v>1685</v>
      </c>
      <c r="O42" s="8" t="s">
        <v>5574</v>
      </c>
      <c r="P42" s="11" t="s">
        <v>3288</v>
      </c>
      <c r="Q42" s="8" t="s">
        <v>5575</v>
      </c>
      <c r="R42" s="8" t="s">
        <v>5576</v>
      </c>
      <c r="S42" s="8" t="s">
        <v>5620</v>
      </c>
    </row>
    <row r="43" spans="1:19" ht="93" customHeight="1" x14ac:dyDescent="0.25">
      <c r="A43" s="8" t="s">
        <v>2045</v>
      </c>
      <c r="B43" s="8" t="s">
        <v>5571</v>
      </c>
      <c r="C43" s="8" t="s">
        <v>5572</v>
      </c>
      <c r="D43" s="10">
        <v>43</v>
      </c>
      <c r="E43" s="8" t="s">
        <v>2041</v>
      </c>
      <c r="F43" s="8" t="s">
        <v>2042</v>
      </c>
      <c r="G43" s="8" t="s">
        <v>98</v>
      </c>
      <c r="H43" s="8" t="s">
        <v>2041</v>
      </c>
      <c r="I43" s="8"/>
      <c r="J43" s="8"/>
      <c r="K43" s="8"/>
      <c r="L43" s="15" t="s">
        <v>1685</v>
      </c>
      <c r="M43" s="8" t="s">
        <v>5578</v>
      </c>
      <c r="N43" s="8"/>
      <c r="O43" s="8" t="s">
        <v>5574</v>
      </c>
      <c r="P43" s="11" t="s">
        <v>3412</v>
      </c>
      <c r="Q43" s="8" t="s">
        <v>5575</v>
      </c>
      <c r="R43" s="8" t="s">
        <v>5576</v>
      </c>
      <c r="S43" s="8" t="s">
        <v>5621</v>
      </c>
    </row>
    <row r="44" spans="1:19" ht="93" customHeight="1" x14ac:dyDescent="0.25">
      <c r="A44" s="8" t="s">
        <v>2050</v>
      </c>
      <c r="B44" s="8" t="s">
        <v>5571</v>
      </c>
      <c r="C44" s="8" t="s">
        <v>5572</v>
      </c>
      <c r="D44" s="10">
        <v>44</v>
      </c>
      <c r="E44" s="8" t="s">
        <v>2046</v>
      </c>
      <c r="F44" s="8" t="s">
        <v>2047</v>
      </c>
      <c r="G44" s="8" t="s">
        <v>98</v>
      </c>
      <c r="H44" s="8" t="s">
        <v>2046</v>
      </c>
      <c r="I44" s="8"/>
      <c r="J44" s="8"/>
      <c r="K44" s="8"/>
      <c r="L44" s="15" t="s">
        <v>1685</v>
      </c>
      <c r="M44" s="8" t="s">
        <v>5578</v>
      </c>
      <c r="N44" s="8"/>
      <c r="O44" s="8" t="s">
        <v>5574</v>
      </c>
      <c r="P44" s="11" t="s">
        <v>3413</v>
      </c>
      <c r="Q44" s="8" t="s">
        <v>5575</v>
      </c>
      <c r="R44" s="8" t="s">
        <v>5576</v>
      </c>
      <c r="S44" s="8" t="s">
        <v>5622</v>
      </c>
    </row>
    <row r="45" spans="1:19" ht="93" customHeight="1" x14ac:dyDescent="0.25">
      <c r="A45" s="8" t="s">
        <v>2055</v>
      </c>
      <c r="B45" s="8" t="s">
        <v>5571</v>
      </c>
      <c r="C45" s="8" t="s">
        <v>5572</v>
      </c>
      <c r="D45" s="10">
        <v>45</v>
      </c>
      <c r="E45" s="8" t="s">
        <v>2051</v>
      </c>
      <c r="F45" s="8" t="s">
        <v>2052</v>
      </c>
      <c r="G45" s="8" t="s">
        <v>98</v>
      </c>
      <c r="H45" s="8" t="s">
        <v>2051</v>
      </c>
      <c r="I45" s="8"/>
      <c r="J45" s="8"/>
      <c r="K45" s="8"/>
      <c r="L45" s="15" t="s">
        <v>1685</v>
      </c>
      <c r="M45" s="8" t="s">
        <v>5578</v>
      </c>
      <c r="N45" s="8"/>
      <c r="O45" s="8" t="s">
        <v>5574</v>
      </c>
      <c r="P45" s="11" t="s">
        <v>3414</v>
      </c>
      <c r="Q45" s="8" t="s">
        <v>5575</v>
      </c>
      <c r="R45" s="8" t="s">
        <v>5576</v>
      </c>
      <c r="S45" s="8" t="s">
        <v>5623</v>
      </c>
    </row>
    <row r="46" spans="1:19" ht="93" customHeight="1" x14ac:dyDescent="0.25">
      <c r="A46" s="8" t="s">
        <v>2060</v>
      </c>
      <c r="B46" s="8" t="s">
        <v>5571</v>
      </c>
      <c r="C46" s="8" t="s">
        <v>5572</v>
      </c>
      <c r="D46" s="10">
        <v>46</v>
      </c>
      <c r="E46" s="8" t="s">
        <v>2056</v>
      </c>
      <c r="F46" s="8" t="s">
        <v>2057</v>
      </c>
      <c r="G46" s="8" t="s">
        <v>98</v>
      </c>
      <c r="H46" s="8" t="s">
        <v>2056</v>
      </c>
      <c r="I46" s="8"/>
      <c r="J46" s="8"/>
      <c r="K46" s="8"/>
      <c r="L46" s="15" t="s">
        <v>1685</v>
      </c>
      <c r="M46" s="8" t="s">
        <v>5578</v>
      </c>
      <c r="N46" s="8"/>
      <c r="O46" s="8" t="s">
        <v>5574</v>
      </c>
      <c r="P46" s="11" t="s">
        <v>3415</v>
      </c>
      <c r="Q46" s="8" t="s">
        <v>5575</v>
      </c>
      <c r="R46" s="8" t="s">
        <v>5576</v>
      </c>
      <c r="S46" s="8" t="s">
        <v>5624</v>
      </c>
    </row>
    <row r="47" spans="1:19" ht="93" customHeight="1" x14ac:dyDescent="0.25">
      <c r="A47" s="8" t="s">
        <v>2065</v>
      </c>
      <c r="B47" s="8" t="s">
        <v>5571</v>
      </c>
      <c r="C47" s="8" t="s">
        <v>5572</v>
      </c>
      <c r="D47" s="10">
        <v>47</v>
      </c>
      <c r="E47" s="8" t="s">
        <v>2061</v>
      </c>
      <c r="F47" s="8" t="s">
        <v>2062</v>
      </c>
      <c r="G47" s="8" t="s">
        <v>98</v>
      </c>
      <c r="H47" s="8" t="s">
        <v>2061</v>
      </c>
      <c r="I47" s="8"/>
      <c r="J47" s="8"/>
      <c r="K47" s="8"/>
      <c r="L47" s="15" t="s">
        <v>1685</v>
      </c>
      <c r="M47" s="8" t="s">
        <v>5578</v>
      </c>
      <c r="N47" s="8"/>
      <c r="O47" s="8" t="s">
        <v>5574</v>
      </c>
      <c r="P47" s="11" t="s">
        <v>3416</v>
      </c>
      <c r="Q47" s="8" t="s">
        <v>5575</v>
      </c>
      <c r="R47" s="8" t="s">
        <v>5576</v>
      </c>
      <c r="S47" s="8" t="s">
        <v>5625</v>
      </c>
    </row>
    <row r="48" spans="1:19" ht="93" customHeight="1" x14ac:dyDescent="0.25">
      <c r="A48" s="8" t="s">
        <v>2070</v>
      </c>
      <c r="B48" s="8" t="s">
        <v>5571</v>
      </c>
      <c r="C48" s="8" t="s">
        <v>5572</v>
      </c>
      <c r="D48" s="10">
        <v>48</v>
      </c>
      <c r="E48" s="8" t="s">
        <v>2066</v>
      </c>
      <c r="F48" s="8" t="s">
        <v>2067</v>
      </c>
      <c r="G48" s="8" t="s">
        <v>98</v>
      </c>
      <c r="H48" s="8" t="s">
        <v>2066</v>
      </c>
      <c r="I48" s="8"/>
      <c r="J48" s="8"/>
      <c r="K48" s="8"/>
      <c r="L48" s="15" t="s">
        <v>1685</v>
      </c>
      <c r="M48" s="8" t="s">
        <v>5578</v>
      </c>
      <c r="N48" s="8"/>
      <c r="O48" s="8" t="s">
        <v>5574</v>
      </c>
      <c r="P48" s="11" t="s">
        <v>3417</v>
      </c>
      <c r="Q48" s="8" t="s">
        <v>5575</v>
      </c>
      <c r="R48" s="8" t="s">
        <v>5576</v>
      </c>
      <c r="S48" s="8" t="s">
        <v>5626</v>
      </c>
    </row>
    <row r="49" spans="1:19" ht="93" customHeight="1" x14ac:dyDescent="0.25">
      <c r="A49" s="8" t="s">
        <v>2076</v>
      </c>
      <c r="B49" s="8" t="s">
        <v>5571</v>
      </c>
      <c r="C49" s="8" t="s">
        <v>5572</v>
      </c>
      <c r="D49" s="10">
        <v>49</v>
      </c>
      <c r="E49" s="8" t="s">
        <v>2071</v>
      </c>
      <c r="F49" s="8" t="s">
        <v>2072</v>
      </c>
      <c r="G49" s="8" t="s">
        <v>98</v>
      </c>
      <c r="H49" s="8" t="s">
        <v>2071</v>
      </c>
      <c r="I49" s="8"/>
      <c r="J49" s="8"/>
      <c r="K49" s="8"/>
      <c r="L49" s="15" t="s">
        <v>1685</v>
      </c>
      <c r="M49" s="8" t="s">
        <v>5578</v>
      </c>
      <c r="N49" s="8"/>
      <c r="O49" s="8" t="s">
        <v>5574</v>
      </c>
      <c r="P49" s="11" t="s">
        <v>3418</v>
      </c>
      <c r="Q49" s="8" t="s">
        <v>5587</v>
      </c>
      <c r="R49" s="8" t="s">
        <v>5576</v>
      </c>
      <c r="S49" s="8" t="s">
        <v>5627</v>
      </c>
    </row>
    <row r="50" spans="1:19" ht="120.95" customHeight="1" x14ac:dyDescent="0.25">
      <c r="A50" s="8" t="s">
        <v>2084</v>
      </c>
      <c r="B50" s="8" t="s">
        <v>5571</v>
      </c>
      <c r="C50" s="8" t="s">
        <v>5572</v>
      </c>
      <c r="D50" s="10">
        <v>50</v>
      </c>
      <c r="E50" s="8" t="s">
        <v>2077</v>
      </c>
      <c r="F50" s="8" t="s">
        <v>3420</v>
      </c>
      <c r="G50" s="8" t="s">
        <v>98</v>
      </c>
      <c r="H50" s="8" t="s">
        <v>2077</v>
      </c>
      <c r="I50" s="8"/>
      <c r="J50" s="8"/>
      <c r="K50" s="8"/>
      <c r="L50" s="15" t="s">
        <v>1685</v>
      </c>
      <c r="M50" s="8" t="s">
        <v>5605</v>
      </c>
      <c r="N50" s="15" t="s">
        <v>1685</v>
      </c>
      <c r="O50" s="8" t="s">
        <v>5574</v>
      </c>
      <c r="P50" s="11" t="s">
        <v>3421</v>
      </c>
      <c r="Q50" s="8" t="s">
        <v>5575</v>
      </c>
      <c r="R50" s="8" t="s">
        <v>5576</v>
      </c>
      <c r="S50" s="8" t="s">
        <v>5628</v>
      </c>
    </row>
    <row r="51" spans="1:19" ht="120.95" customHeight="1" x14ac:dyDescent="0.25">
      <c r="A51" s="8" t="s">
        <v>2091</v>
      </c>
      <c r="B51" s="8" t="s">
        <v>5571</v>
      </c>
      <c r="C51" s="8" t="s">
        <v>5572</v>
      </c>
      <c r="D51" s="10">
        <v>51</v>
      </c>
      <c r="E51" s="8" t="s">
        <v>2085</v>
      </c>
      <c r="F51" s="8" t="s">
        <v>2086</v>
      </c>
      <c r="G51" s="8" t="s">
        <v>98</v>
      </c>
      <c r="H51" s="8" t="s">
        <v>2085</v>
      </c>
      <c r="I51" s="8"/>
      <c r="J51" s="8"/>
      <c r="K51" s="8"/>
      <c r="L51" s="15" t="s">
        <v>1685</v>
      </c>
      <c r="M51" s="8" t="s">
        <v>5573</v>
      </c>
      <c r="N51" s="15" t="s">
        <v>1685</v>
      </c>
      <c r="O51" s="8" t="s">
        <v>5574</v>
      </c>
      <c r="P51" s="11" t="s">
        <v>3289</v>
      </c>
      <c r="Q51" s="8" t="s">
        <v>5575</v>
      </c>
      <c r="R51" s="8" t="s">
        <v>5576</v>
      </c>
      <c r="S51" s="8" t="s">
        <v>5629</v>
      </c>
    </row>
    <row r="52" spans="1:19" ht="150" customHeight="1" x14ac:dyDescent="0.25">
      <c r="A52" s="8" t="s">
        <v>2220</v>
      </c>
      <c r="B52" s="8" t="s">
        <v>5630</v>
      </c>
      <c r="C52" s="8" t="s">
        <v>5631</v>
      </c>
      <c r="D52" s="10">
        <v>6</v>
      </c>
      <c r="E52" s="8" t="s">
        <v>2211</v>
      </c>
      <c r="F52" s="8" t="s">
        <v>2984</v>
      </c>
      <c r="G52" s="8" t="s">
        <v>104</v>
      </c>
      <c r="H52" s="8" t="s">
        <v>2211</v>
      </c>
      <c r="I52" s="8" t="s">
        <v>566</v>
      </c>
      <c r="J52" s="8"/>
      <c r="K52" s="15" t="s">
        <v>1685</v>
      </c>
      <c r="L52" s="15" t="s">
        <v>1685</v>
      </c>
      <c r="M52" s="8" t="s">
        <v>5573</v>
      </c>
      <c r="N52" s="15" t="s">
        <v>1685</v>
      </c>
      <c r="O52" s="8" t="s">
        <v>5574</v>
      </c>
      <c r="P52" s="11" t="s">
        <v>3324</v>
      </c>
      <c r="Q52" s="8"/>
      <c r="R52" s="8" t="s">
        <v>5632</v>
      </c>
      <c r="S52" s="8" t="s">
        <v>5633</v>
      </c>
    </row>
    <row r="53" spans="1:19" ht="150" customHeight="1" x14ac:dyDescent="0.25">
      <c r="A53" s="8" t="s">
        <v>2226</v>
      </c>
      <c r="B53" s="8" t="s">
        <v>5630</v>
      </c>
      <c r="C53" s="8" t="s">
        <v>5631</v>
      </c>
      <c r="D53" s="10">
        <v>7</v>
      </c>
      <c r="E53" s="8" t="s">
        <v>2221</v>
      </c>
      <c r="F53" s="8" t="s">
        <v>3054</v>
      </c>
      <c r="G53" s="8" t="s">
        <v>104</v>
      </c>
      <c r="H53" s="8" t="s">
        <v>2221</v>
      </c>
      <c r="I53" s="8" t="s">
        <v>490</v>
      </c>
      <c r="J53" s="8"/>
      <c r="K53" s="15" t="s">
        <v>1685</v>
      </c>
      <c r="L53" s="15" t="s">
        <v>1685</v>
      </c>
      <c r="M53" s="8" t="s">
        <v>5578</v>
      </c>
      <c r="N53" s="8"/>
      <c r="O53" s="8" t="s">
        <v>5574</v>
      </c>
      <c r="P53" s="11" t="s">
        <v>3426</v>
      </c>
      <c r="Q53" s="8"/>
      <c r="R53" s="8" t="s">
        <v>5632</v>
      </c>
      <c r="S53" s="8" t="s">
        <v>5634</v>
      </c>
    </row>
    <row r="54" spans="1:19" ht="150" customHeight="1" x14ac:dyDescent="0.25">
      <c r="A54" s="8" t="s">
        <v>2233</v>
      </c>
      <c r="B54" s="8" t="s">
        <v>5630</v>
      </c>
      <c r="C54" s="8" t="s">
        <v>5631</v>
      </c>
      <c r="D54" s="10">
        <v>8</v>
      </c>
      <c r="E54" s="8" t="s">
        <v>2227</v>
      </c>
      <c r="F54" s="8" t="s">
        <v>836</v>
      </c>
      <c r="G54" s="8" t="s">
        <v>104</v>
      </c>
      <c r="H54" s="8" t="s">
        <v>2227</v>
      </c>
      <c r="I54" s="8" t="s">
        <v>834</v>
      </c>
      <c r="J54" s="8"/>
      <c r="K54" s="15" t="s">
        <v>1685</v>
      </c>
      <c r="L54" s="15" t="s">
        <v>1685</v>
      </c>
      <c r="M54" s="8" t="s">
        <v>5578</v>
      </c>
      <c r="N54" s="8"/>
      <c r="O54" s="8" t="s">
        <v>5574</v>
      </c>
      <c r="P54" s="11" t="s">
        <v>3429</v>
      </c>
      <c r="Q54" s="8"/>
      <c r="R54" s="8" t="s">
        <v>5632</v>
      </c>
      <c r="S54" s="8" t="s">
        <v>5635</v>
      </c>
    </row>
    <row r="55" spans="1:19" ht="150" customHeight="1" x14ac:dyDescent="0.25">
      <c r="A55" s="8" t="s">
        <v>2240</v>
      </c>
      <c r="B55" s="8" t="s">
        <v>5630</v>
      </c>
      <c r="C55" s="8" t="s">
        <v>5631</v>
      </c>
      <c r="D55" s="10">
        <v>9</v>
      </c>
      <c r="E55" s="8" t="s">
        <v>2234</v>
      </c>
      <c r="F55" s="8" t="s">
        <v>3078</v>
      </c>
      <c r="G55" s="8" t="s">
        <v>104</v>
      </c>
      <c r="H55" s="8" t="s">
        <v>2234</v>
      </c>
      <c r="I55" s="8" t="s">
        <v>445</v>
      </c>
      <c r="J55" s="8"/>
      <c r="K55" s="15" t="s">
        <v>1685</v>
      </c>
      <c r="L55" s="15" t="s">
        <v>1685</v>
      </c>
      <c r="M55" s="8" t="s">
        <v>5573</v>
      </c>
      <c r="N55" s="15" t="s">
        <v>1685</v>
      </c>
      <c r="O55" s="8" t="s">
        <v>5574</v>
      </c>
      <c r="P55" s="11" t="s">
        <v>3432</v>
      </c>
      <c r="Q55" s="8"/>
      <c r="R55" s="8" t="s">
        <v>5632</v>
      </c>
      <c r="S55" s="8" t="s">
        <v>5636</v>
      </c>
    </row>
    <row r="56" spans="1:19" ht="150" customHeight="1" x14ac:dyDescent="0.25">
      <c r="A56" s="8" t="s">
        <v>2246</v>
      </c>
      <c r="B56" s="8" t="s">
        <v>5630</v>
      </c>
      <c r="C56" s="8" t="s">
        <v>5631</v>
      </c>
      <c r="D56" s="10">
        <v>10</v>
      </c>
      <c r="E56" s="8" t="s">
        <v>2241</v>
      </c>
      <c r="F56" s="8" t="s">
        <v>5637</v>
      </c>
      <c r="G56" s="8" t="s">
        <v>104</v>
      </c>
      <c r="H56" s="8" t="s">
        <v>2241</v>
      </c>
      <c r="I56" s="8" t="s">
        <v>971</v>
      </c>
      <c r="J56" s="8"/>
      <c r="K56" s="15" t="s">
        <v>1685</v>
      </c>
      <c r="L56" s="15" t="s">
        <v>1685</v>
      </c>
      <c r="M56" s="8" t="s">
        <v>5578</v>
      </c>
      <c r="N56" s="8"/>
      <c r="O56" s="8" t="s">
        <v>5574</v>
      </c>
      <c r="P56" s="11" t="s">
        <v>3434</v>
      </c>
      <c r="Q56" s="8"/>
      <c r="R56" s="8" t="s">
        <v>5632</v>
      </c>
      <c r="S56" s="8" t="s">
        <v>5638</v>
      </c>
    </row>
    <row r="57" spans="1:19" ht="150" customHeight="1" x14ac:dyDescent="0.25">
      <c r="A57" s="8" t="s">
        <v>2254</v>
      </c>
      <c r="B57" s="8" t="s">
        <v>5630</v>
      </c>
      <c r="C57" s="8" t="s">
        <v>5631</v>
      </c>
      <c r="D57" s="10">
        <v>11</v>
      </c>
      <c r="E57" s="8" t="s">
        <v>2247</v>
      </c>
      <c r="F57" s="8" t="s">
        <v>3126</v>
      </c>
      <c r="G57" s="8" t="s">
        <v>104</v>
      </c>
      <c r="H57" s="8" t="s">
        <v>2247</v>
      </c>
      <c r="I57" s="8" t="s">
        <v>814</v>
      </c>
      <c r="J57" s="8"/>
      <c r="K57" s="15" t="s">
        <v>1685</v>
      </c>
      <c r="L57" s="15" t="s">
        <v>1685</v>
      </c>
      <c r="M57" s="8" t="s">
        <v>5578</v>
      </c>
      <c r="N57" s="8"/>
      <c r="O57" s="8" t="s">
        <v>5574</v>
      </c>
      <c r="P57" s="11" t="s">
        <v>3436</v>
      </c>
      <c r="Q57" s="8"/>
      <c r="R57" s="8" t="s">
        <v>5632</v>
      </c>
      <c r="S57" s="8" t="s">
        <v>5639</v>
      </c>
    </row>
    <row r="58" spans="1:19" ht="150" customHeight="1" x14ac:dyDescent="0.25">
      <c r="A58" s="8" t="s">
        <v>2260</v>
      </c>
      <c r="B58" s="8" t="s">
        <v>5630</v>
      </c>
      <c r="C58" s="8" t="s">
        <v>5631</v>
      </c>
      <c r="D58" s="10">
        <v>12</v>
      </c>
      <c r="E58" s="8" t="s">
        <v>2255</v>
      </c>
      <c r="F58" s="8" t="s">
        <v>2875</v>
      </c>
      <c r="G58" s="8" t="s">
        <v>104</v>
      </c>
      <c r="H58" s="8" t="s">
        <v>2255</v>
      </c>
      <c r="I58" s="8" t="s">
        <v>664</v>
      </c>
      <c r="J58" s="8"/>
      <c r="K58" s="15" t="s">
        <v>1685</v>
      </c>
      <c r="L58" s="15" t="s">
        <v>1685</v>
      </c>
      <c r="M58" s="8" t="s">
        <v>5578</v>
      </c>
      <c r="N58" s="8"/>
      <c r="O58" s="8" t="s">
        <v>5574</v>
      </c>
      <c r="P58" s="11" t="s">
        <v>3439</v>
      </c>
      <c r="Q58" s="8"/>
      <c r="R58" s="8" t="s">
        <v>5632</v>
      </c>
      <c r="S58" s="8" t="s">
        <v>5640</v>
      </c>
    </row>
    <row r="59" spans="1:19" ht="150" customHeight="1" x14ac:dyDescent="0.25">
      <c r="A59" s="8" t="s">
        <v>488</v>
      </c>
      <c r="B59" s="8" t="s">
        <v>5630</v>
      </c>
      <c r="C59" s="8" t="s">
        <v>5631</v>
      </c>
      <c r="D59" s="10">
        <v>13</v>
      </c>
      <c r="E59" s="8" t="s">
        <v>2261</v>
      </c>
      <c r="F59" s="8" t="s">
        <v>486</v>
      </c>
      <c r="G59" s="8" t="s">
        <v>104</v>
      </c>
      <c r="H59" s="8" t="s">
        <v>2261</v>
      </c>
      <c r="I59" s="8" t="s">
        <v>483</v>
      </c>
      <c r="J59" s="8"/>
      <c r="K59" s="15" t="s">
        <v>1685</v>
      </c>
      <c r="L59" s="15" t="s">
        <v>1685</v>
      </c>
      <c r="M59" s="8" t="s">
        <v>5578</v>
      </c>
      <c r="N59" s="8"/>
      <c r="O59" s="8" t="s">
        <v>5574</v>
      </c>
      <c r="P59" s="11" t="s">
        <v>3442</v>
      </c>
      <c r="Q59" s="8"/>
      <c r="R59" s="8" t="s">
        <v>5632</v>
      </c>
      <c r="S59" s="8" t="s">
        <v>5641</v>
      </c>
    </row>
    <row r="60" spans="1:19" ht="150" customHeight="1" x14ac:dyDescent="0.25">
      <c r="A60" s="8" t="s">
        <v>2271</v>
      </c>
      <c r="B60" s="8" t="s">
        <v>5630</v>
      </c>
      <c r="C60" s="8" t="s">
        <v>5631</v>
      </c>
      <c r="D60" s="10">
        <v>14</v>
      </c>
      <c r="E60" s="8" t="s">
        <v>2265</v>
      </c>
      <c r="F60" s="8" t="s">
        <v>5642</v>
      </c>
      <c r="G60" s="8" t="s">
        <v>104</v>
      </c>
      <c r="H60" s="8" t="s">
        <v>2265</v>
      </c>
      <c r="I60" s="8" t="s">
        <v>2266</v>
      </c>
      <c r="J60" s="8"/>
      <c r="K60" s="15" t="s">
        <v>1685</v>
      </c>
      <c r="L60" s="15" t="s">
        <v>1685</v>
      </c>
      <c r="M60" s="8" t="s">
        <v>5578</v>
      </c>
      <c r="N60" s="8"/>
      <c r="O60" s="8" t="s">
        <v>5574</v>
      </c>
      <c r="P60" s="11" t="s">
        <v>3445</v>
      </c>
      <c r="Q60" s="8"/>
      <c r="R60" s="8" t="s">
        <v>5632</v>
      </c>
      <c r="S60" s="8" t="s">
        <v>5643</v>
      </c>
    </row>
    <row r="61" spans="1:19" ht="150" customHeight="1" x14ac:dyDescent="0.25">
      <c r="A61" s="8" t="s">
        <v>2278</v>
      </c>
      <c r="B61" s="8" t="s">
        <v>5630</v>
      </c>
      <c r="C61" s="8" t="s">
        <v>5631</v>
      </c>
      <c r="D61" s="10">
        <v>15</v>
      </c>
      <c r="E61" s="8" t="s">
        <v>2272</v>
      </c>
      <c r="F61" s="8" t="s">
        <v>2863</v>
      </c>
      <c r="G61" s="8" t="s">
        <v>104</v>
      </c>
      <c r="H61" s="8" t="s">
        <v>2272</v>
      </c>
      <c r="I61" s="8" t="s">
        <v>642</v>
      </c>
      <c r="J61" s="8"/>
      <c r="K61" s="15" t="s">
        <v>1685</v>
      </c>
      <c r="L61" s="15" t="s">
        <v>1685</v>
      </c>
      <c r="M61" s="8" t="s">
        <v>5578</v>
      </c>
      <c r="N61" s="8"/>
      <c r="O61" s="8" t="s">
        <v>5574</v>
      </c>
      <c r="P61" s="11" t="s">
        <v>3447</v>
      </c>
      <c r="Q61" s="8"/>
      <c r="R61" s="8" t="s">
        <v>5632</v>
      </c>
      <c r="S61" s="8" t="s">
        <v>5644</v>
      </c>
    </row>
    <row r="62" spans="1:19" ht="150" customHeight="1" x14ac:dyDescent="0.25">
      <c r="A62" s="8" t="s">
        <v>2284</v>
      </c>
      <c r="B62" s="8" t="s">
        <v>5630</v>
      </c>
      <c r="C62" s="8" t="s">
        <v>5631</v>
      </c>
      <c r="D62" s="10">
        <v>16</v>
      </c>
      <c r="E62" s="8" t="s">
        <v>2279</v>
      </c>
      <c r="F62" s="8" t="s">
        <v>2895</v>
      </c>
      <c r="G62" s="8" t="s">
        <v>104</v>
      </c>
      <c r="H62" s="8" t="s">
        <v>2279</v>
      </c>
      <c r="I62" s="8" t="s">
        <v>407</v>
      </c>
      <c r="J62" s="8"/>
      <c r="K62" s="15" t="s">
        <v>1685</v>
      </c>
      <c r="L62" s="15" t="s">
        <v>1685</v>
      </c>
      <c r="M62" s="8" t="s">
        <v>5578</v>
      </c>
      <c r="N62" s="8"/>
      <c r="O62" s="8" t="s">
        <v>5574</v>
      </c>
      <c r="P62" s="11" t="s">
        <v>3449</v>
      </c>
      <c r="Q62" s="8"/>
      <c r="R62" s="8" t="s">
        <v>5632</v>
      </c>
      <c r="S62" s="8" t="s">
        <v>5645</v>
      </c>
    </row>
    <row r="63" spans="1:19" ht="150" customHeight="1" x14ac:dyDescent="0.25">
      <c r="A63" s="8" t="s">
        <v>2290</v>
      </c>
      <c r="B63" s="8" t="s">
        <v>5630</v>
      </c>
      <c r="C63" s="8" t="s">
        <v>5631</v>
      </c>
      <c r="D63" s="10">
        <v>17</v>
      </c>
      <c r="E63" s="8" t="s">
        <v>2285</v>
      </c>
      <c r="F63" s="8" t="s">
        <v>3050</v>
      </c>
      <c r="G63" s="8" t="s">
        <v>104</v>
      </c>
      <c r="H63" s="8" t="s">
        <v>2285</v>
      </c>
      <c r="I63" s="8" t="s">
        <v>414</v>
      </c>
      <c r="J63" s="8"/>
      <c r="K63" s="15" t="s">
        <v>1685</v>
      </c>
      <c r="L63" s="15" t="s">
        <v>1685</v>
      </c>
      <c r="M63" s="8" t="s">
        <v>5578</v>
      </c>
      <c r="N63" s="8"/>
      <c r="O63" s="8" t="s">
        <v>5574</v>
      </c>
      <c r="P63" s="11" t="s">
        <v>3452</v>
      </c>
      <c r="Q63" s="8"/>
      <c r="R63" s="8" t="s">
        <v>5632</v>
      </c>
      <c r="S63" s="8" t="s">
        <v>5646</v>
      </c>
    </row>
    <row r="64" spans="1:19" ht="150" customHeight="1" x14ac:dyDescent="0.25">
      <c r="A64" s="8" t="s">
        <v>2295</v>
      </c>
      <c r="B64" s="8" t="s">
        <v>5630</v>
      </c>
      <c r="C64" s="8" t="s">
        <v>5631</v>
      </c>
      <c r="D64" s="10">
        <v>18</v>
      </c>
      <c r="E64" s="8" t="s">
        <v>2291</v>
      </c>
      <c r="F64" s="8" t="s">
        <v>2878</v>
      </c>
      <c r="G64" s="8" t="s">
        <v>104</v>
      </c>
      <c r="H64" s="8" t="s">
        <v>2291</v>
      </c>
      <c r="I64" s="8" t="s">
        <v>991</v>
      </c>
      <c r="J64" s="8"/>
      <c r="K64" s="15" t="s">
        <v>1685</v>
      </c>
      <c r="L64" s="15" t="s">
        <v>1685</v>
      </c>
      <c r="M64" s="8" t="s">
        <v>5578</v>
      </c>
      <c r="N64" s="8"/>
      <c r="O64" s="8" t="s">
        <v>5574</v>
      </c>
      <c r="P64" s="11" t="s">
        <v>3460</v>
      </c>
      <c r="Q64" s="8"/>
      <c r="R64" s="8" t="s">
        <v>5632</v>
      </c>
      <c r="S64" s="8" t="s">
        <v>5647</v>
      </c>
    </row>
    <row r="65" spans="1:19" ht="150" customHeight="1" x14ac:dyDescent="0.25">
      <c r="A65" s="8" t="s">
        <v>2299</v>
      </c>
      <c r="B65" s="8" t="s">
        <v>5630</v>
      </c>
      <c r="C65" s="8" t="s">
        <v>5631</v>
      </c>
      <c r="D65" s="10">
        <v>19</v>
      </c>
      <c r="E65" s="8" t="s">
        <v>2296</v>
      </c>
      <c r="F65" s="8" t="s">
        <v>3155</v>
      </c>
      <c r="G65" s="8" t="s">
        <v>104</v>
      </c>
      <c r="H65" s="8" t="s">
        <v>2296</v>
      </c>
      <c r="I65" s="8" t="s">
        <v>701</v>
      </c>
      <c r="J65" s="8"/>
      <c r="K65" s="15" t="s">
        <v>1685</v>
      </c>
      <c r="L65" s="15" t="s">
        <v>1685</v>
      </c>
      <c r="M65" s="8" t="s">
        <v>5578</v>
      </c>
      <c r="N65" s="8"/>
      <c r="O65" s="8" t="s">
        <v>5574</v>
      </c>
      <c r="P65" s="11" t="s">
        <v>3462</v>
      </c>
      <c r="Q65" s="8"/>
      <c r="R65" s="8" t="s">
        <v>5632</v>
      </c>
      <c r="S65" s="8" t="s">
        <v>5648</v>
      </c>
    </row>
    <row r="66" spans="1:19" ht="150" customHeight="1" x14ac:dyDescent="0.25">
      <c r="A66" s="8" t="s">
        <v>2305</v>
      </c>
      <c r="B66" s="8" t="s">
        <v>5630</v>
      </c>
      <c r="C66" s="8" t="s">
        <v>5631</v>
      </c>
      <c r="D66" s="10">
        <v>20</v>
      </c>
      <c r="E66" s="8" t="s">
        <v>2300</v>
      </c>
      <c r="F66" s="8" t="s">
        <v>2978</v>
      </c>
      <c r="G66" s="8" t="s">
        <v>104</v>
      </c>
      <c r="H66" s="8" t="s">
        <v>2300</v>
      </c>
      <c r="I66" s="8" t="s">
        <v>466</v>
      </c>
      <c r="J66" s="8"/>
      <c r="K66" s="15" t="s">
        <v>1685</v>
      </c>
      <c r="L66" s="15" t="s">
        <v>1685</v>
      </c>
      <c r="M66" s="8" t="s">
        <v>5578</v>
      </c>
      <c r="N66" s="8"/>
      <c r="O66" s="8" t="s">
        <v>5574</v>
      </c>
      <c r="P66" s="11" t="s">
        <v>3464</v>
      </c>
      <c r="Q66" s="8"/>
      <c r="R66" s="8" t="s">
        <v>5632</v>
      </c>
      <c r="S66" s="8" t="s">
        <v>5649</v>
      </c>
    </row>
    <row r="67" spans="1:19" ht="150" customHeight="1" x14ac:dyDescent="0.25">
      <c r="A67" s="8" t="s">
        <v>2311</v>
      </c>
      <c r="B67" s="8" t="s">
        <v>5630</v>
      </c>
      <c r="C67" s="8" t="s">
        <v>5631</v>
      </c>
      <c r="D67" s="10">
        <v>21</v>
      </c>
      <c r="E67" s="8" t="s">
        <v>2306</v>
      </c>
      <c r="F67" s="8" t="s">
        <v>3164</v>
      </c>
      <c r="G67" s="8" t="s">
        <v>104</v>
      </c>
      <c r="H67" s="8" t="s">
        <v>2306</v>
      </c>
      <c r="I67" s="8" t="s">
        <v>587</v>
      </c>
      <c r="J67" s="8"/>
      <c r="K67" s="15" t="s">
        <v>1685</v>
      </c>
      <c r="L67" s="15" t="s">
        <v>1685</v>
      </c>
      <c r="M67" s="8" t="s">
        <v>5578</v>
      </c>
      <c r="N67" s="8"/>
      <c r="O67" s="8" t="s">
        <v>5574</v>
      </c>
      <c r="P67" s="11" t="s">
        <v>3466</v>
      </c>
      <c r="Q67" s="8"/>
      <c r="R67" s="8" t="s">
        <v>5632</v>
      </c>
      <c r="S67" s="8" t="s">
        <v>5650</v>
      </c>
    </row>
    <row r="68" spans="1:19" ht="150" customHeight="1" x14ac:dyDescent="0.25">
      <c r="A68" s="8" t="s">
        <v>2317</v>
      </c>
      <c r="B68" s="8" t="s">
        <v>5630</v>
      </c>
      <c r="C68" s="8" t="s">
        <v>5631</v>
      </c>
      <c r="D68" s="10">
        <v>22</v>
      </c>
      <c r="E68" s="8" t="s">
        <v>2312</v>
      </c>
      <c r="F68" s="8" t="s">
        <v>3099</v>
      </c>
      <c r="G68" s="8" t="s">
        <v>104</v>
      </c>
      <c r="H68" s="8" t="s">
        <v>2312</v>
      </c>
      <c r="I68" s="8" t="s">
        <v>965</v>
      </c>
      <c r="J68" s="8"/>
      <c r="K68" s="15" t="s">
        <v>1685</v>
      </c>
      <c r="L68" s="15" t="s">
        <v>1685</v>
      </c>
      <c r="M68" s="8" t="s">
        <v>5578</v>
      </c>
      <c r="N68" s="8"/>
      <c r="O68" s="8" t="s">
        <v>5574</v>
      </c>
      <c r="P68" s="11" t="s">
        <v>3468</v>
      </c>
      <c r="Q68" s="8"/>
      <c r="R68" s="8" t="s">
        <v>5632</v>
      </c>
      <c r="S68" s="8" t="s">
        <v>5651</v>
      </c>
    </row>
    <row r="69" spans="1:19" ht="150" customHeight="1" x14ac:dyDescent="0.25">
      <c r="A69" s="8" t="s">
        <v>2323</v>
      </c>
      <c r="B69" s="8" t="s">
        <v>5630</v>
      </c>
      <c r="C69" s="8" t="s">
        <v>5631</v>
      </c>
      <c r="D69" s="10">
        <v>23</v>
      </c>
      <c r="E69" s="8" t="s">
        <v>2318</v>
      </c>
      <c r="F69" s="8" t="s">
        <v>3116</v>
      </c>
      <c r="G69" s="8" t="s">
        <v>104</v>
      </c>
      <c r="H69" s="8" t="s">
        <v>2318</v>
      </c>
      <c r="I69" s="8" t="s">
        <v>423</v>
      </c>
      <c r="J69" s="8"/>
      <c r="K69" s="15" t="s">
        <v>1685</v>
      </c>
      <c r="L69" s="15" t="s">
        <v>1685</v>
      </c>
      <c r="M69" s="8" t="s">
        <v>5578</v>
      </c>
      <c r="N69" s="8"/>
      <c r="O69" s="8" t="s">
        <v>5574</v>
      </c>
      <c r="P69" s="11" t="s">
        <v>3470</v>
      </c>
      <c r="Q69" s="8"/>
      <c r="R69" s="8" t="s">
        <v>5632</v>
      </c>
      <c r="S69" s="8" t="s">
        <v>5652</v>
      </c>
    </row>
    <row r="70" spans="1:19" ht="150" customHeight="1" x14ac:dyDescent="0.25">
      <c r="A70" s="8" t="s">
        <v>2328</v>
      </c>
      <c r="B70" s="8" t="s">
        <v>5630</v>
      </c>
      <c r="C70" s="8" t="s">
        <v>5631</v>
      </c>
      <c r="D70" s="10">
        <v>24</v>
      </c>
      <c r="E70" s="8" t="s">
        <v>2324</v>
      </c>
      <c r="F70" s="8" t="s">
        <v>3061</v>
      </c>
      <c r="G70" s="8" t="s">
        <v>104</v>
      </c>
      <c r="H70" s="8" t="s">
        <v>2324</v>
      </c>
      <c r="I70" s="8" t="s">
        <v>762</v>
      </c>
      <c r="J70" s="8"/>
      <c r="K70" s="15" t="s">
        <v>1685</v>
      </c>
      <c r="L70" s="15" t="s">
        <v>1685</v>
      </c>
      <c r="M70" s="8" t="s">
        <v>5578</v>
      </c>
      <c r="N70" s="8"/>
      <c r="O70" s="8" t="s">
        <v>5574</v>
      </c>
      <c r="P70" s="11" t="s">
        <v>3472</v>
      </c>
      <c r="Q70" s="8"/>
      <c r="R70" s="8" t="s">
        <v>5632</v>
      </c>
      <c r="S70" s="8" t="s">
        <v>5653</v>
      </c>
    </row>
    <row r="71" spans="1:19" ht="150" customHeight="1" x14ac:dyDescent="0.25">
      <c r="A71" s="8" t="s">
        <v>2333</v>
      </c>
      <c r="B71" s="8" t="s">
        <v>5630</v>
      </c>
      <c r="C71" s="8" t="s">
        <v>5631</v>
      </c>
      <c r="D71" s="10">
        <v>25</v>
      </c>
      <c r="E71" s="8" t="s">
        <v>2329</v>
      </c>
      <c r="F71" s="8" t="s">
        <v>2940</v>
      </c>
      <c r="G71" s="8" t="s">
        <v>104</v>
      </c>
      <c r="H71" s="8" t="s">
        <v>2329</v>
      </c>
      <c r="I71" s="8" t="s">
        <v>949</v>
      </c>
      <c r="J71" s="8"/>
      <c r="K71" s="15" t="s">
        <v>1685</v>
      </c>
      <c r="L71" s="15" t="s">
        <v>1685</v>
      </c>
      <c r="M71" s="8" t="s">
        <v>5578</v>
      </c>
      <c r="N71" s="8"/>
      <c r="O71" s="8" t="s">
        <v>5574</v>
      </c>
      <c r="P71" s="11" t="s">
        <v>3462</v>
      </c>
      <c r="Q71" s="8"/>
      <c r="R71" s="8" t="s">
        <v>5632</v>
      </c>
      <c r="S71" s="8" t="s">
        <v>5654</v>
      </c>
    </row>
    <row r="72" spans="1:19" ht="150" customHeight="1" x14ac:dyDescent="0.25">
      <c r="A72" s="8" t="s">
        <v>2338</v>
      </c>
      <c r="B72" s="8" t="s">
        <v>5630</v>
      </c>
      <c r="C72" s="8" t="s">
        <v>5631</v>
      </c>
      <c r="D72" s="10">
        <v>26</v>
      </c>
      <c r="E72" s="8" t="s">
        <v>2334</v>
      </c>
      <c r="F72" s="8" t="s">
        <v>3147</v>
      </c>
      <c r="G72" s="8" t="s">
        <v>104</v>
      </c>
      <c r="H72" s="8" t="s">
        <v>2334</v>
      </c>
      <c r="I72" s="8" t="s">
        <v>1031</v>
      </c>
      <c r="J72" s="8"/>
      <c r="K72" s="15" t="s">
        <v>1685</v>
      </c>
      <c r="L72" s="15" t="s">
        <v>1685</v>
      </c>
      <c r="M72" s="8" t="s">
        <v>5578</v>
      </c>
      <c r="N72" s="8"/>
      <c r="O72" s="8" t="s">
        <v>5574</v>
      </c>
      <c r="P72" s="11" t="s">
        <v>3474</v>
      </c>
      <c r="Q72" s="8"/>
      <c r="R72" s="8" t="s">
        <v>5632</v>
      </c>
      <c r="S72" s="8" t="s">
        <v>5655</v>
      </c>
    </row>
    <row r="73" spans="1:19" ht="150" customHeight="1" x14ac:dyDescent="0.25">
      <c r="A73" s="8" t="s">
        <v>2346</v>
      </c>
      <c r="B73" s="8" t="s">
        <v>5630</v>
      </c>
      <c r="C73" s="8" t="s">
        <v>5631</v>
      </c>
      <c r="D73" s="10">
        <v>27</v>
      </c>
      <c r="E73" s="8" t="s">
        <v>2339</v>
      </c>
      <c r="F73" s="8" t="s">
        <v>3006</v>
      </c>
      <c r="G73" s="8" t="s">
        <v>104</v>
      </c>
      <c r="H73" s="8" t="s">
        <v>2339</v>
      </c>
      <c r="I73" s="8" t="s">
        <v>847</v>
      </c>
      <c r="J73" s="8"/>
      <c r="K73" s="15" t="s">
        <v>1685</v>
      </c>
      <c r="L73" s="15" t="s">
        <v>1685</v>
      </c>
      <c r="M73" s="8" t="s">
        <v>5573</v>
      </c>
      <c r="N73" s="15" t="s">
        <v>1685</v>
      </c>
      <c r="O73" s="8" t="s">
        <v>5574</v>
      </c>
      <c r="P73" s="11" t="s">
        <v>3303</v>
      </c>
      <c r="Q73" s="8"/>
      <c r="R73" s="8" t="s">
        <v>5632</v>
      </c>
      <c r="S73" s="8" t="s">
        <v>5656</v>
      </c>
    </row>
    <row r="74" spans="1:19" ht="150" customHeight="1" x14ac:dyDescent="0.25">
      <c r="A74" s="8" t="s">
        <v>2351</v>
      </c>
      <c r="B74" s="8" t="s">
        <v>5630</v>
      </c>
      <c r="C74" s="8" t="s">
        <v>5631</v>
      </c>
      <c r="D74" s="10">
        <v>28</v>
      </c>
      <c r="E74" s="8" t="s">
        <v>2347</v>
      </c>
      <c r="F74" s="8" t="s">
        <v>2931</v>
      </c>
      <c r="G74" s="8" t="s">
        <v>104</v>
      </c>
      <c r="H74" s="8" t="s">
        <v>2347</v>
      </c>
      <c r="I74" s="8" t="s">
        <v>511</v>
      </c>
      <c r="J74" s="8"/>
      <c r="K74" s="15" t="s">
        <v>1685</v>
      </c>
      <c r="L74" s="15" t="s">
        <v>1685</v>
      </c>
      <c r="M74" s="8" t="s">
        <v>5578</v>
      </c>
      <c r="N74" s="8"/>
      <c r="O74" s="8" t="s">
        <v>5574</v>
      </c>
      <c r="P74" s="11" t="s">
        <v>3476</v>
      </c>
      <c r="Q74" s="8"/>
      <c r="R74" s="8" t="s">
        <v>5632</v>
      </c>
      <c r="S74" s="8" t="s">
        <v>5657</v>
      </c>
    </row>
    <row r="75" spans="1:19" ht="150" customHeight="1" x14ac:dyDescent="0.25">
      <c r="A75" s="8" t="s">
        <v>585</v>
      </c>
      <c r="B75" s="8" t="s">
        <v>5630</v>
      </c>
      <c r="C75" s="8" t="s">
        <v>5631</v>
      </c>
      <c r="D75" s="10">
        <v>29</v>
      </c>
      <c r="E75" s="8" t="s">
        <v>2352</v>
      </c>
      <c r="F75" s="8" t="s">
        <v>583</v>
      </c>
      <c r="G75" s="8" t="s">
        <v>104</v>
      </c>
      <c r="H75" s="8" t="s">
        <v>2352</v>
      </c>
      <c r="I75" s="8" t="s">
        <v>581</v>
      </c>
      <c r="J75" s="8"/>
      <c r="K75" s="15" t="s">
        <v>1685</v>
      </c>
      <c r="L75" s="15" t="s">
        <v>1685</v>
      </c>
      <c r="M75" s="8" t="s">
        <v>5578</v>
      </c>
      <c r="N75" s="8"/>
      <c r="O75" s="8" t="s">
        <v>5574</v>
      </c>
      <c r="P75" s="11" t="s">
        <v>3478</v>
      </c>
      <c r="Q75" s="8"/>
      <c r="R75" s="8" t="s">
        <v>5632</v>
      </c>
      <c r="S75" s="8" t="s">
        <v>5658</v>
      </c>
    </row>
    <row r="76" spans="1:19" ht="150" customHeight="1" x14ac:dyDescent="0.25">
      <c r="A76" s="8" t="s">
        <v>2361</v>
      </c>
      <c r="B76" s="8" t="s">
        <v>5630</v>
      </c>
      <c r="C76" s="8" t="s">
        <v>5631</v>
      </c>
      <c r="D76" s="10">
        <v>30</v>
      </c>
      <c r="E76" s="8" t="s">
        <v>2355</v>
      </c>
      <c r="F76" s="8" t="s">
        <v>454</v>
      </c>
      <c r="G76" s="8" t="s">
        <v>104</v>
      </c>
      <c r="H76" s="8" t="s">
        <v>2355</v>
      </c>
      <c r="I76" s="8" t="s">
        <v>452</v>
      </c>
      <c r="J76" s="8"/>
      <c r="K76" s="15" t="s">
        <v>1685</v>
      </c>
      <c r="L76" s="15" t="s">
        <v>1685</v>
      </c>
      <c r="M76" s="8" t="s">
        <v>5578</v>
      </c>
      <c r="N76" s="8"/>
      <c r="O76" s="8" t="s">
        <v>5574</v>
      </c>
      <c r="P76" s="11" t="s">
        <v>3332</v>
      </c>
      <c r="Q76" s="8"/>
      <c r="R76" s="8" t="s">
        <v>5632</v>
      </c>
      <c r="S76" s="8" t="s">
        <v>5659</v>
      </c>
    </row>
    <row r="77" spans="1:19" ht="150" customHeight="1" x14ac:dyDescent="0.25">
      <c r="A77" s="8" t="s">
        <v>2368</v>
      </c>
      <c r="B77" s="8" t="s">
        <v>5630</v>
      </c>
      <c r="C77" s="8" t="s">
        <v>5631</v>
      </c>
      <c r="D77" s="10">
        <v>31</v>
      </c>
      <c r="E77" s="8" t="s">
        <v>2362</v>
      </c>
      <c r="F77" s="8" t="s">
        <v>2899</v>
      </c>
      <c r="G77" s="8" t="s">
        <v>104</v>
      </c>
      <c r="H77" s="8" t="s">
        <v>2362</v>
      </c>
      <c r="I77" s="8" t="s">
        <v>733</v>
      </c>
      <c r="J77" s="8"/>
      <c r="K77" s="15" t="s">
        <v>1685</v>
      </c>
      <c r="L77" s="15" t="s">
        <v>1685</v>
      </c>
      <c r="M77" s="8" t="s">
        <v>5578</v>
      </c>
      <c r="N77" s="8"/>
      <c r="O77" s="8" t="s">
        <v>5574</v>
      </c>
      <c r="P77" s="11" t="s">
        <v>3480</v>
      </c>
      <c r="Q77" s="8"/>
      <c r="R77" s="8" t="s">
        <v>5632</v>
      </c>
      <c r="S77" s="8" t="s">
        <v>5660</v>
      </c>
    </row>
    <row r="78" spans="1:19" ht="150" customHeight="1" x14ac:dyDescent="0.25">
      <c r="A78" s="8" t="s">
        <v>2374</v>
      </c>
      <c r="B78" s="8" t="s">
        <v>5630</v>
      </c>
      <c r="C78" s="8" t="s">
        <v>5631</v>
      </c>
      <c r="D78" s="10">
        <v>32</v>
      </c>
      <c r="E78" s="8" t="s">
        <v>2369</v>
      </c>
      <c r="F78" s="8" t="s">
        <v>2839</v>
      </c>
      <c r="G78" s="8" t="s">
        <v>104</v>
      </c>
      <c r="H78" s="8" t="s">
        <v>2369</v>
      </c>
      <c r="I78" s="8" t="s">
        <v>542</v>
      </c>
      <c r="J78" s="8"/>
      <c r="K78" s="15" t="s">
        <v>1685</v>
      </c>
      <c r="L78" s="15" t="s">
        <v>1685</v>
      </c>
      <c r="M78" s="8" t="s">
        <v>5578</v>
      </c>
      <c r="N78" s="8"/>
      <c r="O78" s="8" t="s">
        <v>5574</v>
      </c>
      <c r="P78" s="11" t="s">
        <v>3482</v>
      </c>
      <c r="Q78" s="8"/>
      <c r="R78" s="8" t="s">
        <v>5632</v>
      </c>
      <c r="S78" s="8" t="s">
        <v>5661</v>
      </c>
    </row>
    <row r="79" spans="1:19" ht="150" customHeight="1" x14ac:dyDescent="0.25">
      <c r="A79" s="8" t="s">
        <v>2380</v>
      </c>
      <c r="B79" s="8" t="s">
        <v>5630</v>
      </c>
      <c r="C79" s="8" t="s">
        <v>5631</v>
      </c>
      <c r="D79" s="10">
        <v>33</v>
      </c>
      <c r="E79" s="8" t="s">
        <v>2375</v>
      </c>
      <c r="F79" s="8" t="s">
        <v>2965</v>
      </c>
      <c r="G79" s="8" t="s">
        <v>104</v>
      </c>
      <c r="H79" s="8" t="s">
        <v>2375</v>
      </c>
      <c r="I79" s="8" t="s">
        <v>707</v>
      </c>
      <c r="J79" s="8"/>
      <c r="K79" s="15" t="s">
        <v>1685</v>
      </c>
      <c r="L79" s="15" t="s">
        <v>1685</v>
      </c>
      <c r="M79" s="8" t="s">
        <v>5578</v>
      </c>
      <c r="N79" s="8"/>
      <c r="O79" s="8" t="s">
        <v>5574</v>
      </c>
      <c r="P79" s="11" t="s">
        <v>3484</v>
      </c>
      <c r="Q79" s="8"/>
      <c r="R79" s="8" t="s">
        <v>5632</v>
      </c>
      <c r="S79" s="8" t="s">
        <v>5662</v>
      </c>
    </row>
    <row r="80" spans="1:19" ht="150" customHeight="1" x14ac:dyDescent="0.25">
      <c r="A80" s="8" t="s">
        <v>2387</v>
      </c>
      <c r="B80" s="8" t="s">
        <v>5630</v>
      </c>
      <c r="C80" s="8" t="s">
        <v>5631</v>
      </c>
      <c r="D80" s="10">
        <v>34</v>
      </c>
      <c r="E80" s="8" t="s">
        <v>2381</v>
      </c>
      <c r="F80" s="8" t="s">
        <v>620</v>
      </c>
      <c r="G80" s="8" t="s">
        <v>104</v>
      </c>
      <c r="H80" s="8" t="s">
        <v>2381</v>
      </c>
      <c r="I80" s="8" t="s">
        <v>619</v>
      </c>
      <c r="J80" s="8"/>
      <c r="K80" s="15" t="s">
        <v>1685</v>
      </c>
      <c r="L80" s="15" t="s">
        <v>1685</v>
      </c>
      <c r="M80" s="8" t="s">
        <v>5578</v>
      </c>
      <c r="N80" s="8"/>
      <c r="O80" s="8" t="s">
        <v>5574</v>
      </c>
      <c r="P80" s="11" t="s">
        <v>3486</v>
      </c>
      <c r="Q80" s="8"/>
      <c r="R80" s="8" t="s">
        <v>5632</v>
      </c>
      <c r="S80" s="8" t="s">
        <v>5663</v>
      </c>
    </row>
    <row r="81" spans="1:19" ht="150" customHeight="1" x14ac:dyDescent="0.25">
      <c r="A81" s="8" t="s">
        <v>1041</v>
      </c>
      <c r="B81" s="8" t="s">
        <v>5630</v>
      </c>
      <c r="C81" s="8" t="s">
        <v>5631</v>
      </c>
      <c r="D81" s="10">
        <v>35</v>
      </c>
      <c r="E81" s="8" t="s">
        <v>2388</v>
      </c>
      <c r="F81" s="8" t="s">
        <v>1039</v>
      </c>
      <c r="G81" s="8" t="s">
        <v>104</v>
      </c>
      <c r="H81" s="8" t="s">
        <v>2388</v>
      </c>
      <c r="I81" s="8" t="s">
        <v>1037</v>
      </c>
      <c r="J81" s="8"/>
      <c r="K81" s="15" t="s">
        <v>1685</v>
      </c>
      <c r="L81" s="15" t="s">
        <v>1685</v>
      </c>
      <c r="M81" s="8" t="s">
        <v>5578</v>
      </c>
      <c r="N81" s="8"/>
      <c r="O81" s="8" t="s">
        <v>5574</v>
      </c>
      <c r="P81" s="11" t="s">
        <v>3332</v>
      </c>
      <c r="Q81" s="8"/>
      <c r="R81" s="8" t="s">
        <v>5632</v>
      </c>
      <c r="S81" s="8" t="s">
        <v>5664</v>
      </c>
    </row>
    <row r="82" spans="1:19" ht="150" customHeight="1" x14ac:dyDescent="0.25">
      <c r="A82" s="8" t="s">
        <v>845</v>
      </c>
      <c r="B82" s="8" t="s">
        <v>5630</v>
      </c>
      <c r="C82" s="8" t="s">
        <v>5631</v>
      </c>
      <c r="D82" s="10">
        <v>36</v>
      </c>
      <c r="E82" s="8" t="s">
        <v>2391</v>
      </c>
      <c r="F82" s="8" t="s">
        <v>843</v>
      </c>
      <c r="G82" s="8" t="s">
        <v>104</v>
      </c>
      <c r="H82" s="8" t="s">
        <v>2391</v>
      </c>
      <c r="I82" s="8" t="s">
        <v>840</v>
      </c>
      <c r="J82" s="8"/>
      <c r="K82" s="15" t="s">
        <v>1685</v>
      </c>
      <c r="L82" s="15" t="s">
        <v>1685</v>
      </c>
      <c r="M82" s="8" t="s">
        <v>5578</v>
      </c>
      <c r="N82" s="8"/>
      <c r="O82" s="8" t="s">
        <v>5574</v>
      </c>
      <c r="P82" s="11" t="s">
        <v>3488</v>
      </c>
      <c r="Q82" s="8"/>
      <c r="R82" s="8" t="s">
        <v>5632</v>
      </c>
      <c r="S82" s="8" t="s">
        <v>5665</v>
      </c>
    </row>
    <row r="83" spans="1:19" ht="150" customHeight="1" x14ac:dyDescent="0.25">
      <c r="A83" s="8" t="s">
        <v>989</v>
      </c>
      <c r="B83" s="8" t="s">
        <v>5630</v>
      </c>
      <c r="C83" s="8" t="s">
        <v>5631</v>
      </c>
      <c r="D83" s="10">
        <v>37</v>
      </c>
      <c r="E83" s="8" t="s">
        <v>2395</v>
      </c>
      <c r="F83" s="8" t="s">
        <v>987</v>
      </c>
      <c r="G83" s="8" t="s">
        <v>104</v>
      </c>
      <c r="H83" s="8" t="s">
        <v>2395</v>
      </c>
      <c r="I83" s="8" t="s">
        <v>985</v>
      </c>
      <c r="J83" s="8"/>
      <c r="K83" s="15" t="s">
        <v>1685</v>
      </c>
      <c r="L83" s="15" t="s">
        <v>1685</v>
      </c>
      <c r="M83" s="8" t="s">
        <v>5578</v>
      </c>
      <c r="N83" s="8"/>
      <c r="O83" s="8" t="s">
        <v>5574</v>
      </c>
      <c r="P83" s="11" t="s">
        <v>3490</v>
      </c>
      <c r="Q83" s="8"/>
      <c r="R83" s="8" t="s">
        <v>5632</v>
      </c>
      <c r="S83" s="8" t="s">
        <v>5666</v>
      </c>
    </row>
    <row r="84" spans="1:19" ht="150" customHeight="1" x14ac:dyDescent="0.25">
      <c r="A84" s="8" t="s">
        <v>395</v>
      </c>
      <c r="B84" s="8" t="s">
        <v>5630</v>
      </c>
      <c r="C84" s="8" t="s">
        <v>5631</v>
      </c>
      <c r="D84" s="10">
        <v>38</v>
      </c>
      <c r="E84" s="8" t="s">
        <v>2399</v>
      </c>
      <c r="F84" s="8" t="s">
        <v>392</v>
      </c>
      <c r="G84" s="8" t="s">
        <v>104</v>
      </c>
      <c r="H84" s="8" t="s">
        <v>2399</v>
      </c>
      <c r="I84" s="8" t="s">
        <v>389</v>
      </c>
      <c r="J84" s="8"/>
      <c r="K84" s="15" t="s">
        <v>1685</v>
      </c>
      <c r="L84" s="15" t="s">
        <v>1685</v>
      </c>
      <c r="M84" s="8" t="s">
        <v>5578</v>
      </c>
      <c r="N84" s="8"/>
      <c r="O84" s="8" t="s">
        <v>5574</v>
      </c>
      <c r="P84" s="11" t="s">
        <v>3492</v>
      </c>
      <c r="Q84" s="8"/>
      <c r="R84" s="8" t="s">
        <v>5632</v>
      </c>
      <c r="S84" s="8" t="s">
        <v>5667</v>
      </c>
    </row>
    <row r="85" spans="1:19" ht="150" customHeight="1" x14ac:dyDescent="0.25">
      <c r="A85" s="8" t="s">
        <v>963</v>
      </c>
      <c r="B85" s="8" t="s">
        <v>5630</v>
      </c>
      <c r="C85" s="8" t="s">
        <v>5631</v>
      </c>
      <c r="D85" s="10">
        <v>39</v>
      </c>
      <c r="E85" s="8" t="s">
        <v>2402</v>
      </c>
      <c r="F85" s="8" t="s">
        <v>961</v>
      </c>
      <c r="G85" s="8" t="s">
        <v>104</v>
      </c>
      <c r="H85" s="8" t="s">
        <v>2402</v>
      </c>
      <c r="I85" s="8" t="s">
        <v>957</v>
      </c>
      <c r="J85" s="8"/>
      <c r="K85" s="15" t="s">
        <v>1685</v>
      </c>
      <c r="L85" s="15" t="s">
        <v>1685</v>
      </c>
      <c r="M85" s="8" t="s">
        <v>5578</v>
      </c>
      <c r="N85" s="8"/>
      <c r="O85" s="8" t="s">
        <v>5574</v>
      </c>
      <c r="P85" s="11" t="s">
        <v>3494</v>
      </c>
      <c r="Q85" s="8"/>
      <c r="R85" s="8" t="s">
        <v>5632</v>
      </c>
      <c r="S85" s="8" t="s">
        <v>5668</v>
      </c>
    </row>
    <row r="86" spans="1:19" ht="150" customHeight="1" x14ac:dyDescent="0.25">
      <c r="A86" s="8" t="s">
        <v>1029</v>
      </c>
      <c r="B86" s="8" t="s">
        <v>5630</v>
      </c>
      <c r="C86" s="8" t="s">
        <v>5631</v>
      </c>
      <c r="D86" s="10">
        <v>40</v>
      </c>
      <c r="E86" s="8" t="s">
        <v>2405</v>
      </c>
      <c r="F86" s="8" t="s">
        <v>1027</v>
      </c>
      <c r="G86" s="8" t="s">
        <v>104</v>
      </c>
      <c r="H86" s="8" t="s">
        <v>2405</v>
      </c>
      <c r="I86" s="8" t="s">
        <v>1024</v>
      </c>
      <c r="J86" s="8"/>
      <c r="K86" s="15" t="s">
        <v>1685</v>
      </c>
      <c r="L86" s="15" t="s">
        <v>1685</v>
      </c>
      <c r="M86" s="8" t="s">
        <v>5578</v>
      </c>
      <c r="N86" s="8"/>
      <c r="O86" s="8" t="s">
        <v>5574</v>
      </c>
      <c r="P86" s="11" t="s">
        <v>3496</v>
      </c>
      <c r="Q86" s="8"/>
      <c r="R86" s="8" t="s">
        <v>5632</v>
      </c>
      <c r="S86" s="8" t="s">
        <v>5669</v>
      </c>
    </row>
    <row r="87" spans="1:19" ht="150" customHeight="1" x14ac:dyDescent="0.25">
      <c r="A87" s="8" t="s">
        <v>1009</v>
      </c>
      <c r="B87" s="8" t="s">
        <v>5630</v>
      </c>
      <c r="C87" s="8" t="s">
        <v>5631</v>
      </c>
      <c r="D87" s="10">
        <v>41</v>
      </c>
      <c r="E87" s="8" t="s">
        <v>2408</v>
      </c>
      <c r="F87" s="8" t="s">
        <v>1007</v>
      </c>
      <c r="G87" s="8" t="s">
        <v>104</v>
      </c>
      <c r="H87" s="8" t="s">
        <v>2408</v>
      </c>
      <c r="I87" s="8" t="s">
        <v>1004</v>
      </c>
      <c r="J87" s="8"/>
      <c r="K87" s="15" t="s">
        <v>1685</v>
      </c>
      <c r="L87" s="15" t="s">
        <v>1685</v>
      </c>
      <c r="M87" s="8" t="s">
        <v>5578</v>
      </c>
      <c r="N87" s="8"/>
      <c r="O87" s="8" t="s">
        <v>5574</v>
      </c>
      <c r="P87" s="11" t="s">
        <v>3498</v>
      </c>
      <c r="Q87" s="8"/>
      <c r="R87" s="8" t="s">
        <v>5632</v>
      </c>
      <c r="S87" s="8" t="s">
        <v>5670</v>
      </c>
    </row>
    <row r="88" spans="1:19" ht="150" customHeight="1" x14ac:dyDescent="0.25">
      <c r="A88" s="8" t="s">
        <v>1022</v>
      </c>
      <c r="B88" s="8" t="s">
        <v>5630</v>
      </c>
      <c r="C88" s="8" t="s">
        <v>5631</v>
      </c>
      <c r="D88" s="10">
        <v>42</v>
      </c>
      <c r="E88" s="8" t="s">
        <v>2412</v>
      </c>
      <c r="F88" s="8" t="s">
        <v>1020</v>
      </c>
      <c r="G88" s="8" t="s">
        <v>104</v>
      </c>
      <c r="H88" s="8" t="s">
        <v>2412</v>
      </c>
      <c r="I88" s="8" t="s">
        <v>1017</v>
      </c>
      <c r="J88" s="8"/>
      <c r="K88" s="15" t="s">
        <v>1685</v>
      </c>
      <c r="L88" s="15" t="s">
        <v>1685</v>
      </c>
      <c r="M88" s="8" t="s">
        <v>5578</v>
      </c>
      <c r="N88" s="8"/>
      <c r="O88" s="8" t="s">
        <v>5574</v>
      </c>
      <c r="P88" s="11" t="s">
        <v>3500</v>
      </c>
      <c r="Q88" s="8"/>
      <c r="R88" s="8" t="s">
        <v>5632</v>
      </c>
      <c r="S88" s="8" t="s">
        <v>5671</v>
      </c>
    </row>
    <row r="89" spans="1:19" ht="150" customHeight="1" x14ac:dyDescent="0.25">
      <c r="A89" s="8" t="s">
        <v>2418</v>
      </c>
      <c r="B89" s="8" t="s">
        <v>5630</v>
      </c>
      <c r="C89" s="8" t="s">
        <v>5631</v>
      </c>
      <c r="D89" s="10">
        <v>43</v>
      </c>
      <c r="E89" s="8" t="s">
        <v>2415</v>
      </c>
      <c r="F89" s="8" t="s">
        <v>2867</v>
      </c>
      <c r="G89" s="8" t="s">
        <v>104</v>
      </c>
      <c r="H89" s="8" t="s">
        <v>2415</v>
      </c>
      <c r="I89" s="8" t="s">
        <v>613</v>
      </c>
      <c r="J89" s="8"/>
      <c r="K89" s="15" t="s">
        <v>1685</v>
      </c>
      <c r="L89" s="15" t="s">
        <v>1685</v>
      </c>
      <c r="M89" s="8" t="s">
        <v>5578</v>
      </c>
      <c r="N89" s="8"/>
      <c r="O89" s="8" t="s">
        <v>5574</v>
      </c>
      <c r="P89" s="11" t="s">
        <v>3502</v>
      </c>
      <c r="Q89" s="8"/>
      <c r="R89" s="8" t="s">
        <v>5632</v>
      </c>
      <c r="S89" s="8" t="s">
        <v>5672</v>
      </c>
    </row>
    <row r="90" spans="1:19" ht="150" customHeight="1" x14ac:dyDescent="0.25">
      <c r="A90" s="8" t="s">
        <v>2426</v>
      </c>
      <c r="B90" s="8" t="s">
        <v>5630</v>
      </c>
      <c r="C90" s="8" t="s">
        <v>5631</v>
      </c>
      <c r="D90" s="10">
        <v>44</v>
      </c>
      <c r="E90" s="8" t="s">
        <v>2419</v>
      </c>
      <c r="F90" s="8" t="s">
        <v>2836</v>
      </c>
      <c r="G90" s="8" t="s">
        <v>104</v>
      </c>
      <c r="H90" s="8" t="s">
        <v>2419</v>
      </c>
      <c r="I90" s="8" t="s">
        <v>2420</v>
      </c>
      <c r="J90" s="8"/>
      <c r="K90" s="15" t="s">
        <v>1685</v>
      </c>
      <c r="L90" s="15" t="s">
        <v>1685</v>
      </c>
      <c r="M90" s="8" t="s">
        <v>5573</v>
      </c>
      <c r="N90" s="15" t="s">
        <v>1685</v>
      </c>
      <c r="O90" s="8" t="s">
        <v>5574</v>
      </c>
      <c r="P90" s="11" t="s">
        <v>3332</v>
      </c>
      <c r="Q90" s="8"/>
      <c r="R90" s="8" t="s">
        <v>5632</v>
      </c>
      <c r="S90" s="8" t="s">
        <v>5673</v>
      </c>
    </row>
    <row r="91" spans="1:19" ht="150" customHeight="1" x14ac:dyDescent="0.25">
      <c r="A91" s="8" t="s">
        <v>2436</v>
      </c>
      <c r="B91" s="8" t="s">
        <v>5630</v>
      </c>
      <c r="C91" s="8" t="s">
        <v>5631</v>
      </c>
      <c r="D91" s="10">
        <v>45</v>
      </c>
      <c r="E91" s="8" t="s">
        <v>2427</v>
      </c>
      <c r="F91" s="8" t="s">
        <v>3029</v>
      </c>
      <c r="G91" s="8" t="s">
        <v>104</v>
      </c>
      <c r="H91" s="8" t="s">
        <v>2427</v>
      </c>
      <c r="I91" s="8" t="s">
        <v>2428</v>
      </c>
      <c r="J91" s="8"/>
      <c r="K91" s="15" t="s">
        <v>1685</v>
      </c>
      <c r="L91" s="15" t="s">
        <v>1685</v>
      </c>
      <c r="M91" s="8" t="s">
        <v>5578</v>
      </c>
      <c r="N91" s="8"/>
      <c r="O91" s="8" t="s">
        <v>5574</v>
      </c>
      <c r="P91" s="11" t="s">
        <v>3504</v>
      </c>
      <c r="Q91" s="8"/>
      <c r="R91" s="8" t="s">
        <v>5632</v>
      </c>
      <c r="S91" s="8" t="s">
        <v>5674</v>
      </c>
    </row>
    <row r="92" spans="1:19" ht="150" customHeight="1" x14ac:dyDescent="0.25">
      <c r="A92" s="8" t="s">
        <v>2444</v>
      </c>
      <c r="B92" s="8" t="s">
        <v>5630</v>
      </c>
      <c r="C92" s="8" t="s">
        <v>5631</v>
      </c>
      <c r="D92" s="10">
        <v>46</v>
      </c>
      <c r="E92" s="8" t="s">
        <v>2437</v>
      </c>
      <c r="F92" s="8" t="s">
        <v>2827</v>
      </c>
      <c r="G92" s="8" t="s">
        <v>104</v>
      </c>
      <c r="H92" s="8" t="s">
        <v>2437</v>
      </c>
      <c r="I92" s="8" t="s">
        <v>2438</v>
      </c>
      <c r="J92" s="8"/>
      <c r="K92" s="15" t="s">
        <v>1685</v>
      </c>
      <c r="L92" s="15" t="s">
        <v>1685</v>
      </c>
      <c r="M92" s="8" t="s">
        <v>5578</v>
      </c>
      <c r="N92" s="8"/>
      <c r="O92" s="8" t="s">
        <v>5574</v>
      </c>
      <c r="P92" s="11" t="s">
        <v>3506</v>
      </c>
      <c r="Q92" s="8"/>
      <c r="R92" s="8" t="s">
        <v>5632</v>
      </c>
      <c r="S92" s="8" t="s">
        <v>5675</v>
      </c>
    </row>
    <row r="93" spans="1:19" ht="150" customHeight="1" x14ac:dyDescent="0.25">
      <c r="A93" s="8" t="s">
        <v>2454</v>
      </c>
      <c r="B93" s="8" t="s">
        <v>5630</v>
      </c>
      <c r="C93" s="8" t="s">
        <v>5631</v>
      </c>
      <c r="D93" s="10">
        <v>47</v>
      </c>
      <c r="E93" s="8" t="s">
        <v>2445</v>
      </c>
      <c r="F93" s="8" t="s">
        <v>2972</v>
      </c>
      <c r="G93" s="8" t="s">
        <v>104</v>
      </c>
      <c r="H93" s="8" t="s">
        <v>2445</v>
      </c>
      <c r="I93" s="8" t="s">
        <v>2446</v>
      </c>
      <c r="J93" s="8"/>
      <c r="K93" s="15" t="s">
        <v>1685</v>
      </c>
      <c r="L93" s="15" t="s">
        <v>1685</v>
      </c>
      <c r="M93" s="8" t="s">
        <v>5578</v>
      </c>
      <c r="N93" s="8"/>
      <c r="O93" s="8" t="s">
        <v>5574</v>
      </c>
      <c r="P93" s="11" t="s">
        <v>3508</v>
      </c>
      <c r="Q93" s="8"/>
      <c r="R93" s="8" t="s">
        <v>5632</v>
      </c>
      <c r="S93" s="8" t="s">
        <v>5676</v>
      </c>
    </row>
    <row r="94" spans="1:19" ht="150" customHeight="1" x14ac:dyDescent="0.25">
      <c r="A94" s="8" t="s">
        <v>2462</v>
      </c>
      <c r="B94" s="8" t="s">
        <v>5630</v>
      </c>
      <c r="C94" s="8" t="s">
        <v>5631</v>
      </c>
      <c r="D94" s="10">
        <v>48</v>
      </c>
      <c r="E94" s="8" t="s">
        <v>2455</v>
      </c>
      <c r="F94" s="8" t="s">
        <v>3066</v>
      </c>
      <c r="G94" s="8" t="s">
        <v>104</v>
      </c>
      <c r="H94" s="8" t="s">
        <v>2455</v>
      </c>
      <c r="I94" s="8" t="s">
        <v>2456</v>
      </c>
      <c r="J94" s="8"/>
      <c r="K94" s="15" t="s">
        <v>1685</v>
      </c>
      <c r="L94" s="15" t="s">
        <v>1685</v>
      </c>
      <c r="M94" s="8" t="s">
        <v>5578</v>
      </c>
      <c r="N94" s="8"/>
      <c r="O94" s="8" t="s">
        <v>5574</v>
      </c>
      <c r="P94" s="11" t="s">
        <v>3510</v>
      </c>
      <c r="Q94" s="8"/>
      <c r="R94" s="8" t="s">
        <v>5632</v>
      </c>
      <c r="S94" s="8" t="s">
        <v>5677</v>
      </c>
    </row>
    <row r="95" spans="1:19" ht="150" customHeight="1" x14ac:dyDescent="0.25">
      <c r="A95" s="8" t="s">
        <v>2470</v>
      </c>
      <c r="B95" s="8" t="s">
        <v>5630</v>
      </c>
      <c r="C95" s="8" t="s">
        <v>5631</v>
      </c>
      <c r="D95" s="10">
        <v>49</v>
      </c>
      <c r="E95" s="8" t="s">
        <v>2463</v>
      </c>
      <c r="F95" s="8" t="s">
        <v>3112</v>
      </c>
      <c r="G95" s="8" t="s">
        <v>104</v>
      </c>
      <c r="H95" s="8" t="s">
        <v>2463</v>
      </c>
      <c r="I95" s="8" t="s">
        <v>2464</v>
      </c>
      <c r="J95" s="8"/>
      <c r="K95" s="15" t="s">
        <v>1685</v>
      </c>
      <c r="L95" s="15" t="s">
        <v>1685</v>
      </c>
      <c r="M95" s="8" t="s">
        <v>5578</v>
      </c>
      <c r="N95" s="8"/>
      <c r="O95" s="8" t="s">
        <v>5574</v>
      </c>
      <c r="P95" s="11" t="s">
        <v>3512</v>
      </c>
      <c r="Q95" s="8"/>
      <c r="R95" s="8" t="s">
        <v>5632</v>
      </c>
      <c r="S95" s="8" t="s">
        <v>5678</v>
      </c>
    </row>
    <row r="96" spans="1:19" ht="150" customHeight="1" x14ac:dyDescent="0.25">
      <c r="A96" s="8" t="s">
        <v>2478</v>
      </c>
      <c r="B96" s="8" t="s">
        <v>5630</v>
      </c>
      <c r="C96" s="8" t="s">
        <v>5631</v>
      </c>
      <c r="D96" s="10">
        <v>50</v>
      </c>
      <c r="E96" s="8" t="s">
        <v>2471</v>
      </c>
      <c r="F96" s="8" t="s">
        <v>2991</v>
      </c>
      <c r="G96" s="8" t="s">
        <v>104</v>
      </c>
      <c r="H96" s="8" t="s">
        <v>2471</v>
      </c>
      <c r="I96" s="8" t="s">
        <v>2472</v>
      </c>
      <c r="J96" s="8"/>
      <c r="K96" s="15" t="s">
        <v>1685</v>
      </c>
      <c r="L96" s="15" t="s">
        <v>1685</v>
      </c>
      <c r="M96" s="8" t="s">
        <v>5578</v>
      </c>
      <c r="N96" s="8"/>
      <c r="O96" s="8" t="s">
        <v>5574</v>
      </c>
      <c r="P96" s="11" t="s">
        <v>3514</v>
      </c>
      <c r="Q96" s="8"/>
      <c r="R96" s="8" t="s">
        <v>5632</v>
      </c>
      <c r="S96" s="8" t="s">
        <v>5679</v>
      </c>
    </row>
    <row r="97" spans="1:19" ht="150" customHeight="1" x14ac:dyDescent="0.25">
      <c r="A97" s="8" t="s">
        <v>2485</v>
      </c>
      <c r="B97" s="8" t="s">
        <v>5630</v>
      </c>
      <c r="C97" s="8" t="s">
        <v>5631</v>
      </c>
      <c r="D97" s="10">
        <v>51</v>
      </c>
      <c r="E97" s="8" t="s">
        <v>2479</v>
      </c>
      <c r="F97" s="8" t="s">
        <v>3137</v>
      </c>
      <c r="G97" s="8" t="s">
        <v>104</v>
      </c>
      <c r="H97" s="8" t="s">
        <v>2479</v>
      </c>
      <c r="I97" s="8" t="s">
        <v>2480</v>
      </c>
      <c r="J97" s="8"/>
      <c r="K97" s="15" t="s">
        <v>1685</v>
      </c>
      <c r="L97" s="15" t="s">
        <v>1685</v>
      </c>
      <c r="M97" s="8" t="s">
        <v>5578</v>
      </c>
      <c r="N97" s="8"/>
      <c r="O97" s="8" t="s">
        <v>5574</v>
      </c>
      <c r="P97" s="11" t="s">
        <v>3516</v>
      </c>
      <c r="Q97" s="8"/>
      <c r="R97" s="8" t="s">
        <v>5632</v>
      </c>
      <c r="S97" s="8" t="s">
        <v>5680</v>
      </c>
    </row>
    <row r="98" spans="1:19" ht="150" customHeight="1" x14ac:dyDescent="0.25">
      <c r="A98" s="8" t="s">
        <v>2492</v>
      </c>
      <c r="B98" s="8" t="s">
        <v>5630</v>
      </c>
      <c r="C98" s="8" t="s">
        <v>5631</v>
      </c>
      <c r="D98" s="10">
        <v>52</v>
      </c>
      <c r="E98" s="8" t="s">
        <v>2486</v>
      </c>
      <c r="F98" s="8" t="s">
        <v>3058</v>
      </c>
      <c r="G98" s="8" t="s">
        <v>104</v>
      </c>
      <c r="H98" s="8" t="s">
        <v>2486</v>
      </c>
      <c r="I98" s="8" t="s">
        <v>2487</v>
      </c>
      <c r="J98" s="8"/>
      <c r="K98" s="15" t="s">
        <v>1685</v>
      </c>
      <c r="L98" s="15" t="s">
        <v>1685</v>
      </c>
      <c r="M98" s="8" t="s">
        <v>5578</v>
      </c>
      <c r="N98" s="8"/>
      <c r="O98" s="8" t="s">
        <v>5574</v>
      </c>
      <c r="P98" s="11" t="s">
        <v>3478</v>
      </c>
      <c r="Q98" s="8"/>
      <c r="R98" s="8" t="s">
        <v>5632</v>
      </c>
      <c r="S98" s="8" t="s">
        <v>5681</v>
      </c>
    </row>
    <row r="99" spans="1:19" ht="150" customHeight="1" x14ac:dyDescent="0.25">
      <c r="A99" s="8" t="s">
        <v>2498</v>
      </c>
      <c r="B99" s="8" t="s">
        <v>5630</v>
      </c>
      <c r="C99" s="8" t="s">
        <v>5631</v>
      </c>
      <c r="D99" s="10">
        <v>53</v>
      </c>
      <c r="E99" s="8" t="s">
        <v>2493</v>
      </c>
      <c r="F99" s="8" t="s">
        <v>2953</v>
      </c>
      <c r="G99" s="8" t="s">
        <v>104</v>
      </c>
      <c r="H99" s="8" t="s">
        <v>2493</v>
      </c>
      <c r="I99" s="8" t="s">
        <v>2494</v>
      </c>
      <c r="J99" s="8"/>
      <c r="K99" s="15" t="s">
        <v>1685</v>
      </c>
      <c r="L99" s="15" t="s">
        <v>1685</v>
      </c>
      <c r="M99" s="8" t="s">
        <v>5578</v>
      </c>
      <c r="N99" s="8"/>
      <c r="O99" s="8" t="s">
        <v>5574</v>
      </c>
      <c r="P99" s="11" t="s">
        <v>3478</v>
      </c>
      <c r="Q99" s="8"/>
      <c r="R99" s="8" t="s">
        <v>5632</v>
      </c>
      <c r="S99" s="8" t="s">
        <v>5682</v>
      </c>
    </row>
    <row r="100" spans="1:19" ht="150" customHeight="1" x14ac:dyDescent="0.25">
      <c r="A100" s="8" t="s">
        <v>2504</v>
      </c>
      <c r="B100" s="8" t="s">
        <v>5630</v>
      </c>
      <c r="C100" s="8" t="s">
        <v>5631</v>
      </c>
      <c r="D100" s="10">
        <v>54</v>
      </c>
      <c r="E100" s="8" t="s">
        <v>2499</v>
      </c>
      <c r="F100" s="8" t="s">
        <v>3019</v>
      </c>
      <c r="G100" s="8" t="s">
        <v>104</v>
      </c>
      <c r="H100" s="8" t="s">
        <v>2499</v>
      </c>
      <c r="I100" s="8" t="s">
        <v>2500</v>
      </c>
      <c r="J100" s="8"/>
      <c r="K100" s="15" t="s">
        <v>1685</v>
      </c>
      <c r="L100" s="15" t="s">
        <v>1685</v>
      </c>
      <c r="M100" s="8" t="s">
        <v>5578</v>
      </c>
      <c r="N100" s="8"/>
      <c r="O100" s="8" t="s">
        <v>5574</v>
      </c>
      <c r="P100" s="11" t="s">
        <v>3486</v>
      </c>
      <c r="Q100" s="8"/>
      <c r="R100" s="8" t="s">
        <v>5632</v>
      </c>
      <c r="S100" s="8" t="s">
        <v>5683</v>
      </c>
    </row>
    <row r="101" spans="1:19" ht="150" customHeight="1" x14ac:dyDescent="0.25">
      <c r="A101" s="8" t="s">
        <v>2511</v>
      </c>
      <c r="B101" s="8" t="s">
        <v>5630</v>
      </c>
      <c r="C101" s="8" t="s">
        <v>5631</v>
      </c>
      <c r="D101" s="10">
        <v>55</v>
      </c>
      <c r="E101" s="8" t="s">
        <v>2505</v>
      </c>
      <c r="F101" s="8" t="s">
        <v>3018</v>
      </c>
      <c r="G101" s="8" t="s">
        <v>104</v>
      </c>
      <c r="H101" s="8" t="s">
        <v>2505</v>
      </c>
      <c r="I101" s="8" t="s">
        <v>2506</v>
      </c>
      <c r="J101" s="8"/>
      <c r="K101" s="15" t="s">
        <v>1685</v>
      </c>
      <c r="L101" s="15" t="s">
        <v>1685</v>
      </c>
      <c r="M101" s="8" t="s">
        <v>5578</v>
      </c>
      <c r="N101" s="8"/>
      <c r="O101" s="8" t="s">
        <v>5574</v>
      </c>
      <c r="P101" s="11" t="s">
        <v>3486</v>
      </c>
      <c r="Q101" s="8"/>
      <c r="R101" s="8" t="s">
        <v>5632</v>
      </c>
      <c r="S101" s="8" t="s">
        <v>5684</v>
      </c>
    </row>
    <row r="102" spans="1:19" ht="150" customHeight="1" x14ac:dyDescent="0.25">
      <c r="A102" s="8" t="s">
        <v>2519</v>
      </c>
      <c r="B102" s="8" t="s">
        <v>5630</v>
      </c>
      <c r="C102" s="8" t="s">
        <v>5631</v>
      </c>
      <c r="D102" s="10">
        <v>56</v>
      </c>
      <c r="E102" s="8" t="s">
        <v>2512</v>
      </c>
      <c r="F102" s="8" t="s">
        <v>3139</v>
      </c>
      <c r="G102" s="8" t="s">
        <v>104</v>
      </c>
      <c r="H102" s="8" t="s">
        <v>2512</v>
      </c>
      <c r="I102" s="8" t="s">
        <v>2513</v>
      </c>
      <c r="J102" s="8"/>
      <c r="K102" s="15" t="s">
        <v>1685</v>
      </c>
      <c r="L102" s="15" t="s">
        <v>1685</v>
      </c>
      <c r="M102" s="8" t="s">
        <v>5578</v>
      </c>
      <c r="N102" s="8"/>
      <c r="O102" s="8" t="s">
        <v>5574</v>
      </c>
      <c r="P102" s="11" t="s">
        <v>3518</v>
      </c>
      <c r="Q102" s="8"/>
      <c r="R102" s="8" t="s">
        <v>5632</v>
      </c>
      <c r="S102" s="8" t="s">
        <v>5685</v>
      </c>
    </row>
    <row r="103" spans="1:19" ht="150" customHeight="1" x14ac:dyDescent="0.25">
      <c r="A103" s="8" t="s">
        <v>2528</v>
      </c>
      <c r="B103" s="8" t="s">
        <v>5630</v>
      </c>
      <c r="C103" s="8" t="s">
        <v>5631</v>
      </c>
      <c r="D103" s="10">
        <v>57</v>
      </c>
      <c r="E103" s="8" t="s">
        <v>2520</v>
      </c>
      <c r="F103" s="8" t="s">
        <v>3096</v>
      </c>
      <c r="G103" s="8" t="s">
        <v>104</v>
      </c>
      <c r="H103" s="8" t="s">
        <v>2520</v>
      </c>
      <c r="I103" s="8" t="s">
        <v>2521</v>
      </c>
      <c r="J103" s="8"/>
      <c r="K103" s="15" t="s">
        <v>1685</v>
      </c>
      <c r="L103" s="15" t="s">
        <v>1685</v>
      </c>
      <c r="M103" s="8" t="s">
        <v>5578</v>
      </c>
      <c r="N103" s="8"/>
      <c r="O103" s="8" t="s">
        <v>5574</v>
      </c>
      <c r="P103" s="11" t="s">
        <v>3520</v>
      </c>
      <c r="Q103" s="8"/>
      <c r="R103" s="8" t="s">
        <v>5632</v>
      </c>
      <c r="S103" s="8" t="s">
        <v>5686</v>
      </c>
    </row>
    <row r="104" spans="1:19" ht="150" customHeight="1" x14ac:dyDescent="0.25">
      <c r="A104" s="8" t="s">
        <v>2538</v>
      </c>
      <c r="B104" s="8" t="s">
        <v>5630</v>
      </c>
      <c r="C104" s="8" t="s">
        <v>5631</v>
      </c>
      <c r="D104" s="10">
        <v>58</v>
      </c>
      <c r="E104" s="8" t="s">
        <v>2529</v>
      </c>
      <c r="F104" s="8" t="s">
        <v>2964</v>
      </c>
      <c r="G104" s="8" t="s">
        <v>104</v>
      </c>
      <c r="H104" s="8" t="s">
        <v>2529</v>
      </c>
      <c r="I104" s="8" t="s">
        <v>2530</v>
      </c>
      <c r="J104" s="8"/>
      <c r="K104" s="15" t="s">
        <v>1685</v>
      </c>
      <c r="L104" s="15" t="s">
        <v>1685</v>
      </c>
      <c r="M104" s="8" t="s">
        <v>5578</v>
      </c>
      <c r="N104" s="8"/>
      <c r="O104" s="8" t="s">
        <v>5574</v>
      </c>
      <c r="P104" s="11" t="s">
        <v>3522</v>
      </c>
      <c r="Q104" s="8"/>
      <c r="R104" s="8" t="s">
        <v>5632</v>
      </c>
      <c r="S104" s="8" t="s">
        <v>5687</v>
      </c>
    </row>
    <row r="105" spans="1:19" ht="150" customHeight="1" x14ac:dyDescent="0.25">
      <c r="A105" s="8" t="s">
        <v>2545</v>
      </c>
      <c r="B105" s="8" t="s">
        <v>5630</v>
      </c>
      <c r="C105" s="8" t="s">
        <v>5631</v>
      </c>
      <c r="D105" s="10">
        <v>59</v>
      </c>
      <c r="E105" s="8" t="s">
        <v>2539</v>
      </c>
      <c r="F105" s="8" t="s">
        <v>2903</v>
      </c>
      <c r="G105" s="8" t="s">
        <v>104</v>
      </c>
      <c r="H105" s="8" t="s">
        <v>2539</v>
      </c>
      <c r="I105" s="8" t="s">
        <v>2540</v>
      </c>
      <c r="J105" s="8"/>
      <c r="K105" s="15" t="s">
        <v>1685</v>
      </c>
      <c r="L105" s="15" t="s">
        <v>1685</v>
      </c>
      <c r="M105" s="8" t="s">
        <v>5688</v>
      </c>
      <c r="N105" s="15" t="s">
        <v>1685</v>
      </c>
      <c r="O105" s="8" t="s">
        <v>5574</v>
      </c>
      <c r="P105" s="11" t="s">
        <v>3352</v>
      </c>
      <c r="Q105" s="8"/>
      <c r="R105" s="8" t="s">
        <v>5632</v>
      </c>
      <c r="S105" s="8" t="s">
        <v>5689</v>
      </c>
    </row>
    <row r="106" spans="1:19" ht="150" customHeight="1" x14ac:dyDescent="0.25">
      <c r="A106" s="8" t="s">
        <v>2553</v>
      </c>
      <c r="B106" s="8" t="s">
        <v>5630</v>
      </c>
      <c r="C106" s="8" t="s">
        <v>5631</v>
      </c>
      <c r="D106" s="10">
        <v>60</v>
      </c>
      <c r="E106" s="8" t="s">
        <v>2546</v>
      </c>
      <c r="F106" s="8" t="s">
        <v>2959</v>
      </c>
      <c r="G106" s="8" t="s">
        <v>104</v>
      </c>
      <c r="H106" s="8" t="s">
        <v>2546</v>
      </c>
      <c r="I106" s="8" t="s">
        <v>2547</v>
      </c>
      <c r="J106" s="8"/>
      <c r="K106" s="15" t="s">
        <v>1685</v>
      </c>
      <c r="L106" s="15" t="s">
        <v>1685</v>
      </c>
      <c r="M106" s="8" t="s">
        <v>5578</v>
      </c>
      <c r="N106" s="8"/>
      <c r="O106" s="8" t="s">
        <v>5574</v>
      </c>
      <c r="P106" s="11" t="s">
        <v>3527</v>
      </c>
      <c r="Q106" s="8"/>
      <c r="R106" s="8" t="s">
        <v>5632</v>
      </c>
      <c r="S106" s="8" t="s">
        <v>5690</v>
      </c>
    </row>
    <row r="107" spans="1:19" ht="150" customHeight="1" x14ac:dyDescent="0.25">
      <c r="A107" s="8" t="s">
        <v>2561</v>
      </c>
      <c r="B107" s="8" t="s">
        <v>5630</v>
      </c>
      <c r="C107" s="8" t="s">
        <v>5631</v>
      </c>
      <c r="D107" s="10">
        <v>61</v>
      </c>
      <c r="E107" s="8" t="s">
        <v>2554</v>
      </c>
      <c r="F107" s="8" t="s">
        <v>3082</v>
      </c>
      <c r="G107" s="8" t="s">
        <v>104</v>
      </c>
      <c r="H107" s="8" t="s">
        <v>2554</v>
      </c>
      <c r="I107" s="8" t="s">
        <v>2555</v>
      </c>
      <c r="J107" s="8"/>
      <c r="K107" s="15" t="s">
        <v>1685</v>
      </c>
      <c r="L107" s="15" t="s">
        <v>1685</v>
      </c>
      <c r="M107" s="8" t="s">
        <v>5573</v>
      </c>
      <c r="N107" s="15" t="s">
        <v>1685</v>
      </c>
      <c r="O107" s="8" t="s">
        <v>5574</v>
      </c>
      <c r="P107" s="11" t="s">
        <v>3084</v>
      </c>
      <c r="Q107" s="8"/>
      <c r="R107" s="8" t="s">
        <v>5632</v>
      </c>
      <c r="S107" s="8" t="s">
        <v>5691</v>
      </c>
    </row>
    <row r="108" spans="1:19" ht="150" customHeight="1" x14ac:dyDescent="0.25">
      <c r="A108" s="8" t="s">
        <v>2571</v>
      </c>
      <c r="B108" s="8" t="s">
        <v>5630</v>
      </c>
      <c r="C108" s="8" t="s">
        <v>5631</v>
      </c>
      <c r="D108" s="10">
        <v>62</v>
      </c>
      <c r="E108" s="8" t="s">
        <v>2562</v>
      </c>
      <c r="F108" s="8" t="s">
        <v>3027</v>
      </c>
      <c r="G108" s="8" t="s">
        <v>104</v>
      </c>
      <c r="H108" s="8" t="s">
        <v>2562</v>
      </c>
      <c r="I108" s="8" t="s">
        <v>2563</v>
      </c>
      <c r="J108" s="8"/>
      <c r="K108" s="15" t="s">
        <v>1685</v>
      </c>
      <c r="L108" s="15" t="s">
        <v>1685</v>
      </c>
      <c r="M108" s="8" t="s">
        <v>5578</v>
      </c>
      <c r="N108" s="8"/>
      <c r="O108" s="8" t="s">
        <v>5574</v>
      </c>
      <c r="P108" s="11" t="s">
        <v>3529</v>
      </c>
      <c r="Q108" s="8"/>
      <c r="R108" s="8" t="s">
        <v>5632</v>
      </c>
      <c r="S108" s="8" t="s">
        <v>5692</v>
      </c>
    </row>
    <row r="109" spans="1:19" ht="150" customHeight="1" x14ac:dyDescent="0.25">
      <c r="A109" s="8" t="s">
        <v>570</v>
      </c>
      <c r="B109" s="8" t="s">
        <v>5693</v>
      </c>
      <c r="C109" s="8" t="s">
        <v>5694</v>
      </c>
      <c r="D109" s="10">
        <v>4</v>
      </c>
      <c r="E109" s="8" t="s">
        <v>566</v>
      </c>
      <c r="F109" s="8" t="s">
        <v>2985</v>
      </c>
      <c r="G109" s="8" t="s">
        <v>67</v>
      </c>
      <c r="H109" s="8" t="s">
        <v>565</v>
      </c>
      <c r="I109" s="8" t="s">
        <v>566</v>
      </c>
      <c r="J109" s="15" t="s">
        <v>5695</v>
      </c>
      <c r="K109" s="8"/>
      <c r="L109" s="15" t="s">
        <v>1685</v>
      </c>
      <c r="M109" s="8" t="s">
        <v>5573</v>
      </c>
      <c r="N109" s="15" t="s">
        <v>1685</v>
      </c>
      <c r="O109" s="8" t="s">
        <v>5574</v>
      </c>
      <c r="P109" s="11"/>
      <c r="Q109" s="8" t="s">
        <v>5696</v>
      </c>
      <c r="R109" s="8" t="s">
        <v>5697</v>
      </c>
      <c r="S109" s="8" t="s">
        <v>5698</v>
      </c>
    </row>
    <row r="110" spans="1:19" ht="150" customHeight="1" x14ac:dyDescent="0.25">
      <c r="A110" s="8" t="s">
        <v>494</v>
      </c>
      <c r="B110" s="8" t="s">
        <v>5693</v>
      </c>
      <c r="C110" s="8" t="s">
        <v>5694</v>
      </c>
      <c r="D110" s="10">
        <v>5</v>
      </c>
      <c r="E110" s="8" t="s">
        <v>490</v>
      </c>
      <c r="F110" s="8" t="s">
        <v>5699</v>
      </c>
      <c r="G110" s="8" t="s">
        <v>67</v>
      </c>
      <c r="H110" s="8" t="s">
        <v>489</v>
      </c>
      <c r="I110" s="8" t="s">
        <v>490</v>
      </c>
      <c r="J110" s="15" t="s">
        <v>5695</v>
      </c>
      <c r="K110" s="8"/>
      <c r="L110" s="15" t="s">
        <v>1685</v>
      </c>
      <c r="M110" s="8" t="s">
        <v>5578</v>
      </c>
      <c r="N110" s="8"/>
      <c r="O110" s="8" t="s">
        <v>5574</v>
      </c>
      <c r="P110" s="11"/>
      <c r="Q110" s="8" t="s">
        <v>5696</v>
      </c>
      <c r="R110" s="8" t="s">
        <v>5697</v>
      </c>
      <c r="S110" s="8" t="s">
        <v>5700</v>
      </c>
    </row>
    <row r="111" spans="1:19" ht="150" customHeight="1" x14ac:dyDescent="0.25">
      <c r="A111" s="8" t="s">
        <v>838</v>
      </c>
      <c r="B111" s="8" t="s">
        <v>5693</v>
      </c>
      <c r="C111" s="8" t="s">
        <v>5694</v>
      </c>
      <c r="D111" s="10">
        <v>6</v>
      </c>
      <c r="E111" s="8" t="s">
        <v>834</v>
      </c>
      <c r="F111" s="8" t="s">
        <v>836</v>
      </c>
      <c r="G111" s="8" t="s">
        <v>67</v>
      </c>
      <c r="H111" s="8" t="s">
        <v>833</v>
      </c>
      <c r="I111" s="8" t="s">
        <v>834</v>
      </c>
      <c r="J111" s="15" t="s">
        <v>5695</v>
      </c>
      <c r="K111" s="8"/>
      <c r="L111" s="15" t="s">
        <v>1685</v>
      </c>
      <c r="M111" s="8" t="s">
        <v>5578</v>
      </c>
      <c r="N111" s="8"/>
      <c r="O111" s="8" t="s">
        <v>5574</v>
      </c>
      <c r="P111" s="11"/>
      <c r="Q111" s="8" t="s">
        <v>5696</v>
      </c>
      <c r="R111" s="8" t="s">
        <v>5697</v>
      </c>
      <c r="S111" s="8" t="s">
        <v>5701</v>
      </c>
    </row>
    <row r="112" spans="1:19" ht="150" customHeight="1" x14ac:dyDescent="0.25">
      <c r="A112" s="8" t="s">
        <v>1204</v>
      </c>
      <c r="B112" s="8" t="s">
        <v>5693</v>
      </c>
      <c r="C112" s="8" t="s">
        <v>5694</v>
      </c>
      <c r="D112" s="10">
        <v>7</v>
      </c>
      <c r="E112" s="8" t="s">
        <v>1202</v>
      </c>
      <c r="F112" s="8" t="s">
        <v>1203</v>
      </c>
      <c r="G112" s="8" t="s">
        <v>67</v>
      </c>
      <c r="H112" s="8" t="s">
        <v>1201</v>
      </c>
      <c r="I112" s="8" t="s">
        <v>1202</v>
      </c>
      <c r="J112" s="15" t="s">
        <v>5695</v>
      </c>
      <c r="K112" s="8"/>
      <c r="L112" s="15" t="s">
        <v>1685</v>
      </c>
      <c r="M112" s="8" t="s">
        <v>5578</v>
      </c>
      <c r="N112" s="8"/>
      <c r="O112" s="8" t="s">
        <v>5574</v>
      </c>
      <c r="P112" s="11"/>
      <c r="Q112" s="8" t="s">
        <v>5696</v>
      </c>
      <c r="R112" s="8" t="s">
        <v>5697</v>
      </c>
      <c r="S112" s="8" t="s">
        <v>5702</v>
      </c>
    </row>
    <row r="113" spans="1:19" ht="150" customHeight="1" x14ac:dyDescent="0.25">
      <c r="A113" s="8" t="s">
        <v>421</v>
      </c>
      <c r="B113" s="8" t="s">
        <v>5693</v>
      </c>
      <c r="C113" s="8" t="s">
        <v>5694</v>
      </c>
      <c r="D113" s="10">
        <v>8</v>
      </c>
      <c r="E113" s="8" t="s">
        <v>414</v>
      </c>
      <c r="F113" s="8" t="s">
        <v>3051</v>
      </c>
      <c r="G113" s="8" t="s">
        <v>67</v>
      </c>
      <c r="H113" s="8" t="s">
        <v>413</v>
      </c>
      <c r="I113" s="8" t="s">
        <v>414</v>
      </c>
      <c r="J113" s="15" t="s">
        <v>5695</v>
      </c>
      <c r="K113" s="8"/>
      <c r="L113" s="15" t="s">
        <v>1685</v>
      </c>
      <c r="M113" s="8" t="s">
        <v>5578</v>
      </c>
      <c r="N113" s="8"/>
      <c r="O113" s="8" t="s">
        <v>5574</v>
      </c>
      <c r="P113" s="11"/>
      <c r="Q113" s="8" t="s">
        <v>5696</v>
      </c>
      <c r="R113" s="8" t="s">
        <v>5697</v>
      </c>
      <c r="S113" s="8" t="s">
        <v>5703</v>
      </c>
    </row>
    <row r="114" spans="1:19" ht="150" customHeight="1" x14ac:dyDescent="0.25">
      <c r="A114" s="8" t="s">
        <v>473</v>
      </c>
      <c r="B114" s="8" t="s">
        <v>5693</v>
      </c>
      <c r="C114" s="8" t="s">
        <v>5694</v>
      </c>
      <c r="D114" s="10">
        <v>9</v>
      </c>
      <c r="E114" s="8" t="s">
        <v>466</v>
      </c>
      <c r="F114" s="8" t="s">
        <v>2979</v>
      </c>
      <c r="G114" s="8" t="s">
        <v>67</v>
      </c>
      <c r="H114" s="8" t="s">
        <v>465</v>
      </c>
      <c r="I114" s="8" t="s">
        <v>466</v>
      </c>
      <c r="J114" s="15" t="s">
        <v>5695</v>
      </c>
      <c r="K114" s="8"/>
      <c r="L114" s="15" t="s">
        <v>1685</v>
      </c>
      <c r="M114" s="8" t="s">
        <v>5578</v>
      </c>
      <c r="N114" s="8"/>
      <c r="O114" s="8" t="s">
        <v>5574</v>
      </c>
      <c r="P114" s="11"/>
      <c r="Q114" s="8" t="s">
        <v>5696</v>
      </c>
      <c r="R114" s="8" t="s">
        <v>5697</v>
      </c>
      <c r="S114" s="8" t="s">
        <v>5704</v>
      </c>
    </row>
    <row r="115" spans="1:19" ht="150" customHeight="1" x14ac:dyDescent="0.25">
      <c r="A115" s="8" t="s">
        <v>449</v>
      </c>
      <c r="B115" s="8" t="s">
        <v>5693</v>
      </c>
      <c r="C115" s="8" t="s">
        <v>5694</v>
      </c>
      <c r="D115" s="10">
        <v>10</v>
      </c>
      <c r="E115" s="8" t="s">
        <v>445</v>
      </c>
      <c r="F115" s="8" t="s">
        <v>3079</v>
      </c>
      <c r="G115" s="8" t="s">
        <v>67</v>
      </c>
      <c r="H115" s="8" t="s">
        <v>444</v>
      </c>
      <c r="I115" s="8" t="s">
        <v>445</v>
      </c>
      <c r="J115" s="15" t="s">
        <v>5695</v>
      </c>
      <c r="K115" s="8"/>
      <c r="L115" s="15" t="s">
        <v>1685</v>
      </c>
      <c r="M115" s="8" t="s">
        <v>5573</v>
      </c>
      <c r="N115" s="15" t="s">
        <v>1685</v>
      </c>
      <c r="O115" s="8" t="s">
        <v>5574</v>
      </c>
      <c r="P115" s="11"/>
      <c r="Q115" s="8" t="s">
        <v>5696</v>
      </c>
      <c r="R115" s="8" t="s">
        <v>5697</v>
      </c>
      <c r="S115" s="8" t="s">
        <v>5705</v>
      </c>
    </row>
    <row r="116" spans="1:19" ht="150" customHeight="1" x14ac:dyDescent="0.25">
      <c r="A116" s="8" t="s">
        <v>648</v>
      </c>
      <c r="B116" s="8" t="s">
        <v>5693</v>
      </c>
      <c r="C116" s="8" t="s">
        <v>5694</v>
      </c>
      <c r="D116" s="10">
        <v>11</v>
      </c>
      <c r="E116" s="8" t="s">
        <v>642</v>
      </c>
      <c r="F116" s="8" t="s">
        <v>2864</v>
      </c>
      <c r="G116" s="8" t="s">
        <v>67</v>
      </c>
      <c r="H116" s="8" t="s">
        <v>641</v>
      </c>
      <c r="I116" s="8" t="s">
        <v>642</v>
      </c>
      <c r="J116" s="15" t="s">
        <v>5695</v>
      </c>
      <c r="K116" s="8"/>
      <c r="L116" s="15" t="s">
        <v>1685</v>
      </c>
      <c r="M116" s="8" t="s">
        <v>5578</v>
      </c>
      <c r="N116" s="8"/>
      <c r="O116" s="8" t="s">
        <v>5574</v>
      </c>
      <c r="P116" s="11"/>
      <c r="Q116" s="8" t="s">
        <v>5696</v>
      </c>
      <c r="R116" s="8" t="s">
        <v>5697</v>
      </c>
      <c r="S116" s="8" t="s">
        <v>5706</v>
      </c>
    </row>
    <row r="117" spans="1:19" ht="150" customHeight="1" x14ac:dyDescent="0.25">
      <c r="A117" s="8" t="s">
        <v>1076</v>
      </c>
      <c r="B117" s="8" t="s">
        <v>5693</v>
      </c>
      <c r="C117" s="8" t="s">
        <v>5694</v>
      </c>
      <c r="D117" s="10">
        <v>12</v>
      </c>
      <c r="E117" s="8" t="s">
        <v>1073</v>
      </c>
      <c r="F117" s="8" t="s">
        <v>1075</v>
      </c>
      <c r="G117" s="8" t="s">
        <v>67</v>
      </c>
      <c r="H117" s="8" t="s">
        <v>1072</v>
      </c>
      <c r="I117" s="8" t="s">
        <v>1073</v>
      </c>
      <c r="J117" s="15" t="s">
        <v>5695</v>
      </c>
      <c r="K117" s="8"/>
      <c r="L117" s="15" t="s">
        <v>1685</v>
      </c>
      <c r="M117" s="8" t="s">
        <v>5578</v>
      </c>
      <c r="N117" s="8"/>
      <c r="O117" s="8" t="s">
        <v>5574</v>
      </c>
      <c r="P117" s="11"/>
      <c r="Q117" s="8" t="s">
        <v>5696</v>
      </c>
      <c r="R117" s="8" t="s">
        <v>5697</v>
      </c>
      <c r="S117" s="8" t="s">
        <v>5707</v>
      </c>
    </row>
    <row r="118" spans="1:19" ht="150" customHeight="1" x14ac:dyDescent="0.25">
      <c r="A118" s="8" t="s">
        <v>698</v>
      </c>
      <c r="B118" s="8" t="s">
        <v>5693</v>
      </c>
      <c r="C118" s="8" t="s">
        <v>5694</v>
      </c>
      <c r="D118" s="10">
        <v>13</v>
      </c>
      <c r="E118" s="8" t="s">
        <v>692</v>
      </c>
      <c r="F118" s="8" t="s">
        <v>696</v>
      </c>
      <c r="G118" s="8" t="s">
        <v>67</v>
      </c>
      <c r="H118" s="8" t="s">
        <v>691</v>
      </c>
      <c r="I118" s="8" t="s">
        <v>692</v>
      </c>
      <c r="J118" s="15" t="s">
        <v>5695</v>
      </c>
      <c r="K118" s="8"/>
      <c r="L118" s="15" t="s">
        <v>1685</v>
      </c>
      <c r="M118" s="8" t="s">
        <v>5578</v>
      </c>
      <c r="N118" s="8"/>
      <c r="O118" s="8" t="s">
        <v>5574</v>
      </c>
      <c r="P118" s="11"/>
      <c r="Q118" s="8" t="s">
        <v>5696</v>
      </c>
      <c r="R118" s="8" t="s">
        <v>5697</v>
      </c>
      <c r="S118" s="8" t="s">
        <v>5708</v>
      </c>
    </row>
    <row r="119" spans="1:19" ht="150" customHeight="1" x14ac:dyDescent="0.25">
      <c r="A119" s="8" t="s">
        <v>1178</v>
      </c>
      <c r="B119" s="8" t="s">
        <v>5693</v>
      </c>
      <c r="C119" s="8" t="s">
        <v>5694</v>
      </c>
      <c r="D119" s="10">
        <v>14</v>
      </c>
      <c r="E119" s="8" t="s">
        <v>1175</v>
      </c>
      <c r="F119" s="8" t="s">
        <v>1177</v>
      </c>
      <c r="G119" s="8" t="s">
        <v>67</v>
      </c>
      <c r="H119" s="8" t="s">
        <v>1174</v>
      </c>
      <c r="I119" s="8" t="s">
        <v>1175</v>
      </c>
      <c r="J119" s="15" t="s">
        <v>5695</v>
      </c>
      <c r="K119" s="8"/>
      <c r="L119" s="15" t="s">
        <v>1685</v>
      </c>
      <c r="M119" s="8" t="s">
        <v>5578</v>
      </c>
      <c r="N119" s="8"/>
      <c r="O119" s="8" t="s">
        <v>5574</v>
      </c>
      <c r="P119" s="11"/>
      <c r="Q119" s="8" t="s">
        <v>5696</v>
      </c>
      <c r="R119" s="8" t="s">
        <v>5697</v>
      </c>
      <c r="S119" s="8" t="s">
        <v>5709</v>
      </c>
    </row>
    <row r="120" spans="1:19" ht="150" customHeight="1" x14ac:dyDescent="0.25">
      <c r="A120" s="8" t="s">
        <v>1155</v>
      </c>
      <c r="B120" s="8" t="s">
        <v>5693</v>
      </c>
      <c r="C120" s="8" t="s">
        <v>5694</v>
      </c>
      <c r="D120" s="10">
        <v>15</v>
      </c>
      <c r="E120" s="8" t="s">
        <v>1152</v>
      </c>
      <c r="F120" s="8" t="s">
        <v>1154</v>
      </c>
      <c r="G120" s="8" t="s">
        <v>67</v>
      </c>
      <c r="H120" s="8" t="s">
        <v>1151</v>
      </c>
      <c r="I120" s="8" t="s">
        <v>1152</v>
      </c>
      <c r="J120" s="15" t="s">
        <v>5695</v>
      </c>
      <c r="K120" s="8"/>
      <c r="L120" s="15" t="s">
        <v>1685</v>
      </c>
      <c r="M120" s="8" t="s">
        <v>5578</v>
      </c>
      <c r="N120" s="8"/>
      <c r="O120" s="8" t="s">
        <v>5574</v>
      </c>
      <c r="P120" s="11"/>
      <c r="Q120" s="8" t="s">
        <v>5696</v>
      </c>
      <c r="R120" s="8" t="s">
        <v>5697</v>
      </c>
      <c r="S120" s="8" t="s">
        <v>5710</v>
      </c>
    </row>
    <row r="121" spans="1:19" ht="150" customHeight="1" x14ac:dyDescent="0.25">
      <c r="A121" s="8" t="s">
        <v>819</v>
      </c>
      <c r="B121" s="8" t="s">
        <v>5693</v>
      </c>
      <c r="C121" s="8" t="s">
        <v>5694</v>
      </c>
      <c r="D121" s="10">
        <v>16</v>
      </c>
      <c r="E121" s="8" t="s">
        <v>814</v>
      </c>
      <c r="F121" s="8" t="s">
        <v>3127</v>
      </c>
      <c r="G121" s="8" t="s">
        <v>67</v>
      </c>
      <c r="H121" s="8" t="s">
        <v>813</v>
      </c>
      <c r="I121" s="8" t="s">
        <v>814</v>
      </c>
      <c r="J121" s="15" t="s">
        <v>5695</v>
      </c>
      <c r="K121" s="8"/>
      <c r="L121" s="15" t="s">
        <v>1685</v>
      </c>
      <c r="M121" s="8" t="s">
        <v>5578</v>
      </c>
      <c r="N121" s="8"/>
      <c r="O121" s="8" t="s">
        <v>5574</v>
      </c>
      <c r="P121" s="11"/>
      <c r="Q121" s="8" t="s">
        <v>5696</v>
      </c>
      <c r="R121" s="8" t="s">
        <v>5697</v>
      </c>
      <c r="S121" s="8" t="s">
        <v>5711</v>
      </c>
    </row>
    <row r="122" spans="1:19" ht="150" customHeight="1" x14ac:dyDescent="0.25">
      <c r="A122" s="8" t="s">
        <v>736</v>
      </c>
      <c r="B122" s="8" t="s">
        <v>5693</v>
      </c>
      <c r="C122" s="8" t="s">
        <v>5694</v>
      </c>
      <c r="D122" s="10">
        <v>17</v>
      </c>
      <c r="E122" s="8" t="s">
        <v>733</v>
      </c>
      <c r="F122" s="8" t="s">
        <v>2900</v>
      </c>
      <c r="G122" s="8" t="s">
        <v>67</v>
      </c>
      <c r="H122" s="8" t="s">
        <v>732</v>
      </c>
      <c r="I122" s="8" t="s">
        <v>733</v>
      </c>
      <c r="J122" s="15" t="s">
        <v>5695</v>
      </c>
      <c r="K122" s="8"/>
      <c r="L122" s="15" t="s">
        <v>1685</v>
      </c>
      <c r="M122" s="8" t="s">
        <v>5578</v>
      </c>
      <c r="N122" s="8"/>
      <c r="O122" s="8" t="s">
        <v>5574</v>
      </c>
      <c r="P122" s="11" t="s">
        <v>3533</v>
      </c>
      <c r="Q122" s="8" t="s">
        <v>5696</v>
      </c>
      <c r="R122" s="8" t="s">
        <v>5697</v>
      </c>
      <c r="S122" s="8" t="s">
        <v>5712</v>
      </c>
    </row>
    <row r="123" spans="1:19" ht="150" customHeight="1" x14ac:dyDescent="0.25">
      <c r="A123" s="8" t="s">
        <v>1112</v>
      </c>
      <c r="B123" s="8" t="s">
        <v>5693</v>
      </c>
      <c r="C123" s="8" t="s">
        <v>5694</v>
      </c>
      <c r="D123" s="10">
        <v>18</v>
      </c>
      <c r="E123" s="8" t="s">
        <v>1109</v>
      </c>
      <c r="F123" s="8" t="s">
        <v>1111</v>
      </c>
      <c r="G123" s="8" t="s">
        <v>67</v>
      </c>
      <c r="H123" s="8" t="s">
        <v>1108</v>
      </c>
      <c r="I123" s="8" t="s">
        <v>1109</v>
      </c>
      <c r="J123" s="15" t="s">
        <v>5695</v>
      </c>
      <c r="K123" s="8"/>
      <c r="L123" s="15" t="s">
        <v>1685</v>
      </c>
      <c r="M123" s="8" t="s">
        <v>5578</v>
      </c>
      <c r="N123" s="8"/>
      <c r="O123" s="8" t="s">
        <v>5574</v>
      </c>
      <c r="P123" s="11"/>
      <c r="Q123" s="8" t="s">
        <v>5696</v>
      </c>
      <c r="R123" s="8" t="s">
        <v>5697</v>
      </c>
      <c r="S123" s="8" t="s">
        <v>5713</v>
      </c>
    </row>
    <row r="124" spans="1:19" ht="150" customHeight="1" x14ac:dyDescent="0.25">
      <c r="A124" s="8" t="s">
        <v>766</v>
      </c>
      <c r="B124" s="8" t="s">
        <v>5693</v>
      </c>
      <c r="C124" s="8" t="s">
        <v>5694</v>
      </c>
      <c r="D124" s="10">
        <v>19</v>
      </c>
      <c r="E124" s="8" t="s">
        <v>762</v>
      </c>
      <c r="F124" s="8" t="s">
        <v>3062</v>
      </c>
      <c r="G124" s="8" t="s">
        <v>67</v>
      </c>
      <c r="H124" s="8" t="s">
        <v>761</v>
      </c>
      <c r="I124" s="8" t="s">
        <v>762</v>
      </c>
      <c r="J124" s="15" t="s">
        <v>5695</v>
      </c>
      <c r="K124" s="8"/>
      <c r="L124" s="15" t="s">
        <v>1685</v>
      </c>
      <c r="M124" s="8" t="s">
        <v>5578</v>
      </c>
      <c r="N124" s="8"/>
      <c r="O124" s="8" t="s">
        <v>5574</v>
      </c>
      <c r="P124" s="11"/>
      <c r="Q124" s="8" t="s">
        <v>5696</v>
      </c>
      <c r="R124" s="8" t="s">
        <v>5697</v>
      </c>
      <c r="S124" s="8" t="s">
        <v>5714</v>
      </c>
    </row>
    <row r="125" spans="1:19" ht="150" customHeight="1" x14ac:dyDescent="0.25">
      <c r="A125" s="8" t="s">
        <v>539</v>
      </c>
      <c r="B125" s="8" t="s">
        <v>5693</v>
      </c>
      <c r="C125" s="8" t="s">
        <v>5694</v>
      </c>
      <c r="D125" s="10">
        <v>20</v>
      </c>
      <c r="E125" s="8" t="s">
        <v>534</v>
      </c>
      <c r="F125" s="8" t="s">
        <v>537</v>
      </c>
      <c r="G125" s="8" t="s">
        <v>67</v>
      </c>
      <c r="H125" s="8" t="s">
        <v>533</v>
      </c>
      <c r="I125" s="8" t="s">
        <v>534</v>
      </c>
      <c r="J125" s="15" t="s">
        <v>5695</v>
      </c>
      <c r="K125" s="8"/>
      <c r="L125" s="15" t="s">
        <v>1685</v>
      </c>
      <c r="M125" s="8" t="s">
        <v>5578</v>
      </c>
      <c r="N125" s="8"/>
      <c r="O125" s="8" t="s">
        <v>5574</v>
      </c>
      <c r="P125" s="11"/>
      <c r="Q125" s="8" t="s">
        <v>5696</v>
      </c>
      <c r="R125" s="8" t="s">
        <v>5697</v>
      </c>
      <c r="S125" s="8" t="s">
        <v>5715</v>
      </c>
    </row>
    <row r="126" spans="1:19" ht="150" customHeight="1" x14ac:dyDescent="0.25">
      <c r="A126" s="8" t="s">
        <v>859</v>
      </c>
      <c r="B126" s="8" t="s">
        <v>5693</v>
      </c>
      <c r="C126" s="8" t="s">
        <v>5694</v>
      </c>
      <c r="D126" s="10">
        <v>21</v>
      </c>
      <c r="E126" s="8" t="s">
        <v>853</v>
      </c>
      <c r="F126" s="8" t="s">
        <v>857</v>
      </c>
      <c r="G126" s="8" t="s">
        <v>67</v>
      </c>
      <c r="H126" s="8" t="s">
        <v>852</v>
      </c>
      <c r="I126" s="8" t="s">
        <v>853</v>
      </c>
      <c r="J126" s="15" t="s">
        <v>5695</v>
      </c>
      <c r="K126" s="8"/>
      <c r="L126" s="15" t="s">
        <v>1685</v>
      </c>
      <c r="M126" s="8" t="s">
        <v>5578</v>
      </c>
      <c r="N126" s="8"/>
      <c r="O126" s="8" t="s">
        <v>5574</v>
      </c>
      <c r="P126" s="11"/>
      <c r="Q126" s="8" t="s">
        <v>5696</v>
      </c>
      <c r="R126" s="8" t="s">
        <v>5697</v>
      </c>
      <c r="S126" s="8" t="s">
        <v>5716</v>
      </c>
    </row>
    <row r="127" spans="1:19" ht="150" customHeight="1" x14ac:dyDescent="0.25">
      <c r="A127" s="8" t="s">
        <v>666</v>
      </c>
      <c r="B127" s="8" t="s">
        <v>5693</v>
      </c>
      <c r="C127" s="8" t="s">
        <v>5694</v>
      </c>
      <c r="D127" s="10">
        <v>22</v>
      </c>
      <c r="E127" s="8" t="s">
        <v>664</v>
      </c>
      <c r="F127" s="8" t="s">
        <v>2876</v>
      </c>
      <c r="G127" s="8" t="s">
        <v>67</v>
      </c>
      <c r="H127" s="8" t="s">
        <v>663</v>
      </c>
      <c r="I127" s="8" t="s">
        <v>664</v>
      </c>
      <c r="J127" s="15" t="s">
        <v>5695</v>
      </c>
      <c r="K127" s="8"/>
      <c r="L127" s="15" t="s">
        <v>1685</v>
      </c>
      <c r="M127" s="8" t="s">
        <v>5578</v>
      </c>
      <c r="N127" s="8"/>
      <c r="O127" s="8" t="s">
        <v>5574</v>
      </c>
      <c r="P127" s="11" t="s">
        <v>3533</v>
      </c>
      <c r="Q127" s="8" t="s">
        <v>5696</v>
      </c>
      <c r="R127" s="8" t="s">
        <v>5697</v>
      </c>
      <c r="S127" s="8" t="s">
        <v>5717</v>
      </c>
    </row>
    <row r="128" spans="1:19" ht="150" customHeight="1" x14ac:dyDescent="0.25">
      <c r="A128" s="8" t="s">
        <v>1094</v>
      </c>
      <c r="B128" s="8" t="s">
        <v>5693</v>
      </c>
      <c r="C128" s="8" t="s">
        <v>5694</v>
      </c>
      <c r="D128" s="10">
        <v>23</v>
      </c>
      <c r="E128" s="8" t="s">
        <v>1091</v>
      </c>
      <c r="F128" s="8" t="s">
        <v>1093</v>
      </c>
      <c r="G128" s="8" t="s">
        <v>67</v>
      </c>
      <c r="H128" s="8" t="s">
        <v>1090</v>
      </c>
      <c r="I128" s="8" t="s">
        <v>1091</v>
      </c>
      <c r="J128" s="15" t="s">
        <v>5695</v>
      </c>
      <c r="K128" s="8"/>
      <c r="L128" s="15" t="s">
        <v>1685</v>
      </c>
      <c r="M128" s="8" t="s">
        <v>5578</v>
      </c>
      <c r="N128" s="8"/>
      <c r="O128" s="8" t="s">
        <v>5574</v>
      </c>
      <c r="P128" s="11"/>
      <c r="Q128" s="8" t="s">
        <v>5696</v>
      </c>
      <c r="R128" s="8" t="s">
        <v>5697</v>
      </c>
      <c r="S128" s="8" t="s">
        <v>5718</v>
      </c>
    </row>
    <row r="129" spans="1:19" ht="150" customHeight="1" x14ac:dyDescent="0.25">
      <c r="A129" s="8" t="s">
        <v>412</v>
      </c>
      <c r="B129" s="8" t="s">
        <v>5693</v>
      </c>
      <c r="C129" s="8" t="s">
        <v>5694</v>
      </c>
      <c r="D129" s="10">
        <v>24</v>
      </c>
      <c r="E129" s="8" t="s">
        <v>407</v>
      </c>
      <c r="F129" s="8" t="s">
        <v>2896</v>
      </c>
      <c r="G129" s="8" t="s">
        <v>67</v>
      </c>
      <c r="H129" s="8" t="s">
        <v>406</v>
      </c>
      <c r="I129" s="8" t="s">
        <v>407</v>
      </c>
      <c r="J129" s="15" t="s">
        <v>5695</v>
      </c>
      <c r="K129" s="8"/>
      <c r="L129" s="15" t="s">
        <v>1685</v>
      </c>
      <c r="M129" s="8" t="s">
        <v>5578</v>
      </c>
      <c r="N129" s="8"/>
      <c r="O129" s="8" t="s">
        <v>5574</v>
      </c>
      <c r="P129" s="11"/>
      <c r="Q129" s="8" t="s">
        <v>5696</v>
      </c>
      <c r="R129" s="8" t="s">
        <v>5697</v>
      </c>
      <c r="S129" s="8" t="s">
        <v>5719</v>
      </c>
    </row>
    <row r="130" spans="1:19" ht="150" customHeight="1" x14ac:dyDescent="0.25">
      <c r="A130" s="8" t="s">
        <v>428</v>
      </c>
      <c r="B130" s="8" t="s">
        <v>5693</v>
      </c>
      <c r="C130" s="8" t="s">
        <v>5694</v>
      </c>
      <c r="D130" s="10">
        <v>25</v>
      </c>
      <c r="E130" s="8" t="s">
        <v>423</v>
      </c>
      <c r="F130" s="8" t="s">
        <v>5720</v>
      </c>
      <c r="G130" s="8" t="s">
        <v>67</v>
      </c>
      <c r="H130" s="8" t="s">
        <v>422</v>
      </c>
      <c r="I130" s="8" t="s">
        <v>423</v>
      </c>
      <c r="J130" s="15" t="s">
        <v>5695</v>
      </c>
      <c r="K130" s="8"/>
      <c r="L130" s="15" t="s">
        <v>1685</v>
      </c>
      <c r="M130" s="8" t="s">
        <v>5578</v>
      </c>
      <c r="N130" s="8"/>
      <c r="O130" s="8" t="s">
        <v>5574</v>
      </c>
      <c r="P130" s="11"/>
      <c r="Q130" s="8" t="s">
        <v>5696</v>
      </c>
      <c r="R130" s="8" t="s">
        <v>5697</v>
      </c>
      <c r="S130" s="8" t="s">
        <v>5721</v>
      </c>
    </row>
    <row r="131" spans="1:19" ht="150" customHeight="1" x14ac:dyDescent="0.25">
      <c r="A131" s="8" t="s">
        <v>1172</v>
      </c>
      <c r="B131" s="8" t="s">
        <v>5693</v>
      </c>
      <c r="C131" s="8" t="s">
        <v>5694</v>
      </c>
      <c r="D131" s="10">
        <v>26</v>
      </c>
      <c r="E131" s="8" t="s">
        <v>1167</v>
      </c>
      <c r="F131" s="8" t="s">
        <v>1169</v>
      </c>
      <c r="G131" s="8" t="s">
        <v>67</v>
      </c>
      <c r="H131" s="8" t="s">
        <v>1166</v>
      </c>
      <c r="I131" s="8" t="s">
        <v>1167</v>
      </c>
      <c r="J131" s="15" t="s">
        <v>5695</v>
      </c>
      <c r="K131" s="8"/>
      <c r="L131" s="15" t="s">
        <v>1685</v>
      </c>
      <c r="M131" s="8" t="s">
        <v>5578</v>
      </c>
      <c r="N131" s="8"/>
      <c r="O131" s="8" t="s">
        <v>5574</v>
      </c>
      <c r="P131" s="11"/>
      <c r="Q131" s="8" t="s">
        <v>5696</v>
      </c>
      <c r="R131" s="8" t="s">
        <v>5697</v>
      </c>
      <c r="S131" s="8" t="s">
        <v>5722</v>
      </c>
    </row>
    <row r="132" spans="1:19" ht="150" customHeight="1" x14ac:dyDescent="0.25">
      <c r="A132" s="8" t="s">
        <v>1191</v>
      </c>
      <c r="B132" s="8" t="s">
        <v>5693</v>
      </c>
      <c r="C132" s="8" t="s">
        <v>5694</v>
      </c>
      <c r="D132" s="10">
        <v>27</v>
      </c>
      <c r="E132" s="8" t="s">
        <v>1188</v>
      </c>
      <c r="F132" s="8" t="s">
        <v>1190</v>
      </c>
      <c r="G132" s="8" t="s">
        <v>67</v>
      </c>
      <c r="H132" s="8" t="s">
        <v>1187</v>
      </c>
      <c r="I132" s="8" t="s">
        <v>1188</v>
      </c>
      <c r="J132" s="15" t="s">
        <v>5695</v>
      </c>
      <c r="K132" s="8"/>
      <c r="L132" s="15" t="s">
        <v>1685</v>
      </c>
      <c r="M132" s="8" t="s">
        <v>5578</v>
      </c>
      <c r="N132" s="8"/>
      <c r="O132" s="8" t="s">
        <v>5574</v>
      </c>
      <c r="P132" s="11"/>
      <c r="Q132" s="8" t="s">
        <v>5696</v>
      </c>
      <c r="R132" s="8" t="s">
        <v>5697</v>
      </c>
      <c r="S132" s="8" t="s">
        <v>5723</v>
      </c>
    </row>
    <row r="133" spans="1:19" ht="150" customHeight="1" x14ac:dyDescent="0.25">
      <c r="A133" s="8" t="s">
        <v>750</v>
      </c>
      <c r="B133" s="8" t="s">
        <v>5693</v>
      </c>
      <c r="C133" s="8" t="s">
        <v>5694</v>
      </c>
      <c r="D133" s="10">
        <v>28</v>
      </c>
      <c r="E133" s="8" t="s">
        <v>744</v>
      </c>
      <c r="F133" s="8" t="s">
        <v>748</v>
      </c>
      <c r="G133" s="8" t="s">
        <v>67</v>
      </c>
      <c r="H133" s="8" t="s">
        <v>743</v>
      </c>
      <c r="I133" s="8" t="s">
        <v>744</v>
      </c>
      <c r="J133" s="15" t="s">
        <v>5695</v>
      </c>
      <c r="K133" s="8"/>
      <c r="L133" s="15" t="s">
        <v>1685</v>
      </c>
      <c r="M133" s="8" t="s">
        <v>5578</v>
      </c>
      <c r="N133" s="8"/>
      <c r="O133" s="8" t="s">
        <v>5574</v>
      </c>
      <c r="P133" s="11"/>
      <c r="Q133" s="8" t="s">
        <v>5696</v>
      </c>
      <c r="R133" s="8" t="s">
        <v>5697</v>
      </c>
      <c r="S133" s="8" t="s">
        <v>5724</v>
      </c>
    </row>
    <row r="134" spans="1:19" ht="150" customHeight="1" x14ac:dyDescent="0.25">
      <c r="A134" s="8" t="s">
        <v>1136</v>
      </c>
      <c r="B134" s="8" t="s">
        <v>5693</v>
      </c>
      <c r="C134" s="8" t="s">
        <v>5694</v>
      </c>
      <c r="D134" s="10">
        <v>29</v>
      </c>
      <c r="E134" s="8" t="s">
        <v>1133</v>
      </c>
      <c r="F134" s="8" t="s">
        <v>1135</v>
      </c>
      <c r="G134" s="8" t="s">
        <v>67</v>
      </c>
      <c r="H134" s="8" t="s">
        <v>1132</v>
      </c>
      <c r="I134" s="8" t="s">
        <v>1133</v>
      </c>
      <c r="J134" s="15" t="s">
        <v>5695</v>
      </c>
      <c r="K134" s="8"/>
      <c r="L134" s="15" t="s">
        <v>1685</v>
      </c>
      <c r="M134" s="8" t="s">
        <v>5578</v>
      </c>
      <c r="N134" s="8"/>
      <c r="O134" s="8" t="s">
        <v>5574</v>
      </c>
      <c r="P134" s="11"/>
      <c r="Q134" s="8" t="s">
        <v>5696</v>
      </c>
      <c r="R134" s="8" t="s">
        <v>5697</v>
      </c>
      <c r="S134" s="8" t="s">
        <v>5725</v>
      </c>
    </row>
    <row r="135" spans="1:19" ht="150" customHeight="1" x14ac:dyDescent="0.25">
      <c r="A135" s="8" t="s">
        <v>1121</v>
      </c>
      <c r="B135" s="8" t="s">
        <v>5693</v>
      </c>
      <c r="C135" s="8" t="s">
        <v>5694</v>
      </c>
      <c r="D135" s="10">
        <v>30</v>
      </c>
      <c r="E135" s="8" t="s">
        <v>1118</v>
      </c>
      <c r="F135" s="8" t="s">
        <v>1120</v>
      </c>
      <c r="G135" s="8" t="s">
        <v>67</v>
      </c>
      <c r="H135" s="8" t="s">
        <v>1117</v>
      </c>
      <c r="I135" s="8" t="s">
        <v>1118</v>
      </c>
      <c r="J135" s="15" t="s">
        <v>5695</v>
      </c>
      <c r="K135" s="8"/>
      <c r="L135" s="15" t="s">
        <v>1685</v>
      </c>
      <c r="M135" s="8" t="s">
        <v>5578</v>
      </c>
      <c r="N135" s="8"/>
      <c r="O135" s="8" t="s">
        <v>5574</v>
      </c>
      <c r="P135" s="11"/>
      <c r="Q135" s="8" t="s">
        <v>5696</v>
      </c>
      <c r="R135" s="8" t="s">
        <v>5697</v>
      </c>
      <c r="S135" s="8" t="s">
        <v>5726</v>
      </c>
    </row>
    <row r="136" spans="1:19" ht="150" customHeight="1" x14ac:dyDescent="0.25">
      <c r="A136" s="8" t="s">
        <v>578</v>
      </c>
      <c r="B136" s="8" t="s">
        <v>5693</v>
      </c>
      <c r="C136" s="8" t="s">
        <v>5694</v>
      </c>
      <c r="D136" s="10">
        <v>31</v>
      </c>
      <c r="E136" s="8" t="s">
        <v>572</v>
      </c>
      <c r="F136" s="8" t="s">
        <v>576</v>
      </c>
      <c r="G136" s="8" t="s">
        <v>67</v>
      </c>
      <c r="H136" s="8" t="s">
        <v>571</v>
      </c>
      <c r="I136" s="8" t="s">
        <v>572</v>
      </c>
      <c r="J136" s="15" t="s">
        <v>5695</v>
      </c>
      <c r="K136" s="8"/>
      <c r="L136" s="15" t="s">
        <v>1685</v>
      </c>
      <c r="M136" s="8" t="s">
        <v>5578</v>
      </c>
      <c r="N136" s="8"/>
      <c r="O136" s="8" t="s">
        <v>5574</v>
      </c>
      <c r="P136" s="11"/>
      <c r="Q136" s="8" t="s">
        <v>5696</v>
      </c>
      <c r="R136" s="8" t="s">
        <v>5697</v>
      </c>
      <c r="S136" s="8" t="s">
        <v>5727</v>
      </c>
    </row>
    <row r="137" spans="1:19" ht="150" customHeight="1" x14ac:dyDescent="0.25">
      <c r="A137" s="8" t="s">
        <v>1126</v>
      </c>
      <c r="B137" s="8" t="s">
        <v>5693</v>
      </c>
      <c r="C137" s="8" t="s">
        <v>5694</v>
      </c>
      <c r="D137" s="10">
        <v>32</v>
      </c>
      <c r="E137" s="8" t="s">
        <v>1123</v>
      </c>
      <c r="F137" s="8" t="s">
        <v>1125</v>
      </c>
      <c r="G137" s="8" t="s">
        <v>67</v>
      </c>
      <c r="H137" s="8" t="s">
        <v>1122</v>
      </c>
      <c r="I137" s="8" t="s">
        <v>1123</v>
      </c>
      <c r="J137" s="15" t="s">
        <v>5695</v>
      </c>
      <c r="K137" s="8"/>
      <c r="L137" s="15" t="s">
        <v>1685</v>
      </c>
      <c r="M137" s="8" t="s">
        <v>5578</v>
      </c>
      <c r="N137" s="8"/>
      <c r="O137" s="8" t="s">
        <v>5574</v>
      </c>
      <c r="P137" s="11"/>
      <c r="Q137" s="8" t="s">
        <v>5696</v>
      </c>
      <c r="R137" s="8" t="s">
        <v>5697</v>
      </c>
      <c r="S137" s="8" t="s">
        <v>5728</v>
      </c>
    </row>
    <row r="138" spans="1:19" ht="150" customHeight="1" x14ac:dyDescent="0.25">
      <c r="A138" s="8" t="s">
        <v>831</v>
      </c>
      <c r="B138" s="8" t="s">
        <v>5693</v>
      </c>
      <c r="C138" s="8" t="s">
        <v>5694</v>
      </c>
      <c r="D138" s="10">
        <v>33</v>
      </c>
      <c r="E138" s="8" t="s">
        <v>825</v>
      </c>
      <c r="F138" s="8" t="s">
        <v>829</v>
      </c>
      <c r="G138" s="8" t="s">
        <v>67</v>
      </c>
      <c r="H138" s="8" t="s">
        <v>824</v>
      </c>
      <c r="I138" s="8" t="s">
        <v>825</v>
      </c>
      <c r="J138" s="15" t="s">
        <v>5695</v>
      </c>
      <c r="K138" s="8"/>
      <c r="L138" s="15" t="s">
        <v>1685</v>
      </c>
      <c r="M138" s="8" t="s">
        <v>5578</v>
      </c>
      <c r="N138" s="8"/>
      <c r="O138" s="8" t="s">
        <v>5574</v>
      </c>
      <c r="P138" s="11"/>
      <c r="Q138" s="8" t="s">
        <v>5696</v>
      </c>
      <c r="R138" s="8" t="s">
        <v>5697</v>
      </c>
      <c r="S138" s="8" t="s">
        <v>5729</v>
      </c>
    </row>
    <row r="139" spans="1:19" ht="150" customHeight="1" x14ac:dyDescent="0.25">
      <c r="A139" s="8" t="s">
        <v>1237</v>
      </c>
      <c r="B139" s="8" t="s">
        <v>5693</v>
      </c>
      <c r="C139" s="8" t="s">
        <v>5694</v>
      </c>
      <c r="D139" s="10">
        <v>34</v>
      </c>
      <c r="E139" s="8" t="s">
        <v>1234</v>
      </c>
      <c r="F139" s="8" t="s">
        <v>1236</v>
      </c>
      <c r="G139" s="8" t="s">
        <v>67</v>
      </c>
      <c r="H139" s="8" t="s">
        <v>1233</v>
      </c>
      <c r="I139" s="8" t="s">
        <v>1234</v>
      </c>
      <c r="J139" s="15" t="s">
        <v>5695</v>
      </c>
      <c r="K139" s="8"/>
      <c r="L139" s="15" t="s">
        <v>1685</v>
      </c>
      <c r="M139" s="8" t="s">
        <v>5578</v>
      </c>
      <c r="N139" s="8"/>
      <c r="O139" s="8" t="s">
        <v>5574</v>
      </c>
      <c r="P139" s="11"/>
      <c r="Q139" s="8" t="s">
        <v>5696</v>
      </c>
      <c r="R139" s="8" t="s">
        <v>5697</v>
      </c>
      <c r="S139" s="8" t="s">
        <v>5730</v>
      </c>
    </row>
    <row r="140" spans="1:19" ht="150" customHeight="1" x14ac:dyDescent="0.25">
      <c r="A140" s="8" t="s">
        <v>525</v>
      </c>
      <c r="B140" s="8" t="s">
        <v>5693</v>
      </c>
      <c r="C140" s="8" t="s">
        <v>5694</v>
      </c>
      <c r="D140" s="10">
        <v>35</v>
      </c>
      <c r="E140" s="8" t="s">
        <v>518</v>
      </c>
      <c r="F140" s="8" t="s">
        <v>522</v>
      </c>
      <c r="G140" s="8" t="s">
        <v>67</v>
      </c>
      <c r="H140" s="8" t="s">
        <v>517</v>
      </c>
      <c r="I140" s="8" t="s">
        <v>518</v>
      </c>
      <c r="J140" s="15" t="s">
        <v>5695</v>
      </c>
      <c r="K140" s="8"/>
      <c r="L140" s="15" t="s">
        <v>1685</v>
      </c>
      <c r="M140" s="8" t="s">
        <v>5578</v>
      </c>
      <c r="N140" s="8"/>
      <c r="O140" s="8" t="s">
        <v>5574</v>
      </c>
      <c r="P140" s="11"/>
      <c r="Q140" s="8" t="s">
        <v>5696</v>
      </c>
      <c r="R140" s="8" t="s">
        <v>5697</v>
      </c>
      <c r="S140" s="8" t="s">
        <v>5731</v>
      </c>
    </row>
    <row r="141" spans="1:19" ht="150" customHeight="1" x14ac:dyDescent="0.25">
      <c r="A141" s="8" t="s">
        <v>1084</v>
      </c>
      <c r="B141" s="8" t="s">
        <v>5693</v>
      </c>
      <c r="C141" s="8" t="s">
        <v>5694</v>
      </c>
      <c r="D141" s="10">
        <v>36</v>
      </c>
      <c r="E141" s="8" t="s">
        <v>1082</v>
      </c>
      <c r="F141" s="8" t="s">
        <v>1083</v>
      </c>
      <c r="G141" s="8" t="s">
        <v>67</v>
      </c>
      <c r="H141" s="8" t="s">
        <v>1081</v>
      </c>
      <c r="I141" s="8" t="s">
        <v>1082</v>
      </c>
      <c r="J141" s="15" t="s">
        <v>5695</v>
      </c>
      <c r="K141" s="8"/>
      <c r="L141" s="15" t="s">
        <v>1685</v>
      </c>
      <c r="M141" s="8" t="s">
        <v>5578</v>
      </c>
      <c r="N141" s="8"/>
      <c r="O141" s="8" t="s">
        <v>5574</v>
      </c>
      <c r="P141" s="11"/>
      <c r="Q141" s="8" t="s">
        <v>5696</v>
      </c>
      <c r="R141" s="8" t="s">
        <v>5697</v>
      </c>
      <c r="S141" s="8" t="s">
        <v>5732</v>
      </c>
    </row>
    <row r="142" spans="1:19" ht="150" customHeight="1" x14ac:dyDescent="0.25">
      <c r="A142" s="8" t="s">
        <v>1131</v>
      </c>
      <c r="B142" s="8" t="s">
        <v>5693</v>
      </c>
      <c r="C142" s="8" t="s">
        <v>5694</v>
      </c>
      <c r="D142" s="10">
        <v>37</v>
      </c>
      <c r="E142" s="8" t="s">
        <v>1128</v>
      </c>
      <c r="F142" s="8" t="s">
        <v>1130</v>
      </c>
      <c r="G142" s="8" t="s">
        <v>67</v>
      </c>
      <c r="H142" s="8" t="s">
        <v>1127</v>
      </c>
      <c r="I142" s="8" t="s">
        <v>1128</v>
      </c>
      <c r="J142" s="15" t="s">
        <v>5695</v>
      </c>
      <c r="K142" s="8"/>
      <c r="L142" s="15" t="s">
        <v>1685</v>
      </c>
      <c r="M142" s="8" t="s">
        <v>5578</v>
      </c>
      <c r="N142" s="8"/>
      <c r="O142" s="8" t="s">
        <v>5574</v>
      </c>
      <c r="P142" s="11"/>
      <c r="Q142" s="8" t="s">
        <v>5696</v>
      </c>
      <c r="R142" s="8" t="s">
        <v>5697</v>
      </c>
      <c r="S142" s="8" t="s">
        <v>5733</v>
      </c>
    </row>
    <row r="143" spans="1:19" ht="150" customHeight="1" x14ac:dyDescent="0.25">
      <c r="A143" s="8" t="s">
        <v>1055</v>
      </c>
      <c r="B143" s="8" t="s">
        <v>5693</v>
      </c>
      <c r="C143" s="8" t="s">
        <v>5694</v>
      </c>
      <c r="D143" s="10">
        <v>38</v>
      </c>
      <c r="E143" s="8" t="s">
        <v>1050</v>
      </c>
      <c r="F143" s="8" t="s">
        <v>1052</v>
      </c>
      <c r="G143" s="8" t="s">
        <v>67</v>
      </c>
      <c r="H143" s="8" t="s">
        <v>1049</v>
      </c>
      <c r="I143" s="8" t="s">
        <v>1050</v>
      </c>
      <c r="J143" s="15" t="s">
        <v>5695</v>
      </c>
      <c r="K143" s="8"/>
      <c r="L143" s="15" t="s">
        <v>1685</v>
      </c>
      <c r="M143" s="8" t="s">
        <v>5578</v>
      </c>
      <c r="N143" s="8"/>
      <c r="O143" s="8" t="s">
        <v>5574</v>
      </c>
      <c r="P143" s="11"/>
      <c r="Q143" s="8" t="s">
        <v>5696</v>
      </c>
      <c r="R143" s="8" t="s">
        <v>5697</v>
      </c>
      <c r="S143" s="8" t="s">
        <v>5734</v>
      </c>
    </row>
    <row r="144" spans="1:19" ht="150" customHeight="1" x14ac:dyDescent="0.25">
      <c r="A144" s="8" t="s">
        <v>1186</v>
      </c>
      <c r="B144" s="8" t="s">
        <v>5693</v>
      </c>
      <c r="C144" s="8" t="s">
        <v>5694</v>
      </c>
      <c r="D144" s="10">
        <v>39</v>
      </c>
      <c r="E144" s="8" t="s">
        <v>1184</v>
      </c>
      <c r="F144" s="8" t="s">
        <v>1185</v>
      </c>
      <c r="G144" s="8" t="s">
        <v>67</v>
      </c>
      <c r="H144" s="8" t="s">
        <v>1183</v>
      </c>
      <c r="I144" s="8" t="s">
        <v>1184</v>
      </c>
      <c r="J144" s="15" t="s">
        <v>5695</v>
      </c>
      <c r="K144" s="8"/>
      <c r="L144" s="15" t="s">
        <v>1685</v>
      </c>
      <c r="M144" s="8" t="s">
        <v>5578</v>
      </c>
      <c r="N144" s="8"/>
      <c r="O144" s="8" t="s">
        <v>5574</v>
      </c>
      <c r="P144" s="11"/>
      <c r="Q144" s="8" t="s">
        <v>5696</v>
      </c>
      <c r="R144" s="8" t="s">
        <v>5697</v>
      </c>
      <c r="S144" s="8" t="s">
        <v>5735</v>
      </c>
    </row>
    <row r="145" spans="1:19" ht="150" customHeight="1" x14ac:dyDescent="0.25">
      <c r="A145" s="8" t="s">
        <v>481</v>
      </c>
      <c r="B145" s="8" t="s">
        <v>5693</v>
      </c>
      <c r="C145" s="8" t="s">
        <v>5694</v>
      </c>
      <c r="D145" s="10">
        <v>40</v>
      </c>
      <c r="E145" s="8" t="s">
        <v>475</v>
      </c>
      <c r="F145" s="8" t="s">
        <v>2850</v>
      </c>
      <c r="G145" s="8" t="s">
        <v>67</v>
      </c>
      <c r="H145" s="8" t="s">
        <v>474</v>
      </c>
      <c r="I145" s="8" t="s">
        <v>475</v>
      </c>
      <c r="J145" s="15" t="s">
        <v>5695</v>
      </c>
      <c r="K145" s="8"/>
      <c r="L145" s="15" t="s">
        <v>1685</v>
      </c>
      <c r="M145" s="8" t="s">
        <v>5573</v>
      </c>
      <c r="N145" s="15" t="s">
        <v>1685</v>
      </c>
      <c r="O145" s="8" t="s">
        <v>5574</v>
      </c>
      <c r="P145" s="11" t="s">
        <v>3539</v>
      </c>
      <c r="Q145" s="8" t="s">
        <v>5696</v>
      </c>
      <c r="R145" s="8" t="s">
        <v>5697</v>
      </c>
      <c r="S145" s="8" t="s">
        <v>5736</v>
      </c>
    </row>
    <row r="146" spans="1:19" ht="150" customHeight="1" x14ac:dyDescent="0.25">
      <c r="A146" s="8" t="s">
        <v>1208</v>
      </c>
      <c r="B146" s="8" t="s">
        <v>5693</v>
      </c>
      <c r="C146" s="8" t="s">
        <v>5694</v>
      </c>
      <c r="D146" s="10">
        <v>41</v>
      </c>
      <c r="E146" s="8" t="s">
        <v>1206</v>
      </c>
      <c r="F146" s="8" t="s">
        <v>1207</v>
      </c>
      <c r="G146" s="8" t="s">
        <v>67</v>
      </c>
      <c r="H146" s="8" t="s">
        <v>1205</v>
      </c>
      <c r="I146" s="8" t="s">
        <v>1206</v>
      </c>
      <c r="J146" s="15" t="s">
        <v>5695</v>
      </c>
      <c r="K146" s="8"/>
      <c r="L146" s="15" t="s">
        <v>1685</v>
      </c>
      <c r="M146" s="8" t="s">
        <v>5578</v>
      </c>
      <c r="N146" s="8"/>
      <c r="O146" s="8" t="s">
        <v>5574</v>
      </c>
      <c r="P146" s="11"/>
      <c r="Q146" s="8" t="s">
        <v>5696</v>
      </c>
      <c r="R146" s="8" t="s">
        <v>5697</v>
      </c>
      <c r="S146" s="8" t="s">
        <v>5737</v>
      </c>
    </row>
    <row r="147" spans="1:19" ht="150" customHeight="1" x14ac:dyDescent="0.25">
      <c r="A147" s="8" t="s">
        <v>1140</v>
      </c>
      <c r="B147" s="8" t="s">
        <v>5693</v>
      </c>
      <c r="C147" s="8" t="s">
        <v>5694</v>
      </c>
      <c r="D147" s="10">
        <v>42</v>
      </c>
      <c r="E147" s="8" t="s">
        <v>1138</v>
      </c>
      <c r="F147" s="8" t="s">
        <v>1139</v>
      </c>
      <c r="G147" s="8" t="s">
        <v>67</v>
      </c>
      <c r="H147" s="8" t="s">
        <v>1137</v>
      </c>
      <c r="I147" s="8" t="s">
        <v>1138</v>
      </c>
      <c r="J147" s="15" t="s">
        <v>5695</v>
      </c>
      <c r="K147" s="8"/>
      <c r="L147" s="15" t="s">
        <v>1685</v>
      </c>
      <c r="M147" s="8" t="s">
        <v>5578</v>
      </c>
      <c r="N147" s="8"/>
      <c r="O147" s="8" t="s">
        <v>5574</v>
      </c>
      <c r="P147" s="11"/>
      <c r="Q147" s="8" t="s">
        <v>5696</v>
      </c>
      <c r="R147" s="8" t="s">
        <v>5697</v>
      </c>
      <c r="S147" s="8" t="s">
        <v>5738</v>
      </c>
    </row>
    <row r="148" spans="1:19" ht="150" customHeight="1" x14ac:dyDescent="0.25">
      <c r="A148" s="8" t="s">
        <v>1160</v>
      </c>
      <c r="B148" s="8" t="s">
        <v>5693</v>
      </c>
      <c r="C148" s="8" t="s">
        <v>5694</v>
      </c>
      <c r="D148" s="10">
        <v>43</v>
      </c>
      <c r="E148" s="8" t="s">
        <v>1157</v>
      </c>
      <c r="F148" s="8" t="s">
        <v>1159</v>
      </c>
      <c r="G148" s="8" t="s">
        <v>67</v>
      </c>
      <c r="H148" s="8" t="s">
        <v>1156</v>
      </c>
      <c r="I148" s="8" t="s">
        <v>1157</v>
      </c>
      <c r="J148" s="15" t="s">
        <v>5695</v>
      </c>
      <c r="K148" s="8"/>
      <c r="L148" s="15" t="s">
        <v>1685</v>
      </c>
      <c r="M148" s="8" t="s">
        <v>5578</v>
      </c>
      <c r="N148" s="8"/>
      <c r="O148" s="8" t="s">
        <v>5574</v>
      </c>
      <c r="P148" s="11"/>
      <c r="Q148" s="8" t="s">
        <v>5696</v>
      </c>
      <c r="R148" s="8" t="s">
        <v>5697</v>
      </c>
      <c r="S148" s="8" t="s">
        <v>5739</v>
      </c>
    </row>
    <row r="149" spans="1:19" ht="150" customHeight="1" x14ac:dyDescent="0.25">
      <c r="A149" s="8" t="s">
        <v>674</v>
      </c>
      <c r="B149" s="8" t="s">
        <v>5693</v>
      </c>
      <c r="C149" s="8" t="s">
        <v>5694</v>
      </c>
      <c r="D149" s="10">
        <v>44</v>
      </c>
      <c r="E149" s="8" t="s">
        <v>672</v>
      </c>
      <c r="F149" s="8" t="s">
        <v>673</v>
      </c>
      <c r="G149" s="8" t="s">
        <v>67</v>
      </c>
      <c r="H149" s="8" t="s">
        <v>671</v>
      </c>
      <c r="I149" s="8" t="s">
        <v>672</v>
      </c>
      <c r="J149" s="15" t="s">
        <v>5695</v>
      </c>
      <c r="K149" s="8"/>
      <c r="L149" s="15" t="s">
        <v>1685</v>
      </c>
      <c r="M149" s="8" t="s">
        <v>5578</v>
      </c>
      <c r="N149" s="8"/>
      <c r="O149" s="8" t="s">
        <v>5574</v>
      </c>
      <c r="P149" s="11" t="s">
        <v>3533</v>
      </c>
      <c r="Q149" s="8" t="s">
        <v>5696</v>
      </c>
      <c r="R149" s="8" t="s">
        <v>5697</v>
      </c>
      <c r="S149" s="8" t="s">
        <v>5740</v>
      </c>
    </row>
    <row r="150" spans="1:19" ht="150" customHeight="1" x14ac:dyDescent="0.25">
      <c r="A150" s="8" t="s">
        <v>1107</v>
      </c>
      <c r="B150" s="8" t="s">
        <v>5693</v>
      </c>
      <c r="C150" s="8" t="s">
        <v>5694</v>
      </c>
      <c r="D150" s="10">
        <v>45</v>
      </c>
      <c r="E150" s="8" t="s">
        <v>1105</v>
      </c>
      <c r="F150" s="8" t="s">
        <v>1106</v>
      </c>
      <c r="G150" s="8" t="s">
        <v>67</v>
      </c>
      <c r="H150" s="8" t="s">
        <v>1104</v>
      </c>
      <c r="I150" s="8" t="s">
        <v>1105</v>
      </c>
      <c r="J150" s="15" t="s">
        <v>5695</v>
      </c>
      <c r="K150" s="8"/>
      <c r="L150" s="15" t="s">
        <v>1685</v>
      </c>
      <c r="M150" s="8" t="s">
        <v>5578</v>
      </c>
      <c r="N150" s="8"/>
      <c r="O150" s="8" t="s">
        <v>5574</v>
      </c>
      <c r="P150" s="11"/>
      <c r="Q150" s="8" t="s">
        <v>5696</v>
      </c>
      <c r="R150" s="8" t="s">
        <v>5697</v>
      </c>
      <c r="S150" s="8" t="s">
        <v>5741</v>
      </c>
    </row>
    <row r="151" spans="1:19" ht="150" customHeight="1" x14ac:dyDescent="0.25">
      <c r="A151" s="8" t="s">
        <v>1116</v>
      </c>
      <c r="B151" s="8" t="s">
        <v>5693</v>
      </c>
      <c r="C151" s="8" t="s">
        <v>5694</v>
      </c>
      <c r="D151" s="10">
        <v>46</v>
      </c>
      <c r="E151" s="8" t="s">
        <v>1114</v>
      </c>
      <c r="F151" s="8" t="s">
        <v>1115</v>
      </c>
      <c r="G151" s="8" t="s">
        <v>67</v>
      </c>
      <c r="H151" s="8" t="s">
        <v>1113</v>
      </c>
      <c r="I151" s="8" t="s">
        <v>1114</v>
      </c>
      <c r="J151" s="15" t="s">
        <v>5695</v>
      </c>
      <c r="K151" s="8"/>
      <c r="L151" s="15" t="s">
        <v>1685</v>
      </c>
      <c r="M151" s="8" t="s">
        <v>5578</v>
      </c>
      <c r="N151" s="8"/>
      <c r="O151" s="8" t="s">
        <v>5574</v>
      </c>
      <c r="P151" s="11"/>
      <c r="Q151" s="8" t="s">
        <v>5696</v>
      </c>
      <c r="R151" s="8" t="s">
        <v>5697</v>
      </c>
      <c r="S151" s="8" t="s">
        <v>5742</v>
      </c>
    </row>
    <row r="152" spans="1:19" ht="150" customHeight="1" x14ac:dyDescent="0.25">
      <c r="A152" s="8" t="s">
        <v>1213</v>
      </c>
      <c r="B152" s="8" t="s">
        <v>5693</v>
      </c>
      <c r="C152" s="8" t="s">
        <v>5694</v>
      </c>
      <c r="D152" s="10">
        <v>47</v>
      </c>
      <c r="E152" s="8" t="s">
        <v>1210</v>
      </c>
      <c r="F152" s="8" t="s">
        <v>1212</v>
      </c>
      <c r="G152" s="8" t="s">
        <v>67</v>
      </c>
      <c r="H152" s="8" t="s">
        <v>1209</v>
      </c>
      <c r="I152" s="8" t="s">
        <v>1210</v>
      </c>
      <c r="J152" s="15" t="s">
        <v>5695</v>
      </c>
      <c r="K152" s="8"/>
      <c r="L152" s="15" t="s">
        <v>1685</v>
      </c>
      <c r="M152" s="8" t="s">
        <v>5578</v>
      </c>
      <c r="N152" s="8"/>
      <c r="O152" s="8" t="s">
        <v>5574</v>
      </c>
      <c r="P152" s="11"/>
      <c r="Q152" s="8" t="s">
        <v>5696</v>
      </c>
      <c r="R152" s="8" t="s">
        <v>5697</v>
      </c>
      <c r="S152" s="8" t="s">
        <v>5743</v>
      </c>
    </row>
    <row r="153" spans="1:19" ht="150" customHeight="1" x14ac:dyDescent="0.25">
      <c r="A153" s="8" t="s">
        <v>705</v>
      </c>
      <c r="B153" s="8" t="s">
        <v>5693</v>
      </c>
      <c r="C153" s="8" t="s">
        <v>5694</v>
      </c>
      <c r="D153" s="10">
        <v>48</v>
      </c>
      <c r="E153" s="8" t="s">
        <v>701</v>
      </c>
      <c r="F153" s="8" t="s">
        <v>3156</v>
      </c>
      <c r="G153" s="8" t="s">
        <v>67</v>
      </c>
      <c r="H153" s="8" t="s">
        <v>700</v>
      </c>
      <c r="I153" s="8" t="s">
        <v>701</v>
      </c>
      <c r="J153" s="15" t="s">
        <v>5695</v>
      </c>
      <c r="K153" s="8"/>
      <c r="L153" s="15" t="s">
        <v>1685</v>
      </c>
      <c r="M153" s="8" t="s">
        <v>5578</v>
      </c>
      <c r="N153" s="8"/>
      <c r="O153" s="8" t="s">
        <v>5574</v>
      </c>
      <c r="P153" s="11"/>
      <c r="Q153" s="8" t="s">
        <v>5696</v>
      </c>
      <c r="R153" s="8" t="s">
        <v>5697</v>
      </c>
      <c r="S153" s="8" t="s">
        <v>5744</v>
      </c>
    </row>
    <row r="154" spans="1:19" ht="150" customHeight="1" x14ac:dyDescent="0.25">
      <c r="A154" s="8" t="s">
        <v>592</v>
      </c>
      <c r="B154" s="8" t="s">
        <v>5693</v>
      </c>
      <c r="C154" s="8" t="s">
        <v>5694</v>
      </c>
      <c r="D154" s="10">
        <v>49</v>
      </c>
      <c r="E154" s="8" t="s">
        <v>587</v>
      </c>
      <c r="F154" s="8" t="s">
        <v>3166</v>
      </c>
      <c r="G154" s="8" t="s">
        <v>67</v>
      </c>
      <c r="H154" s="8" t="s">
        <v>586</v>
      </c>
      <c r="I154" s="8" t="s">
        <v>587</v>
      </c>
      <c r="J154" s="15" t="s">
        <v>5695</v>
      </c>
      <c r="K154" s="8"/>
      <c r="L154" s="15" t="s">
        <v>1685</v>
      </c>
      <c r="M154" s="8" t="s">
        <v>5573</v>
      </c>
      <c r="N154" s="15" t="s">
        <v>1685</v>
      </c>
      <c r="O154" s="8" t="s">
        <v>5574</v>
      </c>
      <c r="P154" s="11"/>
      <c r="Q154" s="8" t="s">
        <v>5696</v>
      </c>
      <c r="R154" s="8" t="s">
        <v>5697</v>
      </c>
      <c r="S154" s="8" t="s">
        <v>5745</v>
      </c>
    </row>
    <row r="155" spans="1:19" ht="150" customHeight="1" x14ac:dyDescent="0.25">
      <c r="A155" s="8" t="s">
        <v>851</v>
      </c>
      <c r="B155" s="8" t="s">
        <v>5693</v>
      </c>
      <c r="C155" s="8" t="s">
        <v>5694</v>
      </c>
      <c r="D155" s="10">
        <v>50</v>
      </c>
      <c r="E155" s="8" t="s">
        <v>847</v>
      </c>
      <c r="F155" s="8" t="s">
        <v>3007</v>
      </c>
      <c r="G155" s="8" t="s">
        <v>67</v>
      </c>
      <c r="H155" s="8" t="s">
        <v>846</v>
      </c>
      <c r="I155" s="8" t="s">
        <v>847</v>
      </c>
      <c r="J155" s="15" t="s">
        <v>5695</v>
      </c>
      <c r="K155" s="8"/>
      <c r="L155" s="15" t="s">
        <v>1685</v>
      </c>
      <c r="M155" s="8" t="s">
        <v>5573</v>
      </c>
      <c r="N155" s="15" t="s">
        <v>1685</v>
      </c>
      <c r="O155" s="8" t="s">
        <v>5574</v>
      </c>
      <c r="P155" s="11" t="s">
        <v>3533</v>
      </c>
      <c r="Q155" s="8" t="s">
        <v>5696</v>
      </c>
      <c r="R155" s="8" t="s">
        <v>5697</v>
      </c>
      <c r="S155" s="8" t="s">
        <v>5746</v>
      </c>
    </row>
    <row r="156" spans="1:19" ht="150" customHeight="1" x14ac:dyDescent="0.25">
      <c r="A156" s="8" t="s">
        <v>760</v>
      </c>
      <c r="B156" s="8" t="s">
        <v>5693</v>
      </c>
      <c r="C156" s="8" t="s">
        <v>5694</v>
      </c>
      <c r="D156" s="10">
        <v>51</v>
      </c>
      <c r="E156" s="8" t="s">
        <v>753</v>
      </c>
      <c r="F156" s="8" t="s">
        <v>3134</v>
      </c>
      <c r="G156" s="8" t="s">
        <v>67</v>
      </c>
      <c r="H156" s="8" t="s">
        <v>752</v>
      </c>
      <c r="I156" s="8" t="s">
        <v>753</v>
      </c>
      <c r="J156" s="15" t="s">
        <v>5695</v>
      </c>
      <c r="K156" s="8"/>
      <c r="L156" s="15" t="s">
        <v>1685</v>
      </c>
      <c r="M156" s="8" t="s">
        <v>5578</v>
      </c>
      <c r="N156" s="8"/>
      <c r="O156" s="8" t="s">
        <v>5574</v>
      </c>
      <c r="P156" s="11" t="s">
        <v>3533</v>
      </c>
      <c r="Q156" s="8" t="s">
        <v>5696</v>
      </c>
      <c r="R156" s="8" t="s">
        <v>5697</v>
      </c>
      <c r="S156" s="8" t="s">
        <v>5747</v>
      </c>
    </row>
    <row r="157" spans="1:19" ht="150" customHeight="1" x14ac:dyDescent="0.25">
      <c r="A157" s="8" t="s">
        <v>1182</v>
      </c>
      <c r="B157" s="8" t="s">
        <v>5693</v>
      </c>
      <c r="C157" s="8" t="s">
        <v>5694</v>
      </c>
      <c r="D157" s="10">
        <v>52</v>
      </c>
      <c r="E157" s="8" t="s">
        <v>1180</v>
      </c>
      <c r="F157" s="8" t="s">
        <v>1181</v>
      </c>
      <c r="G157" s="8" t="s">
        <v>67</v>
      </c>
      <c r="H157" s="8" t="s">
        <v>1179</v>
      </c>
      <c r="I157" s="8" t="s">
        <v>1180</v>
      </c>
      <c r="J157" s="15" t="s">
        <v>5695</v>
      </c>
      <c r="K157" s="8"/>
      <c r="L157" s="15" t="s">
        <v>1685</v>
      </c>
      <c r="M157" s="8" t="s">
        <v>5578</v>
      </c>
      <c r="N157" s="8"/>
      <c r="O157" s="8" t="s">
        <v>5574</v>
      </c>
      <c r="P157" s="11"/>
      <c r="Q157" s="8" t="s">
        <v>5696</v>
      </c>
      <c r="R157" s="8" t="s">
        <v>5697</v>
      </c>
      <c r="S157" s="8" t="s">
        <v>5748</v>
      </c>
    </row>
    <row r="158" spans="1:19" ht="150" customHeight="1" x14ac:dyDescent="0.25">
      <c r="A158" s="8" t="s">
        <v>1103</v>
      </c>
      <c r="B158" s="8" t="s">
        <v>5693</v>
      </c>
      <c r="C158" s="8" t="s">
        <v>5694</v>
      </c>
      <c r="D158" s="10">
        <v>53</v>
      </c>
      <c r="E158" s="8" t="s">
        <v>1101</v>
      </c>
      <c r="F158" s="8" t="s">
        <v>1102</v>
      </c>
      <c r="G158" s="8" t="s">
        <v>67</v>
      </c>
      <c r="H158" s="8" t="s">
        <v>1100</v>
      </c>
      <c r="I158" s="8" t="s">
        <v>1101</v>
      </c>
      <c r="J158" s="15" t="s">
        <v>5695</v>
      </c>
      <c r="K158" s="8"/>
      <c r="L158" s="15" t="s">
        <v>1685</v>
      </c>
      <c r="M158" s="8" t="s">
        <v>5578</v>
      </c>
      <c r="N158" s="8"/>
      <c r="O158" s="8" t="s">
        <v>5574</v>
      </c>
      <c r="P158" s="11"/>
      <c r="Q158" s="8" t="s">
        <v>5696</v>
      </c>
      <c r="R158" s="8" t="s">
        <v>5697</v>
      </c>
      <c r="S158" s="8" t="s">
        <v>5749</v>
      </c>
    </row>
    <row r="159" spans="1:19" ht="150" customHeight="1" x14ac:dyDescent="0.25">
      <c r="A159" s="8" t="s">
        <v>509</v>
      </c>
      <c r="B159" s="8" t="s">
        <v>5693</v>
      </c>
      <c r="C159" s="8" t="s">
        <v>5694</v>
      </c>
      <c r="D159" s="10">
        <v>54</v>
      </c>
      <c r="E159" s="8" t="s">
        <v>502</v>
      </c>
      <c r="F159" s="8" t="s">
        <v>2845</v>
      </c>
      <c r="G159" s="8" t="s">
        <v>67</v>
      </c>
      <c r="H159" s="8" t="s">
        <v>501</v>
      </c>
      <c r="I159" s="8" t="s">
        <v>502</v>
      </c>
      <c r="J159" s="15" t="s">
        <v>5695</v>
      </c>
      <c r="K159" s="8"/>
      <c r="L159" s="15" t="s">
        <v>1685</v>
      </c>
      <c r="M159" s="8" t="s">
        <v>5578</v>
      </c>
      <c r="N159" s="8"/>
      <c r="O159" s="8" t="s">
        <v>5574</v>
      </c>
      <c r="P159" s="11"/>
      <c r="Q159" s="8" t="s">
        <v>5696</v>
      </c>
      <c r="R159" s="8" t="s">
        <v>5697</v>
      </c>
      <c r="S159" s="8" t="s">
        <v>5750</v>
      </c>
    </row>
    <row r="160" spans="1:19" ht="150" customHeight="1" x14ac:dyDescent="0.25">
      <c r="A160" s="8" t="s">
        <v>1145</v>
      </c>
      <c r="B160" s="8" t="s">
        <v>5693</v>
      </c>
      <c r="C160" s="8" t="s">
        <v>5694</v>
      </c>
      <c r="D160" s="10">
        <v>55</v>
      </c>
      <c r="E160" s="8" t="s">
        <v>1142</v>
      </c>
      <c r="F160" s="8" t="s">
        <v>1144</v>
      </c>
      <c r="G160" s="8" t="s">
        <v>67</v>
      </c>
      <c r="H160" s="8" t="s">
        <v>1141</v>
      </c>
      <c r="I160" s="8" t="s">
        <v>1142</v>
      </c>
      <c r="J160" s="15" t="s">
        <v>5695</v>
      </c>
      <c r="K160" s="8"/>
      <c r="L160" s="15" t="s">
        <v>1685</v>
      </c>
      <c r="M160" s="8" t="s">
        <v>5578</v>
      </c>
      <c r="N160" s="8"/>
      <c r="O160" s="8" t="s">
        <v>5574</v>
      </c>
      <c r="P160" s="11"/>
      <c r="Q160" s="8" t="s">
        <v>5696</v>
      </c>
      <c r="R160" s="8" t="s">
        <v>5697</v>
      </c>
      <c r="S160" s="8" t="s">
        <v>5751</v>
      </c>
    </row>
    <row r="161" spans="1:19" ht="150" customHeight="1" x14ac:dyDescent="0.25">
      <c r="A161" s="8" t="s">
        <v>1232</v>
      </c>
      <c r="B161" s="8" t="s">
        <v>5693</v>
      </c>
      <c r="C161" s="8" t="s">
        <v>5694</v>
      </c>
      <c r="D161" s="10">
        <v>56</v>
      </c>
      <c r="E161" s="8" t="s">
        <v>1229</v>
      </c>
      <c r="F161" s="8" t="s">
        <v>1231</v>
      </c>
      <c r="G161" s="8" t="s">
        <v>67</v>
      </c>
      <c r="H161" s="8" t="s">
        <v>1228</v>
      </c>
      <c r="I161" s="8" t="s">
        <v>1229</v>
      </c>
      <c r="J161" s="15" t="s">
        <v>5695</v>
      </c>
      <c r="K161" s="8"/>
      <c r="L161" s="15" t="s">
        <v>1685</v>
      </c>
      <c r="M161" s="8" t="s">
        <v>5578</v>
      </c>
      <c r="N161" s="8"/>
      <c r="O161" s="8" t="s">
        <v>5574</v>
      </c>
      <c r="P161" s="11"/>
      <c r="Q161" s="8" t="s">
        <v>5696</v>
      </c>
      <c r="R161" s="8" t="s">
        <v>5697</v>
      </c>
      <c r="S161" s="8" t="s">
        <v>5752</v>
      </c>
    </row>
    <row r="162" spans="1:19" ht="150" customHeight="1" x14ac:dyDescent="0.25">
      <c r="A162" s="8" t="s">
        <v>1061</v>
      </c>
      <c r="B162" s="8" t="s">
        <v>5693</v>
      </c>
      <c r="C162" s="8" t="s">
        <v>5694</v>
      </c>
      <c r="D162" s="10">
        <v>57</v>
      </c>
      <c r="E162" s="8" t="s">
        <v>1058</v>
      </c>
      <c r="F162" s="8" t="s">
        <v>1060</v>
      </c>
      <c r="G162" s="8" t="s">
        <v>67</v>
      </c>
      <c r="H162" s="8" t="s">
        <v>1057</v>
      </c>
      <c r="I162" s="8" t="s">
        <v>1058</v>
      </c>
      <c r="J162" s="15" t="s">
        <v>5695</v>
      </c>
      <c r="K162" s="8"/>
      <c r="L162" s="15" t="s">
        <v>1685</v>
      </c>
      <c r="M162" s="8" t="s">
        <v>5578</v>
      </c>
      <c r="N162" s="8"/>
      <c r="O162" s="8" t="s">
        <v>5574</v>
      </c>
      <c r="P162" s="11"/>
      <c r="Q162" s="8" t="s">
        <v>5696</v>
      </c>
      <c r="R162" s="8" t="s">
        <v>5697</v>
      </c>
      <c r="S162" s="8" t="s">
        <v>5753</v>
      </c>
    </row>
    <row r="163" spans="1:19" ht="150" customHeight="1" x14ac:dyDescent="0.25">
      <c r="A163" s="8" t="s">
        <v>606</v>
      </c>
      <c r="B163" s="8" t="s">
        <v>5693</v>
      </c>
      <c r="C163" s="8" t="s">
        <v>5694</v>
      </c>
      <c r="D163" s="10">
        <v>58</v>
      </c>
      <c r="E163" s="8" t="s">
        <v>599</v>
      </c>
      <c r="F163" s="8" t="s">
        <v>604</v>
      </c>
      <c r="G163" s="8" t="s">
        <v>67</v>
      </c>
      <c r="H163" s="8" t="s">
        <v>598</v>
      </c>
      <c r="I163" s="8" t="s">
        <v>599</v>
      </c>
      <c r="J163" s="15" t="s">
        <v>5695</v>
      </c>
      <c r="K163" s="8"/>
      <c r="L163" s="15" t="s">
        <v>1685</v>
      </c>
      <c r="M163" s="8" t="s">
        <v>5578</v>
      </c>
      <c r="N163" s="8"/>
      <c r="O163" s="8" t="s">
        <v>5574</v>
      </c>
      <c r="P163" s="11"/>
      <c r="Q163" s="8" t="s">
        <v>5696</v>
      </c>
      <c r="R163" s="8" t="s">
        <v>5697</v>
      </c>
      <c r="S163" s="8" t="s">
        <v>5754</v>
      </c>
    </row>
    <row r="164" spans="1:19" ht="150" customHeight="1" x14ac:dyDescent="0.25">
      <c r="A164" s="8" t="s">
        <v>1227</v>
      </c>
      <c r="B164" s="8" t="s">
        <v>5693</v>
      </c>
      <c r="C164" s="8" t="s">
        <v>5694</v>
      </c>
      <c r="D164" s="10">
        <v>59</v>
      </c>
      <c r="E164" s="8" t="s">
        <v>1224</v>
      </c>
      <c r="F164" s="8" t="s">
        <v>1226</v>
      </c>
      <c r="G164" s="8" t="s">
        <v>67</v>
      </c>
      <c r="H164" s="8" t="s">
        <v>1223</v>
      </c>
      <c r="I164" s="8" t="s">
        <v>1224</v>
      </c>
      <c r="J164" s="15" t="s">
        <v>5695</v>
      </c>
      <c r="K164" s="8"/>
      <c r="L164" s="15" t="s">
        <v>1685</v>
      </c>
      <c r="M164" s="8" t="s">
        <v>5578</v>
      </c>
      <c r="N164" s="8"/>
      <c r="O164" s="8" t="s">
        <v>5574</v>
      </c>
      <c r="P164" s="11"/>
      <c r="Q164" s="8" t="s">
        <v>5696</v>
      </c>
      <c r="R164" s="8" t="s">
        <v>5697</v>
      </c>
      <c r="S164" s="8" t="s">
        <v>5755</v>
      </c>
    </row>
    <row r="165" spans="1:19" ht="150" customHeight="1" x14ac:dyDescent="0.25">
      <c r="A165" s="8" t="s">
        <v>1089</v>
      </c>
      <c r="B165" s="8" t="s">
        <v>5693</v>
      </c>
      <c r="C165" s="8" t="s">
        <v>5694</v>
      </c>
      <c r="D165" s="10">
        <v>60</v>
      </c>
      <c r="E165" s="8" t="s">
        <v>1086</v>
      </c>
      <c r="F165" s="8" t="s">
        <v>1088</v>
      </c>
      <c r="G165" s="8" t="s">
        <v>67</v>
      </c>
      <c r="H165" s="8" t="s">
        <v>1085</v>
      </c>
      <c r="I165" s="8" t="s">
        <v>1086</v>
      </c>
      <c r="J165" s="15" t="s">
        <v>5695</v>
      </c>
      <c r="K165" s="8"/>
      <c r="L165" s="15" t="s">
        <v>1685</v>
      </c>
      <c r="M165" s="8" t="s">
        <v>5578</v>
      </c>
      <c r="N165" s="8"/>
      <c r="O165" s="8" t="s">
        <v>5574</v>
      </c>
      <c r="P165" s="11"/>
      <c r="Q165" s="8" t="s">
        <v>5696</v>
      </c>
      <c r="R165" s="8" t="s">
        <v>5697</v>
      </c>
      <c r="S165" s="8" t="s">
        <v>5756</v>
      </c>
    </row>
    <row r="166" spans="1:19" ht="150" customHeight="1" x14ac:dyDescent="0.25">
      <c r="A166" s="8" t="s">
        <v>377</v>
      </c>
      <c r="B166" s="8" t="s">
        <v>5693</v>
      </c>
      <c r="C166" s="8" t="s">
        <v>5694</v>
      </c>
      <c r="D166" s="10">
        <v>61</v>
      </c>
      <c r="E166" s="8" t="s">
        <v>370</v>
      </c>
      <c r="F166" s="8" t="s">
        <v>374</v>
      </c>
      <c r="G166" s="8" t="s">
        <v>67</v>
      </c>
      <c r="H166" s="8" t="s">
        <v>369</v>
      </c>
      <c r="I166" s="8" t="s">
        <v>370</v>
      </c>
      <c r="J166" s="15" t="s">
        <v>5695</v>
      </c>
      <c r="K166" s="8"/>
      <c r="L166" s="15" t="s">
        <v>1685</v>
      </c>
      <c r="M166" s="8" t="s">
        <v>5578</v>
      </c>
      <c r="N166" s="8"/>
      <c r="O166" s="8" t="s">
        <v>5574</v>
      </c>
      <c r="P166" s="11" t="s">
        <v>3541</v>
      </c>
      <c r="Q166" s="8" t="s">
        <v>5696</v>
      </c>
      <c r="R166" s="8" t="s">
        <v>5697</v>
      </c>
      <c r="S166" s="8" t="s">
        <v>5757</v>
      </c>
    </row>
    <row r="167" spans="1:19" ht="150" customHeight="1" x14ac:dyDescent="0.25">
      <c r="A167" s="8" t="s">
        <v>516</v>
      </c>
      <c r="B167" s="8" t="s">
        <v>5693</v>
      </c>
      <c r="C167" s="8" t="s">
        <v>5694</v>
      </c>
      <c r="D167" s="10">
        <v>62</v>
      </c>
      <c r="E167" s="8" t="s">
        <v>511</v>
      </c>
      <c r="F167" s="8" t="s">
        <v>2932</v>
      </c>
      <c r="G167" s="8" t="s">
        <v>67</v>
      </c>
      <c r="H167" s="8" t="s">
        <v>510</v>
      </c>
      <c r="I167" s="8" t="s">
        <v>511</v>
      </c>
      <c r="J167" s="15" t="s">
        <v>5695</v>
      </c>
      <c r="K167" s="8"/>
      <c r="L167" s="15" t="s">
        <v>1685</v>
      </c>
      <c r="M167" s="8" t="s">
        <v>5578</v>
      </c>
      <c r="N167" s="8"/>
      <c r="O167" s="8" t="s">
        <v>5574</v>
      </c>
      <c r="P167" s="11" t="s">
        <v>3543</v>
      </c>
      <c r="Q167" s="8" t="s">
        <v>5696</v>
      </c>
      <c r="R167" s="8" t="s">
        <v>5697</v>
      </c>
      <c r="S167" s="8" t="s">
        <v>5758</v>
      </c>
    </row>
    <row r="168" spans="1:19" ht="150" customHeight="1" x14ac:dyDescent="0.25">
      <c r="A168" s="8" t="s">
        <v>434</v>
      </c>
      <c r="B168" s="8" t="s">
        <v>5693</v>
      </c>
      <c r="C168" s="8" t="s">
        <v>5694</v>
      </c>
      <c r="D168" s="10">
        <v>63</v>
      </c>
      <c r="E168" s="8" t="s">
        <v>430</v>
      </c>
      <c r="F168" s="8" t="s">
        <v>432</v>
      </c>
      <c r="G168" s="8" t="s">
        <v>67</v>
      </c>
      <c r="H168" s="8" t="s">
        <v>429</v>
      </c>
      <c r="I168" s="8" t="s">
        <v>430</v>
      </c>
      <c r="J168" s="15" t="s">
        <v>5695</v>
      </c>
      <c r="K168" s="8"/>
      <c r="L168" s="15" t="s">
        <v>1685</v>
      </c>
      <c r="M168" s="8" t="s">
        <v>5578</v>
      </c>
      <c r="N168" s="8"/>
      <c r="O168" s="8" t="s">
        <v>5574</v>
      </c>
      <c r="P168" s="11" t="s">
        <v>3545</v>
      </c>
      <c r="Q168" s="8" t="s">
        <v>5696</v>
      </c>
      <c r="R168" s="8" t="s">
        <v>5697</v>
      </c>
      <c r="S168" s="8" t="s">
        <v>5759</v>
      </c>
    </row>
    <row r="169" spans="1:19" ht="150" customHeight="1" x14ac:dyDescent="0.25">
      <c r="A169" s="8" t="s">
        <v>1165</v>
      </c>
      <c r="B169" s="8" t="s">
        <v>5693</v>
      </c>
      <c r="C169" s="8" t="s">
        <v>5694</v>
      </c>
      <c r="D169" s="10">
        <v>64</v>
      </c>
      <c r="E169" s="8" t="s">
        <v>1162</v>
      </c>
      <c r="F169" s="8" t="s">
        <v>1164</v>
      </c>
      <c r="G169" s="8" t="s">
        <v>67</v>
      </c>
      <c r="H169" s="8" t="s">
        <v>1161</v>
      </c>
      <c r="I169" s="8" t="s">
        <v>1162</v>
      </c>
      <c r="J169" s="15" t="s">
        <v>5695</v>
      </c>
      <c r="K169" s="8"/>
      <c r="L169" s="15" t="s">
        <v>1685</v>
      </c>
      <c r="M169" s="8" t="s">
        <v>5578</v>
      </c>
      <c r="N169" s="8"/>
      <c r="O169" s="8" t="s">
        <v>5574</v>
      </c>
      <c r="P169" s="11"/>
      <c r="Q169" s="8" t="s">
        <v>5696</v>
      </c>
      <c r="R169" s="8" t="s">
        <v>5697</v>
      </c>
      <c r="S169" s="8" t="s">
        <v>5760</v>
      </c>
    </row>
    <row r="170" spans="1:19" ht="150" customHeight="1" x14ac:dyDescent="0.25">
      <c r="A170" s="8" t="s">
        <v>661</v>
      </c>
      <c r="B170" s="8" t="s">
        <v>5693</v>
      </c>
      <c r="C170" s="8" t="s">
        <v>5694</v>
      </c>
      <c r="D170" s="10">
        <v>65</v>
      </c>
      <c r="E170" s="8" t="s">
        <v>656</v>
      </c>
      <c r="F170" s="8" t="s">
        <v>659</v>
      </c>
      <c r="G170" s="8" t="s">
        <v>67</v>
      </c>
      <c r="H170" s="8" t="s">
        <v>655</v>
      </c>
      <c r="I170" s="8" t="s">
        <v>656</v>
      </c>
      <c r="J170" s="15" t="s">
        <v>5695</v>
      </c>
      <c r="K170" s="8"/>
      <c r="L170" s="15" t="s">
        <v>1685</v>
      </c>
      <c r="M170" s="8" t="s">
        <v>5578</v>
      </c>
      <c r="N170" s="8"/>
      <c r="O170" s="8" t="s">
        <v>5574</v>
      </c>
      <c r="P170" s="11"/>
      <c r="Q170" s="8" t="s">
        <v>5696</v>
      </c>
      <c r="R170" s="8" t="s">
        <v>5697</v>
      </c>
      <c r="S170" s="8" t="s">
        <v>5761</v>
      </c>
    </row>
    <row r="171" spans="1:19" ht="150" customHeight="1" x14ac:dyDescent="0.25">
      <c r="A171" s="8" t="s">
        <v>1099</v>
      </c>
      <c r="B171" s="8" t="s">
        <v>5693</v>
      </c>
      <c r="C171" s="8" t="s">
        <v>5694</v>
      </c>
      <c r="D171" s="10">
        <v>66</v>
      </c>
      <c r="E171" s="8" t="s">
        <v>1096</v>
      </c>
      <c r="F171" s="8" t="s">
        <v>1098</v>
      </c>
      <c r="G171" s="8" t="s">
        <v>67</v>
      </c>
      <c r="H171" s="8" t="s">
        <v>1095</v>
      </c>
      <c r="I171" s="8" t="s">
        <v>1096</v>
      </c>
      <c r="J171" s="15" t="s">
        <v>5695</v>
      </c>
      <c r="K171" s="8"/>
      <c r="L171" s="15" t="s">
        <v>1685</v>
      </c>
      <c r="M171" s="8" t="s">
        <v>5578</v>
      </c>
      <c r="N171" s="8"/>
      <c r="O171" s="8" t="s">
        <v>5574</v>
      </c>
      <c r="P171" s="11"/>
      <c r="Q171" s="8" t="s">
        <v>5696</v>
      </c>
      <c r="R171" s="8" t="s">
        <v>5697</v>
      </c>
      <c r="S171" s="8" t="s">
        <v>5762</v>
      </c>
    </row>
    <row r="172" spans="1:19" ht="150" customHeight="1" x14ac:dyDescent="0.25">
      <c r="A172" s="8" t="s">
        <v>617</v>
      </c>
      <c r="B172" s="8" t="s">
        <v>5693</v>
      </c>
      <c r="C172" s="8" t="s">
        <v>5694</v>
      </c>
      <c r="D172" s="10">
        <v>67</v>
      </c>
      <c r="E172" s="8" t="s">
        <v>613</v>
      </c>
      <c r="F172" s="8" t="s">
        <v>2868</v>
      </c>
      <c r="G172" s="8" t="s">
        <v>67</v>
      </c>
      <c r="H172" s="8" t="s">
        <v>612</v>
      </c>
      <c r="I172" s="8" t="s">
        <v>613</v>
      </c>
      <c r="J172" s="15" t="s">
        <v>5695</v>
      </c>
      <c r="K172" s="8"/>
      <c r="L172" s="15" t="s">
        <v>1685</v>
      </c>
      <c r="M172" s="8" t="s">
        <v>5578</v>
      </c>
      <c r="N172" s="8"/>
      <c r="O172" s="8" t="s">
        <v>5574</v>
      </c>
      <c r="P172" s="11"/>
      <c r="Q172" s="8" t="s">
        <v>5696</v>
      </c>
      <c r="R172" s="8" t="s">
        <v>5697</v>
      </c>
      <c r="S172" s="8" t="s">
        <v>5763</v>
      </c>
    </row>
    <row r="173" spans="1:19" ht="150" customHeight="1" x14ac:dyDescent="0.25">
      <c r="A173" s="8" t="s">
        <v>1222</v>
      </c>
      <c r="B173" s="8" t="s">
        <v>5693</v>
      </c>
      <c r="C173" s="8" t="s">
        <v>5694</v>
      </c>
      <c r="D173" s="10">
        <v>68</v>
      </c>
      <c r="E173" s="8" t="s">
        <v>1219</v>
      </c>
      <c r="F173" s="8" t="s">
        <v>1221</v>
      </c>
      <c r="G173" s="8" t="s">
        <v>67</v>
      </c>
      <c r="H173" s="8" t="s">
        <v>1218</v>
      </c>
      <c r="I173" s="8" t="s">
        <v>1219</v>
      </c>
      <c r="J173" s="15" t="s">
        <v>5695</v>
      </c>
      <c r="K173" s="8"/>
      <c r="L173" s="15" t="s">
        <v>1685</v>
      </c>
      <c r="M173" s="8" t="s">
        <v>5578</v>
      </c>
      <c r="N173" s="8"/>
      <c r="O173" s="8" t="s">
        <v>5574</v>
      </c>
      <c r="P173" s="11"/>
      <c r="Q173" s="8" t="s">
        <v>5696</v>
      </c>
      <c r="R173" s="8" t="s">
        <v>5697</v>
      </c>
      <c r="S173" s="8" t="s">
        <v>5764</v>
      </c>
    </row>
    <row r="174" spans="1:19" ht="150" customHeight="1" x14ac:dyDescent="0.25">
      <c r="A174" s="8" t="s">
        <v>1071</v>
      </c>
      <c r="B174" s="8" t="s">
        <v>5693</v>
      </c>
      <c r="C174" s="8" t="s">
        <v>5694</v>
      </c>
      <c r="D174" s="10">
        <v>69</v>
      </c>
      <c r="E174" s="8" t="s">
        <v>1068</v>
      </c>
      <c r="F174" s="8" t="s">
        <v>1070</v>
      </c>
      <c r="G174" s="8" t="s">
        <v>67</v>
      </c>
      <c r="H174" s="8" t="s">
        <v>1067</v>
      </c>
      <c r="I174" s="8" t="s">
        <v>1068</v>
      </c>
      <c r="J174" s="15" t="s">
        <v>5695</v>
      </c>
      <c r="K174" s="8"/>
      <c r="L174" s="15" t="s">
        <v>1685</v>
      </c>
      <c r="M174" s="8" t="s">
        <v>5578</v>
      </c>
      <c r="N174" s="8"/>
      <c r="O174" s="8" t="s">
        <v>5574</v>
      </c>
      <c r="P174" s="11"/>
      <c r="Q174" s="8" t="s">
        <v>5696</v>
      </c>
      <c r="R174" s="8" t="s">
        <v>5697</v>
      </c>
      <c r="S174" s="8" t="s">
        <v>5765</v>
      </c>
    </row>
    <row r="175" spans="1:19" ht="150" customHeight="1" x14ac:dyDescent="0.25">
      <c r="A175" s="8" t="s">
        <v>545</v>
      </c>
      <c r="B175" s="8" t="s">
        <v>5693</v>
      </c>
      <c r="C175" s="8" t="s">
        <v>5694</v>
      </c>
      <c r="D175" s="10">
        <v>70</v>
      </c>
      <c r="E175" s="8" t="s">
        <v>542</v>
      </c>
      <c r="F175" s="8" t="s">
        <v>2840</v>
      </c>
      <c r="G175" s="8" t="s">
        <v>67</v>
      </c>
      <c r="H175" s="8" t="s">
        <v>541</v>
      </c>
      <c r="I175" s="8" t="s">
        <v>542</v>
      </c>
      <c r="J175" s="15" t="s">
        <v>5695</v>
      </c>
      <c r="K175" s="8"/>
      <c r="L175" s="15" t="s">
        <v>1685</v>
      </c>
      <c r="M175" s="8" t="s">
        <v>5578</v>
      </c>
      <c r="N175" s="8"/>
      <c r="O175" s="8" t="s">
        <v>5574</v>
      </c>
      <c r="P175" s="11" t="s">
        <v>3533</v>
      </c>
      <c r="Q175" s="8" t="s">
        <v>5696</v>
      </c>
      <c r="R175" s="8" t="s">
        <v>5697</v>
      </c>
      <c r="S175" s="8" t="s">
        <v>5766</v>
      </c>
    </row>
    <row r="176" spans="1:19" ht="150" customHeight="1" x14ac:dyDescent="0.25">
      <c r="A176" s="8" t="s">
        <v>713</v>
      </c>
      <c r="B176" s="8" t="s">
        <v>5693</v>
      </c>
      <c r="C176" s="8" t="s">
        <v>5694</v>
      </c>
      <c r="D176" s="10">
        <v>71</v>
      </c>
      <c r="E176" s="8" t="s">
        <v>707</v>
      </c>
      <c r="F176" s="8" t="s">
        <v>2966</v>
      </c>
      <c r="G176" s="8" t="s">
        <v>67</v>
      </c>
      <c r="H176" s="8" t="s">
        <v>706</v>
      </c>
      <c r="I176" s="8" t="s">
        <v>707</v>
      </c>
      <c r="J176" s="15" t="s">
        <v>5695</v>
      </c>
      <c r="K176" s="8"/>
      <c r="L176" s="15" t="s">
        <v>1685</v>
      </c>
      <c r="M176" s="8" t="s">
        <v>5578</v>
      </c>
      <c r="N176" s="8"/>
      <c r="O176" s="8" t="s">
        <v>5574</v>
      </c>
      <c r="P176" s="11" t="s">
        <v>3533</v>
      </c>
      <c r="Q176" s="8" t="s">
        <v>5696</v>
      </c>
      <c r="R176" s="8" t="s">
        <v>5697</v>
      </c>
      <c r="S176" s="8" t="s">
        <v>5767</v>
      </c>
    </row>
    <row r="177" spans="1:19" ht="150" customHeight="1" x14ac:dyDescent="0.25">
      <c r="A177" s="8" t="s">
        <v>726</v>
      </c>
      <c r="B177" s="8" t="s">
        <v>5693</v>
      </c>
      <c r="C177" s="8" t="s">
        <v>5694</v>
      </c>
      <c r="D177" s="10">
        <v>72</v>
      </c>
      <c r="E177" s="8" t="s">
        <v>720</v>
      </c>
      <c r="F177" s="8" t="s">
        <v>724</v>
      </c>
      <c r="G177" s="8" t="s">
        <v>67</v>
      </c>
      <c r="H177" s="8" t="s">
        <v>719</v>
      </c>
      <c r="I177" s="8" t="s">
        <v>720</v>
      </c>
      <c r="J177" s="8"/>
      <c r="K177" s="8"/>
      <c r="L177" s="15" t="s">
        <v>1685</v>
      </c>
      <c r="M177" s="8" t="s">
        <v>5578</v>
      </c>
      <c r="N177" s="8"/>
      <c r="O177" s="8" t="s">
        <v>5574</v>
      </c>
      <c r="P177" s="11" t="s">
        <v>3548</v>
      </c>
      <c r="Q177" s="8" t="s">
        <v>5768</v>
      </c>
      <c r="R177" s="8" t="s">
        <v>5697</v>
      </c>
      <c r="S177" s="8" t="s">
        <v>5769</v>
      </c>
    </row>
    <row r="178" spans="1:19" ht="150" customHeight="1" x14ac:dyDescent="0.25">
      <c r="A178" s="8" t="s">
        <v>627</v>
      </c>
      <c r="B178" s="8" t="s">
        <v>5693</v>
      </c>
      <c r="C178" s="8" t="s">
        <v>5694</v>
      </c>
      <c r="D178" s="10">
        <v>73</v>
      </c>
      <c r="E178" s="8" t="s">
        <v>623</v>
      </c>
      <c r="F178" s="8" t="s">
        <v>625</v>
      </c>
      <c r="G178" s="8" t="s">
        <v>67</v>
      </c>
      <c r="H178" s="8" t="s">
        <v>622</v>
      </c>
      <c r="I178" s="8" t="s">
        <v>623</v>
      </c>
      <c r="J178" s="8"/>
      <c r="K178" s="8"/>
      <c r="L178" s="15" t="s">
        <v>1685</v>
      </c>
      <c r="M178" s="8" t="s">
        <v>5578</v>
      </c>
      <c r="N178" s="8"/>
      <c r="O178" s="8" t="s">
        <v>5574</v>
      </c>
      <c r="P178" s="11" t="s">
        <v>3550</v>
      </c>
      <c r="Q178" s="8" t="s">
        <v>5768</v>
      </c>
      <c r="R178" s="8" t="s">
        <v>5697</v>
      </c>
      <c r="S178" s="8" t="s">
        <v>5770</v>
      </c>
    </row>
    <row r="179" spans="1:19" ht="150" customHeight="1" x14ac:dyDescent="0.25">
      <c r="A179" s="8" t="s">
        <v>731</v>
      </c>
      <c r="B179" s="8" t="s">
        <v>5693</v>
      </c>
      <c r="C179" s="8" t="s">
        <v>5694</v>
      </c>
      <c r="D179" s="10">
        <v>74</v>
      </c>
      <c r="E179" s="8" t="s">
        <v>729</v>
      </c>
      <c r="F179" s="8" t="s">
        <v>730</v>
      </c>
      <c r="G179" s="8" t="s">
        <v>67</v>
      </c>
      <c r="H179" s="8" t="s">
        <v>728</v>
      </c>
      <c r="I179" s="8" t="s">
        <v>729</v>
      </c>
      <c r="J179" s="15" t="s">
        <v>5695</v>
      </c>
      <c r="K179" s="8"/>
      <c r="L179" s="15" t="s">
        <v>1685</v>
      </c>
      <c r="M179" s="8" t="s">
        <v>5578</v>
      </c>
      <c r="N179" s="8"/>
      <c r="O179" s="8" t="s">
        <v>5574</v>
      </c>
      <c r="P179" s="11" t="s">
        <v>3533</v>
      </c>
      <c r="Q179" s="8" t="s">
        <v>5696</v>
      </c>
      <c r="R179" s="8" t="s">
        <v>5697</v>
      </c>
      <c r="S179" s="8" t="s">
        <v>5771</v>
      </c>
    </row>
    <row r="180" spans="1:19" ht="150" customHeight="1" x14ac:dyDescent="0.25">
      <c r="A180" s="8" t="s">
        <v>1196</v>
      </c>
      <c r="B180" s="8" t="s">
        <v>5693</v>
      </c>
      <c r="C180" s="8" t="s">
        <v>5694</v>
      </c>
      <c r="D180" s="10">
        <v>75</v>
      </c>
      <c r="E180" s="8" t="s">
        <v>1193</v>
      </c>
      <c r="F180" s="8" t="s">
        <v>1195</v>
      </c>
      <c r="G180" s="8" t="s">
        <v>67</v>
      </c>
      <c r="H180" s="8" t="s">
        <v>1192</v>
      </c>
      <c r="I180" s="8" t="s">
        <v>1193</v>
      </c>
      <c r="J180" s="15" t="s">
        <v>5695</v>
      </c>
      <c r="K180" s="8"/>
      <c r="L180" s="15" t="s">
        <v>1685</v>
      </c>
      <c r="M180" s="8" t="s">
        <v>5578</v>
      </c>
      <c r="N180" s="8"/>
      <c r="O180" s="8" t="s">
        <v>5574</v>
      </c>
      <c r="P180" s="11"/>
      <c r="Q180" s="8" t="s">
        <v>5696</v>
      </c>
      <c r="R180" s="8" t="s">
        <v>5697</v>
      </c>
      <c r="S180" s="8" t="s">
        <v>5772</v>
      </c>
    </row>
    <row r="181" spans="1:19" ht="150" customHeight="1" x14ac:dyDescent="0.25">
      <c r="A181" s="8" t="s">
        <v>742</v>
      </c>
      <c r="B181" s="8" t="s">
        <v>5693</v>
      </c>
      <c r="C181" s="8" t="s">
        <v>5694</v>
      </c>
      <c r="D181" s="10">
        <v>76</v>
      </c>
      <c r="E181" s="8" t="s">
        <v>738</v>
      </c>
      <c r="F181" s="8" t="s">
        <v>2882</v>
      </c>
      <c r="G181" s="8" t="s">
        <v>67</v>
      </c>
      <c r="H181" s="8" t="s">
        <v>737</v>
      </c>
      <c r="I181" s="8" t="s">
        <v>738</v>
      </c>
      <c r="J181" s="8"/>
      <c r="K181" s="8"/>
      <c r="L181" s="15" t="s">
        <v>1685</v>
      </c>
      <c r="M181" s="8" t="s">
        <v>5578</v>
      </c>
      <c r="N181" s="8"/>
      <c r="O181" s="8" t="s">
        <v>5574</v>
      </c>
      <c r="P181" s="11" t="s">
        <v>3552</v>
      </c>
      <c r="Q181" s="8" t="s">
        <v>5768</v>
      </c>
      <c r="R181" s="8" t="s">
        <v>5697</v>
      </c>
      <c r="S181" s="8" t="s">
        <v>5773</v>
      </c>
    </row>
    <row r="182" spans="1:19" ht="150" customHeight="1" x14ac:dyDescent="0.25">
      <c r="A182" s="8" t="s">
        <v>464</v>
      </c>
      <c r="B182" s="8" t="s">
        <v>5693</v>
      </c>
      <c r="C182" s="8" t="s">
        <v>5694</v>
      </c>
      <c r="D182" s="10">
        <v>77</v>
      </c>
      <c r="E182" s="8" t="s">
        <v>460</v>
      </c>
      <c r="F182" s="8" t="s">
        <v>462</v>
      </c>
      <c r="G182" s="8" t="s">
        <v>67</v>
      </c>
      <c r="H182" s="8" t="s">
        <v>459</v>
      </c>
      <c r="I182" s="8" t="s">
        <v>460</v>
      </c>
      <c r="J182" s="8"/>
      <c r="K182" s="8"/>
      <c r="L182" s="15" t="s">
        <v>1685</v>
      </c>
      <c r="M182" s="8" t="s">
        <v>5578</v>
      </c>
      <c r="N182" s="8"/>
      <c r="O182" s="8" t="s">
        <v>5574</v>
      </c>
      <c r="P182" s="11" t="s">
        <v>3554</v>
      </c>
      <c r="Q182" s="8" t="s">
        <v>5768</v>
      </c>
      <c r="R182" s="8" t="s">
        <v>5697</v>
      </c>
      <c r="S182" s="8" t="s">
        <v>5774</v>
      </c>
    </row>
    <row r="183" spans="1:19" ht="150" customHeight="1" x14ac:dyDescent="0.25">
      <c r="A183" s="8" t="s">
        <v>553</v>
      </c>
      <c r="B183" s="8" t="s">
        <v>5693</v>
      </c>
      <c r="C183" s="8" t="s">
        <v>5694</v>
      </c>
      <c r="D183" s="10">
        <v>78</v>
      </c>
      <c r="E183" s="8" t="s">
        <v>551</v>
      </c>
      <c r="F183" s="8" t="s">
        <v>552</v>
      </c>
      <c r="G183" s="8" t="s">
        <v>67</v>
      </c>
      <c r="H183" s="8" t="s">
        <v>550</v>
      </c>
      <c r="I183" s="8" t="s">
        <v>551</v>
      </c>
      <c r="J183" s="8"/>
      <c r="K183" s="8"/>
      <c r="L183" s="15" t="s">
        <v>1685</v>
      </c>
      <c r="M183" s="8" t="s">
        <v>5578</v>
      </c>
      <c r="N183" s="8"/>
      <c r="O183" s="8" t="s">
        <v>5574</v>
      </c>
      <c r="P183" s="11" t="s">
        <v>3533</v>
      </c>
      <c r="Q183" s="8" t="s">
        <v>5768</v>
      </c>
      <c r="R183" s="8" t="s">
        <v>5697</v>
      </c>
      <c r="S183" s="8" t="s">
        <v>5775</v>
      </c>
    </row>
    <row r="184" spans="1:19" ht="150" customHeight="1" x14ac:dyDescent="0.25">
      <c r="A184" s="8" t="s">
        <v>500</v>
      </c>
      <c r="B184" s="8" t="s">
        <v>5693</v>
      </c>
      <c r="C184" s="8" t="s">
        <v>5694</v>
      </c>
      <c r="D184" s="10">
        <v>79</v>
      </c>
      <c r="E184" s="8" t="s">
        <v>496</v>
      </c>
      <c r="F184" s="8" t="s">
        <v>498</v>
      </c>
      <c r="G184" s="8" t="s">
        <v>67</v>
      </c>
      <c r="H184" s="8" t="s">
        <v>495</v>
      </c>
      <c r="I184" s="8" t="s">
        <v>496</v>
      </c>
      <c r="J184" s="8"/>
      <c r="K184" s="8"/>
      <c r="L184" s="15" t="s">
        <v>1685</v>
      </c>
      <c r="M184" s="8" t="s">
        <v>5578</v>
      </c>
      <c r="N184" s="8"/>
      <c r="O184" s="8" t="s">
        <v>5574</v>
      </c>
      <c r="P184" s="11" t="s">
        <v>3556</v>
      </c>
      <c r="Q184" s="8" t="s">
        <v>5768</v>
      </c>
      <c r="R184" s="8" t="s">
        <v>5697</v>
      </c>
      <c r="S184" s="8" t="s">
        <v>5776</v>
      </c>
    </row>
    <row r="185" spans="1:19" ht="150" customHeight="1" x14ac:dyDescent="0.25">
      <c r="A185" s="8" t="s">
        <v>678</v>
      </c>
      <c r="B185" s="8" t="s">
        <v>5693</v>
      </c>
      <c r="C185" s="8" t="s">
        <v>5694</v>
      </c>
      <c r="D185" s="10">
        <v>80</v>
      </c>
      <c r="E185" s="8" t="s">
        <v>676</v>
      </c>
      <c r="F185" s="8" t="s">
        <v>677</v>
      </c>
      <c r="G185" s="8" t="s">
        <v>67</v>
      </c>
      <c r="H185" s="8" t="s">
        <v>675</v>
      </c>
      <c r="I185" s="8" t="s">
        <v>676</v>
      </c>
      <c r="J185" s="8"/>
      <c r="K185" s="8"/>
      <c r="L185" s="15" t="s">
        <v>1685</v>
      </c>
      <c r="M185" s="8" t="s">
        <v>5578</v>
      </c>
      <c r="N185" s="8"/>
      <c r="O185" s="8" t="s">
        <v>5574</v>
      </c>
      <c r="P185" s="11" t="s">
        <v>3533</v>
      </c>
      <c r="Q185" s="8" t="s">
        <v>5768</v>
      </c>
      <c r="R185" s="8" t="s">
        <v>5697</v>
      </c>
      <c r="S185" s="8" t="s">
        <v>5777</v>
      </c>
    </row>
    <row r="186" spans="1:19" ht="150" customHeight="1" x14ac:dyDescent="0.25">
      <c r="A186" s="8" t="s">
        <v>804</v>
      </c>
      <c r="B186" s="8" t="s">
        <v>5693</v>
      </c>
      <c r="C186" s="8" t="s">
        <v>5694</v>
      </c>
      <c r="D186" s="10">
        <v>81</v>
      </c>
      <c r="E186" s="8" t="s">
        <v>799</v>
      </c>
      <c r="F186" s="8" t="s">
        <v>802</v>
      </c>
      <c r="G186" s="8" t="s">
        <v>67</v>
      </c>
      <c r="H186" s="8" t="s">
        <v>798</v>
      </c>
      <c r="I186" s="8" t="s">
        <v>799</v>
      </c>
      <c r="J186" s="8"/>
      <c r="K186" s="8"/>
      <c r="L186" s="15" t="s">
        <v>1685</v>
      </c>
      <c r="M186" s="8" t="s">
        <v>5578</v>
      </c>
      <c r="N186" s="8"/>
      <c r="O186" s="8" t="s">
        <v>5574</v>
      </c>
      <c r="P186" s="11" t="s">
        <v>3558</v>
      </c>
      <c r="Q186" s="8" t="s">
        <v>5768</v>
      </c>
      <c r="R186" s="8" t="s">
        <v>5697</v>
      </c>
      <c r="S186" s="8" t="s">
        <v>5778</v>
      </c>
    </row>
    <row r="187" spans="1:19" ht="150" customHeight="1" x14ac:dyDescent="0.25">
      <c r="A187" s="8" t="s">
        <v>611</v>
      </c>
      <c r="B187" s="8" t="s">
        <v>5693</v>
      </c>
      <c r="C187" s="8" t="s">
        <v>5694</v>
      </c>
      <c r="D187" s="10">
        <v>82</v>
      </c>
      <c r="E187" s="8" t="s">
        <v>609</v>
      </c>
      <c r="F187" s="8" t="s">
        <v>610</v>
      </c>
      <c r="G187" s="8" t="s">
        <v>67</v>
      </c>
      <c r="H187" s="8" t="s">
        <v>608</v>
      </c>
      <c r="I187" s="8" t="s">
        <v>609</v>
      </c>
      <c r="J187" s="8"/>
      <c r="K187" s="8"/>
      <c r="L187" s="15" t="s">
        <v>1685</v>
      </c>
      <c r="M187" s="8" t="s">
        <v>5578</v>
      </c>
      <c r="N187" s="8"/>
      <c r="O187" s="8" t="s">
        <v>5574</v>
      </c>
      <c r="P187" s="11" t="s">
        <v>3533</v>
      </c>
      <c r="Q187" s="8" t="s">
        <v>5768</v>
      </c>
      <c r="R187" s="8" t="s">
        <v>5697</v>
      </c>
      <c r="S187" s="8" t="s">
        <v>5779</v>
      </c>
    </row>
    <row r="188" spans="1:19" ht="150" customHeight="1" x14ac:dyDescent="0.25">
      <c r="A188" s="8" t="s">
        <v>457</v>
      </c>
      <c r="B188" s="8" t="s">
        <v>5693</v>
      </c>
      <c r="C188" s="8" t="s">
        <v>5694</v>
      </c>
      <c r="D188" s="10">
        <v>83</v>
      </c>
      <c r="E188" s="8" t="s">
        <v>452</v>
      </c>
      <c r="F188" s="8" t="s">
        <v>454</v>
      </c>
      <c r="G188" s="8" t="s">
        <v>67</v>
      </c>
      <c r="H188" s="8" t="s">
        <v>451</v>
      </c>
      <c r="I188" s="8" t="s">
        <v>452</v>
      </c>
      <c r="J188" s="8"/>
      <c r="K188" s="8"/>
      <c r="L188" s="15" t="s">
        <v>1685</v>
      </c>
      <c r="M188" s="8" t="s">
        <v>5605</v>
      </c>
      <c r="N188" s="15" t="s">
        <v>1685</v>
      </c>
      <c r="O188" s="8" t="s">
        <v>5574</v>
      </c>
      <c r="P188" s="11" t="s">
        <v>3533</v>
      </c>
      <c r="Q188" s="8" t="s">
        <v>5768</v>
      </c>
      <c r="R188" s="8" t="s">
        <v>5697</v>
      </c>
      <c r="S188" s="8" t="s">
        <v>5780</v>
      </c>
    </row>
    <row r="189" spans="1:19" ht="150" customHeight="1" x14ac:dyDescent="0.25">
      <c r="A189" s="8" t="s">
        <v>808</v>
      </c>
      <c r="B189" s="8" t="s">
        <v>5693</v>
      </c>
      <c r="C189" s="8" t="s">
        <v>5694</v>
      </c>
      <c r="D189" s="10">
        <v>84</v>
      </c>
      <c r="E189" s="8" t="s">
        <v>806</v>
      </c>
      <c r="F189" s="8" t="s">
        <v>807</v>
      </c>
      <c r="G189" s="8" t="s">
        <v>67</v>
      </c>
      <c r="H189" s="8" t="s">
        <v>805</v>
      </c>
      <c r="I189" s="8" t="s">
        <v>806</v>
      </c>
      <c r="J189" s="8"/>
      <c r="K189" s="8"/>
      <c r="L189" s="15" t="s">
        <v>1685</v>
      </c>
      <c r="M189" s="8" t="s">
        <v>5578</v>
      </c>
      <c r="N189" s="8"/>
      <c r="O189" s="8" t="s">
        <v>5574</v>
      </c>
      <c r="P189" s="11" t="s">
        <v>3533</v>
      </c>
      <c r="Q189" s="8" t="s">
        <v>5768</v>
      </c>
      <c r="R189" s="8" t="s">
        <v>5697</v>
      </c>
      <c r="S189" s="8" t="s">
        <v>5781</v>
      </c>
    </row>
    <row r="190" spans="1:19" ht="150" customHeight="1" x14ac:dyDescent="0.25">
      <c r="A190" s="8" t="s">
        <v>549</v>
      </c>
      <c r="B190" s="8" t="s">
        <v>5693</v>
      </c>
      <c r="C190" s="8" t="s">
        <v>5694</v>
      </c>
      <c r="D190" s="10">
        <v>85</v>
      </c>
      <c r="E190" s="8" t="s">
        <v>547</v>
      </c>
      <c r="F190" s="8" t="s">
        <v>548</v>
      </c>
      <c r="G190" s="8" t="s">
        <v>67</v>
      </c>
      <c r="H190" s="8" t="s">
        <v>546</v>
      </c>
      <c r="I190" s="8" t="s">
        <v>547</v>
      </c>
      <c r="J190" s="8"/>
      <c r="K190" s="8"/>
      <c r="L190" s="15" t="s">
        <v>1685</v>
      </c>
      <c r="M190" s="8" t="s">
        <v>5578</v>
      </c>
      <c r="N190" s="8"/>
      <c r="O190" s="8" t="s">
        <v>5574</v>
      </c>
      <c r="P190" s="11" t="s">
        <v>3533</v>
      </c>
      <c r="Q190" s="8" t="s">
        <v>5768</v>
      </c>
      <c r="R190" s="8" t="s">
        <v>5697</v>
      </c>
      <c r="S190" s="8" t="s">
        <v>5782</v>
      </c>
    </row>
    <row r="191" spans="1:19" ht="150" customHeight="1" x14ac:dyDescent="0.25">
      <c r="A191" s="8" t="s">
        <v>404</v>
      </c>
      <c r="B191" s="8" t="s">
        <v>5693</v>
      </c>
      <c r="C191" s="8" t="s">
        <v>5694</v>
      </c>
      <c r="D191" s="10">
        <v>86</v>
      </c>
      <c r="E191" s="8" t="s">
        <v>398</v>
      </c>
      <c r="F191" s="8" t="s">
        <v>2968</v>
      </c>
      <c r="G191" s="8" t="s">
        <v>67</v>
      </c>
      <c r="H191" s="8" t="s">
        <v>397</v>
      </c>
      <c r="I191" s="8" t="s">
        <v>398</v>
      </c>
      <c r="J191" s="8"/>
      <c r="K191" s="8"/>
      <c r="L191" s="15" t="s">
        <v>1685</v>
      </c>
      <c r="M191" s="8" t="s">
        <v>5573</v>
      </c>
      <c r="N191" s="15" t="s">
        <v>1685</v>
      </c>
      <c r="O191" s="8" t="s">
        <v>5574</v>
      </c>
      <c r="P191" s="11" t="s">
        <v>3315</v>
      </c>
      <c r="Q191" s="8" t="s">
        <v>5768</v>
      </c>
      <c r="R191" s="8" t="s">
        <v>5697</v>
      </c>
      <c r="S191" s="8" t="s">
        <v>5783</v>
      </c>
    </row>
    <row r="192" spans="1:19" ht="150" customHeight="1" x14ac:dyDescent="0.25">
      <c r="A192" s="8" t="s">
        <v>354</v>
      </c>
      <c r="B192" s="8" t="s">
        <v>5693</v>
      </c>
      <c r="C192" s="8" t="s">
        <v>5694</v>
      </c>
      <c r="D192" s="10">
        <v>87</v>
      </c>
      <c r="E192" s="8" t="s">
        <v>343</v>
      </c>
      <c r="F192" s="8" t="s">
        <v>2994</v>
      </c>
      <c r="G192" s="8" t="s">
        <v>67</v>
      </c>
      <c r="H192" s="8" t="s">
        <v>342</v>
      </c>
      <c r="I192" s="8" t="s">
        <v>343</v>
      </c>
      <c r="J192" s="8"/>
      <c r="K192" s="8"/>
      <c r="L192" s="15" t="s">
        <v>1685</v>
      </c>
      <c r="M192" s="8" t="s">
        <v>5578</v>
      </c>
      <c r="N192" s="8"/>
      <c r="O192" s="8" t="s">
        <v>5574</v>
      </c>
      <c r="P192" s="11" t="s">
        <v>3533</v>
      </c>
      <c r="Q192" s="8" t="s">
        <v>5768</v>
      </c>
      <c r="R192" s="8" t="s">
        <v>5697</v>
      </c>
      <c r="S192" s="8" t="s">
        <v>5784</v>
      </c>
    </row>
    <row r="193" spans="1:19" ht="150" customHeight="1" x14ac:dyDescent="0.25">
      <c r="A193" s="8" t="s">
        <v>812</v>
      </c>
      <c r="B193" s="8" t="s">
        <v>5693</v>
      </c>
      <c r="C193" s="8" t="s">
        <v>5694</v>
      </c>
      <c r="D193" s="10">
        <v>88</v>
      </c>
      <c r="E193" s="8" t="s">
        <v>810</v>
      </c>
      <c r="F193" s="8" t="s">
        <v>811</v>
      </c>
      <c r="G193" s="8" t="s">
        <v>67</v>
      </c>
      <c r="H193" s="8" t="s">
        <v>809</v>
      </c>
      <c r="I193" s="8" t="s">
        <v>810</v>
      </c>
      <c r="J193" s="8"/>
      <c r="K193" s="8"/>
      <c r="L193" s="15" t="s">
        <v>1685</v>
      </c>
      <c r="M193" s="8" t="s">
        <v>5578</v>
      </c>
      <c r="N193" s="8"/>
      <c r="O193" s="8" t="s">
        <v>5574</v>
      </c>
      <c r="P193" s="11" t="s">
        <v>3533</v>
      </c>
      <c r="Q193" s="8" t="s">
        <v>5768</v>
      </c>
      <c r="R193" s="8" t="s">
        <v>5697</v>
      </c>
      <c r="S193" s="8" t="s">
        <v>5785</v>
      </c>
    </row>
    <row r="194" spans="1:19" ht="150" customHeight="1" x14ac:dyDescent="0.25">
      <c r="A194" s="8" t="s">
        <v>772</v>
      </c>
      <c r="B194" s="8" t="s">
        <v>5693</v>
      </c>
      <c r="C194" s="8" t="s">
        <v>5694</v>
      </c>
      <c r="D194" s="10">
        <v>89</v>
      </c>
      <c r="E194" s="8" t="s">
        <v>768</v>
      </c>
      <c r="F194" s="8" t="s">
        <v>770</v>
      </c>
      <c r="G194" s="8" t="s">
        <v>67</v>
      </c>
      <c r="H194" s="8" t="s">
        <v>767</v>
      </c>
      <c r="I194" s="8" t="s">
        <v>768</v>
      </c>
      <c r="J194" s="8"/>
      <c r="K194" s="8"/>
      <c r="L194" s="15" t="s">
        <v>1685</v>
      </c>
      <c r="M194" s="8" t="s">
        <v>5578</v>
      </c>
      <c r="N194" s="8"/>
      <c r="O194" s="8" t="s">
        <v>5574</v>
      </c>
      <c r="P194" s="11" t="s">
        <v>3563</v>
      </c>
      <c r="Q194" s="8" t="s">
        <v>5768</v>
      </c>
      <c r="R194" s="8" t="s">
        <v>5697</v>
      </c>
      <c r="S194" s="8" t="s">
        <v>5786</v>
      </c>
    </row>
    <row r="195" spans="1:19" ht="150" customHeight="1" x14ac:dyDescent="0.25">
      <c r="A195" s="8" t="s">
        <v>718</v>
      </c>
      <c r="B195" s="8" t="s">
        <v>5693</v>
      </c>
      <c r="C195" s="8" t="s">
        <v>5694</v>
      </c>
      <c r="D195" s="10">
        <v>90</v>
      </c>
      <c r="E195" s="8" t="s">
        <v>716</v>
      </c>
      <c r="F195" s="8" t="s">
        <v>717</v>
      </c>
      <c r="G195" s="8" t="s">
        <v>67</v>
      </c>
      <c r="H195" s="8" t="s">
        <v>715</v>
      </c>
      <c r="I195" s="8" t="s">
        <v>716</v>
      </c>
      <c r="J195" s="8"/>
      <c r="K195" s="8"/>
      <c r="L195" s="15" t="s">
        <v>1685</v>
      </c>
      <c r="M195" s="8" t="s">
        <v>5578</v>
      </c>
      <c r="N195" s="8"/>
      <c r="O195" s="8" t="s">
        <v>5574</v>
      </c>
      <c r="P195" s="11" t="s">
        <v>3533</v>
      </c>
      <c r="Q195" s="8" t="s">
        <v>5768</v>
      </c>
      <c r="R195" s="8" t="s">
        <v>5697</v>
      </c>
      <c r="S195" s="8" t="s">
        <v>5787</v>
      </c>
    </row>
    <row r="196" spans="1:19" ht="150" customHeight="1" x14ac:dyDescent="0.25">
      <c r="A196" s="8" t="s">
        <v>632</v>
      </c>
      <c r="B196" s="8" t="s">
        <v>5693</v>
      </c>
      <c r="C196" s="8" t="s">
        <v>5694</v>
      </c>
      <c r="D196" s="10">
        <v>91</v>
      </c>
      <c r="E196" s="8" t="s">
        <v>629</v>
      </c>
      <c r="F196" s="8" t="s">
        <v>631</v>
      </c>
      <c r="G196" s="8" t="s">
        <v>67</v>
      </c>
      <c r="H196" s="8" t="s">
        <v>628</v>
      </c>
      <c r="I196" s="8" t="s">
        <v>629</v>
      </c>
      <c r="J196" s="8"/>
      <c r="K196" s="8"/>
      <c r="L196" s="15" t="s">
        <v>1685</v>
      </c>
      <c r="M196" s="8" t="s">
        <v>5578</v>
      </c>
      <c r="N196" s="8"/>
      <c r="O196" s="8" t="s">
        <v>5574</v>
      </c>
      <c r="P196" s="11" t="s">
        <v>3533</v>
      </c>
      <c r="Q196" s="8" t="s">
        <v>5768</v>
      </c>
      <c r="R196" s="8" t="s">
        <v>5697</v>
      </c>
      <c r="S196" s="8" t="s">
        <v>5788</v>
      </c>
    </row>
    <row r="197" spans="1:19" ht="150" customHeight="1" x14ac:dyDescent="0.25">
      <c r="A197" s="8" t="s">
        <v>776</v>
      </c>
      <c r="B197" s="8" t="s">
        <v>5693</v>
      </c>
      <c r="C197" s="8" t="s">
        <v>5694</v>
      </c>
      <c r="D197" s="10">
        <v>92</v>
      </c>
      <c r="E197" s="8" t="s">
        <v>774</v>
      </c>
      <c r="F197" s="8" t="s">
        <v>775</v>
      </c>
      <c r="G197" s="8" t="s">
        <v>67</v>
      </c>
      <c r="H197" s="8" t="s">
        <v>773</v>
      </c>
      <c r="I197" s="8" t="s">
        <v>774</v>
      </c>
      <c r="J197" s="8"/>
      <c r="K197" s="8"/>
      <c r="L197" s="15" t="s">
        <v>1685</v>
      </c>
      <c r="M197" s="8" t="s">
        <v>5578</v>
      </c>
      <c r="N197" s="8"/>
      <c r="O197" s="8" t="s">
        <v>5574</v>
      </c>
      <c r="P197" s="11" t="s">
        <v>3533</v>
      </c>
      <c r="Q197" s="8" t="s">
        <v>5768</v>
      </c>
      <c r="R197" s="8" t="s">
        <v>5697</v>
      </c>
      <c r="S197" s="8" t="s">
        <v>5789</v>
      </c>
    </row>
    <row r="198" spans="1:19" ht="150" customHeight="1" x14ac:dyDescent="0.25">
      <c r="A198" s="8" t="s">
        <v>793</v>
      </c>
      <c r="B198" s="8" t="s">
        <v>5693</v>
      </c>
      <c r="C198" s="8" t="s">
        <v>5694</v>
      </c>
      <c r="D198" s="10">
        <v>93</v>
      </c>
      <c r="E198" s="8" t="s">
        <v>791</v>
      </c>
      <c r="F198" s="8" t="s">
        <v>792</v>
      </c>
      <c r="G198" s="8" t="s">
        <v>67</v>
      </c>
      <c r="H198" s="8" t="s">
        <v>790</v>
      </c>
      <c r="I198" s="8" t="s">
        <v>791</v>
      </c>
      <c r="J198" s="8"/>
      <c r="K198" s="8"/>
      <c r="L198" s="15" t="s">
        <v>1685</v>
      </c>
      <c r="M198" s="8" t="s">
        <v>5578</v>
      </c>
      <c r="N198" s="8"/>
      <c r="O198" s="8" t="s">
        <v>5574</v>
      </c>
      <c r="P198" s="11" t="s">
        <v>3533</v>
      </c>
      <c r="Q198" s="8" t="s">
        <v>5768</v>
      </c>
      <c r="R198" s="8" t="s">
        <v>5697</v>
      </c>
      <c r="S198" s="8" t="s">
        <v>5790</v>
      </c>
    </row>
    <row r="199" spans="1:19" ht="150" customHeight="1" x14ac:dyDescent="0.25">
      <c r="A199" s="8" t="s">
        <v>532</v>
      </c>
      <c r="B199" s="8" t="s">
        <v>5693</v>
      </c>
      <c r="C199" s="8" t="s">
        <v>5694</v>
      </c>
      <c r="D199" s="10">
        <v>94</v>
      </c>
      <c r="E199" s="8" t="s">
        <v>528</v>
      </c>
      <c r="F199" s="8" t="s">
        <v>530</v>
      </c>
      <c r="G199" s="8" t="s">
        <v>67</v>
      </c>
      <c r="H199" s="8" t="s">
        <v>527</v>
      </c>
      <c r="I199" s="8" t="s">
        <v>528</v>
      </c>
      <c r="J199" s="8"/>
      <c r="K199" s="8"/>
      <c r="L199" s="15" t="s">
        <v>1685</v>
      </c>
      <c r="M199" s="8" t="s">
        <v>5578</v>
      </c>
      <c r="N199" s="8"/>
      <c r="O199" s="8" t="s">
        <v>5574</v>
      </c>
      <c r="P199" s="11" t="s">
        <v>3533</v>
      </c>
      <c r="Q199" s="8" t="s">
        <v>5768</v>
      </c>
      <c r="R199" s="8" t="s">
        <v>5697</v>
      </c>
      <c r="S199" s="8" t="s">
        <v>5791</v>
      </c>
    </row>
    <row r="200" spans="1:19" ht="150" customHeight="1" x14ac:dyDescent="0.25">
      <c r="A200" s="8" t="s">
        <v>823</v>
      </c>
      <c r="B200" s="8" t="s">
        <v>5693</v>
      </c>
      <c r="C200" s="8" t="s">
        <v>5694</v>
      </c>
      <c r="D200" s="10">
        <v>95</v>
      </c>
      <c r="E200" s="8" t="s">
        <v>821</v>
      </c>
      <c r="F200" s="8" t="s">
        <v>822</v>
      </c>
      <c r="G200" s="8" t="s">
        <v>67</v>
      </c>
      <c r="H200" s="8" t="s">
        <v>820</v>
      </c>
      <c r="I200" s="8" t="s">
        <v>821</v>
      </c>
      <c r="J200" s="8"/>
      <c r="K200" s="8"/>
      <c r="L200" s="15" t="s">
        <v>1685</v>
      </c>
      <c r="M200" s="8" t="s">
        <v>5578</v>
      </c>
      <c r="N200" s="8"/>
      <c r="O200" s="8" t="s">
        <v>5574</v>
      </c>
      <c r="P200" s="11" t="s">
        <v>3533</v>
      </c>
      <c r="Q200" s="8" t="s">
        <v>5768</v>
      </c>
      <c r="R200" s="8" t="s">
        <v>5697</v>
      </c>
      <c r="S200" s="8" t="s">
        <v>5792</v>
      </c>
    </row>
    <row r="201" spans="1:19" ht="150" customHeight="1" x14ac:dyDescent="0.25">
      <c r="A201" s="8" t="s">
        <v>597</v>
      </c>
      <c r="B201" s="8" t="s">
        <v>5693</v>
      </c>
      <c r="C201" s="8" t="s">
        <v>5694</v>
      </c>
      <c r="D201" s="10">
        <v>96</v>
      </c>
      <c r="E201" s="8" t="s">
        <v>595</v>
      </c>
      <c r="F201" s="8" t="s">
        <v>596</v>
      </c>
      <c r="G201" s="8" t="s">
        <v>67</v>
      </c>
      <c r="H201" s="8" t="s">
        <v>594</v>
      </c>
      <c r="I201" s="8" t="s">
        <v>595</v>
      </c>
      <c r="J201" s="8"/>
      <c r="K201" s="8"/>
      <c r="L201" s="15" t="s">
        <v>1685</v>
      </c>
      <c r="M201" s="8" t="s">
        <v>5578</v>
      </c>
      <c r="N201" s="8"/>
      <c r="O201" s="8" t="s">
        <v>5574</v>
      </c>
      <c r="P201" s="11" t="s">
        <v>3533</v>
      </c>
      <c r="Q201" s="8" t="s">
        <v>5768</v>
      </c>
      <c r="R201" s="8" t="s">
        <v>5697</v>
      </c>
      <c r="S201" s="8" t="s">
        <v>5793</v>
      </c>
    </row>
    <row r="202" spans="1:19" ht="150" customHeight="1" x14ac:dyDescent="0.25">
      <c r="A202" s="8" t="s">
        <v>621</v>
      </c>
      <c r="B202" s="8" t="s">
        <v>5693</v>
      </c>
      <c r="C202" s="8" t="s">
        <v>5694</v>
      </c>
      <c r="D202" s="10">
        <v>97</v>
      </c>
      <c r="E202" s="8" t="s">
        <v>619</v>
      </c>
      <c r="F202" s="8" t="s">
        <v>620</v>
      </c>
      <c r="G202" s="8" t="s">
        <v>67</v>
      </c>
      <c r="H202" s="8" t="s">
        <v>618</v>
      </c>
      <c r="I202" s="8" t="s">
        <v>619</v>
      </c>
      <c r="J202" s="8"/>
      <c r="K202" s="8"/>
      <c r="L202" s="15" t="s">
        <v>1685</v>
      </c>
      <c r="M202" s="8" t="s">
        <v>5578</v>
      </c>
      <c r="N202" s="8"/>
      <c r="O202" s="8" t="s">
        <v>5574</v>
      </c>
      <c r="P202" s="11" t="s">
        <v>3533</v>
      </c>
      <c r="Q202" s="8" t="s">
        <v>5768</v>
      </c>
      <c r="R202" s="8" t="s">
        <v>5697</v>
      </c>
      <c r="S202" s="8" t="s">
        <v>5794</v>
      </c>
    </row>
    <row r="203" spans="1:19" ht="150" customHeight="1" x14ac:dyDescent="0.25">
      <c r="A203" s="8" t="s">
        <v>636</v>
      </c>
      <c r="B203" s="8" t="s">
        <v>5693</v>
      </c>
      <c r="C203" s="8" t="s">
        <v>5694</v>
      </c>
      <c r="D203" s="10">
        <v>98</v>
      </c>
      <c r="E203" s="8" t="s">
        <v>634</v>
      </c>
      <c r="F203" s="8" t="s">
        <v>635</v>
      </c>
      <c r="G203" s="8" t="s">
        <v>67</v>
      </c>
      <c r="H203" s="8" t="s">
        <v>633</v>
      </c>
      <c r="I203" s="8" t="s">
        <v>634</v>
      </c>
      <c r="J203" s="8"/>
      <c r="K203" s="8"/>
      <c r="L203" s="15" t="s">
        <v>1685</v>
      </c>
      <c r="M203" s="8" t="s">
        <v>5578</v>
      </c>
      <c r="N203" s="8"/>
      <c r="O203" s="8" t="s">
        <v>5574</v>
      </c>
      <c r="P203" s="11" t="s">
        <v>3533</v>
      </c>
      <c r="Q203" s="8" t="s">
        <v>5768</v>
      </c>
      <c r="R203" s="8" t="s">
        <v>5697</v>
      </c>
      <c r="S203" s="8" t="s">
        <v>5795</v>
      </c>
    </row>
    <row r="204" spans="1:19" ht="150" customHeight="1" x14ac:dyDescent="0.25">
      <c r="A204" s="8" t="s">
        <v>690</v>
      </c>
      <c r="B204" s="8" t="s">
        <v>5693</v>
      </c>
      <c r="C204" s="8" t="s">
        <v>5694</v>
      </c>
      <c r="D204" s="10">
        <v>99</v>
      </c>
      <c r="E204" s="8" t="s">
        <v>688</v>
      </c>
      <c r="F204" s="8" t="s">
        <v>689</v>
      </c>
      <c r="G204" s="8" t="s">
        <v>67</v>
      </c>
      <c r="H204" s="8" t="s">
        <v>687</v>
      </c>
      <c r="I204" s="8" t="s">
        <v>688</v>
      </c>
      <c r="J204" s="8"/>
      <c r="K204" s="8"/>
      <c r="L204" s="15" t="s">
        <v>1685</v>
      </c>
      <c r="M204" s="8" t="s">
        <v>5578</v>
      </c>
      <c r="N204" s="8"/>
      <c r="O204" s="8" t="s">
        <v>5574</v>
      </c>
      <c r="P204" s="11" t="s">
        <v>3533</v>
      </c>
      <c r="Q204" s="8" t="s">
        <v>5768</v>
      </c>
      <c r="R204" s="8" t="s">
        <v>5697</v>
      </c>
      <c r="S204" s="8" t="s">
        <v>5796</v>
      </c>
    </row>
    <row r="205" spans="1:19" ht="150" customHeight="1" x14ac:dyDescent="0.25">
      <c r="A205" s="8" t="s">
        <v>1066</v>
      </c>
      <c r="B205" s="8" t="s">
        <v>5693</v>
      </c>
      <c r="C205" s="8" t="s">
        <v>5694</v>
      </c>
      <c r="D205" s="10">
        <v>100</v>
      </c>
      <c r="E205" s="8" t="s">
        <v>1063</v>
      </c>
      <c r="F205" s="8" t="s">
        <v>1065</v>
      </c>
      <c r="G205" s="8" t="s">
        <v>67</v>
      </c>
      <c r="H205" s="8" t="s">
        <v>1062</v>
      </c>
      <c r="I205" s="8" t="s">
        <v>1063</v>
      </c>
      <c r="J205" s="15" t="s">
        <v>5695</v>
      </c>
      <c r="K205" s="8"/>
      <c r="L205" s="15" t="s">
        <v>1685</v>
      </c>
      <c r="M205" s="8" t="s">
        <v>5578</v>
      </c>
      <c r="N205" s="8"/>
      <c r="O205" s="8" t="s">
        <v>5574</v>
      </c>
      <c r="P205" s="11"/>
      <c r="Q205" s="8" t="s">
        <v>5696</v>
      </c>
      <c r="R205" s="8" t="s">
        <v>5697</v>
      </c>
      <c r="S205" s="8" t="s">
        <v>5797</v>
      </c>
    </row>
    <row r="206" spans="1:19" ht="150" customHeight="1" x14ac:dyDescent="0.25">
      <c r="A206" s="8" t="s">
        <v>1217</v>
      </c>
      <c r="B206" s="8" t="s">
        <v>5693</v>
      </c>
      <c r="C206" s="8" t="s">
        <v>5694</v>
      </c>
      <c r="D206" s="10">
        <v>101</v>
      </c>
      <c r="E206" s="8" t="s">
        <v>1215</v>
      </c>
      <c r="F206" s="8" t="s">
        <v>1216</v>
      </c>
      <c r="G206" s="8" t="s">
        <v>67</v>
      </c>
      <c r="H206" s="8" t="s">
        <v>1214</v>
      </c>
      <c r="I206" s="8" t="s">
        <v>1215</v>
      </c>
      <c r="J206" s="15" t="s">
        <v>5695</v>
      </c>
      <c r="K206" s="8"/>
      <c r="L206" s="15" t="s">
        <v>1685</v>
      </c>
      <c r="M206" s="8" t="s">
        <v>5578</v>
      </c>
      <c r="N206" s="8"/>
      <c r="O206" s="8" t="s">
        <v>5574</v>
      </c>
      <c r="P206" s="11"/>
      <c r="Q206" s="8" t="s">
        <v>5696</v>
      </c>
      <c r="R206" s="8" t="s">
        <v>5697</v>
      </c>
      <c r="S206" s="8" t="s">
        <v>5798</v>
      </c>
    </row>
    <row r="207" spans="1:19" ht="150" customHeight="1" x14ac:dyDescent="0.25">
      <c r="A207" s="8" t="s">
        <v>1150</v>
      </c>
      <c r="B207" s="8" t="s">
        <v>5693</v>
      </c>
      <c r="C207" s="8" t="s">
        <v>5694</v>
      </c>
      <c r="D207" s="10">
        <v>102</v>
      </c>
      <c r="E207" s="8" t="s">
        <v>1147</v>
      </c>
      <c r="F207" s="8" t="s">
        <v>1149</v>
      </c>
      <c r="G207" s="8" t="s">
        <v>67</v>
      </c>
      <c r="H207" s="8" t="s">
        <v>1146</v>
      </c>
      <c r="I207" s="8" t="s">
        <v>1147</v>
      </c>
      <c r="J207" s="15" t="s">
        <v>5695</v>
      </c>
      <c r="K207" s="8"/>
      <c r="L207" s="15" t="s">
        <v>1685</v>
      </c>
      <c r="M207" s="8" t="s">
        <v>5578</v>
      </c>
      <c r="N207" s="8"/>
      <c r="O207" s="8" t="s">
        <v>5574</v>
      </c>
      <c r="P207" s="11"/>
      <c r="Q207" s="8" t="s">
        <v>5696</v>
      </c>
      <c r="R207" s="8" t="s">
        <v>5697</v>
      </c>
      <c r="S207" s="8" t="s">
        <v>5799</v>
      </c>
    </row>
    <row r="208" spans="1:19" ht="150" customHeight="1" x14ac:dyDescent="0.25">
      <c r="A208" s="8" t="s">
        <v>1241</v>
      </c>
      <c r="B208" s="8" t="s">
        <v>5693</v>
      </c>
      <c r="C208" s="8" t="s">
        <v>5694</v>
      </c>
      <c r="D208" s="10">
        <v>103</v>
      </c>
      <c r="E208" s="8" t="s">
        <v>1239</v>
      </c>
      <c r="F208" s="8" t="s">
        <v>1240</v>
      </c>
      <c r="G208" s="8" t="s">
        <v>67</v>
      </c>
      <c r="H208" s="8" t="s">
        <v>1238</v>
      </c>
      <c r="I208" s="8" t="s">
        <v>1239</v>
      </c>
      <c r="J208" s="15" t="s">
        <v>5695</v>
      </c>
      <c r="K208" s="8"/>
      <c r="L208" s="15" t="s">
        <v>1685</v>
      </c>
      <c r="M208" s="8" t="s">
        <v>5578</v>
      </c>
      <c r="N208" s="8"/>
      <c r="O208" s="8" t="s">
        <v>5574</v>
      </c>
      <c r="P208" s="11"/>
      <c r="Q208" s="8" t="s">
        <v>5696</v>
      </c>
      <c r="R208" s="8" t="s">
        <v>5697</v>
      </c>
      <c r="S208" s="8" t="s">
        <v>5800</v>
      </c>
    </row>
    <row r="209" spans="1:19" ht="150" customHeight="1" x14ac:dyDescent="0.25">
      <c r="A209" s="8" t="s">
        <v>670</v>
      </c>
      <c r="B209" s="8" t="s">
        <v>5693</v>
      </c>
      <c r="C209" s="8" t="s">
        <v>5694</v>
      </c>
      <c r="D209" s="10">
        <v>104</v>
      </c>
      <c r="E209" s="8" t="s">
        <v>668</v>
      </c>
      <c r="F209" s="8" t="s">
        <v>669</v>
      </c>
      <c r="G209" s="8" t="s">
        <v>67</v>
      </c>
      <c r="H209" s="8" t="s">
        <v>667</v>
      </c>
      <c r="I209" s="8" t="s">
        <v>668</v>
      </c>
      <c r="J209" s="8"/>
      <c r="K209" s="8"/>
      <c r="L209" s="15" t="s">
        <v>1685</v>
      </c>
      <c r="M209" s="8" t="s">
        <v>5578</v>
      </c>
      <c r="N209" s="8"/>
      <c r="O209" s="8" t="s">
        <v>5574</v>
      </c>
      <c r="P209" s="11" t="s">
        <v>3533</v>
      </c>
      <c r="Q209" s="8" t="s">
        <v>5768</v>
      </c>
      <c r="R209" s="8" t="s">
        <v>5697</v>
      </c>
      <c r="S209" s="8" t="s">
        <v>5801</v>
      </c>
    </row>
    <row r="210" spans="1:19" ht="150" customHeight="1" x14ac:dyDescent="0.25">
      <c r="A210" s="8" t="s">
        <v>783</v>
      </c>
      <c r="B210" s="8" t="s">
        <v>5693</v>
      </c>
      <c r="C210" s="8" t="s">
        <v>5694</v>
      </c>
      <c r="D210" s="10">
        <v>105</v>
      </c>
      <c r="E210" s="8" t="s">
        <v>778</v>
      </c>
      <c r="F210" s="8" t="s">
        <v>781</v>
      </c>
      <c r="G210" s="8" t="s">
        <v>67</v>
      </c>
      <c r="H210" s="8" t="s">
        <v>777</v>
      </c>
      <c r="I210" s="8" t="s">
        <v>778</v>
      </c>
      <c r="J210" s="8"/>
      <c r="K210" s="8"/>
      <c r="L210" s="15" t="s">
        <v>1685</v>
      </c>
      <c r="M210" s="8" t="s">
        <v>5578</v>
      </c>
      <c r="N210" s="8"/>
      <c r="O210" s="8" t="s">
        <v>5574</v>
      </c>
      <c r="P210" s="11" t="s">
        <v>3565</v>
      </c>
      <c r="Q210" s="8" t="s">
        <v>5768</v>
      </c>
      <c r="R210" s="8" t="s">
        <v>5697</v>
      </c>
      <c r="S210" s="8" t="s">
        <v>5802</v>
      </c>
    </row>
    <row r="211" spans="1:19" ht="150" customHeight="1" x14ac:dyDescent="0.25">
      <c r="A211" s="8" t="s">
        <v>797</v>
      </c>
      <c r="B211" s="8" t="s">
        <v>5693</v>
      </c>
      <c r="C211" s="8" t="s">
        <v>5694</v>
      </c>
      <c r="D211" s="10">
        <v>106</v>
      </c>
      <c r="E211" s="8" t="s">
        <v>795</v>
      </c>
      <c r="F211" s="8" t="s">
        <v>796</v>
      </c>
      <c r="G211" s="8" t="s">
        <v>67</v>
      </c>
      <c r="H211" s="8" t="s">
        <v>794</v>
      </c>
      <c r="I211" s="8" t="s">
        <v>795</v>
      </c>
      <c r="J211" s="8"/>
      <c r="K211" s="8"/>
      <c r="L211" s="15" t="s">
        <v>1685</v>
      </c>
      <c r="M211" s="8" t="s">
        <v>5578</v>
      </c>
      <c r="N211" s="8"/>
      <c r="O211" s="8" t="s">
        <v>5574</v>
      </c>
      <c r="P211" s="11" t="s">
        <v>3533</v>
      </c>
      <c r="Q211" s="8" t="s">
        <v>5768</v>
      </c>
      <c r="R211" s="8" t="s">
        <v>5697</v>
      </c>
      <c r="S211" s="8" t="s">
        <v>5803</v>
      </c>
    </row>
    <row r="212" spans="1:19" ht="150" customHeight="1" x14ac:dyDescent="0.25">
      <c r="A212" s="8" t="s">
        <v>640</v>
      </c>
      <c r="B212" s="8" t="s">
        <v>5693</v>
      </c>
      <c r="C212" s="8" t="s">
        <v>5694</v>
      </c>
      <c r="D212" s="10">
        <v>107</v>
      </c>
      <c r="E212" s="8" t="s">
        <v>638</v>
      </c>
      <c r="F212" s="8" t="s">
        <v>639</v>
      </c>
      <c r="G212" s="8" t="s">
        <v>67</v>
      </c>
      <c r="H212" s="8" t="s">
        <v>637</v>
      </c>
      <c r="I212" s="8" t="s">
        <v>638</v>
      </c>
      <c r="J212" s="8"/>
      <c r="K212" s="8"/>
      <c r="L212" s="15" t="s">
        <v>1685</v>
      </c>
      <c r="M212" s="8" t="s">
        <v>5578</v>
      </c>
      <c r="N212" s="8"/>
      <c r="O212" s="8" t="s">
        <v>5574</v>
      </c>
      <c r="P212" s="11" t="s">
        <v>3533</v>
      </c>
      <c r="Q212" s="8" t="s">
        <v>5768</v>
      </c>
      <c r="R212" s="8" t="s">
        <v>5697</v>
      </c>
      <c r="S212" s="8" t="s">
        <v>5804</v>
      </c>
    </row>
    <row r="213" spans="1:19" ht="150" customHeight="1" x14ac:dyDescent="0.25">
      <c r="A213" s="8" t="s">
        <v>1200</v>
      </c>
      <c r="B213" s="8" t="s">
        <v>5693</v>
      </c>
      <c r="C213" s="8" t="s">
        <v>5694</v>
      </c>
      <c r="D213" s="10">
        <v>108</v>
      </c>
      <c r="E213" s="8" t="s">
        <v>1198</v>
      </c>
      <c r="F213" s="8" t="s">
        <v>1199</v>
      </c>
      <c r="G213" s="8" t="s">
        <v>67</v>
      </c>
      <c r="H213" s="8" t="s">
        <v>1197</v>
      </c>
      <c r="I213" s="8" t="s">
        <v>1198</v>
      </c>
      <c r="J213" s="15" t="s">
        <v>5695</v>
      </c>
      <c r="K213" s="8"/>
      <c r="L213" s="15" t="s">
        <v>1685</v>
      </c>
      <c r="M213" s="8" t="s">
        <v>5578</v>
      </c>
      <c r="N213" s="8"/>
      <c r="O213" s="8" t="s">
        <v>5574</v>
      </c>
      <c r="P213" s="11"/>
      <c r="Q213" s="8" t="s">
        <v>5696</v>
      </c>
      <c r="R213" s="8" t="s">
        <v>5697</v>
      </c>
      <c r="S213" s="8" t="s">
        <v>5805</v>
      </c>
    </row>
    <row r="214" spans="1:19" ht="150" customHeight="1" x14ac:dyDescent="0.25">
      <c r="A214" s="8" t="s">
        <v>1080</v>
      </c>
      <c r="B214" s="8" t="s">
        <v>5693</v>
      </c>
      <c r="C214" s="8" t="s">
        <v>5694</v>
      </c>
      <c r="D214" s="10">
        <v>109</v>
      </c>
      <c r="E214" s="8" t="s">
        <v>1078</v>
      </c>
      <c r="F214" s="8" t="s">
        <v>1079</v>
      </c>
      <c r="G214" s="8" t="s">
        <v>67</v>
      </c>
      <c r="H214" s="8" t="s">
        <v>1077</v>
      </c>
      <c r="I214" s="8" t="s">
        <v>1078</v>
      </c>
      <c r="J214" s="15" t="s">
        <v>5695</v>
      </c>
      <c r="K214" s="8"/>
      <c r="L214" s="15" t="s">
        <v>1685</v>
      </c>
      <c r="M214" s="8" t="s">
        <v>5578</v>
      </c>
      <c r="N214" s="8"/>
      <c r="O214" s="8" t="s">
        <v>5574</v>
      </c>
      <c r="P214" s="11"/>
      <c r="Q214" s="8" t="s">
        <v>5696</v>
      </c>
      <c r="R214" s="8" t="s">
        <v>5697</v>
      </c>
      <c r="S214" s="8" t="s">
        <v>5806</v>
      </c>
    </row>
    <row r="215" spans="1:19" ht="150" customHeight="1" x14ac:dyDescent="0.25">
      <c r="A215" s="8" t="s">
        <v>386</v>
      </c>
      <c r="B215" s="8" t="s">
        <v>5693</v>
      </c>
      <c r="C215" s="8" t="s">
        <v>5694</v>
      </c>
      <c r="D215" s="10">
        <v>110</v>
      </c>
      <c r="E215" s="8" t="s">
        <v>380</v>
      </c>
      <c r="F215" s="8" t="s">
        <v>383</v>
      </c>
      <c r="G215" s="8" t="s">
        <v>67</v>
      </c>
      <c r="H215" s="8" t="s">
        <v>379</v>
      </c>
      <c r="I215" s="8" t="s">
        <v>380</v>
      </c>
      <c r="J215" s="8"/>
      <c r="K215" s="8"/>
      <c r="L215" s="15" t="s">
        <v>1685</v>
      </c>
      <c r="M215" s="8" t="s">
        <v>5578</v>
      </c>
      <c r="N215" s="8"/>
      <c r="O215" s="8" t="s">
        <v>5574</v>
      </c>
      <c r="P215" s="11" t="s">
        <v>3567</v>
      </c>
      <c r="Q215" s="8" t="s">
        <v>5768</v>
      </c>
      <c r="R215" s="8" t="s">
        <v>5697</v>
      </c>
      <c r="S215" s="8" t="s">
        <v>5807</v>
      </c>
    </row>
    <row r="216" spans="1:19" ht="150" customHeight="1" x14ac:dyDescent="0.25">
      <c r="A216" s="8" t="s">
        <v>1333</v>
      </c>
      <c r="B216" s="8" t="s">
        <v>5693</v>
      </c>
      <c r="C216" s="8" t="s">
        <v>5694</v>
      </c>
      <c r="D216" s="10">
        <v>111</v>
      </c>
      <c r="E216" s="8" t="s">
        <v>1331</v>
      </c>
      <c r="F216" s="8" t="s">
        <v>1332</v>
      </c>
      <c r="G216" s="8" t="s">
        <v>67</v>
      </c>
      <c r="H216" s="8" t="s">
        <v>1330</v>
      </c>
      <c r="I216" s="8" t="s">
        <v>1331</v>
      </c>
      <c r="J216" s="15" t="s">
        <v>5695</v>
      </c>
      <c r="K216" s="8"/>
      <c r="L216" s="15" t="s">
        <v>1685</v>
      </c>
      <c r="M216" s="8" t="s">
        <v>5578</v>
      </c>
      <c r="N216" s="8"/>
      <c r="O216" s="8" t="s">
        <v>5574</v>
      </c>
      <c r="P216" s="11"/>
      <c r="Q216" s="8" t="s">
        <v>5696</v>
      </c>
      <c r="R216" s="8" t="s">
        <v>5697</v>
      </c>
      <c r="S216" s="8" t="s">
        <v>5808</v>
      </c>
    </row>
    <row r="217" spans="1:19" ht="150" customHeight="1" x14ac:dyDescent="0.25">
      <c r="A217" s="8" t="s">
        <v>1256</v>
      </c>
      <c r="B217" s="8" t="s">
        <v>5693</v>
      </c>
      <c r="C217" s="8" t="s">
        <v>5694</v>
      </c>
      <c r="D217" s="10">
        <v>112</v>
      </c>
      <c r="E217" s="8" t="s">
        <v>1253</v>
      </c>
      <c r="F217" s="8" t="s">
        <v>1255</v>
      </c>
      <c r="G217" s="8" t="s">
        <v>67</v>
      </c>
      <c r="H217" s="8" t="s">
        <v>1252</v>
      </c>
      <c r="I217" s="8" t="s">
        <v>1253</v>
      </c>
      <c r="J217" s="15" t="s">
        <v>5695</v>
      </c>
      <c r="K217" s="8"/>
      <c r="L217" s="15" t="s">
        <v>1685</v>
      </c>
      <c r="M217" s="8" t="s">
        <v>5578</v>
      </c>
      <c r="N217" s="8"/>
      <c r="O217" s="8" t="s">
        <v>5574</v>
      </c>
      <c r="P217" s="11"/>
      <c r="Q217" s="8" t="s">
        <v>5696</v>
      </c>
      <c r="R217" s="8" t="s">
        <v>5697</v>
      </c>
      <c r="S217" s="8" t="s">
        <v>5809</v>
      </c>
    </row>
    <row r="218" spans="1:19" ht="150" customHeight="1" x14ac:dyDescent="0.25">
      <c r="A218" s="8" t="s">
        <v>1467</v>
      </c>
      <c r="B218" s="8" t="s">
        <v>5693</v>
      </c>
      <c r="C218" s="8" t="s">
        <v>5694</v>
      </c>
      <c r="D218" s="10">
        <v>113</v>
      </c>
      <c r="E218" s="8" t="s">
        <v>1465</v>
      </c>
      <c r="F218" s="8" t="s">
        <v>1466</v>
      </c>
      <c r="G218" s="8" t="s">
        <v>67</v>
      </c>
      <c r="H218" s="8" t="s">
        <v>1464</v>
      </c>
      <c r="I218" s="8" t="s">
        <v>1465</v>
      </c>
      <c r="J218" s="15" t="s">
        <v>5695</v>
      </c>
      <c r="K218" s="8"/>
      <c r="L218" s="15" t="s">
        <v>1685</v>
      </c>
      <c r="M218" s="8" t="s">
        <v>5578</v>
      </c>
      <c r="N218" s="8"/>
      <c r="O218" s="8" t="s">
        <v>5574</v>
      </c>
      <c r="P218" s="11"/>
      <c r="Q218" s="8" t="s">
        <v>5696</v>
      </c>
      <c r="R218" s="8" t="s">
        <v>5697</v>
      </c>
      <c r="S218" s="8" t="s">
        <v>5810</v>
      </c>
    </row>
    <row r="219" spans="1:19" ht="150" customHeight="1" x14ac:dyDescent="0.25">
      <c r="A219" s="8" t="s">
        <v>1476</v>
      </c>
      <c r="B219" s="8" t="s">
        <v>5693</v>
      </c>
      <c r="C219" s="8" t="s">
        <v>5694</v>
      </c>
      <c r="D219" s="10">
        <v>114</v>
      </c>
      <c r="E219" s="8" t="s">
        <v>1474</v>
      </c>
      <c r="F219" s="8" t="s">
        <v>1475</v>
      </c>
      <c r="G219" s="8" t="s">
        <v>67</v>
      </c>
      <c r="H219" s="8" t="s">
        <v>1473</v>
      </c>
      <c r="I219" s="8" t="s">
        <v>1474</v>
      </c>
      <c r="J219" s="15" t="s">
        <v>5695</v>
      </c>
      <c r="K219" s="8"/>
      <c r="L219" s="15" t="s">
        <v>1685</v>
      </c>
      <c r="M219" s="8" t="s">
        <v>5578</v>
      </c>
      <c r="N219" s="8"/>
      <c r="O219" s="8" t="s">
        <v>5574</v>
      </c>
      <c r="P219" s="11"/>
      <c r="Q219" s="8" t="s">
        <v>5696</v>
      </c>
      <c r="R219" s="8" t="s">
        <v>5697</v>
      </c>
      <c r="S219" s="8" t="s">
        <v>5811</v>
      </c>
    </row>
    <row r="220" spans="1:19" ht="150" customHeight="1" x14ac:dyDescent="0.25">
      <c r="A220" s="8" t="s">
        <v>1251</v>
      </c>
      <c r="B220" s="8" t="s">
        <v>5693</v>
      </c>
      <c r="C220" s="8" t="s">
        <v>5694</v>
      </c>
      <c r="D220" s="10">
        <v>115</v>
      </c>
      <c r="E220" s="8" t="s">
        <v>1248</v>
      </c>
      <c r="F220" s="8" t="s">
        <v>1250</v>
      </c>
      <c r="G220" s="8" t="s">
        <v>67</v>
      </c>
      <c r="H220" s="8" t="s">
        <v>1247</v>
      </c>
      <c r="I220" s="8" t="s">
        <v>1248</v>
      </c>
      <c r="J220" s="15" t="s">
        <v>5695</v>
      </c>
      <c r="K220" s="8"/>
      <c r="L220" s="15" t="s">
        <v>1685</v>
      </c>
      <c r="M220" s="8" t="s">
        <v>5578</v>
      </c>
      <c r="N220" s="8"/>
      <c r="O220" s="8" t="s">
        <v>5574</v>
      </c>
      <c r="P220" s="11"/>
      <c r="Q220" s="8" t="s">
        <v>5696</v>
      </c>
      <c r="R220" s="8" t="s">
        <v>5697</v>
      </c>
      <c r="S220" s="8" t="s">
        <v>5812</v>
      </c>
    </row>
    <row r="221" spans="1:19" ht="150" customHeight="1" x14ac:dyDescent="0.25">
      <c r="A221" s="8" t="s">
        <v>1617</v>
      </c>
      <c r="B221" s="8" t="s">
        <v>5693</v>
      </c>
      <c r="C221" s="8" t="s">
        <v>5694</v>
      </c>
      <c r="D221" s="10">
        <v>116</v>
      </c>
      <c r="E221" s="8" t="s">
        <v>1615</v>
      </c>
      <c r="F221" s="8" t="s">
        <v>1616</v>
      </c>
      <c r="G221" s="8" t="s">
        <v>67</v>
      </c>
      <c r="H221" s="8" t="s">
        <v>1614</v>
      </c>
      <c r="I221" s="8" t="s">
        <v>1615</v>
      </c>
      <c r="J221" s="15" t="s">
        <v>5695</v>
      </c>
      <c r="K221" s="8"/>
      <c r="L221" s="15" t="s">
        <v>1685</v>
      </c>
      <c r="M221" s="8" t="s">
        <v>5578</v>
      </c>
      <c r="N221" s="8"/>
      <c r="O221" s="8" t="s">
        <v>5574</v>
      </c>
      <c r="P221" s="11"/>
      <c r="Q221" s="8" t="s">
        <v>5696</v>
      </c>
      <c r="R221" s="8" t="s">
        <v>5697</v>
      </c>
      <c r="S221" s="8" t="s">
        <v>5813</v>
      </c>
    </row>
    <row r="222" spans="1:19" ht="150" customHeight="1" x14ac:dyDescent="0.25">
      <c r="A222" s="8" t="s">
        <v>1428</v>
      </c>
      <c r="B222" s="8" t="s">
        <v>5693</v>
      </c>
      <c r="C222" s="8" t="s">
        <v>5694</v>
      </c>
      <c r="D222" s="10">
        <v>117</v>
      </c>
      <c r="E222" s="8" t="s">
        <v>1426</v>
      </c>
      <c r="F222" s="8" t="s">
        <v>1427</v>
      </c>
      <c r="G222" s="8" t="s">
        <v>67</v>
      </c>
      <c r="H222" s="8" t="s">
        <v>1425</v>
      </c>
      <c r="I222" s="8" t="s">
        <v>1426</v>
      </c>
      <c r="J222" s="15" t="s">
        <v>5695</v>
      </c>
      <c r="K222" s="8"/>
      <c r="L222" s="15" t="s">
        <v>1685</v>
      </c>
      <c r="M222" s="8" t="s">
        <v>5578</v>
      </c>
      <c r="N222" s="8"/>
      <c r="O222" s="8" t="s">
        <v>5574</v>
      </c>
      <c r="P222" s="11"/>
      <c r="Q222" s="8" t="s">
        <v>5696</v>
      </c>
      <c r="R222" s="8" t="s">
        <v>5697</v>
      </c>
      <c r="S222" s="8" t="s">
        <v>5814</v>
      </c>
    </row>
    <row r="223" spans="1:19" ht="150" customHeight="1" x14ac:dyDescent="0.25">
      <c r="A223" s="8" t="s">
        <v>1664</v>
      </c>
      <c r="B223" s="8" t="s">
        <v>5693</v>
      </c>
      <c r="C223" s="8" t="s">
        <v>5694</v>
      </c>
      <c r="D223" s="10">
        <v>118</v>
      </c>
      <c r="E223" s="8" t="s">
        <v>1662</v>
      </c>
      <c r="F223" s="8" t="s">
        <v>1663</v>
      </c>
      <c r="G223" s="8" t="s">
        <v>67</v>
      </c>
      <c r="H223" s="8" t="s">
        <v>1661</v>
      </c>
      <c r="I223" s="8" t="s">
        <v>1662</v>
      </c>
      <c r="J223" s="15" t="s">
        <v>5695</v>
      </c>
      <c r="K223" s="8"/>
      <c r="L223" s="15" t="s">
        <v>1685</v>
      </c>
      <c r="M223" s="8" t="s">
        <v>5578</v>
      </c>
      <c r="N223" s="8"/>
      <c r="O223" s="8" t="s">
        <v>5574</v>
      </c>
      <c r="P223" s="11"/>
      <c r="Q223" s="8" t="s">
        <v>5696</v>
      </c>
      <c r="R223" s="8" t="s">
        <v>5697</v>
      </c>
      <c r="S223" s="8" t="s">
        <v>5815</v>
      </c>
    </row>
    <row r="224" spans="1:19" ht="150" customHeight="1" x14ac:dyDescent="0.25">
      <c r="A224" s="8" t="s">
        <v>1380</v>
      </c>
      <c r="B224" s="8" t="s">
        <v>5693</v>
      </c>
      <c r="C224" s="8" t="s">
        <v>5694</v>
      </c>
      <c r="D224" s="10">
        <v>119</v>
      </c>
      <c r="E224" s="8" t="s">
        <v>1378</v>
      </c>
      <c r="F224" s="8" t="s">
        <v>1379</v>
      </c>
      <c r="G224" s="8" t="s">
        <v>67</v>
      </c>
      <c r="H224" s="8" t="s">
        <v>1377</v>
      </c>
      <c r="I224" s="8" t="s">
        <v>1378</v>
      </c>
      <c r="J224" s="15" t="s">
        <v>5695</v>
      </c>
      <c r="K224" s="8"/>
      <c r="L224" s="15" t="s">
        <v>1685</v>
      </c>
      <c r="M224" s="8" t="s">
        <v>5578</v>
      </c>
      <c r="N224" s="8"/>
      <c r="O224" s="8" t="s">
        <v>5574</v>
      </c>
      <c r="P224" s="11"/>
      <c r="Q224" s="8" t="s">
        <v>5696</v>
      </c>
      <c r="R224" s="8" t="s">
        <v>5697</v>
      </c>
      <c r="S224" s="8" t="s">
        <v>5816</v>
      </c>
    </row>
    <row r="225" spans="1:19" ht="150" customHeight="1" x14ac:dyDescent="0.25">
      <c r="A225" s="8" t="s">
        <v>1264</v>
      </c>
      <c r="B225" s="8" t="s">
        <v>5693</v>
      </c>
      <c r="C225" s="8" t="s">
        <v>5694</v>
      </c>
      <c r="D225" s="10">
        <v>120</v>
      </c>
      <c r="E225" s="8" t="s">
        <v>1262</v>
      </c>
      <c r="F225" s="8" t="s">
        <v>1263</v>
      </c>
      <c r="G225" s="8" t="s">
        <v>67</v>
      </c>
      <c r="H225" s="8" t="s">
        <v>1261</v>
      </c>
      <c r="I225" s="8" t="s">
        <v>1262</v>
      </c>
      <c r="J225" s="15" t="s">
        <v>5695</v>
      </c>
      <c r="K225" s="8"/>
      <c r="L225" s="15" t="s">
        <v>1685</v>
      </c>
      <c r="M225" s="8" t="s">
        <v>5578</v>
      </c>
      <c r="N225" s="8"/>
      <c r="O225" s="8" t="s">
        <v>5574</v>
      </c>
      <c r="P225" s="11"/>
      <c r="Q225" s="8" t="s">
        <v>5696</v>
      </c>
      <c r="R225" s="8" t="s">
        <v>5697</v>
      </c>
      <c r="S225" s="8" t="s">
        <v>5817</v>
      </c>
    </row>
    <row r="226" spans="1:19" ht="150" customHeight="1" x14ac:dyDescent="0.25">
      <c r="A226" s="8" t="s">
        <v>1546</v>
      </c>
      <c r="B226" s="8" t="s">
        <v>5693</v>
      </c>
      <c r="C226" s="8" t="s">
        <v>5694</v>
      </c>
      <c r="D226" s="10">
        <v>121</v>
      </c>
      <c r="E226" s="8" t="s">
        <v>1544</v>
      </c>
      <c r="F226" s="8" t="s">
        <v>1545</v>
      </c>
      <c r="G226" s="8" t="s">
        <v>67</v>
      </c>
      <c r="H226" s="8" t="s">
        <v>1543</v>
      </c>
      <c r="I226" s="8" t="s">
        <v>1544</v>
      </c>
      <c r="J226" s="15" t="s">
        <v>5695</v>
      </c>
      <c r="K226" s="8"/>
      <c r="L226" s="15" t="s">
        <v>1685</v>
      </c>
      <c r="M226" s="8" t="s">
        <v>5578</v>
      </c>
      <c r="N226" s="8"/>
      <c r="O226" s="8" t="s">
        <v>5574</v>
      </c>
      <c r="P226" s="11"/>
      <c r="Q226" s="8" t="s">
        <v>5696</v>
      </c>
      <c r="R226" s="8" t="s">
        <v>5697</v>
      </c>
      <c r="S226" s="8" t="s">
        <v>5818</v>
      </c>
    </row>
    <row r="227" spans="1:19" ht="150" customHeight="1" x14ac:dyDescent="0.25">
      <c r="A227" s="8" t="s">
        <v>1002</v>
      </c>
      <c r="B227" s="8" t="s">
        <v>5693</v>
      </c>
      <c r="C227" s="8" t="s">
        <v>5694</v>
      </c>
      <c r="D227" s="10">
        <v>122</v>
      </c>
      <c r="E227" s="8" t="s">
        <v>996</v>
      </c>
      <c r="F227" s="8" t="s">
        <v>3179</v>
      </c>
      <c r="G227" s="8" t="s">
        <v>67</v>
      </c>
      <c r="H227" s="8" t="s">
        <v>995</v>
      </c>
      <c r="I227" s="8" t="s">
        <v>996</v>
      </c>
      <c r="J227" s="15" t="s">
        <v>5695</v>
      </c>
      <c r="K227" s="8"/>
      <c r="L227" s="15" t="s">
        <v>1685</v>
      </c>
      <c r="M227" s="8" t="s">
        <v>5578</v>
      </c>
      <c r="N227" s="8"/>
      <c r="O227" s="8" t="s">
        <v>5574</v>
      </c>
      <c r="P227" s="11"/>
      <c r="Q227" s="8" t="s">
        <v>5696</v>
      </c>
      <c r="R227" s="8" t="s">
        <v>5697</v>
      </c>
      <c r="S227" s="8" t="s">
        <v>5819</v>
      </c>
    </row>
    <row r="228" spans="1:19" ht="150" customHeight="1" x14ac:dyDescent="0.25">
      <c r="A228" s="8" t="s">
        <v>1394</v>
      </c>
      <c r="B228" s="8" t="s">
        <v>5693</v>
      </c>
      <c r="C228" s="8" t="s">
        <v>5694</v>
      </c>
      <c r="D228" s="10">
        <v>123</v>
      </c>
      <c r="E228" s="8" t="s">
        <v>1391</v>
      </c>
      <c r="F228" s="8" t="s">
        <v>1393</v>
      </c>
      <c r="G228" s="8" t="s">
        <v>67</v>
      </c>
      <c r="H228" s="8" t="s">
        <v>1390</v>
      </c>
      <c r="I228" s="8" t="s">
        <v>1391</v>
      </c>
      <c r="J228" s="15" t="s">
        <v>5695</v>
      </c>
      <c r="K228" s="8"/>
      <c r="L228" s="15" t="s">
        <v>1685</v>
      </c>
      <c r="M228" s="8" t="s">
        <v>5578</v>
      </c>
      <c r="N228" s="8"/>
      <c r="O228" s="8" t="s">
        <v>5574</v>
      </c>
      <c r="P228" s="11"/>
      <c r="Q228" s="8" t="s">
        <v>5696</v>
      </c>
      <c r="R228" s="8" t="s">
        <v>5697</v>
      </c>
      <c r="S228" s="8" t="s">
        <v>5820</v>
      </c>
    </row>
    <row r="229" spans="1:19" ht="150" customHeight="1" x14ac:dyDescent="0.25">
      <c r="A229" s="8" t="s">
        <v>983</v>
      </c>
      <c r="B229" s="8" t="s">
        <v>5693</v>
      </c>
      <c r="C229" s="8" t="s">
        <v>5694</v>
      </c>
      <c r="D229" s="10">
        <v>124</v>
      </c>
      <c r="E229" s="8" t="s">
        <v>976</v>
      </c>
      <c r="F229" s="8" t="s">
        <v>2948</v>
      </c>
      <c r="G229" s="8" t="s">
        <v>67</v>
      </c>
      <c r="H229" s="8" t="s">
        <v>975</v>
      </c>
      <c r="I229" s="8" t="s">
        <v>976</v>
      </c>
      <c r="J229" s="15" t="s">
        <v>5695</v>
      </c>
      <c r="K229" s="8"/>
      <c r="L229" s="15" t="s">
        <v>1685</v>
      </c>
      <c r="M229" s="8" t="s">
        <v>5578</v>
      </c>
      <c r="N229" s="8"/>
      <c r="O229" s="8" t="s">
        <v>5574</v>
      </c>
      <c r="P229" s="11"/>
      <c r="Q229" s="8" t="s">
        <v>5696</v>
      </c>
      <c r="R229" s="8" t="s">
        <v>5697</v>
      </c>
      <c r="S229" s="8" t="s">
        <v>5821</v>
      </c>
    </row>
    <row r="230" spans="1:19" ht="150" customHeight="1" x14ac:dyDescent="0.25">
      <c r="A230" s="8" t="s">
        <v>1451</v>
      </c>
      <c r="B230" s="8" t="s">
        <v>5693</v>
      </c>
      <c r="C230" s="8" t="s">
        <v>5694</v>
      </c>
      <c r="D230" s="10">
        <v>125</v>
      </c>
      <c r="E230" s="8" t="s">
        <v>1449</v>
      </c>
      <c r="F230" s="8" t="s">
        <v>1450</v>
      </c>
      <c r="G230" s="8" t="s">
        <v>67</v>
      </c>
      <c r="H230" s="8" t="s">
        <v>1448</v>
      </c>
      <c r="I230" s="8" t="s">
        <v>1449</v>
      </c>
      <c r="J230" s="15" t="s">
        <v>5695</v>
      </c>
      <c r="K230" s="8"/>
      <c r="L230" s="15" t="s">
        <v>1685</v>
      </c>
      <c r="M230" s="8" t="s">
        <v>5578</v>
      </c>
      <c r="N230" s="8"/>
      <c r="O230" s="8" t="s">
        <v>5574</v>
      </c>
      <c r="P230" s="11"/>
      <c r="Q230" s="8" t="s">
        <v>5696</v>
      </c>
      <c r="R230" s="8" t="s">
        <v>5697</v>
      </c>
      <c r="S230" s="8" t="s">
        <v>5822</v>
      </c>
    </row>
    <row r="231" spans="1:19" ht="150" customHeight="1" x14ac:dyDescent="0.25">
      <c r="A231" s="8" t="s">
        <v>1290</v>
      </c>
      <c r="B231" s="8" t="s">
        <v>5693</v>
      </c>
      <c r="C231" s="8" t="s">
        <v>5694</v>
      </c>
      <c r="D231" s="10">
        <v>126</v>
      </c>
      <c r="E231" s="8" t="s">
        <v>1288</v>
      </c>
      <c r="F231" s="8" t="s">
        <v>1289</v>
      </c>
      <c r="G231" s="8" t="s">
        <v>67</v>
      </c>
      <c r="H231" s="8" t="s">
        <v>1287</v>
      </c>
      <c r="I231" s="8" t="s">
        <v>1288</v>
      </c>
      <c r="J231" s="15" t="s">
        <v>5695</v>
      </c>
      <c r="K231" s="8"/>
      <c r="L231" s="15" t="s">
        <v>1685</v>
      </c>
      <c r="M231" s="8" t="s">
        <v>5578</v>
      </c>
      <c r="N231" s="8"/>
      <c r="O231" s="8" t="s">
        <v>5574</v>
      </c>
      <c r="P231" s="11"/>
      <c r="Q231" s="8" t="s">
        <v>5696</v>
      </c>
      <c r="R231" s="8" t="s">
        <v>5697</v>
      </c>
      <c r="S231" s="8" t="s">
        <v>5823</v>
      </c>
    </row>
    <row r="232" spans="1:19" ht="150" customHeight="1" x14ac:dyDescent="0.25">
      <c r="A232" s="8" t="s">
        <v>1368</v>
      </c>
      <c r="B232" s="8" t="s">
        <v>5693</v>
      </c>
      <c r="C232" s="8" t="s">
        <v>5694</v>
      </c>
      <c r="D232" s="10">
        <v>127</v>
      </c>
      <c r="E232" s="8" t="s">
        <v>1366</v>
      </c>
      <c r="F232" s="8" t="s">
        <v>1367</v>
      </c>
      <c r="G232" s="8" t="s">
        <v>67</v>
      </c>
      <c r="H232" s="8" t="s">
        <v>1365</v>
      </c>
      <c r="I232" s="8" t="s">
        <v>1366</v>
      </c>
      <c r="J232" s="15" t="s">
        <v>5695</v>
      </c>
      <c r="K232" s="8"/>
      <c r="L232" s="15" t="s">
        <v>1685</v>
      </c>
      <c r="M232" s="8" t="s">
        <v>5578</v>
      </c>
      <c r="N232" s="8"/>
      <c r="O232" s="8" t="s">
        <v>5574</v>
      </c>
      <c r="P232" s="11"/>
      <c r="Q232" s="8" t="s">
        <v>5696</v>
      </c>
      <c r="R232" s="8" t="s">
        <v>5697</v>
      </c>
      <c r="S232" s="8" t="s">
        <v>5824</v>
      </c>
    </row>
    <row r="233" spans="1:19" ht="150" customHeight="1" x14ac:dyDescent="0.25">
      <c r="A233" s="8" t="s">
        <v>1472</v>
      </c>
      <c r="B233" s="8" t="s">
        <v>5693</v>
      </c>
      <c r="C233" s="8" t="s">
        <v>5694</v>
      </c>
      <c r="D233" s="10">
        <v>128</v>
      </c>
      <c r="E233" s="8" t="s">
        <v>1469</v>
      </c>
      <c r="F233" s="8" t="s">
        <v>1471</v>
      </c>
      <c r="G233" s="8" t="s">
        <v>67</v>
      </c>
      <c r="H233" s="8" t="s">
        <v>1468</v>
      </c>
      <c r="I233" s="8" t="s">
        <v>1469</v>
      </c>
      <c r="J233" s="15" t="s">
        <v>5695</v>
      </c>
      <c r="K233" s="8"/>
      <c r="L233" s="15" t="s">
        <v>1685</v>
      </c>
      <c r="M233" s="8" t="s">
        <v>5578</v>
      </c>
      <c r="N233" s="8"/>
      <c r="O233" s="8" t="s">
        <v>5574</v>
      </c>
      <c r="P233" s="11"/>
      <c r="Q233" s="8" t="s">
        <v>5696</v>
      </c>
      <c r="R233" s="8" t="s">
        <v>5697</v>
      </c>
      <c r="S233" s="8" t="s">
        <v>5825</v>
      </c>
    </row>
    <row r="234" spans="1:19" ht="150" customHeight="1" x14ac:dyDescent="0.25">
      <c r="A234" s="8" t="s">
        <v>1384</v>
      </c>
      <c r="B234" s="8" t="s">
        <v>5693</v>
      </c>
      <c r="C234" s="8" t="s">
        <v>5694</v>
      </c>
      <c r="D234" s="10">
        <v>129</v>
      </c>
      <c r="E234" s="8" t="s">
        <v>1382</v>
      </c>
      <c r="F234" s="8" t="s">
        <v>1383</v>
      </c>
      <c r="G234" s="8" t="s">
        <v>67</v>
      </c>
      <c r="H234" s="8" t="s">
        <v>1381</v>
      </c>
      <c r="I234" s="8" t="s">
        <v>1382</v>
      </c>
      <c r="J234" s="15" t="s">
        <v>5695</v>
      </c>
      <c r="K234" s="8"/>
      <c r="L234" s="15" t="s">
        <v>1685</v>
      </c>
      <c r="M234" s="8" t="s">
        <v>5578</v>
      </c>
      <c r="N234" s="8"/>
      <c r="O234" s="8" t="s">
        <v>5574</v>
      </c>
      <c r="P234" s="11"/>
      <c r="Q234" s="8" t="s">
        <v>5696</v>
      </c>
      <c r="R234" s="8" t="s">
        <v>5697</v>
      </c>
      <c r="S234" s="8" t="s">
        <v>5826</v>
      </c>
    </row>
    <row r="235" spans="1:19" ht="150" customHeight="1" x14ac:dyDescent="0.25">
      <c r="A235" s="8" t="s">
        <v>1329</v>
      </c>
      <c r="B235" s="8" t="s">
        <v>5693</v>
      </c>
      <c r="C235" s="8" t="s">
        <v>5694</v>
      </c>
      <c r="D235" s="10">
        <v>130</v>
      </c>
      <c r="E235" s="8" t="s">
        <v>1326</v>
      </c>
      <c r="F235" s="8" t="s">
        <v>1328</v>
      </c>
      <c r="G235" s="8" t="s">
        <v>67</v>
      </c>
      <c r="H235" s="8" t="s">
        <v>1325</v>
      </c>
      <c r="I235" s="8" t="s">
        <v>1326</v>
      </c>
      <c r="J235" s="15" t="s">
        <v>5695</v>
      </c>
      <c r="K235" s="8"/>
      <c r="L235" s="15" t="s">
        <v>1685</v>
      </c>
      <c r="M235" s="8" t="s">
        <v>5578</v>
      </c>
      <c r="N235" s="8"/>
      <c r="O235" s="8" t="s">
        <v>5574</v>
      </c>
      <c r="P235" s="11"/>
      <c r="Q235" s="8" t="s">
        <v>5696</v>
      </c>
      <c r="R235" s="8" t="s">
        <v>5697</v>
      </c>
      <c r="S235" s="8" t="s">
        <v>5827</v>
      </c>
    </row>
    <row r="236" spans="1:19" ht="150" customHeight="1" x14ac:dyDescent="0.25">
      <c r="A236" s="8" t="s">
        <v>1534</v>
      </c>
      <c r="B236" s="8" t="s">
        <v>5693</v>
      </c>
      <c r="C236" s="8" t="s">
        <v>5694</v>
      </c>
      <c r="D236" s="10">
        <v>131</v>
      </c>
      <c r="E236" s="8" t="s">
        <v>1532</v>
      </c>
      <c r="F236" s="8" t="s">
        <v>1533</v>
      </c>
      <c r="G236" s="8" t="s">
        <v>67</v>
      </c>
      <c r="H236" s="8" t="s">
        <v>1531</v>
      </c>
      <c r="I236" s="8" t="s">
        <v>1532</v>
      </c>
      <c r="J236" s="15" t="s">
        <v>5695</v>
      </c>
      <c r="K236" s="8"/>
      <c r="L236" s="15" t="s">
        <v>1685</v>
      </c>
      <c r="M236" s="8" t="s">
        <v>5578</v>
      </c>
      <c r="N236" s="8"/>
      <c r="O236" s="8" t="s">
        <v>5574</v>
      </c>
      <c r="P236" s="11"/>
      <c r="Q236" s="8" t="s">
        <v>5696</v>
      </c>
      <c r="R236" s="8" t="s">
        <v>5697</v>
      </c>
      <c r="S236" s="8" t="s">
        <v>5828</v>
      </c>
    </row>
    <row r="237" spans="1:19" ht="150" customHeight="1" x14ac:dyDescent="0.25">
      <c r="A237" s="8" t="s">
        <v>1583</v>
      </c>
      <c r="B237" s="8" t="s">
        <v>5693</v>
      </c>
      <c r="C237" s="8" t="s">
        <v>5694</v>
      </c>
      <c r="D237" s="10">
        <v>132</v>
      </c>
      <c r="E237" s="8" t="s">
        <v>1581</v>
      </c>
      <c r="F237" s="8" t="s">
        <v>1582</v>
      </c>
      <c r="G237" s="8" t="s">
        <v>67</v>
      </c>
      <c r="H237" s="8" t="s">
        <v>1580</v>
      </c>
      <c r="I237" s="8" t="s">
        <v>1581</v>
      </c>
      <c r="J237" s="15" t="s">
        <v>5695</v>
      </c>
      <c r="K237" s="8"/>
      <c r="L237" s="15" t="s">
        <v>1685</v>
      </c>
      <c r="M237" s="8" t="s">
        <v>5578</v>
      </c>
      <c r="N237" s="8"/>
      <c r="O237" s="8" t="s">
        <v>5574</v>
      </c>
      <c r="P237" s="11"/>
      <c r="Q237" s="8" t="s">
        <v>5696</v>
      </c>
      <c r="R237" s="8" t="s">
        <v>5697</v>
      </c>
      <c r="S237" s="8" t="s">
        <v>5829</v>
      </c>
    </row>
    <row r="238" spans="1:19" ht="150" customHeight="1" x14ac:dyDescent="0.25">
      <c r="A238" s="8" t="s">
        <v>1613</v>
      </c>
      <c r="B238" s="8" t="s">
        <v>5693</v>
      </c>
      <c r="C238" s="8" t="s">
        <v>5694</v>
      </c>
      <c r="D238" s="10">
        <v>133</v>
      </c>
      <c r="E238" s="8" t="s">
        <v>1611</v>
      </c>
      <c r="F238" s="8" t="s">
        <v>1612</v>
      </c>
      <c r="G238" s="8" t="s">
        <v>67</v>
      </c>
      <c r="H238" s="8" t="s">
        <v>1610</v>
      </c>
      <c r="I238" s="8" t="s">
        <v>1611</v>
      </c>
      <c r="J238" s="15" t="s">
        <v>5695</v>
      </c>
      <c r="K238" s="8"/>
      <c r="L238" s="15" t="s">
        <v>1685</v>
      </c>
      <c r="M238" s="8" t="s">
        <v>5578</v>
      </c>
      <c r="N238" s="8"/>
      <c r="O238" s="8" t="s">
        <v>5574</v>
      </c>
      <c r="P238" s="11"/>
      <c r="Q238" s="8" t="s">
        <v>5696</v>
      </c>
      <c r="R238" s="8" t="s">
        <v>5697</v>
      </c>
      <c r="S238" s="8" t="s">
        <v>5830</v>
      </c>
    </row>
    <row r="239" spans="1:19" ht="150" customHeight="1" x14ac:dyDescent="0.25">
      <c r="A239" s="8" t="s">
        <v>1631</v>
      </c>
      <c r="B239" s="8" t="s">
        <v>5693</v>
      </c>
      <c r="C239" s="8" t="s">
        <v>5694</v>
      </c>
      <c r="D239" s="10">
        <v>134</v>
      </c>
      <c r="E239" s="8" t="s">
        <v>1628</v>
      </c>
      <c r="F239" s="8" t="s">
        <v>1630</v>
      </c>
      <c r="G239" s="8" t="s">
        <v>67</v>
      </c>
      <c r="H239" s="8" t="s">
        <v>1627</v>
      </c>
      <c r="I239" s="8" t="s">
        <v>1628</v>
      </c>
      <c r="J239" s="15" t="s">
        <v>5695</v>
      </c>
      <c r="K239" s="8"/>
      <c r="L239" s="15" t="s">
        <v>1685</v>
      </c>
      <c r="M239" s="8" t="s">
        <v>5578</v>
      </c>
      <c r="N239" s="8"/>
      <c r="O239" s="8" t="s">
        <v>5574</v>
      </c>
      <c r="P239" s="11"/>
      <c r="Q239" s="8" t="s">
        <v>5696</v>
      </c>
      <c r="R239" s="8" t="s">
        <v>5697</v>
      </c>
      <c r="S239" s="8" t="s">
        <v>5831</v>
      </c>
    </row>
    <row r="240" spans="1:19" ht="150" customHeight="1" x14ac:dyDescent="0.25">
      <c r="A240" s="8" t="s">
        <v>1260</v>
      </c>
      <c r="B240" s="8" t="s">
        <v>5693</v>
      </c>
      <c r="C240" s="8" t="s">
        <v>5694</v>
      </c>
      <c r="D240" s="10">
        <v>135</v>
      </c>
      <c r="E240" s="8" t="s">
        <v>1258</v>
      </c>
      <c r="F240" s="8" t="s">
        <v>1259</v>
      </c>
      <c r="G240" s="8" t="s">
        <v>67</v>
      </c>
      <c r="H240" s="8" t="s">
        <v>1257</v>
      </c>
      <c r="I240" s="8" t="s">
        <v>1258</v>
      </c>
      <c r="J240" s="15" t="s">
        <v>5695</v>
      </c>
      <c r="K240" s="8"/>
      <c r="L240" s="15" t="s">
        <v>1685</v>
      </c>
      <c r="M240" s="8" t="s">
        <v>5578</v>
      </c>
      <c r="N240" s="8"/>
      <c r="O240" s="8" t="s">
        <v>5574</v>
      </c>
      <c r="P240" s="11"/>
      <c r="Q240" s="8" t="s">
        <v>5696</v>
      </c>
      <c r="R240" s="8" t="s">
        <v>5697</v>
      </c>
      <c r="S240" s="8" t="s">
        <v>5832</v>
      </c>
    </row>
    <row r="241" spans="1:19" ht="150" customHeight="1" x14ac:dyDescent="0.25">
      <c r="A241" s="8" t="s">
        <v>1530</v>
      </c>
      <c r="B241" s="8" t="s">
        <v>5693</v>
      </c>
      <c r="C241" s="8" t="s">
        <v>5694</v>
      </c>
      <c r="D241" s="10">
        <v>136</v>
      </c>
      <c r="E241" s="8" t="s">
        <v>1528</v>
      </c>
      <c r="F241" s="8" t="s">
        <v>1529</v>
      </c>
      <c r="G241" s="8" t="s">
        <v>67</v>
      </c>
      <c r="H241" s="8" t="s">
        <v>1527</v>
      </c>
      <c r="I241" s="8" t="s">
        <v>1528</v>
      </c>
      <c r="J241" s="15" t="s">
        <v>5695</v>
      </c>
      <c r="K241" s="8"/>
      <c r="L241" s="15" t="s">
        <v>1685</v>
      </c>
      <c r="M241" s="8" t="s">
        <v>5578</v>
      </c>
      <c r="N241" s="8"/>
      <c r="O241" s="8" t="s">
        <v>5574</v>
      </c>
      <c r="P241" s="11"/>
      <c r="Q241" s="8" t="s">
        <v>5696</v>
      </c>
      <c r="R241" s="8" t="s">
        <v>5697</v>
      </c>
      <c r="S241" s="8" t="s">
        <v>5833</v>
      </c>
    </row>
    <row r="242" spans="1:19" ht="150" customHeight="1" x14ac:dyDescent="0.25">
      <c r="A242" s="8" t="s">
        <v>1415</v>
      </c>
      <c r="B242" s="8" t="s">
        <v>5693</v>
      </c>
      <c r="C242" s="8" t="s">
        <v>5694</v>
      </c>
      <c r="D242" s="10">
        <v>137</v>
      </c>
      <c r="E242" s="8" t="s">
        <v>1413</v>
      </c>
      <c r="F242" s="8" t="s">
        <v>1414</v>
      </c>
      <c r="G242" s="8" t="s">
        <v>67</v>
      </c>
      <c r="H242" s="8" t="s">
        <v>1412</v>
      </c>
      <c r="I242" s="8" t="s">
        <v>1413</v>
      </c>
      <c r="J242" s="15" t="s">
        <v>5695</v>
      </c>
      <c r="K242" s="8"/>
      <c r="L242" s="15" t="s">
        <v>1685</v>
      </c>
      <c r="M242" s="8" t="s">
        <v>5578</v>
      </c>
      <c r="N242" s="8"/>
      <c r="O242" s="8" t="s">
        <v>5574</v>
      </c>
      <c r="P242" s="11"/>
      <c r="Q242" s="8" t="s">
        <v>5696</v>
      </c>
      <c r="R242" s="8" t="s">
        <v>5697</v>
      </c>
      <c r="S242" s="8" t="s">
        <v>5834</v>
      </c>
    </row>
    <row r="243" spans="1:19" ht="150" customHeight="1" x14ac:dyDescent="0.25">
      <c r="A243" s="8" t="s">
        <v>1315</v>
      </c>
      <c r="B243" s="8" t="s">
        <v>5693</v>
      </c>
      <c r="C243" s="8" t="s">
        <v>5694</v>
      </c>
      <c r="D243" s="10">
        <v>138</v>
      </c>
      <c r="E243" s="8" t="s">
        <v>1312</v>
      </c>
      <c r="F243" s="8" t="s">
        <v>1314</v>
      </c>
      <c r="G243" s="8" t="s">
        <v>67</v>
      </c>
      <c r="H243" s="8" t="s">
        <v>1311</v>
      </c>
      <c r="I243" s="8" t="s">
        <v>1312</v>
      </c>
      <c r="J243" s="15" t="s">
        <v>5695</v>
      </c>
      <c r="K243" s="8"/>
      <c r="L243" s="15" t="s">
        <v>1685</v>
      </c>
      <c r="M243" s="8" t="s">
        <v>5578</v>
      </c>
      <c r="N243" s="8"/>
      <c r="O243" s="8" t="s">
        <v>5574</v>
      </c>
      <c r="P243" s="11"/>
      <c r="Q243" s="8" t="s">
        <v>5696</v>
      </c>
      <c r="R243" s="8" t="s">
        <v>5697</v>
      </c>
      <c r="S243" s="8" t="s">
        <v>5835</v>
      </c>
    </row>
    <row r="244" spans="1:19" ht="150" customHeight="1" x14ac:dyDescent="0.25">
      <c r="A244" s="8" t="s">
        <v>994</v>
      </c>
      <c r="B244" s="8" t="s">
        <v>5693</v>
      </c>
      <c r="C244" s="8" t="s">
        <v>5694</v>
      </c>
      <c r="D244" s="10">
        <v>139</v>
      </c>
      <c r="E244" s="8" t="s">
        <v>991</v>
      </c>
      <c r="F244" s="8" t="s">
        <v>2879</v>
      </c>
      <c r="G244" s="8" t="s">
        <v>67</v>
      </c>
      <c r="H244" s="8" t="s">
        <v>990</v>
      </c>
      <c r="I244" s="8" t="s">
        <v>991</v>
      </c>
      <c r="J244" s="15" t="s">
        <v>5695</v>
      </c>
      <c r="K244" s="8"/>
      <c r="L244" s="15" t="s">
        <v>1685</v>
      </c>
      <c r="M244" s="8" t="s">
        <v>5578</v>
      </c>
      <c r="N244" s="8"/>
      <c r="O244" s="8" t="s">
        <v>5574</v>
      </c>
      <c r="P244" s="11"/>
      <c r="Q244" s="8" t="s">
        <v>5696</v>
      </c>
      <c r="R244" s="8" t="s">
        <v>5697</v>
      </c>
      <c r="S244" s="8" t="s">
        <v>5836</v>
      </c>
    </row>
    <row r="245" spans="1:19" ht="150" customHeight="1" x14ac:dyDescent="0.25">
      <c r="A245" s="8" t="s">
        <v>1306</v>
      </c>
      <c r="B245" s="8" t="s">
        <v>5693</v>
      </c>
      <c r="C245" s="8" t="s">
        <v>5694</v>
      </c>
      <c r="D245" s="10">
        <v>140</v>
      </c>
      <c r="E245" s="8" t="s">
        <v>1304</v>
      </c>
      <c r="F245" s="8" t="s">
        <v>1305</v>
      </c>
      <c r="G245" s="8" t="s">
        <v>67</v>
      </c>
      <c r="H245" s="8" t="s">
        <v>1303</v>
      </c>
      <c r="I245" s="8" t="s">
        <v>1304</v>
      </c>
      <c r="J245" s="15" t="s">
        <v>5695</v>
      </c>
      <c r="K245" s="8"/>
      <c r="L245" s="15" t="s">
        <v>1685</v>
      </c>
      <c r="M245" s="8" t="s">
        <v>5578</v>
      </c>
      <c r="N245" s="8"/>
      <c r="O245" s="8" t="s">
        <v>5574</v>
      </c>
      <c r="P245" s="11"/>
      <c r="Q245" s="8" t="s">
        <v>5696</v>
      </c>
      <c r="R245" s="8" t="s">
        <v>5697</v>
      </c>
      <c r="S245" s="8" t="s">
        <v>5837</v>
      </c>
    </row>
    <row r="246" spans="1:19" ht="150" customHeight="1" x14ac:dyDescent="0.25">
      <c r="A246" s="8" t="s">
        <v>1420</v>
      </c>
      <c r="B246" s="8" t="s">
        <v>5693</v>
      </c>
      <c r="C246" s="8" t="s">
        <v>5694</v>
      </c>
      <c r="D246" s="10">
        <v>141</v>
      </c>
      <c r="E246" s="8" t="s">
        <v>1417</v>
      </c>
      <c r="F246" s="8" t="s">
        <v>1419</v>
      </c>
      <c r="G246" s="8" t="s">
        <v>67</v>
      </c>
      <c r="H246" s="8" t="s">
        <v>1416</v>
      </c>
      <c r="I246" s="8" t="s">
        <v>1417</v>
      </c>
      <c r="J246" s="15" t="s">
        <v>5695</v>
      </c>
      <c r="K246" s="8"/>
      <c r="L246" s="15" t="s">
        <v>1685</v>
      </c>
      <c r="M246" s="8" t="s">
        <v>5578</v>
      </c>
      <c r="N246" s="8"/>
      <c r="O246" s="8" t="s">
        <v>5574</v>
      </c>
      <c r="P246" s="11"/>
      <c r="Q246" s="8" t="s">
        <v>5696</v>
      </c>
      <c r="R246" s="8" t="s">
        <v>5697</v>
      </c>
      <c r="S246" s="8" t="s">
        <v>5838</v>
      </c>
    </row>
    <row r="247" spans="1:19" ht="150" customHeight="1" x14ac:dyDescent="0.25">
      <c r="A247" s="8" t="s">
        <v>1621</v>
      </c>
      <c r="B247" s="8" t="s">
        <v>5693</v>
      </c>
      <c r="C247" s="8" t="s">
        <v>5694</v>
      </c>
      <c r="D247" s="10">
        <v>142</v>
      </c>
      <c r="E247" s="8" t="s">
        <v>1619</v>
      </c>
      <c r="F247" s="8" t="s">
        <v>1620</v>
      </c>
      <c r="G247" s="8" t="s">
        <v>67</v>
      </c>
      <c r="H247" s="8" t="s">
        <v>1618</v>
      </c>
      <c r="I247" s="8" t="s">
        <v>1619</v>
      </c>
      <c r="J247" s="15" t="s">
        <v>5695</v>
      </c>
      <c r="K247" s="8"/>
      <c r="L247" s="15" t="s">
        <v>1685</v>
      </c>
      <c r="M247" s="8" t="s">
        <v>5578</v>
      </c>
      <c r="N247" s="8"/>
      <c r="O247" s="8" t="s">
        <v>5574</v>
      </c>
      <c r="P247" s="11"/>
      <c r="Q247" s="8" t="s">
        <v>5696</v>
      </c>
      <c r="R247" s="8" t="s">
        <v>5697</v>
      </c>
      <c r="S247" s="8" t="s">
        <v>5839</v>
      </c>
    </row>
    <row r="248" spans="1:19" ht="150" customHeight="1" x14ac:dyDescent="0.25">
      <c r="A248" s="8" t="s">
        <v>1294</v>
      </c>
      <c r="B248" s="8" t="s">
        <v>5693</v>
      </c>
      <c r="C248" s="8" t="s">
        <v>5694</v>
      </c>
      <c r="D248" s="10">
        <v>143</v>
      </c>
      <c r="E248" s="8" t="s">
        <v>1292</v>
      </c>
      <c r="F248" s="8" t="s">
        <v>1293</v>
      </c>
      <c r="G248" s="8" t="s">
        <v>67</v>
      </c>
      <c r="H248" s="8" t="s">
        <v>1291</v>
      </c>
      <c r="I248" s="8" t="s">
        <v>1292</v>
      </c>
      <c r="J248" s="15" t="s">
        <v>5695</v>
      </c>
      <c r="K248" s="8"/>
      <c r="L248" s="15" t="s">
        <v>1685</v>
      </c>
      <c r="M248" s="8" t="s">
        <v>5578</v>
      </c>
      <c r="N248" s="8"/>
      <c r="O248" s="8" t="s">
        <v>5574</v>
      </c>
      <c r="P248" s="11"/>
      <c r="Q248" s="8" t="s">
        <v>5696</v>
      </c>
      <c r="R248" s="8" t="s">
        <v>5697</v>
      </c>
      <c r="S248" s="8" t="s">
        <v>5840</v>
      </c>
    </row>
    <row r="249" spans="1:19" ht="150" customHeight="1" x14ac:dyDescent="0.25">
      <c r="A249" s="8" t="s">
        <v>1281</v>
      </c>
      <c r="B249" s="8" t="s">
        <v>5693</v>
      </c>
      <c r="C249" s="8" t="s">
        <v>5694</v>
      </c>
      <c r="D249" s="10">
        <v>144</v>
      </c>
      <c r="E249" s="8" t="s">
        <v>1279</v>
      </c>
      <c r="F249" s="8" t="s">
        <v>1280</v>
      </c>
      <c r="G249" s="8" t="s">
        <v>67</v>
      </c>
      <c r="H249" s="8" t="s">
        <v>1278</v>
      </c>
      <c r="I249" s="8" t="s">
        <v>1279</v>
      </c>
      <c r="J249" s="15" t="s">
        <v>5695</v>
      </c>
      <c r="K249" s="8"/>
      <c r="L249" s="15" t="s">
        <v>1685</v>
      </c>
      <c r="M249" s="8" t="s">
        <v>5578</v>
      </c>
      <c r="N249" s="8"/>
      <c r="O249" s="8" t="s">
        <v>5574</v>
      </c>
      <c r="P249" s="11"/>
      <c r="Q249" s="8" t="s">
        <v>5696</v>
      </c>
      <c r="R249" s="8" t="s">
        <v>5697</v>
      </c>
      <c r="S249" s="8" t="s">
        <v>5841</v>
      </c>
    </row>
    <row r="250" spans="1:19" ht="150" customHeight="1" x14ac:dyDescent="0.25">
      <c r="A250" s="8" t="s">
        <v>1559</v>
      </c>
      <c r="B250" s="8" t="s">
        <v>5693</v>
      </c>
      <c r="C250" s="8" t="s">
        <v>5694</v>
      </c>
      <c r="D250" s="10">
        <v>145</v>
      </c>
      <c r="E250" s="8" t="s">
        <v>1557</v>
      </c>
      <c r="F250" s="8" t="s">
        <v>1558</v>
      </c>
      <c r="G250" s="8" t="s">
        <v>67</v>
      </c>
      <c r="H250" s="8" t="s">
        <v>1556</v>
      </c>
      <c r="I250" s="8" t="s">
        <v>1557</v>
      </c>
      <c r="J250" s="15" t="s">
        <v>5695</v>
      </c>
      <c r="K250" s="8"/>
      <c r="L250" s="15" t="s">
        <v>1685</v>
      </c>
      <c r="M250" s="8" t="s">
        <v>5578</v>
      </c>
      <c r="N250" s="8"/>
      <c r="O250" s="8" t="s">
        <v>5574</v>
      </c>
      <c r="P250" s="11"/>
      <c r="Q250" s="8" t="s">
        <v>5696</v>
      </c>
      <c r="R250" s="8" t="s">
        <v>5697</v>
      </c>
      <c r="S250" s="8" t="s">
        <v>5842</v>
      </c>
    </row>
    <row r="251" spans="1:19" ht="150" customHeight="1" x14ac:dyDescent="0.25">
      <c r="A251" s="8" t="s">
        <v>1433</v>
      </c>
      <c r="B251" s="8" t="s">
        <v>5693</v>
      </c>
      <c r="C251" s="8" t="s">
        <v>5694</v>
      </c>
      <c r="D251" s="10">
        <v>146</v>
      </c>
      <c r="E251" s="8" t="s">
        <v>1430</v>
      </c>
      <c r="F251" s="8" t="s">
        <v>1432</v>
      </c>
      <c r="G251" s="8" t="s">
        <v>67</v>
      </c>
      <c r="H251" s="8" t="s">
        <v>1429</v>
      </c>
      <c r="I251" s="8" t="s">
        <v>1430</v>
      </c>
      <c r="J251" s="15" t="s">
        <v>5695</v>
      </c>
      <c r="K251" s="8"/>
      <c r="L251" s="15" t="s">
        <v>1685</v>
      </c>
      <c r="M251" s="8" t="s">
        <v>5578</v>
      </c>
      <c r="N251" s="8"/>
      <c r="O251" s="8" t="s">
        <v>5574</v>
      </c>
      <c r="P251" s="11"/>
      <c r="Q251" s="8" t="s">
        <v>5696</v>
      </c>
      <c r="R251" s="8" t="s">
        <v>5697</v>
      </c>
      <c r="S251" s="8" t="s">
        <v>5843</v>
      </c>
    </row>
    <row r="252" spans="1:19" ht="150" customHeight="1" x14ac:dyDescent="0.25">
      <c r="A252" s="8" t="s">
        <v>1672</v>
      </c>
      <c r="B252" s="8" t="s">
        <v>5693</v>
      </c>
      <c r="C252" s="8" t="s">
        <v>5694</v>
      </c>
      <c r="D252" s="10">
        <v>147</v>
      </c>
      <c r="E252" s="8" t="s">
        <v>1670</v>
      </c>
      <c r="F252" s="8" t="s">
        <v>1671</v>
      </c>
      <c r="G252" s="8" t="s">
        <v>67</v>
      </c>
      <c r="H252" s="8" t="s">
        <v>1669</v>
      </c>
      <c r="I252" s="8" t="s">
        <v>1670</v>
      </c>
      <c r="J252" s="15" t="s">
        <v>5695</v>
      </c>
      <c r="K252" s="8"/>
      <c r="L252" s="15" t="s">
        <v>1685</v>
      </c>
      <c r="M252" s="8" t="s">
        <v>5578</v>
      </c>
      <c r="N252" s="8"/>
      <c r="O252" s="8" t="s">
        <v>5574</v>
      </c>
      <c r="P252" s="11"/>
      <c r="Q252" s="8" t="s">
        <v>5696</v>
      </c>
      <c r="R252" s="8" t="s">
        <v>5697</v>
      </c>
      <c r="S252" s="8" t="s">
        <v>5844</v>
      </c>
    </row>
    <row r="253" spans="1:19" ht="150" customHeight="1" x14ac:dyDescent="0.25">
      <c r="A253" s="8" t="s">
        <v>1656</v>
      </c>
      <c r="B253" s="8" t="s">
        <v>5693</v>
      </c>
      <c r="C253" s="8" t="s">
        <v>5694</v>
      </c>
      <c r="D253" s="10">
        <v>148</v>
      </c>
      <c r="E253" s="8" t="s">
        <v>1654</v>
      </c>
      <c r="F253" s="8" t="s">
        <v>1655</v>
      </c>
      <c r="G253" s="8" t="s">
        <v>67</v>
      </c>
      <c r="H253" s="8" t="s">
        <v>1653</v>
      </c>
      <c r="I253" s="8" t="s">
        <v>1654</v>
      </c>
      <c r="J253" s="15" t="s">
        <v>5695</v>
      </c>
      <c r="K253" s="8"/>
      <c r="L253" s="15" t="s">
        <v>1685</v>
      </c>
      <c r="M253" s="8" t="s">
        <v>5578</v>
      </c>
      <c r="N253" s="8"/>
      <c r="O253" s="8" t="s">
        <v>5574</v>
      </c>
      <c r="P253" s="11"/>
      <c r="Q253" s="8" t="s">
        <v>5696</v>
      </c>
      <c r="R253" s="8" t="s">
        <v>5697</v>
      </c>
      <c r="S253" s="8" t="s">
        <v>5845</v>
      </c>
    </row>
    <row r="254" spans="1:19" ht="150" customHeight="1" x14ac:dyDescent="0.25">
      <c r="A254" s="8" t="s">
        <v>1302</v>
      </c>
      <c r="B254" s="8" t="s">
        <v>5693</v>
      </c>
      <c r="C254" s="8" t="s">
        <v>5694</v>
      </c>
      <c r="D254" s="10">
        <v>149</v>
      </c>
      <c r="E254" s="8" t="s">
        <v>1300</v>
      </c>
      <c r="F254" s="8" t="s">
        <v>1301</v>
      </c>
      <c r="G254" s="8" t="s">
        <v>67</v>
      </c>
      <c r="H254" s="8" t="s">
        <v>1299</v>
      </c>
      <c r="I254" s="8" t="s">
        <v>1300</v>
      </c>
      <c r="J254" s="15" t="s">
        <v>5695</v>
      </c>
      <c r="K254" s="8"/>
      <c r="L254" s="15" t="s">
        <v>1685</v>
      </c>
      <c r="M254" s="8" t="s">
        <v>5578</v>
      </c>
      <c r="N254" s="8"/>
      <c r="O254" s="8" t="s">
        <v>5574</v>
      </c>
      <c r="P254" s="11"/>
      <c r="Q254" s="8" t="s">
        <v>5696</v>
      </c>
      <c r="R254" s="8" t="s">
        <v>5697</v>
      </c>
      <c r="S254" s="8" t="s">
        <v>5846</v>
      </c>
    </row>
    <row r="255" spans="1:19" ht="150" customHeight="1" x14ac:dyDescent="0.25">
      <c r="A255" s="8" t="s">
        <v>1459</v>
      </c>
      <c r="B255" s="8" t="s">
        <v>5693</v>
      </c>
      <c r="C255" s="8" t="s">
        <v>5694</v>
      </c>
      <c r="D255" s="10">
        <v>150</v>
      </c>
      <c r="E255" s="8" t="s">
        <v>1457</v>
      </c>
      <c r="F255" s="8" t="s">
        <v>1458</v>
      </c>
      <c r="G255" s="8" t="s">
        <v>67</v>
      </c>
      <c r="H255" s="8" t="s">
        <v>1456</v>
      </c>
      <c r="I255" s="8" t="s">
        <v>1457</v>
      </c>
      <c r="J255" s="15" t="s">
        <v>5695</v>
      </c>
      <c r="K255" s="8"/>
      <c r="L255" s="15" t="s">
        <v>1685</v>
      </c>
      <c r="M255" s="8" t="s">
        <v>5578</v>
      </c>
      <c r="N255" s="8"/>
      <c r="O255" s="8" t="s">
        <v>5574</v>
      </c>
      <c r="P255" s="11"/>
      <c r="Q255" s="8" t="s">
        <v>5696</v>
      </c>
      <c r="R255" s="8" t="s">
        <v>5697</v>
      </c>
      <c r="S255" s="8" t="s">
        <v>5847</v>
      </c>
    </row>
    <row r="256" spans="1:19" ht="150" customHeight="1" x14ac:dyDescent="0.25">
      <c r="A256" s="8" t="s">
        <v>969</v>
      </c>
      <c r="B256" s="8" t="s">
        <v>5693</v>
      </c>
      <c r="C256" s="8" t="s">
        <v>5694</v>
      </c>
      <c r="D256" s="10">
        <v>151</v>
      </c>
      <c r="E256" s="8" t="s">
        <v>965</v>
      </c>
      <c r="F256" s="8" t="s">
        <v>3100</v>
      </c>
      <c r="G256" s="8" t="s">
        <v>67</v>
      </c>
      <c r="H256" s="8" t="s">
        <v>964</v>
      </c>
      <c r="I256" s="8" t="s">
        <v>965</v>
      </c>
      <c r="J256" s="15" t="s">
        <v>5695</v>
      </c>
      <c r="K256" s="8"/>
      <c r="L256" s="15" t="s">
        <v>1685</v>
      </c>
      <c r="M256" s="8" t="s">
        <v>5578</v>
      </c>
      <c r="N256" s="8"/>
      <c r="O256" s="8" t="s">
        <v>5574</v>
      </c>
      <c r="P256" s="11"/>
      <c r="Q256" s="8" t="s">
        <v>5696</v>
      </c>
      <c r="R256" s="8" t="s">
        <v>5697</v>
      </c>
      <c r="S256" s="8" t="s">
        <v>5848</v>
      </c>
    </row>
    <row r="257" spans="1:19" ht="150" customHeight="1" x14ac:dyDescent="0.25">
      <c r="A257" s="8" t="s">
        <v>1402</v>
      </c>
      <c r="B257" s="8" t="s">
        <v>5693</v>
      </c>
      <c r="C257" s="8" t="s">
        <v>5694</v>
      </c>
      <c r="D257" s="10">
        <v>152</v>
      </c>
      <c r="E257" s="8" t="s">
        <v>1400</v>
      </c>
      <c r="F257" s="8" t="s">
        <v>1401</v>
      </c>
      <c r="G257" s="8" t="s">
        <v>67</v>
      </c>
      <c r="H257" s="8" t="s">
        <v>1399</v>
      </c>
      <c r="I257" s="8" t="s">
        <v>1400</v>
      </c>
      <c r="J257" s="15" t="s">
        <v>5695</v>
      </c>
      <c r="K257" s="8"/>
      <c r="L257" s="15" t="s">
        <v>1685</v>
      </c>
      <c r="M257" s="8" t="s">
        <v>5578</v>
      </c>
      <c r="N257" s="8"/>
      <c r="O257" s="8" t="s">
        <v>5574</v>
      </c>
      <c r="P257" s="11"/>
      <c r="Q257" s="8" t="s">
        <v>5696</v>
      </c>
      <c r="R257" s="8" t="s">
        <v>5697</v>
      </c>
      <c r="S257" s="8" t="s">
        <v>5849</v>
      </c>
    </row>
    <row r="258" spans="1:19" ht="150" customHeight="1" x14ac:dyDescent="0.25">
      <c r="A258" s="8" t="s">
        <v>1517</v>
      </c>
      <c r="B258" s="8" t="s">
        <v>5693</v>
      </c>
      <c r="C258" s="8" t="s">
        <v>5694</v>
      </c>
      <c r="D258" s="10">
        <v>153</v>
      </c>
      <c r="E258" s="8" t="s">
        <v>1515</v>
      </c>
      <c r="F258" s="8" t="s">
        <v>1516</v>
      </c>
      <c r="G258" s="8" t="s">
        <v>67</v>
      </c>
      <c r="H258" s="8" t="s">
        <v>1514</v>
      </c>
      <c r="I258" s="8" t="s">
        <v>1515</v>
      </c>
      <c r="J258" s="15" t="s">
        <v>5695</v>
      </c>
      <c r="K258" s="8"/>
      <c r="L258" s="15" t="s">
        <v>1685</v>
      </c>
      <c r="M258" s="8" t="s">
        <v>5578</v>
      </c>
      <c r="N258" s="8"/>
      <c r="O258" s="8" t="s">
        <v>5574</v>
      </c>
      <c r="P258" s="11"/>
      <c r="Q258" s="8" t="s">
        <v>5696</v>
      </c>
      <c r="R258" s="8" t="s">
        <v>5697</v>
      </c>
      <c r="S258" s="8" t="s">
        <v>5850</v>
      </c>
    </row>
    <row r="259" spans="1:19" ht="150" customHeight="1" x14ac:dyDescent="0.25">
      <c r="A259" s="8" t="s">
        <v>1376</v>
      </c>
      <c r="B259" s="8" t="s">
        <v>5693</v>
      </c>
      <c r="C259" s="8" t="s">
        <v>5694</v>
      </c>
      <c r="D259" s="10">
        <v>154</v>
      </c>
      <c r="E259" s="8" t="s">
        <v>1374</v>
      </c>
      <c r="F259" s="8" t="s">
        <v>1375</v>
      </c>
      <c r="G259" s="8" t="s">
        <v>67</v>
      </c>
      <c r="H259" s="8" t="s">
        <v>1373</v>
      </c>
      <c r="I259" s="8" t="s">
        <v>1374</v>
      </c>
      <c r="J259" s="15" t="s">
        <v>5695</v>
      </c>
      <c r="K259" s="8"/>
      <c r="L259" s="15" t="s">
        <v>1685</v>
      </c>
      <c r="M259" s="8" t="s">
        <v>5578</v>
      </c>
      <c r="N259" s="8"/>
      <c r="O259" s="8" t="s">
        <v>5574</v>
      </c>
      <c r="P259" s="11"/>
      <c r="Q259" s="8" t="s">
        <v>5696</v>
      </c>
      <c r="R259" s="8" t="s">
        <v>5697</v>
      </c>
      <c r="S259" s="8" t="s">
        <v>5851</v>
      </c>
    </row>
    <row r="260" spans="1:19" ht="150" customHeight="1" x14ac:dyDescent="0.25">
      <c r="A260" s="8" t="s">
        <v>1542</v>
      </c>
      <c r="B260" s="8" t="s">
        <v>5693</v>
      </c>
      <c r="C260" s="8" t="s">
        <v>5694</v>
      </c>
      <c r="D260" s="10">
        <v>155</v>
      </c>
      <c r="E260" s="8" t="s">
        <v>1540</v>
      </c>
      <c r="F260" s="8" t="s">
        <v>1541</v>
      </c>
      <c r="G260" s="8" t="s">
        <v>67</v>
      </c>
      <c r="H260" s="8" t="s">
        <v>1539</v>
      </c>
      <c r="I260" s="8" t="s">
        <v>1540</v>
      </c>
      <c r="J260" s="15" t="s">
        <v>5695</v>
      </c>
      <c r="K260" s="8"/>
      <c r="L260" s="15" t="s">
        <v>1685</v>
      </c>
      <c r="M260" s="8" t="s">
        <v>5578</v>
      </c>
      <c r="N260" s="8"/>
      <c r="O260" s="8" t="s">
        <v>5574</v>
      </c>
      <c r="P260" s="11"/>
      <c r="Q260" s="8" t="s">
        <v>5696</v>
      </c>
      <c r="R260" s="8" t="s">
        <v>5697</v>
      </c>
      <c r="S260" s="8" t="s">
        <v>5852</v>
      </c>
    </row>
    <row r="261" spans="1:19" ht="150" customHeight="1" x14ac:dyDescent="0.25">
      <c r="A261" s="8" t="s">
        <v>1246</v>
      </c>
      <c r="B261" s="8" t="s">
        <v>5693</v>
      </c>
      <c r="C261" s="8" t="s">
        <v>5694</v>
      </c>
      <c r="D261" s="10">
        <v>156</v>
      </c>
      <c r="E261" s="8" t="s">
        <v>1243</v>
      </c>
      <c r="F261" s="8" t="s">
        <v>1245</v>
      </c>
      <c r="G261" s="8" t="s">
        <v>67</v>
      </c>
      <c r="H261" s="8" t="s">
        <v>1242</v>
      </c>
      <c r="I261" s="8" t="s">
        <v>1243</v>
      </c>
      <c r="J261" s="15" t="s">
        <v>5695</v>
      </c>
      <c r="K261" s="8"/>
      <c r="L261" s="15" t="s">
        <v>1685</v>
      </c>
      <c r="M261" s="8" t="s">
        <v>5578</v>
      </c>
      <c r="N261" s="8"/>
      <c r="O261" s="8" t="s">
        <v>5574</v>
      </c>
      <c r="P261" s="11"/>
      <c r="Q261" s="8" t="s">
        <v>5696</v>
      </c>
      <c r="R261" s="8" t="s">
        <v>5697</v>
      </c>
      <c r="S261" s="8" t="s">
        <v>5853</v>
      </c>
    </row>
    <row r="262" spans="1:19" ht="150" customHeight="1" x14ac:dyDescent="0.25">
      <c r="A262" s="8" t="s">
        <v>1488</v>
      </c>
      <c r="B262" s="8" t="s">
        <v>5693</v>
      </c>
      <c r="C262" s="8" t="s">
        <v>5694</v>
      </c>
      <c r="D262" s="10">
        <v>157</v>
      </c>
      <c r="E262" s="8" t="s">
        <v>1486</v>
      </c>
      <c r="F262" s="8" t="s">
        <v>1487</v>
      </c>
      <c r="G262" s="8" t="s">
        <v>67</v>
      </c>
      <c r="H262" s="8" t="s">
        <v>1485</v>
      </c>
      <c r="I262" s="8" t="s">
        <v>1486</v>
      </c>
      <c r="J262" s="15" t="s">
        <v>5695</v>
      </c>
      <c r="K262" s="8"/>
      <c r="L262" s="15" t="s">
        <v>1685</v>
      </c>
      <c r="M262" s="8" t="s">
        <v>5578</v>
      </c>
      <c r="N262" s="8"/>
      <c r="O262" s="8" t="s">
        <v>5574</v>
      </c>
      <c r="P262" s="11"/>
      <c r="Q262" s="8" t="s">
        <v>5696</v>
      </c>
      <c r="R262" s="8" t="s">
        <v>5697</v>
      </c>
      <c r="S262" s="8" t="s">
        <v>5854</v>
      </c>
    </row>
    <row r="263" spans="1:19" ht="150" customHeight="1" x14ac:dyDescent="0.25">
      <c r="A263" s="8" t="s">
        <v>1372</v>
      </c>
      <c r="B263" s="8" t="s">
        <v>5693</v>
      </c>
      <c r="C263" s="8" t="s">
        <v>5694</v>
      </c>
      <c r="D263" s="10">
        <v>158</v>
      </c>
      <c r="E263" s="8" t="s">
        <v>1370</v>
      </c>
      <c r="F263" s="8" t="s">
        <v>1371</v>
      </c>
      <c r="G263" s="8" t="s">
        <v>67</v>
      </c>
      <c r="H263" s="8" t="s">
        <v>1369</v>
      </c>
      <c r="I263" s="8" t="s">
        <v>1370</v>
      </c>
      <c r="J263" s="15" t="s">
        <v>5695</v>
      </c>
      <c r="K263" s="8"/>
      <c r="L263" s="15" t="s">
        <v>1685</v>
      </c>
      <c r="M263" s="8" t="s">
        <v>5578</v>
      </c>
      <c r="N263" s="8"/>
      <c r="O263" s="8" t="s">
        <v>5574</v>
      </c>
      <c r="P263" s="11"/>
      <c r="Q263" s="8" t="s">
        <v>5696</v>
      </c>
      <c r="R263" s="8" t="s">
        <v>5697</v>
      </c>
      <c r="S263" s="8" t="s">
        <v>5855</v>
      </c>
    </row>
    <row r="264" spans="1:19" ht="150" customHeight="1" x14ac:dyDescent="0.25">
      <c r="A264" s="8" t="s">
        <v>1277</v>
      </c>
      <c r="B264" s="8" t="s">
        <v>5693</v>
      </c>
      <c r="C264" s="8" t="s">
        <v>5694</v>
      </c>
      <c r="D264" s="10">
        <v>159</v>
      </c>
      <c r="E264" s="8" t="s">
        <v>1275</v>
      </c>
      <c r="F264" s="8" t="s">
        <v>1276</v>
      </c>
      <c r="G264" s="8" t="s">
        <v>67</v>
      </c>
      <c r="H264" s="8" t="s">
        <v>1274</v>
      </c>
      <c r="I264" s="8" t="s">
        <v>1275</v>
      </c>
      <c r="J264" s="15" t="s">
        <v>5695</v>
      </c>
      <c r="K264" s="8"/>
      <c r="L264" s="15" t="s">
        <v>1685</v>
      </c>
      <c r="M264" s="8" t="s">
        <v>5578</v>
      </c>
      <c r="N264" s="8"/>
      <c r="O264" s="8" t="s">
        <v>5574</v>
      </c>
      <c r="P264" s="11"/>
      <c r="Q264" s="8" t="s">
        <v>5696</v>
      </c>
      <c r="R264" s="8" t="s">
        <v>5697</v>
      </c>
      <c r="S264" s="8" t="s">
        <v>5856</v>
      </c>
    </row>
    <row r="265" spans="1:19" ht="150" customHeight="1" x14ac:dyDescent="0.25">
      <c r="A265" s="8" t="s">
        <v>974</v>
      </c>
      <c r="B265" s="8" t="s">
        <v>5693</v>
      </c>
      <c r="C265" s="8" t="s">
        <v>5694</v>
      </c>
      <c r="D265" s="10">
        <v>160</v>
      </c>
      <c r="E265" s="8" t="s">
        <v>971</v>
      </c>
      <c r="F265" s="8" t="s">
        <v>3105</v>
      </c>
      <c r="G265" s="8" t="s">
        <v>67</v>
      </c>
      <c r="H265" s="8" t="s">
        <v>970</v>
      </c>
      <c r="I265" s="8" t="s">
        <v>971</v>
      </c>
      <c r="J265" s="15" t="s">
        <v>5695</v>
      </c>
      <c r="K265" s="8"/>
      <c r="L265" s="15" t="s">
        <v>1685</v>
      </c>
      <c r="M265" s="8" t="s">
        <v>5578</v>
      </c>
      <c r="N265" s="8"/>
      <c r="O265" s="8" t="s">
        <v>5574</v>
      </c>
      <c r="P265" s="11"/>
      <c r="Q265" s="8" t="s">
        <v>5696</v>
      </c>
      <c r="R265" s="8" t="s">
        <v>5697</v>
      </c>
      <c r="S265" s="8" t="s">
        <v>5857</v>
      </c>
    </row>
    <row r="266" spans="1:19" ht="150" customHeight="1" x14ac:dyDescent="0.25">
      <c r="A266" s="8" t="s">
        <v>1360</v>
      </c>
      <c r="B266" s="8" t="s">
        <v>5693</v>
      </c>
      <c r="C266" s="8" t="s">
        <v>5694</v>
      </c>
      <c r="D266" s="10">
        <v>161</v>
      </c>
      <c r="E266" s="8" t="s">
        <v>1358</v>
      </c>
      <c r="F266" s="8" t="s">
        <v>1359</v>
      </c>
      <c r="G266" s="8" t="s">
        <v>67</v>
      </c>
      <c r="H266" s="8" t="s">
        <v>1357</v>
      </c>
      <c r="I266" s="8" t="s">
        <v>1358</v>
      </c>
      <c r="J266" s="15" t="s">
        <v>5695</v>
      </c>
      <c r="K266" s="8"/>
      <c r="L266" s="15" t="s">
        <v>1685</v>
      </c>
      <c r="M266" s="8" t="s">
        <v>5578</v>
      </c>
      <c r="N266" s="8"/>
      <c r="O266" s="8" t="s">
        <v>5574</v>
      </c>
      <c r="P266" s="11"/>
      <c r="Q266" s="8" t="s">
        <v>5696</v>
      </c>
      <c r="R266" s="8" t="s">
        <v>5697</v>
      </c>
      <c r="S266" s="8" t="s">
        <v>5858</v>
      </c>
    </row>
    <row r="267" spans="1:19" ht="150" customHeight="1" x14ac:dyDescent="0.25">
      <c r="A267" s="8" t="s">
        <v>1592</v>
      </c>
      <c r="B267" s="8" t="s">
        <v>5693</v>
      </c>
      <c r="C267" s="8" t="s">
        <v>5694</v>
      </c>
      <c r="D267" s="10">
        <v>162</v>
      </c>
      <c r="E267" s="8" t="s">
        <v>1589</v>
      </c>
      <c r="F267" s="8" t="s">
        <v>1591</v>
      </c>
      <c r="G267" s="8" t="s">
        <v>67</v>
      </c>
      <c r="H267" s="8" t="s">
        <v>1588</v>
      </c>
      <c r="I267" s="8" t="s">
        <v>1589</v>
      </c>
      <c r="J267" s="15" t="s">
        <v>5695</v>
      </c>
      <c r="K267" s="8"/>
      <c r="L267" s="15" t="s">
        <v>1685</v>
      </c>
      <c r="M267" s="8" t="s">
        <v>5578</v>
      </c>
      <c r="N267" s="8"/>
      <c r="O267" s="8" t="s">
        <v>5574</v>
      </c>
      <c r="P267" s="11"/>
      <c r="Q267" s="8" t="s">
        <v>5696</v>
      </c>
      <c r="R267" s="8" t="s">
        <v>5697</v>
      </c>
      <c r="S267" s="8" t="s">
        <v>5859</v>
      </c>
    </row>
    <row r="268" spans="1:19" ht="150" customHeight="1" x14ac:dyDescent="0.25">
      <c r="A268" s="8" t="s">
        <v>1356</v>
      </c>
      <c r="B268" s="8" t="s">
        <v>5693</v>
      </c>
      <c r="C268" s="8" t="s">
        <v>5694</v>
      </c>
      <c r="D268" s="10">
        <v>163</v>
      </c>
      <c r="E268" s="8" t="s">
        <v>1353</v>
      </c>
      <c r="F268" s="8" t="s">
        <v>1355</v>
      </c>
      <c r="G268" s="8" t="s">
        <v>67</v>
      </c>
      <c r="H268" s="8" t="s">
        <v>1352</v>
      </c>
      <c r="I268" s="8" t="s">
        <v>1353</v>
      </c>
      <c r="J268" s="15" t="s">
        <v>5695</v>
      </c>
      <c r="K268" s="8"/>
      <c r="L268" s="15" t="s">
        <v>1685</v>
      </c>
      <c r="M268" s="8" t="s">
        <v>5578</v>
      </c>
      <c r="N268" s="8"/>
      <c r="O268" s="8" t="s">
        <v>5574</v>
      </c>
      <c r="P268" s="11"/>
      <c r="Q268" s="8" t="s">
        <v>5696</v>
      </c>
      <c r="R268" s="8" t="s">
        <v>5697</v>
      </c>
      <c r="S268" s="8" t="s">
        <v>5860</v>
      </c>
    </row>
    <row r="269" spans="1:19" ht="150" customHeight="1" x14ac:dyDescent="0.25">
      <c r="A269" s="8" t="s">
        <v>1521</v>
      </c>
      <c r="B269" s="8" t="s">
        <v>5693</v>
      </c>
      <c r="C269" s="8" t="s">
        <v>5694</v>
      </c>
      <c r="D269" s="10">
        <v>164</v>
      </c>
      <c r="E269" s="8" t="s">
        <v>1519</v>
      </c>
      <c r="F269" s="8" t="s">
        <v>1520</v>
      </c>
      <c r="G269" s="8" t="s">
        <v>67</v>
      </c>
      <c r="H269" s="8" t="s">
        <v>1518</v>
      </c>
      <c r="I269" s="8" t="s">
        <v>1519</v>
      </c>
      <c r="J269" s="15" t="s">
        <v>5695</v>
      </c>
      <c r="K269" s="8"/>
      <c r="L269" s="15" t="s">
        <v>1685</v>
      </c>
      <c r="M269" s="8" t="s">
        <v>5578</v>
      </c>
      <c r="N269" s="8"/>
      <c r="O269" s="8" t="s">
        <v>5574</v>
      </c>
      <c r="P269" s="11"/>
      <c r="Q269" s="8" t="s">
        <v>5696</v>
      </c>
      <c r="R269" s="8" t="s">
        <v>5697</v>
      </c>
      <c r="S269" s="8" t="s">
        <v>5861</v>
      </c>
    </row>
    <row r="270" spans="1:19" ht="150" customHeight="1" x14ac:dyDescent="0.25">
      <c r="A270" s="8" t="s">
        <v>955</v>
      </c>
      <c r="B270" s="8" t="s">
        <v>5693</v>
      </c>
      <c r="C270" s="8" t="s">
        <v>5694</v>
      </c>
      <c r="D270" s="10">
        <v>165</v>
      </c>
      <c r="E270" s="8" t="s">
        <v>949</v>
      </c>
      <c r="F270" s="8" t="s">
        <v>2941</v>
      </c>
      <c r="G270" s="8" t="s">
        <v>67</v>
      </c>
      <c r="H270" s="8" t="s">
        <v>948</v>
      </c>
      <c r="I270" s="8" t="s">
        <v>949</v>
      </c>
      <c r="J270" s="15" t="s">
        <v>5695</v>
      </c>
      <c r="K270" s="8"/>
      <c r="L270" s="15" t="s">
        <v>1685</v>
      </c>
      <c r="M270" s="8" t="s">
        <v>5578</v>
      </c>
      <c r="N270" s="8"/>
      <c r="O270" s="8" t="s">
        <v>5574</v>
      </c>
      <c r="P270" s="11"/>
      <c r="Q270" s="8" t="s">
        <v>5696</v>
      </c>
      <c r="R270" s="8" t="s">
        <v>5697</v>
      </c>
      <c r="S270" s="8" t="s">
        <v>5862</v>
      </c>
    </row>
    <row r="271" spans="1:19" ht="150" customHeight="1" x14ac:dyDescent="0.25">
      <c r="A271" s="8" t="s">
        <v>1644</v>
      </c>
      <c r="B271" s="8" t="s">
        <v>5693</v>
      </c>
      <c r="C271" s="8" t="s">
        <v>5694</v>
      </c>
      <c r="D271" s="10">
        <v>166</v>
      </c>
      <c r="E271" s="8" t="s">
        <v>1642</v>
      </c>
      <c r="F271" s="8" t="s">
        <v>1643</v>
      </c>
      <c r="G271" s="8" t="s">
        <v>67</v>
      </c>
      <c r="H271" s="8" t="s">
        <v>1641</v>
      </c>
      <c r="I271" s="8" t="s">
        <v>1642</v>
      </c>
      <c r="J271" s="15" t="s">
        <v>5695</v>
      </c>
      <c r="K271" s="8"/>
      <c r="L271" s="15" t="s">
        <v>1685</v>
      </c>
      <c r="M271" s="8" t="s">
        <v>5578</v>
      </c>
      <c r="N271" s="8"/>
      <c r="O271" s="8" t="s">
        <v>5574</v>
      </c>
      <c r="P271" s="11"/>
      <c r="Q271" s="8" t="s">
        <v>5696</v>
      </c>
      <c r="R271" s="8" t="s">
        <v>5697</v>
      </c>
      <c r="S271" s="8" t="s">
        <v>5863</v>
      </c>
    </row>
    <row r="272" spans="1:19" ht="150" customHeight="1" x14ac:dyDescent="0.25">
      <c r="A272" s="8" t="s">
        <v>1389</v>
      </c>
      <c r="B272" s="8" t="s">
        <v>5693</v>
      </c>
      <c r="C272" s="8" t="s">
        <v>5694</v>
      </c>
      <c r="D272" s="10">
        <v>167</v>
      </c>
      <c r="E272" s="8" t="s">
        <v>1386</v>
      </c>
      <c r="F272" s="8" t="s">
        <v>1388</v>
      </c>
      <c r="G272" s="8" t="s">
        <v>67</v>
      </c>
      <c r="H272" s="8" t="s">
        <v>1385</v>
      </c>
      <c r="I272" s="8" t="s">
        <v>1386</v>
      </c>
      <c r="J272" s="15" t="s">
        <v>5695</v>
      </c>
      <c r="K272" s="8"/>
      <c r="L272" s="15" t="s">
        <v>1685</v>
      </c>
      <c r="M272" s="8" t="s">
        <v>5578</v>
      </c>
      <c r="N272" s="8"/>
      <c r="O272" s="8" t="s">
        <v>5574</v>
      </c>
      <c r="P272" s="11"/>
      <c r="Q272" s="8" t="s">
        <v>5696</v>
      </c>
      <c r="R272" s="8" t="s">
        <v>5697</v>
      </c>
      <c r="S272" s="8" t="s">
        <v>5864</v>
      </c>
    </row>
    <row r="273" spans="1:19" ht="150" customHeight="1" x14ac:dyDescent="0.25">
      <c r="A273" s="8" t="s">
        <v>1269</v>
      </c>
      <c r="B273" s="8" t="s">
        <v>5693</v>
      </c>
      <c r="C273" s="8" t="s">
        <v>5694</v>
      </c>
      <c r="D273" s="10">
        <v>168</v>
      </c>
      <c r="E273" s="8" t="s">
        <v>1266</v>
      </c>
      <c r="F273" s="8" t="s">
        <v>1268</v>
      </c>
      <c r="G273" s="8" t="s">
        <v>67</v>
      </c>
      <c r="H273" s="8" t="s">
        <v>1265</v>
      </c>
      <c r="I273" s="8" t="s">
        <v>1266</v>
      </c>
      <c r="J273" s="15" t="s">
        <v>5695</v>
      </c>
      <c r="K273" s="8"/>
      <c r="L273" s="15" t="s">
        <v>1685</v>
      </c>
      <c r="M273" s="8" t="s">
        <v>5578</v>
      </c>
      <c r="N273" s="8"/>
      <c r="O273" s="8" t="s">
        <v>5574</v>
      </c>
      <c r="P273" s="11"/>
      <c r="Q273" s="8" t="s">
        <v>5696</v>
      </c>
      <c r="R273" s="8" t="s">
        <v>5697</v>
      </c>
      <c r="S273" s="8" t="s">
        <v>5865</v>
      </c>
    </row>
    <row r="274" spans="1:19" ht="150" customHeight="1" x14ac:dyDescent="0.25">
      <c r="A274" s="8" t="s">
        <v>1484</v>
      </c>
      <c r="B274" s="8" t="s">
        <v>5693</v>
      </c>
      <c r="C274" s="8" t="s">
        <v>5694</v>
      </c>
      <c r="D274" s="10">
        <v>169</v>
      </c>
      <c r="E274" s="8" t="s">
        <v>1482</v>
      </c>
      <c r="F274" s="8" t="s">
        <v>1483</v>
      </c>
      <c r="G274" s="8" t="s">
        <v>67</v>
      </c>
      <c r="H274" s="8" t="s">
        <v>1481</v>
      </c>
      <c r="I274" s="8" t="s">
        <v>1482</v>
      </c>
      <c r="J274" s="15" t="s">
        <v>5695</v>
      </c>
      <c r="K274" s="8"/>
      <c r="L274" s="15" t="s">
        <v>1685</v>
      </c>
      <c r="M274" s="8" t="s">
        <v>5578</v>
      </c>
      <c r="N274" s="8"/>
      <c r="O274" s="8" t="s">
        <v>5574</v>
      </c>
      <c r="P274" s="11"/>
      <c r="Q274" s="8" t="s">
        <v>5696</v>
      </c>
      <c r="R274" s="8" t="s">
        <v>5697</v>
      </c>
      <c r="S274" s="8" t="s">
        <v>5866</v>
      </c>
    </row>
    <row r="275" spans="1:19" ht="150" customHeight="1" x14ac:dyDescent="0.25">
      <c r="A275" s="8" t="s">
        <v>1668</v>
      </c>
      <c r="B275" s="8" t="s">
        <v>5693</v>
      </c>
      <c r="C275" s="8" t="s">
        <v>5694</v>
      </c>
      <c r="D275" s="10">
        <v>170</v>
      </c>
      <c r="E275" s="8" t="s">
        <v>1666</v>
      </c>
      <c r="F275" s="8" t="s">
        <v>1667</v>
      </c>
      <c r="G275" s="8" t="s">
        <v>67</v>
      </c>
      <c r="H275" s="8" t="s">
        <v>1665</v>
      </c>
      <c r="I275" s="8" t="s">
        <v>1666</v>
      </c>
      <c r="J275" s="15" t="s">
        <v>5695</v>
      </c>
      <c r="K275" s="8"/>
      <c r="L275" s="15" t="s">
        <v>1685</v>
      </c>
      <c r="M275" s="8" t="s">
        <v>5578</v>
      </c>
      <c r="N275" s="8"/>
      <c r="O275" s="8" t="s">
        <v>5574</v>
      </c>
      <c r="P275" s="11"/>
      <c r="Q275" s="8" t="s">
        <v>5696</v>
      </c>
      <c r="R275" s="8" t="s">
        <v>5697</v>
      </c>
      <c r="S275" s="8" t="s">
        <v>5867</v>
      </c>
    </row>
    <row r="276" spans="1:19" ht="150" customHeight="1" x14ac:dyDescent="0.25">
      <c r="A276" s="8" t="s">
        <v>1579</v>
      </c>
      <c r="B276" s="8" t="s">
        <v>5693</v>
      </c>
      <c r="C276" s="8" t="s">
        <v>5694</v>
      </c>
      <c r="D276" s="10">
        <v>171</v>
      </c>
      <c r="E276" s="8" t="s">
        <v>1577</v>
      </c>
      <c r="F276" s="8" t="s">
        <v>1578</v>
      </c>
      <c r="G276" s="8" t="s">
        <v>67</v>
      </c>
      <c r="H276" s="8" t="s">
        <v>1576</v>
      </c>
      <c r="I276" s="8" t="s">
        <v>1577</v>
      </c>
      <c r="J276" s="15" t="s">
        <v>5695</v>
      </c>
      <c r="K276" s="8"/>
      <c r="L276" s="15" t="s">
        <v>1685</v>
      </c>
      <c r="M276" s="8" t="s">
        <v>5578</v>
      </c>
      <c r="N276" s="8"/>
      <c r="O276" s="8" t="s">
        <v>5574</v>
      </c>
      <c r="P276" s="11"/>
      <c r="Q276" s="8" t="s">
        <v>5696</v>
      </c>
      <c r="R276" s="8" t="s">
        <v>5697</v>
      </c>
      <c r="S276" s="8" t="s">
        <v>5868</v>
      </c>
    </row>
    <row r="277" spans="1:19" ht="150" customHeight="1" x14ac:dyDescent="0.25">
      <c r="A277" s="8" t="s">
        <v>1337</v>
      </c>
      <c r="B277" s="8" t="s">
        <v>5693</v>
      </c>
      <c r="C277" s="8" t="s">
        <v>5694</v>
      </c>
      <c r="D277" s="10">
        <v>172</v>
      </c>
      <c r="E277" s="8" t="s">
        <v>1335</v>
      </c>
      <c r="F277" s="8" t="s">
        <v>1336</v>
      </c>
      <c r="G277" s="8" t="s">
        <v>67</v>
      </c>
      <c r="H277" s="8" t="s">
        <v>1334</v>
      </c>
      <c r="I277" s="8" t="s">
        <v>1335</v>
      </c>
      <c r="J277" s="15" t="s">
        <v>5695</v>
      </c>
      <c r="K277" s="8"/>
      <c r="L277" s="15" t="s">
        <v>1685</v>
      </c>
      <c r="M277" s="8" t="s">
        <v>5578</v>
      </c>
      <c r="N277" s="8"/>
      <c r="O277" s="8" t="s">
        <v>5574</v>
      </c>
      <c r="P277" s="11"/>
      <c r="Q277" s="8" t="s">
        <v>5696</v>
      </c>
      <c r="R277" s="8" t="s">
        <v>5697</v>
      </c>
      <c r="S277" s="8" t="s">
        <v>5869</v>
      </c>
    </row>
    <row r="278" spans="1:19" ht="150" customHeight="1" x14ac:dyDescent="0.25">
      <c r="A278" s="8" t="s">
        <v>1411</v>
      </c>
      <c r="B278" s="8" t="s">
        <v>5693</v>
      </c>
      <c r="C278" s="8" t="s">
        <v>5694</v>
      </c>
      <c r="D278" s="10">
        <v>173</v>
      </c>
      <c r="E278" s="8" t="s">
        <v>1408</v>
      </c>
      <c r="F278" s="8" t="s">
        <v>1410</v>
      </c>
      <c r="G278" s="8" t="s">
        <v>67</v>
      </c>
      <c r="H278" s="8" t="s">
        <v>1407</v>
      </c>
      <c r="I278" s="8" t="s">
        <v>1408</v>
      </c>
      <c r="J278" s="15" t="s">
        <v>5695</v>
      </c>
      <c r="K278" s="8"/>
      <c r="L278" s="15" t="s">
        <v>1685</v>
      </c>
      <c r="M278" s="8" t="s">
        <v>5578</v>
      </c>
      <c r="N278" s="8"/>
      <c r="O278" s="8" t="s">
        <v>5574</v>
      </c>
      <c r="P278" s="11"/>
      <c r="Q278" s="8" t="s">
        <v>5696</v>
      </c>
      <c r="R278" s="8" t="s">
        <v>5697</v>
      </c>
      <c r="S278" s="8" t="s">
        <v>5870</v>
      </c>
    </row>
    <row r="279" spans="1:19" ht="150" customHeight="1" x14ac:dyDescent="0.25">
      <c r="A279" s="8" t="s">
        <v>1496</v>
      </c>
      <c r="B279" s="8" t="s">
        <v>5693</v>
      </c>
      <c r="C279" s="8" t="s">
        <v>5694</v>
      </c>
      <c r="D279" s="10">
        <v>174</v>
      </c>
      <c r="E279" s="8" t="s">
        <v>1494</v>
      </c>
      <c r="F279" s="8" t="s">
        <v>1495</v>
      </c>
      <c r="G279" s="8" t="s">
        <v>67</v>
      </c>
      <c r="H279" s="8" t="s">
        <v>1493</v>
      </c>
      <c r="I279" s="8" t="s">
        <v>1494</v>
      </c>
      <c r="J279" s="15" t="s">
        <v>5695</v>
      </c>
      <c r="K279" s="8"/>
      <c r="L279" s="15" t="s">
        <v>1685</v>
      </c>
      <c r="M279" s="8" t="s">
        <v>5578</v>
      </c>
      <c r="N279" s="8"/>
      <c r="O279" s="8" t="s">
        <v>5574</v>
      </c>
      <c r="P279" s="11"/>
      <c r="Q279" s="8" t="s">
        <v>5696</v>
      </c>
      <c r="R279" s="8" t="s">
        <v>5697</v>
      </c>
      <c r="S279" s="8" t="s">
        <v>5871</v>
      </c>
    </row>
    <row r="280" spans="1:19" ht="150" customHeight="1" x14ac:dyDescent="0.25">
      <c r="A280" s="8" t="s">
        <v>1538</v>
      </c>
      <c r="B280" s="8" t="s">
        <v>5693</v>
      </c>
      <c r="C280" s="8" t="s">
        <v>5694</v>
      </c>
      <c r="D280" s="10">
        <v>175</v>
      </c>
      <c r="E280" s="8" t="s">
        <v>1536</v>
      </c>
      <c r="F280" s="8" t="s">
        <v>1537</v>
      </c>
      <c r="G280" s="8" t="s">
        <v>67</v>
      </c>
      <c r="H280" s="8" t="s">
        <v>1535</v>
      </c>
      <c r="I280" s="8" t="s">
        <v>1536</v>
      </c>
      <c r="J280" s="15" t="s">
        <v>5695</v>
      </c>
      <c r="K280" s="8"/>
      <c r="L280" s="15" t="s">
        <v>1685</v>
      </c>
      <c r="M280" s="8" t="s">
        <v>5578</v>
      </c>
      <c r="N280" s="8"/>
      <c r="O280" s="8" t="s">
        <v>5574</v>
      </c>
      <c r="P280" s="11"/>
      <c r="Q280" s="8" t="s">
        <v>5696</v>
      </c>
      <c r="R280" s="8" t="s">
        <v>5697</v>
      </c>
      <c r="S280" s="8" t="s">
        <v>5872</v>
      </c>
    </row>
    <row r="281" spans="1:19" ht="150" customHeight="1" x14ac:dyDescent="0.25">
      <c r="A281" s="8" t="s">
        <v>1324</v>
      </c>
      <c r="B281" s="8" t="s">
        <v>5693</v>
      </c>
      <c r="C281" s="8" t="s">
        <v>5694</v>
      </c>
      <c r="D281" s="10">
        <v>176</v>
      </c>
      <c r="E281" s="8" t="s">
        <v>1321</v>
      </c>
      <c r="F281" s="8" t="s">
        <v>1323</v>
      </c>
      <c r="G281" s="8" t="s">
        <v>67</v>
      </c>
      <c r="H281" s="8" t="s">
        <v>1320</v>
      </c>
      <c r="I281" s="8" t="s">
        <v>1321</v>
      </c>
      <c r="J281" s="15" t="s">
        <v>5695</v>
      </c>
      <c r="K281" s="8"/>
      <c r="L281" s="15" t="s">
        <v>1685</v>
      </c>
      <c r="M281" s="8" t="s">
        <v>5578</v>
      </c>
      <c r="N281" s="8"/>
      <c r="O281" s="8" t="s">
        <v>5574</v>
      </c>
      <c r="P281" s="11"/>
      <c r="Q281" s="8" t="s">
        <v>5696</v>
      </c>
      <c r="R281" s="8" t="s">
        <v>5697</v>
      </c>
      <c r="S281" s="8" t="s">
        <v>5873</v>
      </c>
    </row>
    <row r="282" spans="1:19" ht="150" customHeight="1" x14ac:dyDescent="0.25">
      <c r="A282" s="8" t="s">
        <v>1319</v>
      </c>
      <c r="B282" s="8" t="s">
        <v>5693</v>
      </c>
      <c r="C282" s="8" t="s">
        <v>5694</v>
      </c>
      <c r="D282" s="10">
        <v>177</v>
      </c>
      <c r="E282" s="8" t="s">
        <v>1317</v>
      </c>
      <c r="F282" s="8" t="s">
        <v>1318</v>
      </c>
      <c r="G282" s="8" t="s">
        <v>67</v>
      </c>
      <c r="H282" s="8" t="s">
        <v>1316</v>
      </c>
      <c r="I282" s="8" t="s">
        <v>1317</v>
      </c>
      <c r="J282" s="15" t="s">
        <v>5695</v>
      </c>
      <c r="K282" s="8"/>
      <c r="L282" s="15" t="s">
        <v>1685</v>
      </c>
      <c r="M282" s="8" t="s">
        <v>5578</v>
      </c>
      <c r="N282" s="8"/>
      <c r="O282" s="8" t="s">
        <v>5574</v>
      </c>
      <c r="P282" s="11"/>
      <c r="Q282" s="8" t="s">
        <v>5696</v>
      </c>
      <c r="R282" s="8" t="s">
        <v>5697</v>
      </c>
      <c r="S282" s="8" t="s">
        <v>5874</v>
      </c>
    </row>
    <row r="283" spans="1:19" ht="150" customHeight="1" x14ac:dyDescent="0.25">
      <c r="A283" s="8" t="s">
        <v>1273</v>
      </c>
      <c r="B283" s="8" t="s">
        <v>5693</v>
      </c>
      <c r="C283" s="8" t="s">
        <v>5694</v>
      </c>
      <c r="D283" s="10">
        <v>178</v>
      </c>
      <c r="E283" s="8" t="s">
        <v>1271</v>
      </c>
      <c r="F283" s="8" t="s">
        <v>1272</v>
      </c>
      <c r="G283" s="8" t="s">
        <v>67</v>
      </c>
      <c r="H283" s="8" t="s">
        <v>1270</v>
      </c>
      <c r="I283" s="8" t="s">
        <v>1271</v>
      </c>
      <c r="J283" s="15" t="s">
        <v>5695</v>
      </c>
      <c r="K283" s="8"/>
      <c r="L283" s="15" t="s">
        <v>1685</v>
      </c>
      <c r="M283" s="8" t="s">
        <v>5578</v>
      </c>
      <c r="N283" s="8"/>
      <c r="O283" s="8" t="s">
        <v>5574</v>
      </c>
      <c r="P283" s="11"/>
      <c r="Q283" s="8" t="s">
        <v>5696</v>
      </c>
      <c r="R283" s="8" t="s">
        <v>5697</v>
      </c>
      <c r="S283" s="8" t="s">
        <v>5875</v>
      </c>
    </row>
    <row r="284" spans="1:19" ht="150" customHeight="1" x14ac:dyDescent="0.25">
      <c r="A284" s="8" t="s">
        <v>1504</v>
      </c>
      <c r="B284" s="8" t="s">
        <v>5693</v>
      </c>
      <c r="C284" s="8" t="s">
        <v>5694</v>
      </c>
      <c r="D284" s="10">
        <v>179</v>
      </c>
      <c r="E284" s="8" t="s">
        <v>1502</v>
      </c>
      <c r="F284" s="8" t="s">
        <v>1503</v>
      </c>
      <c r="G284" s="8" t="s">
        <v>67</v>
      </c>
      <c r="H284" s="8" t="s">
        <v>1501</v>
      </c>
      <c r="I284" s="8" t="s">
        <v>1502</v>
      </c>
      <c r="J284" s="15" t="s">
        <v>5695</v>
      </c>
      <c r="K284" s="8"/>
      <c r="L284" s="15" t="s">
        <v>1685</v>
      </c>
      <c r="M284" s="8" t="s">
        <v>5578</v>
      </c>
      <c r="N284" s="8"/>
      <c r="O284" s="8" t="s">
        <v>5574</v>
      </c>
      <c r="P284" s="11"/>
      <c r="Q284" s="8" t="s">
        <v>5696</v>
      </c>
      <c r="R284" s="8" t="s">
        <v>5697</v>
      </c>
      <c r="S284" s="8" t="s">
        <v>5876</v>
      </c>
    </row>
    <row r="285" spans="1:19" ht="150" customHeight="1" x14ac:dyDescent="0.25">
      <c r="A285" s="8" t="s">
        <v>1463</v>
      </c>
      <c r="B285" s="8" t="s">
        <v>5693</v>
      </c>
      <c r="C285" s="8" t="s">
        <v>5694</v>
      </c>
      <c r="D285" s="10">
        <v>180</v>
      </c>
      <c r="E285" s="8" t="s">
        <v>1461</v>
      </c>
      <c r="F285" s="8" t="s">
        <v>1462</v>
      </c>
      <c r="G285" s="8" t="s">
        <v>67</v>
      </c>
      <c r="H285" s="8" t="s">
        <v>1460</v>
      </c>
      <c r="I285" s="8" t="s">
        <v>1461</v>
      </c>
      <c r="J285" s="15" t="s">
        <v>5695</v>
      </c>
      <c r="K285" s="8"/>
      <c r="L285" s="15" t="s">
        <v>1685</v>
      </c>
      <c r="M285" s="8" t="s">
        <v>5578</v>
      </c>
      <c r="N285" s="8"/>
      <c r="O285" s="8" t="s">
        <v>5574</v>
      </c>
      <c r="P285" s="11"/>
      <c r="Q285" s="8" t="s">
        <v>5696</v>
      </c>
      <c r="R285" s="8" t="s">
        <v>5697</v>
      </c>
      <c r="S285" s="8" t="s">
        <v>5877</v>
      </c>
    </row>
    <row r="286" spans="1:19" ht="150" customHeight="1" x14ac:dyDescent="0.25">
      <c r="A286" s="8" t="s">
        <v>1035</v>
      </c>
      <c r="B286" s="8" t="s">
        <v>5693</v>
      </c>
      <c r="C286" s="8" t="s">
        <v>5694</v>
      </c>
      <c r="D286" s="10">
        <v>181</v>
      </c>
      <c r="E286" s="8" t="s">
        <v>1031</v>
      </c>
      <c r="F286" s="8" t="s">
        <v>3148</v>
      </c>
      <c r="G286" s="8" t="s">
        <v>67</v>
      </c>
      <c r="H286" s="8" t="s">
        <v>1030</v>
      </c>
      <c r="I286" s="8" t="s">
        <v>1031</v>
      </c>
      <c r="J286" s="15" t="s">
        <v>5695</v>
      </c>
      <c r="K286" s="8"/>
      <c r="L286" s="15" t="s">
        <v>1685</v>
      </c>
      <c r="M286" s="8" t="s">
        <v>5578</v>
      </c>
      <c r="N286" s="8"/>
      <c r="O286" s="8" t="s">
        <v>5574</v>
      </c>
      <c r="P286" s="11"/>
      <c r="Q286" s="8" t="s">
        <v>5696</v>
      </c>
      <c r="R286" s="8" t="s">
        <v>5697</v>
      </c>
      <c r="S286" s="8" t="s">
        <v>5878</v>
      </c>
    </row>
    <row r="287" spans="1:19" ht="150" customHeight="1" x14ac:dyDescent="0.25">
      <c r="A287" s="8" t="s">
        <v>1341</v>
      </c>
      <c r="B287" s="8" t="s">
        <v>5693</v>
      </c>
      <c r="C287" s="8" t="s">
        <v>5694</v>
      </c>
      <c r="D287" s="10">
        <v>182</v>
      </c>
      <c r="E287" s="8" t="s">
        <v>1339</v>
      </c>
      <c r="F287" s="8" t="s">
        <v>1340</v>
      </c>
      <c r="G287" s="8" t="s">
        <v>67</v>
      </c>
      <c r="H287" s="8" t="s">
        <v>1338</v>
      </c>
      <c r="I287" s="8" t="s">
        <v>1339</v>
      </c>
      <c r="J287" s="15" t="s">
        <v>5695</v>
      </c>
      <c r="K287" s="8"/>
      <c r="L287" s="15" t="s">
        <v>1685</v>
      </c>
      <c r="M287" s="8" t="s">
        <v>5578</v>
      </c>
      <c r="N287" s="8"/>
      <c r="O287" s="8" t="s">
        <v>5574</v>
      </c>
      <c r="P287" s="11"/>
      <c r="Q287" s="8" t="s">
        <v>5696</v>
      </c>
      <c r="R287" s="8" t="s">
        <v>5697</v>
      </c>
      <c r="S287" s="8" t="s">
        <v>5879</v>
      </c>
    </row>
    <row r="288" spans="1:19" ht="150" customHeight="1" x14ac:dyDescent="0.25">
      <c r="A288" s="8" t="s">
        <v>1492</v>
      </c>
      <c r="B288" s="8" t="s">
        <v>5693</v>
      </c>
      <c r="C288" s="8" t="s">
        <v>5694</v>
      </c>
      <c r="D288" s="10">
        <v>183</v>
      </c>
      <c r="E288" s="8" t="s">
        <v>1490</v>
      </c>
      <c r="F288" s="8" t="s">
        <v>1491</v>
      </c>
      <c r="G288" s="8" t="s">
        <v>67</v>
      </c>
      <c r="H288" s="8" t="s">
        <v>1489</v>
      </c>
      <c r="I288" s="8" t="s">
        <v>1490</v>
      </c>
      <c r="J288" s="15" t="s">
        <v>5695</v>
      </c>
      <c r="K288" s="8"/>
      <c r="L288" s="15" t="s">
        <v>1685</v>
      </c>
      <c r="M288" s="8" t="s">
        <v>5578</v>
      </c>
      <c r="N288" s="8"/>
      <c r="O288" s="8" t="s">
        <v>5574</v>
      </c>
      <c r="P288" s="11"/>
      <c r="Q288" s="8" t="s">
        <v>5696</v>
      </c>
      <c r="R288" s="8" t="s">
        <v>5697</v>
      </c>
      <c r="S288" s="8" t="s">
        <v>5880</v>
      </c>
    </row>
    <row r="289" spans="1:19" ht="150" customHeight="1" x14ac:dyDescent="0.25">
      <c r="A289" s="8" t="s">
        <v>1346</v>
      </c>
      <c r="B289" s="8" t="s">
        <v>5693</v>
      </c>
      <c r="C289" s="8" t="s">
        <v>5694</v>
      </c>
      <c r="D289" s="10">
        <v>184</v>
      </c>
      <c r="E289" s="8" t="s">
        <v>1343</v>
      </c>
      <c r="F289" s="8" t="s">
        <v>1345</v>
      </c>
      <c r="G289" s="8" t="s">
        <v>67</v>
      </c>
      <c r="H289" s="8" t="s">
        <v>1342</v>
      </c>
      <c r="I289" s="8" t="s">
        <v>1343</v>
      </c>
      <c r="J289" s="15" t="s">
        <v>5695</v>
      </c>
      <c r="K289" s="8"/>
      <c r="L289" s="15" t="s">
        <v>1685</v>
      </c>
      <c r="M289" s="8" t="s">
        <v>5578</v>
      </c>
      <c r="N289" s="8"/>
      <c r="O289" s="8" t="s">
        <v>5574</v>
      </c>
      <c r="P289" s="11"/>
      <c r="Q289" s="8" t="s">
        <v>5696</v>
      </c>
      <c r="R289" s="8" t="s">
        <v>5697</v>
      </c>
      <c r="S289" s="8" t="s">
        <v>5881</v>
      </c>
    </row>
    <row r="290" spans="1:19" ht="150" customHeight="1" x14ac:dyDescent="0.25">
      <c r="A290" s="8" t="s">
        <v>1513</v>
      </c>
      <c r="B290" s="8" t="s">
        <v>5693</v>
      </c>
      <c r="C290" s="8" t="s">
        <v>5694</v>
      </c>
      <c r="D290" s="10">
        <v>185</v>
      </c>
      <c r="E290" s="8" t="s">
        <v>1511</v>
      </c>
      <c r="F290" s="8" t="s">
        <v>1512</v>
      </c>
      <c r="G290" s="8" t="s">
        <v>67</v>
      </c>
      <c r="H290" s="8" t="s">
        <v>1510</v>
      </c>
      <c r="I290" s="8" t="s">
        <v>1511</v>
      </c>
      <c r="J290" s="15" t="s">
        <v>5695</v>
      </c>
      <c r="K290" s="8"/>
      <c r="L290" s="15" t="s">
        <v>1685</v>
      </c>
      <c r="M290" s="8" t="s">
        <v>5578</v>
      </c>
      <c r="N290" s="8"/>
      <c r="O290" s="8" t="s">
        <v>5574</v>
      </c>
      <c r="P290" s="11"/>
      <c r="Q290" s="8" t="s">
        <v>5696</v>
      </c>
      <c r="R290" s="8" t="s">
        <v>5697</v>
      </c>
      <c r="S290" s="8" t="s">
        <v>5882</v>
      </c>
    </row>
    <row r="291" spans="1:19" ht="150" customHeight="1" x14ac:dyDescent="0.25">
      <c r="A291" s="8" t="s">
        <v>1567</v>
      </c>
      <c r="B291" s="8" t="s">
        <v>5693</v>
      </c>
      <c r="C291" s="8" t="s">
        <v>5694</v>
      </c>
      <c r="D291" s="10">
        <v>186</v>
      </c>
      <c r="E291" s="8" t="s">
        <v>1565</v>
      </c>
      <c r="F291" s="8" t="s">
        <v>1566</v>
      </c>
      <c r="G291" s="8" t="s">
        <v>67</v>
      </c>
      <c r="H291" s="8" t="s">
        <v>1564</v>
      </c>
      <c r="I291" s="8" t="s">
        <v>1565</v>
      </c>
      <c r="J291" s="15" t="s">
        <v>5695</v>
      </c>
      <c r="K291" s="8"/>
      <c r="L291" s="15" t="s">
        <v>1685</v>
      </c>
      <c r="M291" s="8" t="s">
        <v>5578</v>
      </c>
      <c r="N291" s="8"/>
      <c r="O291" s="8" t="s">
        <v>5574</v>
      </c>
      <c r="P291" s="11"/>
      <c r="Q291" s="8" t="s">
        <v>5696</v>
      </c>
      <c r="R291" s="8" t="s">
        <v>5697</v>
      </c>
      <c r="S291" s="8" t="s">
        <v>5883</v>
      </c>
    </row>
    <row r="292" spans="1:19" ht="150" customHeight="1" x14ac:dyDescent="0.25">
      <c r="A292" s="8" t="s">
        <v>1626</v>
      </c>
      <c r="B292" s="8" t="s">
        <v>5693</v>
      </c>
      <c r="C292" s="8" t="s">
        <v>5694</v>
      </c>
      <c r="D292" s="10">
        <v>187</v>
      </c>
      <c r="E292" s="8" t="s">
        <v>1623</v>
      </c>
      <c r="F292" s="8" t="s">
        <v>1625</v>
      </c>
      <c r="G292" s="8" t="s">
        <v>67</v>
      </c>
      <c r="H292" s="8" t="s">
        <v>1622</v>
      </c>
      <c r="I292" s="8" t="s">
        <v>1623</v>
      </c>
      <c r="J292" s="15" t="s">
        <v>5695</v>
      </c>
      <c r="K292" s="8"/>
      <c r="L292" s="15" t="s">
        <v>1685</v>
      </c>
      <c r="M292" s="8" t="s">
        <v>5578</v>
      </c>
      <c r="N292" s="8"/>
      <c r="O292" s="8" t="s">
        <v>5574</v>
      </c>
      <c r="P292" s="11"/>
      <c r="Q292" s="8" t="s">
        <v>5696</v>
      </c>
      <c r="R292" s="8" t="s">
        <v>5697</v>
      </c>
      <c r="S292" s="8" t="s">
        <v>5884</v>
      </c>
    </row>
    <row r="293" spans="1:19" ht="150" customHeight="1" x14ac:dyDescent="0.25">
      <c r="A293" s="8" t="s">
        <v>1636</v>
      </c>
      <c r="B293" s="8" t="s">
        <v>5693</v>
      </c>
      <c r="C293" s="8" t="s">
        <v>5694</v>
      </c>
      <c r="D293" s="10">
        <v>188</v>
      </c>
      <c r="E293" s="8" t="s">
        <v>1633</v>
      </c>
      <c r="F293" s="8" t="s">
        <v>1635</v>
      </c>
      <c r="G293" s="8" t="s">
        <v>67</v>
      </c>
      <c r="H293" s="8" t="s">
        <v>1632</v>
      </c>
      <c r="I293" s="8" t="s">
        <v>1633</v>
      </c>
      <c r="J293" s="15" t="s">
        <v>5695</v>
      </c>
      <c r="K293" s="8"/>
      <c r="L293" s="15" t="s">
        <v>1685</v>
      </c>
      <c r="M293" s="8" t="s">
        <v>5578</v>
      </c>
      <c r="N293" s="8"/>
      <c r="O293" s="8" t="s">
        <v>5574</v>
      </c>
      <c r="P293" s="11"/>
      <c r="Q293" s="8" t="s">
        <v>5696</v>
      </c>
      <c r="R293" s="8" t="s">
        <v>5697</v>
      </c>
      <c r="S293" s="8" t="s">
        <v>5885</v>
      </c>
    </row>
    <row r="294" spans="1:19" ht="150" customHeight="1" x14ac:dyDescent="0.25">
      <c r="A294" s="8" t="s">
        <v>1509</v>
      </c>
      <c r="B294" s="8" t="s">
        <v>5693</v>
      </c>
      <c r="C294" s="8" t="s">
        <v>5694</v>
      </c>
      <c r="D294" s="10">
        <v>189</v>
      </c>
      <c r="E294" s="8" t="s">
        <v>1506</v>
      </c>
      <c r="F294" s="8" t="s">
        <v>1508</v>
      </c>
      <c r="G294" s="8" t="s">
        <v>67</v>
      </c>
      <c r="H294" s="8" t="s">
        <v>1505</v>
      </c>
      <c r="I294" s="8" t="s">
        <v>1506</v>
      </c>
      <c r="J294" s="15" t="s">
        <v>5695</v>
      </c>
      <c r="K294" s="8"/>
      <c r="L294" s="15" t="s">
        <v>1685</v>
      </c>
      <c r="M294" s="8" t="s">
        <v>5578</v>
      </c>
      <c r="N294" s="8"/>
      <c r="O294" s="8" t="s">
        <v>5574</v>
      </c>
      <c r="P294" s="11"/>
      <c r="Q294" s="8" t="s">
        <v>5696</v>
      </c>
      <c r="R294" s="8" t="s">
        <v>5697</v>
      </c>
      <c r="S294" s="8" t="s">
        <v>5886</v>
      </c>
    </row>
    <row r="295" spans="1:19" ht="150" customHeight="1" x14ac:dyDescent="0.25">
      <c r="A295" s="8" t="s">
        <v>1575</v>
      </c>
      <c r="B295" s="8" t="s">
        <v>5693</v>
      </c>
      <c r="C295" s="8" t="s">
        <v>5694</v>
      </c>
      <c r="D295" s="10">
        <v>190</v>
      </c>
      <c r="E295" s="8" t="s">
        <v>1573</v>
      </c>
      <c r="F295" s="8" t="s">
        <v>1574</v>
      </c>
      <c r="G295" s="8" t="s">
        <v>67</v>
      </c>
      <c r="H295" s="8" t="s">
        <v>1572</v>
      </c>
      <c r="I295" s="8" t="s">
        <v>1573</v>
      </c>
      <c r="J295" s="15" t="s">
        <v>5695</v>
      </c>
      <c r="K295" s="8"/>
      <c r="L295" s="15" t="s">
        <v>1685</v>
      </c>
      <c r="M295" s="8" t="s">
        <v>5578</v>
      </c>
      <c r="N295" s="8"/>
      <c r="O295" s="8" t="s">
        <v>5574</v>
      </c>
      <c r="P295" s="11"/>
      <c r="Q295" s="8" t="s">
        <v>5696</v>
      </c>
      <c r="R295" s="8" t="s">
        <v>5697</v>
      </c>
      <c r="S295" s="8" t="s">
        <v>5887</v>
      </c>
    </row>
    <row r="296" spans="1:19" ht="150" customHeight="1" x14ac:dyDescent="0.25">
      <c r="A296" s="8" t="s">
        <v>1286</v>
      </c>
      <c r="B296" s="8" t="s">
        <v>5693</v>
      </c>
      <c r="C296" s="8" t="s">
        <v>5694</v>
      </c>
      <c r="D296" s="10">
        <v>191</v>
      </c>
      <c r="E296" s="8" t="s">
        <v>1283</v>
      </c>
      <c r="F296" s="8" t="s">
        <v>1285</v>
      </c>
      <c r="G296" s="8" t="s">
        <v>67</v>
      </c>
      <c r="H296" s="8" t="s">
        <v>1282</v>
      </c>
      <c r="I296" s="8" t="s">
        <v>1283</v>
      </c>
      <c r="J296" s="15" t="s">
        <v>5695</v>
      </c>
      <c r="K296" s="8"/>
      <c r="L296" s="15" t="s">
        <v>1685</v>
      </c>
      <c r="M296" s="8" t="s">
        <v>5578</v>
      </c>
      <c r="N296" s="8"/>
      <c r="O296" s="8" t="s">
        <v>5574</v>
      </c>
      <c r="P296" s="11"/>
      <c r="Q296" s="8" t="s">
        <v>5696</v>
      </c>
      <c r="R296" s="8" t="s">
        <v>5697</v>
      </c>
      <c r="S296" s="8" t="s">
        <v>5888</v>
      </c>
    </row>
    <row r="297" spans="1:19" ht="150" customHeight="1" x14ac:dyDescent="0.25">
      <c r="A297" s="8" t="s">
        <v>1310</v>
      </c>
      <c r="B297" s="8" t="s">
        <v>5693</v>
      </c>
      <c r="C297" s="8" t="s">
        <v>5694</v>
      </c>
      <c r="D297" s="10">
        <v>192</v>
      </c>
      <c r="E297" s="8" t="s">
        <v>1308</v>
      </c>
      <c r="F297" s="8" t="s">
        <v>1309</v>
      </c>
      <c r="G297" s="8" t="s">
        <v>67</v>
      </c>
      <c r="H297" s="8" t="s">
        <v>1307</v>
      </c>
      <c r="I297" s="8" t="s">
        <v>1308</v>
      </c>
      <c r="J297" s="15" t="s">
        <v>5695</v>
      </c>
      <c r="K297" s="8"/>
      <c r="L297" s="15" t="s">
        <v>1685</v>
      </c>
      <c r="M297" s="8" t="s">
        <v>5578</v>
      </c>
      <c r="N297" s="8"/>
      <c r="O297" s="8" t="s">
        <v>5574</v>
      </c>
      <c r="P297" s="11"/>
      <c r="Q297" s="8" t="s">
        <v>5696</v>
      </c>
      <c r="R297" s="8" t="s">
        <v>5697</v>
      </c>
      <c r="S297" s="8" t="s">
        <v>5889</v>
      </c>
    </row>
    <row r="298" spans="1:19" ht="150" customHeight="1" x14ac:dyDescent="0.25">
      <c r="A298" s="8" t="s">
        <v>1500</v>
      </c>
      <c r="B298" s="8" t="s">
        <v>5693</v>
      </c>
      <c r="C298" s="8" t="s">
        <v>5694</v>
      </c>
      <c r="D298" s="10">
        <v>193</v>
      </c>
      <c r="E298" s="8" t="s">
        <v>1498</v>
      </c>
      <c r="F298" s="8" t="s">
        <v>1499</v>
      </c>
      <c r="G298" s="8" t="s">
        <v>67</v>
      </c>
      <c r="H298" s="8" t="s">
        <v>1497</v>
      </c>
      <c r="I298" s="8" t="s">
        <v>1498</v>
      </c>
      <c r="J298" s="15" t="s">
        <v>5695</v>
      </c>
      <c r="K298" s="8"/>
      <c r="L298" s="15" t="s">
        <v>1685</v>
      </c>
      <c r="M298" s="8" t="s">
        <v>5578</v>
      </c>
      <c r="N298" s="8"/>
      <c r="O298" s="8" t="s">
        <v>5574</v>
      </c>
      <c r="P298" s="11"/>
      <c r="Q298" s="8" t="s">
        <v>5696</v>
      </c>
      <c r="R298" s="8" t="s">
        <v>5697</v>
      </c>
      <c r="S298" s="8" t="s">
        <v>5890</v>
      </c>
    </row>
    <row r="299" spans="1:19" ht="150" customHeight="1" x14ac:dyDescent="0.25">
      <c r="A299" s="8" t="s">
        <v>1398</v>
      </c>
      <c r="B299" s="8" t="s">
        <v>5693</v>
      </c>
      <c r="C299" s="8" t="s">
        <v>5694</v>
      </c>
      <c r="D299" s="10">
        <v>194</v>
      </c>
      <c r="E299" s="8" t="s">
        <v>1396</v>
      </c>
      <c r="F299" s="8" t="s">
        <v>1397</v>
      </c>
      <c r="G299" s="8" t="s">
        <v>67</v>
      </c>
      <c r="H299" s="8" t="s">
        <v>1395</v>
      </c>
      <c r="I299" s="8" t="s">
        <v>1396</v>
      </c>
      <c r="J299" s="15" t="s">
        <v>5695</v>
      </c>
      <c r="K299" s="8"/>
      <c r="L299" s="15" t="s">
        <v>1685</v>
      </c>
      <c r="M299" s="8" t="s">
        <v>5578</v>
      </c>
      <c r="N299" s="8"/>
      <c r="O299" s="8" t="s">
        <v>5574</v>
      </c>
      <c r="P299" s="11"/>
      <c r="Q299" s="8" t="s">
        <v>5696</v>
      </c>
      <c r="R299" s="8" t="s">
        <v>5697</v>
      </c>
      <c r="S299" s="8" t="s">
        <v>5891</v>
      </c>
    </row>
    <row r="300" spans="1:19" ht="150" customHeight="1" x14ac:dyDescent="0.25">
      <c r="A300" s="8" t="s">
        <v>1015</v>
      </c>
      <c r="B300" s="8" t="s">
        <v>5693</v>
      </c>
      <c r="C300" s="8" t="s">
        <v>5694</v>
      </c>
      <c r="D300" s="10">
        <v>195</v>
      </c>
      <c r="E300" s="8" t="s">
        <v>1011</v>
      </c>
      <c r="F300" s="8" t="s">
        <v>3072</v>
      </c>
      <c r="G300" s="8" t="s">
        <v>67</v>
      </c>
      <c r="H300" s="8" t="s">
        <v>1010</v>
      </c>
      <c r="I300" s="8" t="s">
        <v>1011</v>
      </c>
      <c r="J300" s="15" t="s">
        <v>5695</v>
      </c>
      <c r="K300" s="8"/>
      <c r="L300" s="15" t="s">
        <v>1685</v>
      </c>
      <c r="M300" s="8" t="s">
        <v>5578</v>
      </c>
      <c r="N300" s="8"/>
      <c r="O300" s="8" t="s">
        <v>5574</v>
      </c>
      <c r="P300" s="11"/>
      <c r="Q300" s="8" t="s">
        <v>5696</v>
      </c>
      <c r="R300" s="8" t="s">
        <v>5697</v>
      </c>
      <c r="S300" s="8" t="s">
        <v>5892</v>
      </c>
    </row>
    <row r="301" spans="1:19" ht="150" customHeight="1" x14ac:dyDescent="0.25">
      <c r="A301" s="8" t="s">
        <v>1605</v>
      </c>
      <c r="B301" s="8" t="s">
        <v>5693</v>
      </c>
      <c r="C301" s="8" t="s">
        <v>5694</v>
      </c>
      <c r="D301" s="10">
        <v>196</v>
      </c>
      <c r="E301" s="8" t="s">
        <v>1603</v>
      </c>
      <c r="F301" s="8" t="s">
        <v>1604</v>
      </c>
      <c r="G301" s="8" t="s">
        <v>67</v>
      </c>
      <c r="H301" s="8" t="s">
        <v>1602</v>
      </c>
      <c r="I301" s="8" t="s">
        <v>1603</v>
      </c>
      <c r="J301" s="15" t="s">
        <v>5695</v>
      </c>
      <c r="K301" s="8"/>
      <c r="L301" s="15" t="s">
        <v>1685</v>
      </c>
      <c r="M301" s="8" t="s">
        <v>5578</v>
      </c>
      <c r="N301" s="8"/>
      <c r="O301" s="8" t="s">
        <v>5574</v>
      </c>
      <c r="P301" s="11"/>
      <c r="Q301" s="8" t="s">
        <v>5696</v>
      </c>
      <c r="R301" s="8" t="s">
        <v>5697</v>
      </c>
      <c r="S301" s="8" t="s">
        <v>5893</v>
      </c>
    </row>
    <row r="302" spans="1:19" ht="150" customHeight="1" x14ac:dyDescent="0.25">
      <c r="A302" s="8" t="s">
        <v>1551</v>
      </c>
      <c r="B302" s="8" t="s">
        <v>5693</v>
      </c>
      <c r="C302" s="8" t="s">
        <v>5694</v>
      </c>
      <c r="D302" s="10">
        <v>197</v>
      </c>
      <c r="E302" s="8" t="s">
        <v>1548</v>
      </c>
      <c r="F302" s="8" t="s">
        <v>1550</v>
      </c>
      <c r="G302" s="8" t="s">
        <v>67</v>
      </c>
      <c r="H302" s="8" t="s">
        <v>1547</v>
      </c>
      <c r="I302" s="8" t="s">
        <v>1548</v>
      </c>
      <c r="J302" s="15" t="s">
        <v>5695</v>
      </c>
      <c r="K302" s="8"/>
      <c r="L302" s="15" t="s">
        <v>1685</v>
      </c>
      <c r="M302" s="8" t="s">
        <v>5578</v>
      </c>
      <c r="N302" s="8"/>
      <c r="O302" s="8" t="s">
        <v>5574</v>
      </c>
      <c r="P302" s="11"/>
      <c r="Q302" s="8" t="s">
        <v>5696</v>
      </c>
      <c r="R302" s="8" t="s">
        <v>5697</v>
      </c>
      <c r="S302" s="8" t="s">
        <v>5894</v>
      </c>
    </row>
    <row r="303" spans="1:19" ht="150" customHeight="1" x14ac:dyDescent="0.25">
      <c r="A303" s="8" t="s">
        <v>1563</v>
      </c>
      <c r="B303" s="8" t="s">
        <v>5693</v>
      </c>
      <c r="C303" s="8" t="s">
        <v>5694</v>
      </c>
      <c r="D303" s="10">
        <v>198</v>
      </c>
      <c r="E303" s="8" t="s">
        <v>1561</v>
      </c>
      <c r="F303" s="8" t="s">
        <v>1562</v>
      </c>
      <c r="G303" s="8" t="s">
        <v>67</v>
      </c>
      <c r="H303" s="8" t="s">
        <v>1560</v>
      </c>
      <c r="I303" s="8" t="s">
        <v>1561</v>
      </c>
      <c r="J303" s="15" t="s">
        <v>5695</v>
      </c>
      <c r="K303" s="8"/>
      <c r="L303" s="15" t="s">
        <v>1685</v>
      </c>
      <c r="M303" s="8" t="s">
        <v>5578</v>
      </c>
      <c r="N303" s="8"/>
      <c r="O303" s="8" t="s">
        <v>5574</v>
      </c>
      <c r="P303" s="11"/>
      <c r="Q303" s="8" t="s">
        <v>5696</v>
      </c>
      <c r="R303" s="8" t="s">
        <v>5697</v>
      </c>
      <c r="S303" s="8" t="s">
        <v>5895</v>
      </c>
    </row>
    <row r="304" spans="1:19" ht="150" customHeight="1" x14ac:dyDescent="0.25">
      <c r="A304" s="8" t="s">
        <v>1447</v>
      </c>
      <c r="B304" s="8" t="s">
        <v>5693</v>
      </c>
      <c r="C304" s="8" t="s">
        <v>5694</v>
      </c>
      <c r="D304" s="10">
        <v>199</v>
      </c>
      <c r="E304" s="8" t="s">
        <v>1444</v>
      </c>
      <c r="F304" s="8" t="s">
        <v>1446</v>
      </c>
      <c r="G304" s="8" t="s">
        <v>67</v>
      </c>
      <c r="H304" s="8" t="s">
        <v>1443</v>
      </c>
      <c r="I304" s="8" t="s">
        <v>1444</v>
      </c>
      <c r="J304" s="15" t="s">
        <v>5695</v>
      </c>
      <c r="K304" s="8"/>
      <c r="L304" s="15" t="s">
        <v>1685</v>
      </c>
      <c r="M304" s="8" t="s">
        <v>5578</v>
      </c>
      <c r="N304" s="8"/>
      <c r="O304" s="8" t="s">
        <v>5574</v>
      </c>
      <c r="P304" s="11"/>
      <c r="Q304" s="8" t="s">
        <v>5696</v>
      </c>
      <c r="R304" s="8" t="s">
        <v>5697</v>
      </c>
      <c r="S304" s="8" t="s">
        <v>5896</v>
      </c>
    </row>
    <row r="305" spans="1:19" ht="150" customHeight="1" x14ac:dyDescent="0.25">
      <c r="A305" s="8" t="s">
        <v>1437</v>
      </c>
      <c r="B305" s="8" t="s">
        <v>5693</v>
      </c>
      <c r="C305" s="8" t="s">
        <v>5694</v>
      </c>
      <c r="D305" s="10">
        <v>200</v>
      </c>
      <c r="E305" s="8" t="s">
        <v>1435</v>
      </c>
      <c r="F305" s="8" t="s">
        <v>1436</v>
      </c>
      <c r="G305" s="8" t="s">
        <v>67</v>
      </c>
      <c r="H305" s="8" t="s">
        <v>1434</v>
      </c>
      <c r="I305" s="8" t="s">
        <v>1435</v>
      </c>
      <c r="J305" s="15" t="s">
        <v>5695</v>
      </c>
      <c r="K305" s="8"/>
      <c r="L305" s="15" t="s">
        <v>1685</v>
      </c>
      <c r="M305" s="8" t="s">
        <v>5578</v>
      </c>
      <c r="N305" s="8"/>
      <c r="O305" s="8" t="s">
        <v>5574</v>
      </c>
      <c r="P305" s="11"/>
      <c r="Q305" s="8" t="s">
        <v>5696</v>
      </c>
      <c r="R305" s="8" t="s">
        <v>5697</v>
      </c>
      <c r="S305" s="8" t="s">
        <v>5897</v>
      </c>
    </row>
    <row r="306" spans="1:19" ht="150" customHeight="1" x14ac:dyDescent="0.25">
      <c r="A306" s="8" t="s">
        <v>1351</v>
      </c>
      <c r="B306" s="8" t="s">
        <v>5693</v>
      </c>
      <c r="C306" s="8" t="s">
        <v>5694</v>
      </c>
      <c r="D306" s="10">
        <v>201</v>
      </c>
      <c r="E306" s="8" t="s">
        <v>1348</v>
      </c>
      <c r="F306" s="8" t="s">
        <v>1350</v>
      </c>
      <c r="G306" s="8" t="s">
        <v>67</v>
      </c>
      <c r="H306" s="8" t="s">
        <v>1347</v>
      </c>
      <c r="I306" s="8" t="s">
        <v>1348</v>
      </c>
      <c r="J306" s="15" t="s">
        <v>5695</v>
      </c>
      <c r="K306" s="8"/>
      <c r="L306" s="15" t="s">
        <v>1685</v>
      </c>
      <c r="M306" s="8" t="s">
        <v>5578</v>
      </c>
      <c r="N306" s="8"/>
      <c r="O306" s="8" t="s">
        <v>5574</v>
      </c>
      <c r="P306" s="11"/>
      <c r="Q306" s="8" t="s">
        <v>5696</v>
      </c>
      <c r="R306" s="8" t="s">
        <v>5697</v>
      </c>
      <c r="S306" s="8" t="s">
        <v>5898</v>
      </c>
    </row>
    <row r="307" spans="1:19" ht="150" customHeight="1" x14ac:dyDescent="0.25">
      <c r="A307" s="8" t="s">
        <v>1364</v>
      </c>
      <c r="B307" s="8" t="s">
        <v>5693</v>
      </c>
      <c r="C307" s="8" t="s">
        <v>5694</v>
      </c>
      <c r="D307" s="10">
        <v>202</v>
      </c>
      <c r="E307" s="8" t="s">
        <v>1362</v>
      </c>
      <c r="F307" s="8" t="s">
        <v>1363</v>
      </c>
      <c r="G307" s="8" t="s">
        <v>67</v>
      </c>
      <c r="H307" s="8" t="s">
        <v>1361</v>
      </c>
      <c r="I307" s="8" t="s">
        <v>1362</v>
      </c>
      <c r="J307" s="15" t="s">
        <v>5695</v>
      </c>
      <c r="K307" s="8"/>
      <c r="L307" s="15" t="s">
        <v>1685</v>
      </c>
      <c r="M307" s="8" t="s">
        <v>5578</v>
      </c>
      <c r="N307" s="8"/>
      <c r="O307" s="8" t="s">
        <v>5574</v>
      </c>
      <c r="P307" s="11"/>
      <c r="Q307" s="8" t="s">
        <v>5696</v>
      </c>
      <c r="R307" s="8" t="s">
        <v>5697</v>
      </c>
      <c r="S307" s="8" t="s">
        <v>5899</v>
      </c>
    </row>
    <row r="308" spans="1:19" ht="150" customHeight="1" x14ac:dyDescent="0.25">
      <c r="A308" s="8" t="s">
        <v>1555</v>
      </c>
      <c r="B308" s="8" t="s">
        <v>5693</v>
      </c>
      <c r="C308" s="8" t="s">
        <v>5694</v>
      </c>
      <c r="D308" s="10">
        <v>203</v>
      </c>
      <c r="E308" s="8" t="s">
        <v>1553</v>
      </c>
      <c r="F308" s="8" t="s">
        <v>1554</v>
      </c>
      <c r="G308" s="8" t="s">
        <v>67</v>
      </c>
      <c r="H308" s="8" t="s">
        <v>1552</v>
      </c>
      <c r="I308" s="8" t="s">
        <v>1553</v>
      </c>
      <c r="J308" s="15" t="s">
        <v>5695</v>
      </c>
      <c r="K308" s="8"/>
      <c r="L308" s="15" t="s">
        <v>1685</v>
      </c>
      <c r="M308" s="8" t="s">
        <v>5578</v>
      </c>
      <c r="N308" s="8"/>
      <c r="O308" s="8" t="s">
        <v>5574</v>
      </c>
      <c r="P308" s="11"/>
      <c r="Q308" s="8" t="s">
        <v>5696</v>
      </c>
      <c r="R308" s="8" t="s">
        <v>5697</v>
      </c>
      <c r="S308" s="8" t="s">
        <v>5900</v>
      </c>
    </row>
    <row r="309" spans="1:19" ht="150" customHeight="1" x14ac:dyDescent="0.25">
      <c r="A309" s="8" t="s">
        <v>1526</v>
      </c>
      <c r="B309" s="8" t="s">
        <v>5693</v>
      </c>
      <c r="C309" s="8" t="s">
        <v>5694</v>
      </c>
      <c r="D309" s="10">
        <v>204</v>
      </c>
      <c r="E309" s="8" t="s">
        <v>1523</v>
      </c>
      <c r="F309" s="8" t="s">
        <v>1525</v>
      </c>
      <c r="G309" s="8" t="s">
        <v>67</v>
      </c>
      <c r="H309" s="8" t="s">
        <v>1522</v>
      </c>
      <c r="I309" s="8" t="s">
        <v>1523</v>
      </c>
      <c r="J309" s="15" t="s">
        <v>5695</v>
      </c>
      <c r="K309" s="8"/>
      <c r="L309" s="15" t="s">
        <v>1685</v>
      </c>
      <c r="M309" s="8" t="s">
        <v>5578</v>
      </c>
      <c r="N309" s="8"/>
      <c r="O309" s="8" t="s">
        <v>5574</v>
      </c>
      <c r="P309" s="11"/>
      <c r="Q309" s="8" t="s">
        <v>5696</v>
      </c>
      <c r="R309" s="8" t="s">
        <v>5697</v>
      </c>
      <c r="S309" s="8" t="s">
        <v>5901</v>
      </c>
    </row>
    <row r="310" spans="1:19" ht="150" customHeight="1" x14ac:dyDescent="0.25">
      <c r="A310" s="8" t="s">
        <v>1406</v>
      </c>
      <c r="B310" s="8" t="s">
        <v>5693</v>
      </c>
      <c r="C310" s="8" t="s">
        <v>5694</v>
      </c>
      <c r="D310" s="10">
        <v>205</v>
      </c>
      <c r="E310" s="8" t="s">
        <v>1404</v>
      </c>
      <c r="F310" s="8" t="s">
        <v>1405</v>
      </c>
      <c r="G310" s="8" t="s">
        <v>67</v>
      </c>
      <c r="H310" s="8" t="s">
        <v>1403</v>
      </c>
      <c r="I310" s="8" t="s">
        <v>1404</v>
      </c>
      <c r="J310" s="15" t="s">
        <v>5695</v>
      </c>
      <c r="K310" s="8"/>
      <c r="L310" s="15" t="s">
        <v>1685</v>
      </c>
      <c r="M310" s="8" t="s">
        <v>5578</v>
      </c>
      <c r="N310" s="8"/>
      <c r="O310" s="8" t="s">
        <v>5574</v>
      </c>
      <c r="P310" s="11"/>
      <c r="Q310" s="8" t="s">
        <v>5696</v>
      </c>
      <c r="R310" s="8" t="s">
        <v>5697</v>
      </c>
      <c r="S310" s="8" t="s">
        <v>5902</v>
      </c>
    </row>
    <row r="311" spans="1:19" ht="150" customHeight="1" x14ac:dyDescent="0.25">
      <c r="A311" s="8" t="s">
        <v>1601</v>
      </c>
      <c r="B311" s="8" t="s">
        <v>5693</v>
      </c>
      <c r="C311" s="8" t="s">
        <v>5694</v>
      </c>
      <c r="D311" s="10">
        <v>206</v>
      </c>
      <c r="E311" s="8" t="s">
        <v>1598</v>
      </c>
      <c r="F311" s="8" t="s">
        <v>1600</v>
      </c>
      <c r="G311" s="8" t="s">
        <v>67</v>
      </c>
      <c r="H311" s="8" t="s">
        <v>1597</v>
      </c>
      <c r="I311" s="8" t="s">
        <v>1598</v>
      </c>
      <c r="J311" s="15" t="s">
        <v>5695</v>
      </c>
      <c r="K311" s="8"/>
      <c r="L311" s="15" t="s">
        <v>1685</v>
      </c>
      <c r="M311" s="8" t="s">
        <v>5578</v>
      </c>
      <c r="N311" s="8"/>
      <c r="O311" s="8" t="s">
        <v>5574</v>
      </c>
      <c r="P311" s="11"/>
      <c r="Q311" s="8" t="s">
        <v>5696</v>
      </c>
      <c r="R311" s="8" t="s">
        <v>5697</v>
      </c>
      <c r="S311" s="8" t="s">
        <v>5903</v>
      </c>
    </row>
    <row r="312" spans="1:19" ht="150" customHeight="1" x14ac:dyDescent="0.25">
      <c r="A312" s="8" t="s">
        <v>1442</v>
      </c>
      <c r="B312" s="8" t="s">
        <v>5693</v>
      </c>
      <c r="C312" s="8" t="s">
        <v>5694</v>
      </c>
      <c r="D312" s="10">
        <v>207</v>
      </c>
      <c r="E312" s="8" t="s">
        <v>1439</v>
      </c>
      <c r="F312" s="8" t="s">
        <v>1441</v>
      </c>
      <c r="G312" s="8" t="s">
        <v>67</v>
      </c>
      <c r="H312" s="8" t="s">
        <v>1438</v>
      </c>
      <c r="I312" s="8" t="s">
        <v>1439</v>
      </c>
      <c r="J312" s="15" t="s">
        <v>5695</v>
      </c>
      <c r="K312" s="8"/>
      <c r="L312" s="15" t="s">
        <v>1685</v>
      </c>
      <c r="M312" s="8" t="s">
        <v>5578</v>
      </c>
      <c r="N312" s="8"/>
      <c r="O312" s="8" t="s">
        <v>5574</v>
      </c>
      <c r="P312" s="11"/>
      <c r="Q312" s="8" t="s">
        <v>5696</v>
      </c>
      <c r="R312" s="8" t="s">
        <v>5697</v>
      </c>
      <c r="S312" s="8" t="s">
        <v>5904</v>
      </c>
    </row>
    <row r="313" spans="1:19" ht="150" customHeight="1" x14ac:dyDescent="0.25">
      <c r="A313" s="8" t="s">
        <v>1652</v>
      </c>
      <c r="B313" s="8" t="s">
        <v>5693</v>
      </c>
      <c r="C313" s="8" t="s">
        <v>5694</v>
      </c>
      <c r="D313" s="10">
        <v>208</v>
      </c>
      <c r="E313" s="8" t="s">
        <v>1650</v>
      </c>
      <c r="F313" s="8" t="s">
        <v>1651</v>
      </c>
      <c r="G313" s="8" t="s">
        <v>67</v>
      </c>
      <c r="H313" s="8" t="s">
        <v>1649</v>
      </c>
      <c r="I313" s="8" t="s">
        <v>1650</v>
      </c>
      <c r="J313" s="15" t="s">
        <v>5695</v>
      </c>
      <c r="K313" s="8"/>
      <c r="L313" s="15" t="s">
        <v>1685</v>
      </c>
      <c r="M313" s="8" t="s">
        <v>5578</v>
      </c>
      <c r="N313" s="8"/>
      <c r="O313" s="8" t="s">
        <v>5574</v>
      </c>
      <c r="P313" s="11"/>
      <c r="Q313" s="8" t="s">
        <v>5696</v>
      </c>
      <c r="R313" s="8" t="s">
        <v>5697</v>
      </c>
      <c r="S313" s="8" t="s">
        <v>5905</v>
      </c>
    </row>
    <row r="314" spans="1:19" ht="150" customHeight="1" x14ac:dyDescent="0.25">
      <c r="A314" s="8" t="s">
        <v>1596</v>
      </c>
      <c r="B314" s="8" t="s">
        <v>5693</v>
      </c>
      <c r="C314" s="8" t="s">
        <v>5694</v>
      </c>
      <c r="D314" s="10">
        <v>209</v>
      </c>
      <c r="E314" s="8" t="s">
        <v>1594</v>
      </c>
      <c r="F314" s="8" t="s">
        <v>1595</v>
      </c>
      <c r="G314" s="8" t="s">
        <v>67</v>
      </c>
      <c r="H314" s="8" t="s">
        <v>1593</v>
      </c>
      <c r="I314" s="8" t="s">
        <v>1594</v>
      </c>
      <c r="J314" s="15" t="s">
        <v>5695</v>
      </c>
      <c r="K314" s="8"/>
      <c r="L314" s="15" t="s">
        <v>1685</v>
      </c>
      <c r="M314" s="8" t="s">
        <v>5578</v>
      </c>
      <c r="N314" s="8"/>
      <c r="O314" s="8" t="s">
        <v>5574</v>
      </c>
      <c r="P314" s="11"/>
      <c r="Q314" s="8" t="s">
        <v>5696</v>
      </c>
      <c r="R314" s="8" t="s">
        <v>5697</v>
      </c>
      <c r="S314" s="8" t="s">
        <v>5906</v>
      </c>
    </row>
    <row r="315" spans="1:19" ht="150" customHeight="1" x14ac:dyDescent="0.25">
      <c r="A315" s="8" t="s">
        <v>1480</v>
      </c>
      <c r="B315" s="8" t="s">
        <v>5693</v>
      </c>
      <c r="C315" s="8" t="s">
        <v>5694</v>
      </c>
      <c r="D315" s="10">
        <v>210</v>
      </c>
      <c r="E315" s="8" t="s">
        <v>1478</v>
      </c>
      <c r="F315" s="8" t="s">
        <v>1479</v>
      </c>
      <c r="G315" s="8" t="s">
        <v>67</v>
      </c>
      <c r="H315" s="8" t="s">
        <v>1477</v>
      </c>
      <c r="I315" s="8" t="s">
        <v>1478</v>
      </c>
      <c r="J315" s="15" t="s">
        <v>5695</v>
      </c>
      <c r="K315" s="8"/>
      <c r="L315" s="15" t="s">
        <v>1685</v>
      </c>
      <c r="M315" s="8" t="s">
        <v>5578</v>
      </c>
      <c r="N315" s="8"/>
      <c r="O315" s="8" t="s">
        <v>5574</v>
      </c>
      <c r="P315" s="11"/>
      <c r="Q315" s="8" t="s">
        <v>5696</v>
      </c>
      <c r="R315" s="8" t="s">
        <v>5697</v>
      </c>
      <c r="S315" s="8" t="s">
        <v>5907</v>
      </c>
    </row>
    <row r="316" spans="1:19" ht="150" customHeight="1" x14ac:dyDescent="0.25">
      <c r="A316" s="8" t="s">
        <v>1609</v>
      </c>
      <c r="B316" s="8" t="s">
        <v>5693</v>
      </c>
      <c r="C316" s="8" t="s">
        <v>5694</v>
      </c>
      <c r="D316" s="10">
        <v>211</v>
      </c>
      <c r="E316" s="8" t="s">
        <v>1607</v>
      </c>
      <c r="F316" s="8" t="s">
        <v>1608</v>
      </c>
      <c r="G316" s="8" t="s">
        <v>67</v>
      </c>
      <c r="H316" s="8" t="s">
        <v>1606</v>
      </c>
      <c r="I316" s="8" t="s">
        <v>1607</v>
      </c>
      <c r="J316" s="15" t="s">
        <v>5695</v>
      </c>
      <c r="K316" s="8"/>
      <c r="L316" s="15" t="s">
        <v>1685</v>
      </c>
      <c r="M316" s="8" t="s">
        <v>5578</v>
      </c>
      <c r="N316" s="8"/>
      <c r="O316" s="8" t="s">
        <v>5574</v>
      </c>
      <c r="P316" s="11"/>
      <c r="Q316" s="8" t="s">
        <v>5696</v>
      </c>
      <c r="R316" s="8" t="s">
        <v>5697</v>
      </c>
      <c r="S316" s="8" t="s">
        <v>5908</v>
      </c>
    </row>
    <row r="317" spans="1:19" ht="150" customHeight="1" x14ac:dyDescent="0.25">
      <c r="A317" s="8" t="s">
        <v>1298</v>
      </c>
      <c r="B317" s="8" t="s">
        <v>5693</v>
      </c>
      <c r="C317" s="8" t="s">
        <v>5694</v>
      </c>
      <c r="D317" s="10">
        <v>212</v>
      </c>
      <c r="E317" s="8" t="s">
        <v>1296</v>
      </c>
      <c r="F317" s="8" t="s">
        <v>1297</v>
      </c>
      <c r="G317" s="8" t="s">
        <v>67</v>
      </c>
      <c r="H317" s="8" t="s">
        <v>1295</v>
      </c>
      <c r="I317" s="8" t="s">
        <v>1296</v>
      </c>
      <c r="J317" s="15" t="s">
        <v>5695</v>
      </c>
      <c r="K317" s="8"/>
      <c r="L317" s="15" t="s">
        <v>1685</v>
      </c>
      <c r="M317" s="8" t="s">
        <v>5578</v>
      </c>
      <c r="N317" s="8"/>
      <c r="O317" s="8" t="s">
        <v>5574</v>
      </c>
      <c r="P317" s="11"/>
      <c r="Q317" s="8" t="s">
        <v>5696</v>
      </c>
      <c r="R317" s="8" t="s">
        <v>5697</v>
      </c>
      <c r="S317" s="8" t="s">
        <v>5909</v>
      </c>
    </row>
    <row r="318" spans="1:19" ht="150" customHeight="1" x14ac:dyDescent="0.25">
      <c r="A318" s="8" t="s">
        <v>1424</v>
      </c>
      <c r="B318" s="8" t="s">
        <v>5693</v>
      </c>
      <c r="C318" s="8" t="s">
        <v>5694</v>
      </c>
      <c r="D318" s="10">
        <v>213</v>
      </c>
      <c r="E318" s="8" t="s">
        <v>1422</v>
      </c>
      <c r="F318" s="8" t="s">
        <v>1423</v>
      </c>
      <c r="G318" s="8" t="s">
        <v>67</v>
      </c>
      <c r="H318" s="8" t="s">
        <v>1421</v>
      </c>
      <c r="I318" s="8" t="s">
        <v>1422</v>
      </c>
      <c r="J318" s="15" t="s">
        <v>5695</v>
      </c>
      <c r="K318" s="8"/>
      <c r="L318" s="15" t="s">
        <v>1685</v>
      </c>
      <c r="M318" s="8" t="s">
        <v>5578</v>
      </c>
      <c r="N318" s="8"/>
      <c r="O318" s="8" t="s">
        <v>5574</v>
      </c>
      <c r="P318" s="11"/>
      <c r="Q318" s="8" t="s">
        <v>5696</v>
      </c>
      <c r="R318" s="8" t="s">
        <v>5697</v>
      </c>
      <c r="S318" s="8" t="s">
        <v>5910</v>
      </c>
    </row>
    <row r="319" spans="1:19" ht="150" customHeight="1" x14ac:dyDescent="0.25">
      <c r="A319" s="8" t="s">
        <v>1660</v>
      </c>
      <c r="B319" s="8" t="s">
        <v>5693</v>
      </c>
      <c r="C319" s="8" t="s">
        <v>5694</v>
      </c>
      <c r="D319" s="10">
        <v>214</v>
      </c>
      <c r="E319" s="8" t="s">
        <v>1658</v>
      </c>
      <c r="F319" s="8" t="s">
        <v>1659</v>
      </c>
      <c r="G319" s="8" t="s">
        <v>67</v>
      </c>
      <c r="H319" s="8" t="s">
        <v>1657</v>
      </c>
      <c r="I319" s="8" t="s">
        <v>1658</v>
      </c>
      <c r="J319" s="15" t="s">
        <v>5695</v>
      </c>
      <c r="K319" s="8"/>
      <c r="L319" s="15" t="s">
        <v>1685</v>
      </c>
      <c r="M319" s="8" t="s">
        <v>5578</v>
      </c>
      <c r="N319" s="8"/>
      <c r="O319" s="8" t="s">
        <v>5574</v>
      </c>
      <c r="P319" s="11"/>
      <c r="Q319" s="8" t="s">
        <v>5696</v>
      </c>
      <c r="R319" s="8" t="s">
        <v>5697</v>
      </c>
      <c r="S319" s="8" t="s">
        <v>5911</v>
      </c>
    </row>
    <row r="320" spans="1:19" ht="150" customHeight="1" x14ac:dyDescent="0.25">
      <c r="A320" s="8" t="s">
        <v>1455</v>
      </c>
      <c r="B320" s="8" t="s">
        <v>5693</v>
      </c>
      <c r="C320" s="8" t="s">
        <v>5694</v>
      </c>
      <c r="D320" s="10">
        <v>215</v>
      </c>
      <c r="E320" s="8" t="s">
        <v>1453</v>
      </c>
      <c r="F320" s="8" t="s">
        <v>1454</v>
      </c>
      <c r="G320" s="8" t="s">
        <v>67</v>
      </c>
      <c r="H320" s="8" t="s">
        <v>1452</v>
      </c>
      <c r="I320" s="8" t="s">
        <v>1453</v>
      </c>
      <c r="J320" s="15" t="s">
        <v>5695</v>
      </c>
      <c r="K320" s="8"/>
      <c r="L320" s="15" t="s">
        <v>1685</v>
      </c>
      <c r="M320" s="8" t="s">
        <v>5578</v>
      </c>
      <c r="N320" s="8"/>
      <c r="O320" s="8" t="s">
        <v>5574</v>
      </c>
      <c r="P320" s="11"/>
      <c r="Q320" s="8" t="s">
        <v>5696</v>
      </c>
      <c r="R320" s="8" t="s">
        <v>5697</v>
      </c>
      <c r="S320" s="8" t="s">
        <v>5912</v>
      </c>
    </row>
    <row r="321" spans="1:19" ht="150" customHeight="1" x14ac:dyDescent="0.25">
      <c r="A321" s="8" t="s">
        <v>1640</v>
      </c>
      <c r="B321" s="8" t="s">
        <v>5693</v>
      </c>
      <c r="C321" s="8" t="s">
        <v>5694</v>
      </c>
      <c r="D321" s="10">
        <v>216</v>
      </c>
      <c r="E321" s="8" t="s">
        <v>1638</v>
      </c>
      <c r="F321" s="8" t="s">
        <v>1639</v>
      </c>
      <c r="G321" s="8" t="s">
        <v>67</v>
      </c>
      <c r="H321" s="8" t="s">
        <v>1637</v>
      </c>
      <c r="I321" s="8" t="s">
        <v>1638</v>
      </c>
      <c r="J321" s="15" t="s">
        <v>5695</v>
      </c>
      <c r="K321" s="8"/>
      <c r="L321" s="15" t="s">
        <v>1685</v>
      </c>
      <c r="M321" s="8" t="s">
        <v>5578</v>
      </c>
      <c r="N321" s="8"/>
      <c r="O321" s="8" t="s">
        <v>5574</v>
      </c>
      <c r="P321" s="11"/>
      <c r="Q321" s="8" t="s">
        <v>5696</v>
      </c>
      <c r="R321" s="8" t="s">
        <v>5697</v>
      </c>
      <c r="S321" s="8" t="s">
        <v>5913</v>
      </c>
    </row>
    <row r="322" spans="1:19" ht="150" customHeight="1" x14ac:dyDescent="0.25">
      <c r="A322" s="8" t="s">
        <v>1648</v>
      </c>
      <c r="B322" s="8" t="s">
        <v>5693</v>
      </c>
      <c r="C322" s="8" t="s">
        <v>5694</v>
      </c>
      <c r="D322" s="10">
        <v>217</v>
      </c>
      <c r="E322" s="8" t="s">
        <v>1646</v>
      </c>
      <c r="F322" s="8" t="s">
        <v>1647</v>
      </c>
      <c r="G322" s="8" t="s">
        <v>67</v>
      </c>
      <c r="H322" s="8" t="s">
        <v>1645</v>
      </c>
      <c r="I322" s="8" t="s">
        <v>1646</v>
      </c>
      <c r="J322" s="15" t="s">
        <v>5695</v>
      </c>
      <c r="K322" s="8"/>
      <c r="L322" s="15" t="s">
        <v>1685</v>
      </c>
      <c r="M322" s="8" t="s">
        <v>5578</v>
      </c>
      <c r="N322" s="8"/>
      <c r="O322" s="8" t="s">
        <v>5574</v>
      </c>
      <c r="P322" s="11"/>
      <c r="Q322" s="8" t="s">
        <v>5696</v>
      </c>
      <c r="R322" s="8" t="s">
        <v>5697</v>
      </c>
      <c r="S322" s="8" t="s">
        <v>5914</v>
      </c>
    </row>
    <row r="323" spans="1:19" ht="150" customHeight="1" x14ac:dyDescent="0.25">
      <c r="A323" s="8" t="s">
        <v>1571</v>
      </c>
      <c r="B323" s="8" t="s">
        <v>5693</v>
      </c>
      <c r="C323" s="8" t="s">
        <v>5694</v>
      </c>
      <c r="D323" s="10">
        <v>218</v>
      </c>
      <c r="E323" s="8" t="s">
        <v>1569</v>
      </c>
      <c r="F323" s="8" t="s">
        <v>1570</v>
      </c>
      <c r="G323" s="8" t="s">
        <v>67</v>
      </c>
      <c r="H323" s="8" t="s">
        <v>1568</v>
      </c>
      <c r="I323" s="8" t="s">
        <v>1569</v>
      </c>
      <c r="J323" s="15" t="s">
        <v>5695</v>
      </c>
      <c r="K323" s="8"/>
      <c r="L323" s="15" t="s">
        <v>1685</v>
      </c>
      <c r="M323" s="8" t="s">
        <v>5578</v>
      </c>
      <c r="N323" s="8"/>
      <c r="O323" s="8" t="s">
        <v>5574</v>
      </c>
      <c r="P323" s="11"/>
      <c r="Q323" s="8" t="s">
        <v>5696</v>
      </c>
      <c r="R323" s="8" t="s">
        <v>5697</v>
      </c>
      <c r="S323" s="8" t="s">
        <v>5915</v>
      </c>
    </row>
    <row r="324" spans="1:19" ht="150" customHeight="1" x14ac:dyDescent="0.25">
      <c r="A324" s="8" t="s">
        <v>1587</v>
      </c>
      <c r="B324" s="8" t="s">
        <v>5693</v>
      </c>
      <c r="C324" s="8" t="s">
        <v>5694</v>
      </c>
      <c r="D324" s="10">
        <v>219</v>
      </c>
      <c r="E324" s="8" t="s">
        <v>1585</v>
      </c>
      <c r="F324" s="8" t="s">
        <v>1586</v>
      </c>
      <c r="G324" s="8" t="s">
        <v>67</v>
      </c>
      <c r="H324" s="8" t="s">
        <v>1584</v>
      </c>
      <c r="I324" s="8" t="s">
        <v>1585</v>
      </c>
      <c r="J324" s="15" t="s">
        <v>5695</v>
      </c>
      <c r="K324" s="8"/>
      <c r="L324" s="15" t="s">
        <v>1685</v>
      </c>
      <c r="M324" s="8" t="s">
        <v>5578</v>
      </c>
      <c r="N324" s="8"/>
      <c r="O324" s="8" t="s">
        <v>5574</v>
      </c>
      <c r="P324" s="11"/>
      <c r="Q324" s="8" t="s">
        <v>5696</v>
      </c>
      <c r="R324" s="8" t="s">
        <v>5697</v>
      </c>
      <c r="S324" s="8" t="s">
        <v>5916</v>
      </c>
    </row>
    <row r="325" spans="1:19" ht="107.1" customHeight="1" x14ac:dyDescent="0.25">
      <c r="A325" s="8" t="s">
        <v>5917</v>
      </c>
      <c r="B325" s="8" t="s">
        <v>5693</v>
      </c>
      <c r="C325" s="8" t="s">
        <v>5918</v>
      </c>
      <c r="D325" s="10">
        <v>4</v>
      </c>
      <c r="E325" s="8" t="s">
        <v>566</v>
      </c>
      <c r="F325" s="8" t="s">
        <v>2985</v>
      </c>
      <c r="G325" s="8" t="s">
        <v>4551</v>
      </c>
      <c r="H325" s="8" t="s">
        <v>566</v>
      </c>
      <c r="I325" s="8" t="s">
        <v>566</v>
      </c>
      <c r="J325" s="15" t="s">
        <v>5695</v>
      </c>
      <c r="K325" s="8"/>
      <c r="L325" s="15" t="s">
        <v>1685</v>
      </c>
      <c r="M325" s="8" t="s">
        <v>5578</v>
      </c>
      <c r="N325" s="8"/>
      <c r="O325" s="8" t="s">
        <v>5574</v>
      </c>
      <c r="P325" s="11"/>
      <c r="Q325" s="8" t="s">
        <v>5696</v>
      </c>
      <c r="R325" s="8" t="s">
        <v>5919</v>
      </c>
      <c r="S325" s="8" t="s">
        <v>5920</v>
      </c>
    </row>
    <row r="326" spans="1:19" ht="107.1" customHeight="1" x14ac:dyDescent="0.25">
      <c r="A326" s="8" t="s">
        <v>5921</v>
      </c>
      <c r="B326" s="8" t="s">
        <v>5693</v>
      </c>
      <c r="C326" s="8" t="s">
        <v>5918</v>
      </c>
      <c r="D326" s="10">
        <v>5</v>
      </c>
      <c r="E326" s="8" t="s">
        <v>490</v>
      </c>
      <c r="F326" s="8" t="s">
        <v>5699</v>
      </c>
      <c r="G326" s="8" t="s">
        <v>4551</v>
      </c>
      <c r="H326" s="8" t="s">
        <v>490</v>
      </c>
      <c r="I326" s="8" t="s">
        <v>490</v>
      </c>
      <c r="J326" s="15" t="s">
        <v>5695</v>
      </c>
      <c r="K326" s="8"/>
      <c r="L326" s="15" t="s">
        <v>1685</v>
      </c>
      <c r="M326" s="8" t="s">
        <v>5578</v>
      </c>
      <c r="N326" s="8"/>
      <c r="O326" s="8" t="s">
        <v>5574</v>
      </c>
      <c r="P326" s="11"/>
      <c r="Q326" s="8" t="s">
        <v>5696</v>
      </c>
      <c r="R326" s="8" t="s">
        <v>5919</v>
      </c>
      <c r="S326" s="8" t="s">
        <v>5922</v>
      </c>
    </row>
    <row r="327" spans="1:19" ht="107.1" customHeight="1" x14ac:dyDescent="0.25">
      <c r="A327" s="8" t="s">
        <v>5923</v>
      </c>
      <c r="B327" s="8" t="s">
        <v>5693</v>
      </c>
      <c r="C327" s="8" t="s">
        <v>5918</v>
      </c>
      <c r="D327" s="10">
        <v>6</v>
      </c>
      <c r="E327" s="8" t="s">
        <v>834</v>
      </c>
      <c r="F327" s="8" t="s">
        <v>836</v>
      </c>
      <c r="G327" s="8" t="s">
        <v>4551</v>
      </c>
      <c r="H327" s="8" t="s">
        <v>834</v>
      </c>
      <c r="I327" s="8" t="s">
        <v>834</v>
      </c>
      <c r="J327" s="15" t="s">
        <v>5695</v>
      </c>
      <c r="K327" s="8"/>
      <c r="L327" s="15" t="s">
        <v>1685</v>
      </c>
      <c r="M327" s="8" t="s">
        <v>5578</v>
      </c>
      <c r="N327" s="8"/>
      <c r="O327" s="8" t="s">
        <v>5574</v>
      </c>
      <c r="P327" s="11"/>
      <c r="Q327" s="8" t="s">
        <v>5696</v>
      </c>
      <c r="R327" s="8" t="s">
        <v>5919</v>
      </c>
      <c r="S327" s="8" t="s">
        <v>5924</v>
      </c>
    </row>
    <row r="328" spans="1:19" ht="107.1" customHeight="1" x14ac:dyDescent="0.25">
      <c r="A328" s="8" t="s">
        <v>5925</v>
      </c>
      <c r="B328" s="8" t="s">
        <v>5693</v>
      </c>
      <c r="C328" s="8" t="s">
        <v>5918</v>
      </c>
      <c r="D328" s="10">
        <v>7</v>
      </c>
      <c r="E328" s="8" t="s">
        <v>1202</v>
      </c>
      <c r="F328" s="8" t="s">
        <v>1203</v>
      </c>
      <c r="G328" s="8" t="s">
        <v>4551</v>
      </c>
      <c r="H328" s="8" t="s">
        <v>1202</v>
      </c>
      <c r="I328" s="8" t="s">
        <v>1202</v>
      </c>
      <c r="J328" s="15" t="s">
        <v>5695</v>
      </c>
      <c r="K328" s="8"/>
      <c r="L328" s="15" t="s">
        <v>1685</v>
      </c>
      <c r="M328" s="8" t="s">
        <v>5578</v>
      </c>
      <c r="N328" s="8"/>
      <c r="O328" s="8" t="s">
        <v>5574</v>
      </c>
      <c r="P328" s="11"/>
      <c r="Q328" s="8" t="s">
        <v>5696</v>
      </c>
      <c r="R328" s="8" t="s">
        <v>5919</v>
      </c>
      <c r="S328" s="8" t="s">
        <v>5926</v>
      </c>
    </row>
    <row r="329" spans="1:19" ht="107.1" customHeight="1" x14ac:dyDescent="0.25">
      <c r="A329" s="8" t="s">
        <v>5927</v>
      </c>
      <c r="B329" s="8" t="s">
        <v>5693</v>
      </c>
      <c r="C329" s="8" t="s">
        <v>5918</v>
      </c>
      <c r="D329" s="10">
        <v>8</v>
      </c>
      <c r="E329" s="8" t="s">
        <v>414</v>
      </c>
      <c r="F329" s="8" t="s">
        <v>3051</v>
      </c>
      <c r="G329" s="8" t="s">
        <v>4551</v>
      </c>
      <c r="H329" s="8" t="s">
        <v>414</v>
      </c>
      <c r="I329" s="8" t="s">
        <v>414</v>
      </c>
      <c r="J329" s="15" t="s">
        <v>5695</v>
      </c>
      <c r="K329" s="8"/>
      <c r="L329" s="15" t="s">
        <v>1685</v>
      </c>
      <c r="M329" s="8" t="s">
        <v>5578</v>
      </c>
      <c r="N329" s="8"/>
      <c r="O329" s="8" t="s">
        <v>5574</v>
      </c>
      <c r="P329" s="11"/>
      <c r="Q329" s="8" t="s">
        <v>5696</v>
      </c>
      <c r="R329" s="8" t="s">
        <v>5919</v>
      </c>
      <c r="S329" s="8" t="s">
        <v>5928</v>
      </c>
    </row>
    <row r="330" spans="1:19" ht="107.1" customHeight="1" x14ac:dyDescent="0.25">
      <c r="A330" s="8" t="s">
        <v>5929</v>
      </c>
      <c r="B330" s="8" t="s">
        <v>5693</v>
      </c>
      <c r="C330" s="8" t="s">
        <v>5918</v>
      </c>
      <c r="D330" s="10">
        <v>9</v>
      </c>
      <c r="E330" s="8" t="s">
        <v>466</v>
      </c>
      <c r="F330" s="8" t="s">
        <v>2979</v>
      </c>
      <c r="G330" s="8" t="s">
        <v>4551</v>
      </c>
      <c r="H330" s="8" t="s">
        <v>466</v>
      </c>
      <c r="I330" s="8" t="s">
        <v>466</v>
      </c>
      <c r="J330" s="15" t="s">
        <v>5695</v>
      </c>
      <c r="K330" s="8"/>
      <c r="L330" s="15" t="s">
        <v>1685</v>
      </c>
      <c r="M330" s="8" t="s">
        <v>5578</v>
      </c>
      <c r="N330" s="8"/>
      <c r="O330" s="8" t="s">
        <v>5574</v>
      </c>
      <c r="P330" s="11"/>
      <c r="Q330" s="8" t="s">
        <v>5696</v>
      </c>
      <c r="R330" s="8" t="s">
        <v>5919</v>
      </c>
      <c r="S330" s="8" t="s">
        <v>5930</v>
      </c>
    </row>
    <row r="331" spans="1:19" ht="107.1" customHeight="1" x14ac:dyDescent="0.25">
      <c r="A331" s="8" t="s">
        <v>5931</v>
      </c>
      <c r="B331" s="8" t="s">
        <v>5693</v>
      </c>
      <c r="C331" s="8" t="s">
        <v>5918</v>
      </c>
      <c r="D331" s="10">
        <v>10</v>
      </c>
      <c r="E331" s="8" t="s">
        <v>445</v>
      </c>
      <c r="F331" s="8" t="s">
        <v>3079</v>
      </c>
      <c r="G331" s="8" t="s">
        <v>4551</v>
      </c>
      <c r="H331" s="8" t="s">
        <v>445</v>
      </c>
      <c r="I331" s="8" t="s">
        <v>445</v>
      </c>
      <c r="J331" s="15" t="s">
        <v>5695</v>
      </c>
      <c r="K331" s="8"/>
      <c r="L331" s="15" t="s">
        <v>1685</v>
      </c>
      <c r="M331" s="8" t="s">
        <v>5578</v>
      </c>
      <c r="N331" s="8"/>
      <c r="O331" s="8" t="s">
        <v>5574</v>
      </c>
      <c r="P331" s="11"/>
      <c r="Q331" s="8" t="s">
        <v>5696</v>
      </c>
      <c r="R331" s="8" t="s">
        <v>5919</v>
      </c>
      <c r="S331" s="8" t="s">
        <v>5932</v>
      </c>
    </row>
    <row r="332" spans="1:19" ht="107.1" customHeight="1" x14ac:dyDescent="0.25">
      <c r="A332" s="8" t="s">
        <v>5933</v>
      </c>
      <c r="B332" s="8" t="s">
        <v>5693</v>
      </c>
      <c r="C332" s="8" t="s">
        <v>5918</v>
      </c>
      <c r="D332" s="10">
        <v>11</v>
      </c>
      <c r="E332" s="8" t="s">
        <v>642</v>
      </c>
      <c r="F332" s="8" t="s">
        <v>2864</v>
      </c>
      <c r="G332" s="8" t="s">
        <v>4551</v>
      </c>
      <c r="H332" s="8" t="s">
        <v>642</v>
      </c>
      <c r="I332" s="8" t="s">
        <v>642</v>
      </c>
      <c r="J332" s="15" t="s">
        <v>5695</v>
      </c>
      <c r="K332" s="8"/>
      <c r="L332" s="15" t="s">
        <v>1685</v>
      </c>
      <c r="M332" s="8" t="s">
        <v>5578</v>
      </c>
      <c r="N332" s="8"/>
      <c r="O332" s="8" t="s">
        <v>5574</v>
      </c>
      <c r="P332" s="11"/>
      <c r="Q332" s="8" t="s">
        <v>5696</v>
      </c>
      <c r="R332" s="8" t="s">
        <v>5919</v>
      </c>
      <c r="S332" s="8" t="s">
        <v>5934</v>
      </c>
    </row>
    <row r="333" spans="1:19" ht="107.1" customHeight="1" x14ac:dyDescent="0.25">
      <c r="A333" s="8" t="s">
        <v>5935</v>
      </c>
      <c r="B333" s="8" t="s">
        <v>5693</v>
      </c>
      <c r="C333" s="8" t="s">
        <v>5918</v>
      </c>
      <c r="D333" s="10">
        <v>12</v>
      </c>
      <c r="E333" s="8" t="s">
        <v>1073</v>
      </c>
      <c r="F333" s="8" t="s">
        <v>1075</v>
      </c>
      <c r="G333" s="8" t="s">
        <v>4551</v>
      </c>
      <c r="H333" s="8" t="s">
        <v>1073</v>
      </c>
      <c r="I333" s="8" t="s">
        <v>1073</v>
      </c>
      <c r="J333" s="15" t="s">
        <v>5695</v>
      </c>
      <c r="K333" s="8"/>
      <c r="L333" s="15" t="s">
        <v>1685</v>
      </c>
      <c r="M333" s="8" t="s">
        <v>5578</v>
      </c>
      <c r="N333" s="8"/>
      <c r="O333" s="8" t="s">
        <v>5574</v>
      </c>
      <c r="P333" s="11"/>
      <c r="Q333" s="8" t="s">
        <v>5696</v>
      </c>
      <c r="R333" s="8" t="s">
        <v>5919</v>
      </c>
      <c r="S333" s="8" t="s">
        <v>5936</v>
      </c>
    </row>
    <row r="334" spans="1:19" ht="107.1" customHeight="1" x14ac:dyDescent="0.25">
      <c r="A334" s="8" t="s">
        <v>5937</v>
      </c>
      <c r="B334" s="8" t="s">
        <v>5693</v>
      </c>
      <c r="C334" s="8" t="s">
        <v>5918</v>
      </c>
      <c r="D334" s="10">
        <v>13</v>
      </c>
      <c r="E334" s="8" t="s">
        <v>692</v>
      </c>
      <c r="F334" s="8" t="s">
        <v>696</v>
      </c>
      <c r="G334" s="8" t="s">
        <v>4551</v>
      </c>
      <c r="H334" s="8" t="s">
        <v>692</v>
      </c>
      <c r="I334" s="8" t="s">
        <v>692</v>
      </c>
      <c r="J334" s="15" t="s">
        <v>5695</v>
      </c>
      <c r="K334" s="8"/>
      <c r="L334" s="15" t="s">
        <v>1685</v>
      </c>
      <c r="M334" s="8" t="s">
        <v>5578</v>
      </c>
      <c r="N334" s="8"/>
      <c r="O334" s="8" t="s">
        <v>5574</v>
      </c>
      <c r="P334" s="11"/>
      <c r="Q334" s="8" t="s">
        <v>5696</v>
      </c>
      <c r="R334" s="8" t="s">
        <v>5919</v>
      </c>
      <c r="S334" s="8" t="s">
        <v>5938</v>
      </c>
    </row>
    <row r="335" spans="1:19" ht="107.1" customHeight="1" x14ac:dyDescent="0.25">
      <c r="A335" s="8" t="s">
        <v>5939</v>
      </c>
      <c r="B335" s="8" t="s">
        <v>5693</v>
      </c>
      <c r="C335" s="8" t="s">
        <v>5918</v>
      </c>
      <c r="D335" s="10">
        <v>14</v>
      </c>
      <c r="E335" s="8" t="s">
        <v>1175</v>
      </c>
      <c r="F335" s="8" t="s">
        <v>1177</v>
      </c>
      <c r="G335" s="8" t="s">
        <v>4551</v>
      </c>
      <c r="H335" s="8" t="s">
        <v>1175</v>
      </c>
      <c r="I335" s="8" t="s">
        <v>1175</v>
      </c>
      <c r="J335" s="15" t="s">
        <v>5695</v>
      </c>
      <c r="K335" s="8"/>
      <c r="L335" s="15" t="s">
        <v>1685</v>
      </c>
      <c r="M335" s="8" t="s">
        <v>5578</v>
      </c>
      <c r="N335" s="8"/>
      <c r="O335" s="8" t="s">
        <v>5574</v>
      </c>
      <c r="P335" s="11"/>
      <c r="Q335" s="8" t="s">
        <v>5696</v>
      </c>
      <c r="R335" s="8" t="s">
        <v>5919</v>
      </c>
      <c r="S335" s="8" t="s">
        <v>5940</v>
      </c>
    </row>
    <row r="336" spans="1:19" ht="107.1" customHeight="1" x14ac:dyDescent="0.25">
      <c r="A336" s="8" t="s">
        <v>5941</v>
      </c>
      <c r="B336" s="8" t="s">
        <v>5693</v>
      </c>
      <c r="C336" s="8" t="s">
        <v>5918</v>
      </c>
      <c r="D336" s="10">
        <v>15</v>
      </c>
      <c r="E336" s="8" t="s">
        <v>1152</v>
      </c>
      <c r="F336" s="8" t="s">
        <v>1154</v>
      </c>
      <c r="G336" s="8" t="s">
        <v>4551</v>
      </c>
      <c r="H336" s="8" t="s">
        <v>1152</v>
      </c>
      <c r="I336" s="8" t="s">
        <v>1152</v>
      </c>
      <c r="J336" s="15" t="s">
        <v>5695</v>
      </c>
      <c r="K336" s="8"/>
      <c r="L336" s="15" t="s">
        <v>1685</v>
      </c>
      <c r="M336" s="8" t="s">
        <v>5578</v>
      </c>
      <c r="N336" s="8"/>
      <c r="O336" s="8" t="s">
        <v>5574</v>
      </c>
      <c r="P336" s="11"/>
      <c r="Q336" s="8" t="s">
        <v>5696</v>
      </c>
      <c r="R336" s="8" t="s">
        <v>5919</v>
      </c>
      <c r="S336" s="8" t="s">
        <v>5942</v>
      </c>
    </row>
    <row r="337" spans="1:19" ht="107.1" customHeight="1" x14ac:dyDescent="0.25">
      <c r="A337" s="8" t="s">
        <v>5943</v>
      </c>
      <c r="B337" s="8" t="s">
        <v>5693</v>
      </c>
      <c r="C337" s="8" t="s">
        <v>5918</v>
      </c>
      <c r="D337" s="10">
        <v>16</v>
      </c>
      <c r="E337" s="8" t="s">
        <v>814</v>
      </c>
      <c r="F337" s="8" t="s">
        <v>3127</v>
      </c>
      <c r="G337" s="8" t="s">
        <v>4551</v>
      </c>
      <c r="H337" s="8" t="s">
        <v>814</v>
      </c>
      <c r="I337" s="8" t="s">
        <v>814</v>
      </c>
      <c r="J337" s="15" t="s">
        <v>5695</v>
      </c>
      <c r="K337" s="8"/>
      <c r="L337" s="15" t="s">
        <v>1685</v>
      </c>
      <c r="M337" s="8" t="s">
        <v>5578</v>
      </c>
      <c r="N337" s="8"/>
      <c r="O337" s="8" t="s">
        <v>5574</v>
      </c>
      <c r="P337" s="11"/>
      <c r="Q337" s="8" t="s">
        <v>5696</v>
      </c>
      <c r="R337" s="8" t="s">
        <v>5919</v>
      </c>
      <c r="S337" s="8" t="s">
        <v>5944</v>
      </c>
    </row>
    <row r="338" spans="1:19" ht="107.1" customHeight="1" x14ac:dyDescent="0.25">
      <c r="A338" s="8" t="s">
        <v>5945</v>
      </c>
      <c r="B338" s="8" t="s">
        <v>5693</v>
      </c>
      <c r="C338" s="8" t="s">
        <v>5918</v>
      </c>
      <c r="D338" s="10">
        <v>17</v>
      </c>
      <c r="E338" s="8" t="s">
        <v>733</v>
      </c>
      <c r="F338" s="8" t="s">
        <v>2900</v>
      </c>
      <c r="G338" s="8" t="s">
        <v>4551</v>
      </c>
      <c r="H338" s="8" t="s">
        <v>733</v>
      </c>
      <c r="I338" s="8" t="s">
        <v>733</v>
      </c>
      <c r="J338" s="15" t="s">
        <v>5695</v>
      </c>
      <c r="K338" s="8"/>
      <c r="L338" s="15" t="s">
        <v>1685</v>
      </c>
      <c r="M338" s="8" t="s">
        <v>5578</v>
      </c>
      <c r="N338" s="8"/>
      <c r="O338" s="8" t="s">
        <v>5574</v>
      </c>
      <c r="P338" s="11" t="s">
        <v>3533</v>
      </c>
      <c r="Q338" s="8" t="s">
        <v>5696</v>
      </c>
      <c r="R338" s="8" t="s">
        <v>5919</v>
      </c>
      <c r="S338" s="8" t="s">
        <v>5946</v>
      </c>
    </row>
    <row r="339" spans="1:19" ht="107.1" customHeight="1" x14ac:dyDescent="0.25">
      <c r="A339" s="8" t="s">
        <v>5947</v>
      </c>
      <c r="B339" s="8" t="s">
        <v>5693</v>
      </c>
      <c r="C339" s="8" t="s">
        <v>5918</v>
      </c>
      <c r="D339" s="10">
        <v>18</v>
      </c>
      <c r="E339" s="8" t="s">
        <v>1109</v>
      </c>
      <c r="F339" s="8" t="s">
        <v>1111</v>
      </c>
      <c r="G339" s="8" t="s">
        <v>4551</v>
      </c>
      <c r="H339" s="8" t="s">
        <v>1109</v>
      </c>
      <c r="I339" s="8" t="s">
        <v>1109</v>
      </c>
      <c r="J339" s="15" t="s">
        <v>5695</v>
      </c>
      <c r="K339" s="8"/>
      <c r="L339" s="15" t="s">
        <v>1685</v>
      </c>
      <c r="M339" s="8" t="s">
        <v>5578</v>
      </c>
      <c r="N339" s="8"/>
      <c r="O339" s="8" t="s">
        <v>5574</v>
      </c>
      <c r="P339" s="11"/>
      <c r="Q339" s="8" t="s">
        <v>5696</v>
      </c>
      <c r="R339" s="8" t="s">
        <v>5919</v>
      </c>
      <c r="S339" s="8" t="s">
        <v>5948</v>
      </c>
    </row>
    <row r="340" spans="1:19" ht="107.1" customHeight="1" x14ac:dyDescent="0.25">
      <c r="A340" s="8" t="s">
        <v>5949</v>
      </c>
      <c r="B340" s="8" t="s">
        <v>5693</v>
      </c>
      <c r="C340" s="8" t="s">
        <v>5918</v>
      </c>
      <c r="D340" s="10">
        <v>19</v>
      </c>
      <c r="E340" s="8" t="s">
        <v>762</v>
      </c>
      <c r="F340" s="8" t="s">
        <v>3062</v>
      </c>
      <c r="G340" s="8" t="s">
        <v>4551</v>
      </c>
      <c r="H340" s="8" t="s">
        <v>762</v>
      </c>
      <c r="I340" s="8" t="s">
        <v>762</v>
      </c>
      <c r="J340" s="15" t="s">
        <v>5695</v>
      </c>
      <c r="K340" s="8"/>
      <c r="L340" s="15" t="s">
        <v>1685</v>
      </c>
      <c r="M340" s="8" t="s">
        <v>5578</v>
      </c>
      <c r="N340" s="8"/>
      <c r="O340" s="8" t="s">
        <v>5574</v>
      </c>
      <c r="P340" s="11"/>
      <c r="Q340" s="8" t="s">
        <v>5696</v>
      </c>
      <c r="R340" s="8" t="s">
        <v>5919</v>
      </c>
      <c r="S340" s="8" t="s">
        <v>5950</v>
      </c>
    </row>
    <row r="341" spans="1:19" ht="107.1" customHeight="1" x14ac:dyDescent="0.25">
      <c r="A341" s="8" t="s">
        <v>5951</v>
      </c>
      <c r="B341" s="8" t="s">
        <v>5693</v>
      </c>
      <c r="C341" s="8" t="s">
        <v>5918</v>
      </c>
      <c r="D341" s="10">
        <v>20</v>
      </c>
      <c r="E341" s="8" t="s">
        <v>534</v>
      </c>
      <c r="F341" s="8" t="s">
        <v>537</v>
      </c>
      <c r="G341" s="8" t="s">
        <v>4551</v>
      </c>
      <c r="H341" s="8" t="s">
        <v>534</v>
      </c>
      <c r="I341" s="8" t="s">
        <v>534</v>
      </c>
      <c r="J341" s="15" t="s">
        <v>5695</v>
      </c>
      <c r="K341" s="8"/>
      <c r="L341" s="15" t="s">
        <v>1685</v>
      </c>
      <c r="M341" s="8" t="s">
        <v>5578</v>
      </c>
      <c r="N341" s="8"/>
      <c r="O341" s="8" t="s">
        <v>5574</v>
      </c>
      <c r="P341" s="11"/>
      <c r="Q341" s="8" t="s">
        <v>5696</v>
      </c>
      <c r="R341" s="8" t="s">
        <v>5919</v>
      </c>
      <c r="S341" s="8" t="s">
        <v>5952</v>
      </c>
    </row>
    <row r="342" spans="1:19" ht="107.1" customHeight="1" x14ac:dyDescent="0.25">
      <c r="A342" s="8" t="s">
        <v>5953</v>
      </c>
      <c r="B342" s="8" t="s">
        <v>5693</v>
      </c>
      <c r="C342" s="8" t="s">
        <v>5918</v>
      </c>
      <c r="D342" s="10">
        <v>21</v>
      </c>
      <c r="E342" s="8" t="s">
        <v>853</v>
      </c>
      <c r="F342" s="8" t="s">
        <v>857</v>
      </c>
      <c r="G342" s="8" t="s">
        <v>4551</v>
      </c>
      <c r="H342" s="8" t="s">
        <v>853</v>
      </c>
      <c r="I342" s="8" t="s">
        <v>853</v>
      </c>
      <c r="J342" s="15" t="s">
        <v>5695</v>
      </c>
      <c r="K342" s="8"/>
      <c r="L342" s="15" t="s">
        <v>1685</v>
      </c>
      <c r="M342" s="8" t="s">
        <v>5578</v>
      </c>
      <c r="N342" s="8"/>
      <c r="O342" s="8" t="s">
        <v>5574</v>
      </c>
      <c r="P342" s="11"/>
      <c r="Q342" s="8" t="s">
        <v>5696</v>
      </c>
      <c r="R342" s="8" t="s">
        <v>5919</v>
      </c>
      <c r="S342" s="8" t="s">
        <v>5954</v>
      </c>
    </row>
    <row r="343" spans="1:19" ht="107.1" customHeight="1" x14ac:dyDescent="0.25">
      <c r="A343" s="8" t="s">
        <v>5955</v>
      </c>
      <c r="B343" s="8" t="s">
        <v>5693</v>
      </c>
      <c r="C343" s="8" t="s">
        <v>5918</v>
      </c>
      <c r="D343" s="10">
        <v>22</v>
      </c>
      <c r="E343" s="8" t="s">
        <v>664</v>
      </c>
      <c r="F343" s="8" t="s">
        <v>2876</v>
      </c>
      <c r="G343" s="8" t="s">
        <v>4551</v>
      </c>
      <c r="H343" s="8" t="s">
        <v>664</v>
      </c>
      <c r="I343" s="8" t="s">
        <v>664</v>
      </c>
      <c r="J343" s="15" t="s">
        <v>5695</v>
      </c>
      <c r="K343" s="8"/>
      <c r="L343" s="15" t="s">
        <v>1685</v>
      </c>
      <c r="M343" s="8" t="s">
        <v>5578</v>
      </c>
      <c r="N343" s="8"/>
      <c r="O343" s="8" t="s">
        <v>5574</v>
      </c>
      <c r="P343" s="11" t="s">
        <v>3533</v>
      </c>
      <c r="Q343" s="8" t="s">
        <v>5696</v>
      </c>
      <c r="R343" s="8" t="s">
        <v>5919</v>
      </c>
      <c r="S343" s="8" t="s">
        <v>5956</v>
      </c>
    </row>
    <row r="344" spans="1:19" ht="107.1" customHeight="1" x14ac:dyDescent="0.25">
      <c r="A344" s="8" t="s">
        <v>5957</v>
      </c>
      <c r="B344" s="8" t="s">
        <v>5693</v>
      </c>
      <c r="C344" s="8" t="s">
        <v>5918</v>
      </c>
      <c r="D344" s="10">
        <v>23</v>
      </c>
      <c r="E344" s="8" t="s">
        <v>1091</v>
      </c>
      <c r="F344" s="8" t="s">
        <v>1093</v>
      </c>
      <c r="G344" s="8" t="s">
        <v>4551</v>
      </c>
      <c r="H344" s="8" t="s">
        <v>1091</v>
      </c>
      <c r="I344" s="8" t="s">
        <v>1091</v>
      </c>
      <c r="J344" s="15" t="s">
        <v>5695</v>
      </c>
      <c r="K344" s="8"/>
      <c r="L344" s="15" t="s">
        <v>1685</v>
      </c>
      <c r="M344" s="8" t="s">
        <v>5578</v>
      </c>
      <c r="N344" s="8"/>
      <c r="O344" s="8" t="s">
        <v>5574</v>
      </c>
      <c r="P344" s="11"/>
      <c r="Q344" s="8" t="s">
        <v>5696</v>
      </c>
      <c r="R344" s="8" t="s">
        <v>5919</v>
      </c>
      <c r="S344" s="8" t="s">
        <v>5958</v>
      </c>
    </row>
    <row r="345" spans="1:19" ht="107.1" customHeight="1" x14ac:dyDescent="0.25">
      <c r="A345" s="8" t="s">
        <v>5959</v>
      </c>
      <c r="B345" s="8" t="s">
        <v>5693</v>
      </c>
      <c r="C345" s="8" t="s">
        <v>5918</v>
      </c>
      <c r="D345" s="10">
        <v>24</v>
      </c>
      <c r="E345" s="8" t="s">
        <v>407</v>
      </c>
      <c r="F345" s="8" t="s">
        <v>2896</v>
      </c>
      <c r="G345" s="8" t="s">
        <v>4551</v>
      </c>
      <c r="H345" s="8" t="s">
        <v>407</v>
      </c>
      <c r="I345" s="8" t="s">
        <v>407</v>
      </c>
      <c r="J345" s="15" t="s">
        <v>5695</v>
      </c>
      <c r="K345" s="8"/>
      <c r="L345" s="15" t="s">
        <v>1685</v>
      </c>
      <c r="M345" s="8" t="s">
        <v>5578</v>
      </c>
      <c r="N345" s="8"/>
      <c r="O345" s="8" t="s">
        <v>5574</v>
      </c>
      <c r="P345" s="11"/>
      <c r="Q345" s="8" t="s">
        <v>5696</v>
      </c>
      <c r="R345" s="8" t="s">
        <v>5919</v>
      </c>
      <c r="S345" s="8" t="s">
        <v>5960</v>
      </c>
    </row>
    <row r="346" spans="1:19" ht="107.1" customHeight="1" x14ac:dyDescent="0.25">
      <c r="A346" s="8" t="s">
        <v>5961</v>
      </c>
      <c r="B346" s="8" t="s">
        <v>5693</v>
      </c>
      <c r="C346" s="8" t="s">
        <v>5918</v>
      </c>
      <c r="D346" s="10">
        <v>25</v>
      </c>
      <c r="E346" s="8" t="s">
        <v>423</v>
      </c>
      <c r="F346" s="8" t="s">
        <v>5720</v>
      </c>
      <c r="G346" s="8" t="s">
        <v>4551</v>
      </c>
      <c r="H346" s="8" t="s">
        <v>423</v>
      </c>
      <c r="I346" s="8" t="s">
        <v>423</v>
      </c>
      <c r="J346" s="15" t="s">
        <v>5695</v>
      </c>
      <c r="K346" s="8"/>
      <c r="L346" s="15" t="s">
        <v>1685</v>
      </c>
      <c r="M346" s="8" t="s">
        <v>5578</v>
      </c>
      <c r="N346" s="8"/>
      <c r="O346" s="8" t="s">
        <v>5574</v>
      </c>
      <c r="P346" s="11"/>
      <c r="Q346" s="8" t="s">
        <v>5696</v>
      </c>
      <c r="R346" s="8" t="s">
        <v>5919</v>
      </c>
      <c r="S346" s="8" t="s">
        <v>5962</v>
      </c>
    </row>
    <row r="347" spans="1:19" ht="107.1" customHeight="1" x14ac:dyDescent="0.25">
      <c r="A347" s="8" t="s">
        <v>5963</v>
      </c>
      <c r="B347" s="8" t="s">
        <v>5693</v>
      </c>
      <c r="C347" s="8" t="s">
        <v>5918</v>
      </c>
      <c r="D347" s="10">
        <v>26</v>
      </c>
      <c r="E347" s="8" t="s">
        <v>1167</v>
      </c>
      <c r="F347" s="8" t="s">
        <v>1169</v>
      </c>
      <c r="G347" s="8" t="s">
        <v>4551</v>
      </c>
      <c r="H347" s="8" t="s">
        <v>1167</v>
      </c>
      <c r="I347" s="8" t="s">
        <v>1167</v>
      </c>
      <c r="J347" s="15" t="s">
        <v>5695</v>
      </c>
      <c r="K347" s="8"/>
      <c r="L347" s="15" t="s">
        <v>1685</v>
      </c>
      <c r="M347" s="8" t="s">
        <v>5578</v>
      </c>
      <c r="N347" s="8"/>
      <c r="O347" s="8" t="s">
        <v>5574</v>
      </c>
      <c r="P347" s="11"/>
      <c r="Q347" s="8" t="s">
        <v>5696</v>
      </c>
      <c r="R347" s="8" t="s">
        <v>5919</v>
      </c>
      <c r="S347" s="8" t="s">
        <v>5964</v>
      </c>
    </row>
    <row r="348" spans="1:19" ht="107.1" customHeight="1" x14ac:dyDescent="0.25">
      <c r="A348" s="8" t="s">
        <v>5965</v>
      </c>
      <c r="B348" s="8" t="s">
        <v>5693</v>
      </c>
      <c r="C348" s="8" t="s">
        <v>5918</v>
      </c>
      <c r="D348" s="10">
        <v>27</v>
      </c>
      <c r="E348" s="8" t="s">
        <v>1188</v>
      </c>
      <c r="F348" s="8" t="s">
        <v>1190</v>
      </c>
      <c r="G348" s="8" t="s">
        <v>4551</v>
      </c>
      <c r="H348" s="8" t="s">
        <v>1188</v>
      </c>
      <c r="I348" s="8" t="s">
        <v>1188</v>
      </c>
      <c r="J348" s="15" t="s">
        <v>5695</v>
      </c>
      <c r="K348" s="8"/>
      <c r="L348" s="15" t="s">
        <v>1685</v>
      </c>
      <c r="M348" s="8" t="s">
        <v>5578</v>
      </c>
      <c r="N348" s="8"/>
      <c r="O348" s="8" t="s">
        <v>5574</v>
      </c>
      <c r="P348" s="11"/>
      <c r="Q348" s="8" t="s">
        <v>5696</v>
      </c>
      <c r="R348" s="8" t="s">
        <v>5919</v>
      </c>
      <c r="S348" s="8" t="s">
        <v>5966</v>
      </c>
    </row>
    <row r="349" spans="1:19" ht="107.1" customHeight="1" x14ac:dyDescent="0.25">
      <c r="A349" s="8" t="s">
        <v>5967</v>
      </c>
      <c r="B349" s="8" t="s">
        <v>5693</v>
      </c>
      <c r="C349" s="8" t="s">
        <v>5918</v>
      </c>
      <c r="D349" s="10">
        <v>28</v>
      </c>
      <c r="E349" s="8" t="s">
        <v>744</v>
      </c>
      <c r="F349" s="8" t="s">
        <v>748</v>
      </c>
      <c r="G349" s="8" t="s">
        <v>4551</v>
      </c>
      <c r="H349" s="8" t="s">
        <v>744</v>
      </c>
      <c r="I349" s="8" t="s">
        <v>744</v>
      </c>
      <c r="J349" s="15" t="s">
        <v>5695</v>
      </c>
      <c r="K349" s="8"/>
      <c r="L349" s="15" t="s">
        <v>1685</v>
      </c>
      <c r="M349" s="8" t="s">
        <v>5578</v>
      </c>
      <c r="N349" s="8"/>
      <c r="O349" s="8" t="s">
        <v>5574</v>
      </c>
      <c r="P349" s="11"/>
      <c r="Q349" s="8" t="s">
        <v>5696</v>
      </c>
      <c r="R349" s="8" t="s">
        <v>5919</v>
      </c>
      <c r="S349" s="8" t="s">
        <v>5968</v>
      </c>
    </row>
    <row r="350" spans="1:19" ht="107.1" customHeight="1" x14ac:dyDescent="0.25">
      <c r="A350" s="8" t="s">
        <v>5969</v>
      </c>
      <c r="B350" s="8" t="s">
        <v>5693</v>
      </c>
      <c r="C350" s="8" t="s">
        <v>5918</v>
      </c>
      <c r="D350" s="10">
        <v>29</v>
      </c>
      <c r="E350" s="8" t="s">
        <v>1133</v>
      </c>
      <c r="F350" s="8" t="s">
        <v>1135</v>
      </c>
      <c r="G350" s="8" t="s">
        <v>4551</v>
      </c>
      <c r="H350" s="8" t="s">
        <v>1133</v>
      </c>
      <c r="I350" s="8" t="s">
        <v>1133</v>
      </c>
      <c r="J350" s="15" t="s">
        <v>5695</v>
      </c>
      <c r="K350" s="8"/>
      <c r="L350" s="15" t="s">
        <v>1685</v>
      </c>
      <c r="M350" s="8" t="s">
        <v>5578</v>
      </c>
      <c r="N350" s="8"/>
      <c r="O350" s="8" t="s">
        <v>5574</v>
      </c>
      <c r="P350" s="11"/>
      <c r="Q350" s="8" t="s">
        <v>5696</v>
      </c>
      <c r="R350" s="8" t="s">
        <v>5919</v>
      </c>
      <c r="S350" s="8" t="s">
        <v>5970</v>
      </c>
    </row>
    <row r="351" spans="1:19" ht="107.1" customHeight="1" x14ac:dyDescent="0.25">
      <c r="A351" s="8" t="s">
        <v>5971</v>
      </c>
      <c r="B351" s="8" t="s">
        <v>5693</v>
      </c>
      <c r="C351" s="8" t="s">
        <v>5918</v>
      </c>
      <c r="D351" s="10">
        <v>30</v>
      </c>
      <c r="E351" s="8" t="s">
        <v>1118</v>
      </c>
      <c r="F351" s="8" t="s">
        <v>1120</v>
      </c>
      <c r="G351" s="8" t="s">
        <v>4551</v>
      </c>
      <c r="H351" s="8" t="s">
        <v>1118</v>
      </c>
      <c r="I351" s="8" t="s">
        <v>1118</v>
      </c>
      <c r="J351" s="15" t="s">
        <v>5695</v>
      </c>
      <c r="K351" s="8"/>
      <c r="L351" s="15" t="s">
        <v>1685</v>
      </c>
      <c r="M351" s="8" t="s">
        <v>5578</v>
      </c>
      <c r="N351" s="8"/>
      <c r="O351" s="8" t="s">
        <v>5574</v>
      </c>
      <c r="P351" s="11"/>
      <c r="Q351" s="8" t="s">
        <v>5696</v>
      </c>
      <c r="R351" s="8" t="s">
        <v>5919</v>
      </c>
      <c r="S351" s="8" t="s">
        <v>5972</v>
      </c>
    </row>
    <row r="352" spans="1:19" ht="107.1" customHeight="1" x14ac:dyDescent="0.25">
      <c r="A352" s="8" t="s">
        <v>5973</v>
      </c>
      <c r="B352" s="8" t="s">
        <v>5693</v>
      </c>
      <c r="C352" s="8" t="s">
        <v>5918</v>
      </c>
      <c r="D352" s="10">
        <v>31</v>
      </c>
      <c r="E352" s="8" t="s">
        <v>572</v>
      </c>
      <c r="F352" s="8" t="s">
        <v>576</v>
      </c>
      <c r="G352" s="8" t="s">
        <v>4551</v>
      </c>
      <c r="H352" s="8" t="s">
        <v>572</v>
      </c>
      <c r="I352" s="8" t="s">
        <v>572</v>
      </c>
      <c r="J352" s="15" t="s">
        <v>5695</v>
      </c>
      <c r="K352" s="8"/>
      <c r="L352" s="15" t="s">
        <v>1685</v>
      </c>
      <c r="M352" s="8" t="s">
        <v>5578</v>
      </c>
      <c r="N352" s="8"/>
      <c r="O352" s="8" t="s">
        <v>5574</v>
      </c>
      <c r="P352" s="11"/>
      <c r="Q352" s="8" t="s">
        <v>5696</v>
      </c>
      <c r="R352" s="8" t="s">
        <v>5919</v>
      </c>
      <c r="S352" s="8" t="s">
        <v>5974</v>
      </c>
    </row>
    <row r="353" spans="1:19" ht="107.1" customHeight="1" x14ac:dyDescent="0.25">
      <c r="A353" s="8" t="s">
        <v>5975</v>
      </c>
      <c r="B353" s="8" t="s">
        <v>5693</v>
      </c>
      <c r="C353" s="8" t="s">
        <v>5918</v>
      </c>
      <c r="D353" s="10">
        <v>32</v>
      </c>
      <c r="E353" s="8" t="s">
        <v>1123</v>
      </c>
      <c r="F353" s="8" t="s">
        <v>1125</v>
      </c>
      <c r="G353" s="8" t="s">
        <v>4551</v>
      </c>
      <c r="H353" s="8" t="s">
        <v>1123</v>
      </c>
      <c r="I353" s="8" t="s">
        <v>1123</v>
      </c>
      <c r="J353" s="15" t="s">
        <v>5695</v>
      </c>
      <c r="K353" s="8"/>
      <c r="L353" s="15" t="s">
        <v>1685</v>
      </c>
      <c r="M353" s="8" t="s">
        <v>5578</v>
      </c>
      <c r="N353" s="8"/>
      <c r="O353" s="8" t="s">
        <v>5574</v>
      </c>
      <c r="P353" s="11"/>
      <c r="Q353" s="8" t="s">
        <v>5696</v>
      </c>
      <c r="R353" s="8" t="s">
        <v>5919</v>
      </c>
      <c r="S353" s="8" t="s">
        <v>5976</v>
      </c>
    </row>
    <row r="354" spans="1:19" ht="107.1" customHeight="1" x14ac:dyDescent="0.25">
      <c r="A354" s="8" t="s">
        <v>5977</v>
      </c>
      <c r="B354" s="8" t="s">
        <v>5693</v>
      </c>
      <c r="C354" s="8" t="s">
        <v>5918</v>
      </c>
      <c r="D354" s="10">
        <v>33</v>
      </c>
      <c r="E354" s="8" t="s">
        <v>825</v>
      </c>
      <c r="F354" s="8" t="s">
        <v>829</v>
      </c>
      <c r="G354" s="8" t="s">
        <v>4551</v>
      </c>
      <c r="H354" s="8" t="s">
        <v>825</v>
      </c>
      <c r="I354" s="8" t="s">
        <v>825</v>
      </c>
      <c r="J354" s="15" t="s">
        <v>5695</v>
      </c>
      <c r="K354" s="8"/>
      <c r="L354" s="15" t="s">
        <v>1685</v>
      </c>
      <c r="M354" s="8" t="s">
        <v>5578</v>
      </c>
      <c r="N354" s="8"/>
      <c r="O354" s="8" t="s">
        <v>5574</v>
      </c>
      <c r="P354" s="11"/>
      <c r="Q354" s="8" t="s">
        <v>5696</v>
      </c>
      <c r="R354" s="8" t="s">
        <v>5919</v>
      </c>
      <c r="S354" s="8" t="s">
        <v>5978</v>
      </c>
    </row>
    <row r="355" spans="1:19" ht="107.1" customHeight="1" x14ac:dyDescent="0.25">
      <c r="A355" s="8" t="s">
        <v>5979</v>
      </c>
      <c r="B355" s="8" t="s">
        <v>5693</v>
      </c>
      <c r="C355" s="8" t="s">
        <v>5918</v>
      </c>
      <c r="D355" s="10">
        <v>34</v>
      </c>
      <c r="E355" s="8" t="s">
        <v>1234</v>
      </c>
      <c r="F355" s="8" t="s">
        <v>1236</v>
      </c>
      <c r="G355" s="8" t="s">
        <v>4551</v>
      </c>
      <c r="H355" s="8" t="s">
        <v>1234</v>
      </c>
      <c r="I355" s="8" t="s">
        <v>1234</v>
      </c>
      <c r="J355" s="15" t="s">
        <v>5695</v>
      </c>
      <c r="K355" s="8"/>
      <c r="L355" s="15" t="s">
        <v>1685</v>
      </c>
      <c r="M355" s="8" t="s">
        <v>5578</v>
      </c>
      <c r="N355" s="8"/>
      <c r="O355" s="8" t="s">
        <v>5574</v>
      </c>
      <c r="P355" s="11"/>
      <c r="Q355" s="8" t="s">
        <v>5696</v>
      </c>
      <c r="R355" s="8" t="s">
        <v>5919</v>
      </c>
      <c r="S355" s="8" t="s">
        <v>5980</v>
      </c>
    </row>
    <row r="356" spans="1:19" ht="107.1" customHeight="1" x14ac:dyDescent="0.25">
      <c r="A356" s="8" t="s">
        <v>5981</v>
      </c>
      <c r="B356" s="8" t="s">
        <v>5693</v>
      </c>
      <c r="C356" s="8" t="s">
        <v>5918</v>
      </c>
      <c r="D356" s="10">
        <v>35</v>
      </c>
      <c r="E356" s="8" t="s">
        <v>518</v>
      </c>
      <c r="F356" s="8" t="s">
        <v>522</v>
      </c>
      <c r="G356" s="8" t="s">
        <v>4551</v>
      </c>
      <c r="H356" s="8" t="s">
        <v>518</v>
      </c>
      <c r="I356" s="8" t="s">
        <v>518</v>
      </c>
      <c r="J356" s="15" t="s">
        <v>5695</v>
      </c>
      <c r="K356" s="8"/>
      <c r="L356" s="15" t="s">
        <v>1685</v>
      </c>
      <c r="M356" s="8" t="s">
        <v>5578</v>
      </c>
      <c r="N356" s="8"/>
      <c r="O356" s="8" t="s">
        <v>5574</v>
      </c>
      <c r="P356" s="11"/>
      <c r="Q356" s="8" t="s">
        <v>5696</v>
      </c>
      <c r="R356" s="8" t="s">
        <v>5919</v>
      </c>
      <c r="S356" s="8" t="s">
        <v>5982</v>
      </c>
    </row>
    <row r="357" spans="1:19" ht="107.1" customHeight="1" x14ac:dyDescent="0.25">
      <c r="A357" s="8" t="s">
        <v>5983</v>
      </c>
      <c r="B357" s="8" t="s">
        <v>5693</v>
      </c>
      <c r="C357" s="8" t="s">
        <v>5918</v>
      </c>
      <c r="D357" s="10">
        <v>36</v>
      </c>
      <c r="E357" s="8" t="s">
        <v>1082</v>
      </c>
      <c r="F357" s="8" t="s">
        <v>1083</v>
      </c>
      <c r="G357" s="8" t="s">
        <v>4551</v>
      </c>
      <c r="H357" s="8" t="s">
        <v>1082</v>
      </c>
      <c r="I357" s="8" t="s">
        <v>1082</v>
      </c>
      <c r="J357" s="15" t="s">
        <v>5695</v>
      </c>
      <c r="K357" s="8"/>
      <c r="L357" s="15" t="s">
        <v>1685</v>
      </c>
      <c r="M357" s="8" t="s">
        <v>5578</v>
      </c>
      <c r="N357" s="8"/>
      <c r="O357" s="8" t="s">
        <v>5574</v>
      </c>
      <c r="P357" s="11"/>
      <c r="Q357" s="8" t="s">
        <v>5696</v>
      </c>
      <c r="R357" s="8" t="s">
        <v>5919</v>
      </c>
      <c r="S357" s="8" t="s">
        <v>5984</v>
      </c>
    </row>
    <row r="358" spans="1:19" ht="107.1" customHeight="1" x14ac:dyDescent="0.25">
      <c r="A358" s="8" t="s">
        <v>5985</v>
      </c>
      <c r="B358" s="8" t="s">
        <v>5693</v>
      </c>
      <c r="C358" s="8" t="s">
        <v>5918</v>
      </c>
      <c r="D358" s="10">
        <v>37</v>
      </c>
      <c r="E358" s="8" t="s">
        <v>1128</v>
      </c>
      <c r="F358" s="8" t="s">
        <v>1130</v>
      </c>
      <c r="G358" s="8" t="s">
        <v>4551</v>
      </c>
      <c r="H358" s="8" t="s">
        <v>1128</v>
      </c>
      <c r="I358" s="8" t="s">
        <v>1128</v>
      </c>
      <c r="J358" s="15" t="s">
        <v>5695</v>
      </c>
      <c r="K358" s="8"/>
      <c r="L358" s="15" t="s">
        <v>1685</v>
      </c>
      <c r="M358" s="8" t="s">
        <v>5578</v>
      </c>
      <c r="N358" s="8"/>
      <c r="O358" s="8" t="s">
        <v>5574</v>
      </c>
      <c r="P358" s="11"/>
      <c r="Q358" s="8" t="s">
        <v>5696</v>
      </c>
      <c r="R358" s="8" t="s">
        <v>5919</v>
      </c>
      <c r="S358" s="8" t="s">
        <v>5986</v>
      </c>
    </row>
    <row r="359" spans="1:19" ht="107.1" customHeight="1" x14ac:dyDescent="0.25">
      <c r="A359" s="8" t="s">
        <v>5987</v>
      </c>
      <c r="B359" s="8" t="s">
        <v>5693</v>
      </c>
      <c r="C359" s="8" t="s">
        <v>5918</v>
      </c>
      <c r="D359" s="10">
        <v>38</v>
      </c>
      <c r="E359" s="8" t="s">
        <v>1050</v>
      </c>
      <c r="F359" s="8" t="s">
        <v>1052</v>
      </c>
      <c r="G359" s="8" t="s">
        <v>4551</v>
      </c>
      <c r="H359" s="8" t="s">
        <v>1050</v>
      </c>
      <c r="I359" s="8" t="s">
        <v>1050</v>
      </c>
      <c r="J359" s="15" t="s">
        <v>5695</v>
      </c>
      <c r="K359" s="8"/>
      <c r="L359" s="15" t="s">
        <v>1685</v>
      </c>
      <c r="M359" s="8" t="s">
        <v>5578</v>
      </c>
      <c r="N359" s="8"/>
      <c r="O359" s="8" t="s">
        <v>5574</v>
      </c>
      <c r="P359" s="11"/>
      <c r="Q359" s="8" t="s">
        <v>5696</v>
      </c>
      <c r="R359" s="8" t="s">
        <v>5919</v>
      </c>
      <c r="S359" s="8" t="s">
        <v>5988</v>
      </c>
    </row>
    <row r="360" spans="1:19" ht="107.1" customHeight="1" x14ac:dyDescent="0.25">
      <c r="A360" s="8" t="s">
        <v>5989</v>
      </c>
      <c r="B360" s="8" t="s">
        <v>5693</v>
      </c>
      <c r="C360" s="8" t="s">
        <v>5918</v>
      </c>
      <c r="D360" s="10">
        <v>39</v>
      </c>
      <c r="E360" s="8" t="s">
        <v>1184</v>
      </c>
      <c r="F360" s="8" t="s">
        <v>1185</v>
      </c>
      <c r="G360" s="8" t="s">
        <v>4551</v>
      </c>
      <c r="H360" s="8" t="s">
        <v>1184</v>
      </c>
      <c r="I360" s="8" t="s">
        <v>1184</v>
      </c>
      <c r="J360" s="15" t="s">
        <v>5695</v>
      </c>
      <c r="K360" s="8"/>
      <c r="L360" s="15" t="s">
        <v>1685</v>
      </c>
      <c r="M360" s="8" t="s">
        <v>5578</v>
      </c>
      <c r="N360" s="8"/>
      <c r="O360" s="8" t="s">
        <v>5574</v>
      </c>
      <c r="P360" s="11"/>
      <c r="Q360" s="8" t="s">
        <v>5696</v>
      </c>
      <c r="R360" s="8" t="s">
        <v>5919</v>
      </c>
      <c r="S360" s="8" t="s">
        <v>5990</v>
      </c>
    </row>
    <row r="361" spans="1:19" ht="107.1" customHeight="1" x14ac:dyDescent="0.25">
      <c r="A361" s="8" t="s">
        <v>5991</v>
      </c>
      <c r="B361" s="8" t="s">
        <v>5693</v>
      </c>
      <c r="C361" s="8" t="s">
        <v>5918</v>
      </c>
      <c r="D361" s="10">
        <v>40</v>
      </c>
      <c r="E361" s="8" t="s">
        <v>475</v>
      </c>
      <c r="F361" s="8" t="s">
        <v>2850</v>
      </c>
      <c r="G361" s="8" t="s">
        <v>4551</v>
      </c>
      <c r="H361" s="8" t="s">
        <v>475</v>
      </c>
      <c r="I361" s="8" t="s">
        <v>475</v>
      </c>
      <c r="J361" s="15" t="s">
        <v>5695</v>
      </c>
      <c r="K361" s="8"/>
      <c r="L361" s="15" t="s">
        <v>1685</v>
      </c>
      <c r="M361" s="8" t="s">
        <v>5578</v>
      </c>
      <c r="N361" s="8"/>
      <c r="O361" s="8" t="s">
        <v>5574</v>
      </c>
      <c r="P361" s="11" t="s">
        <v>3539</v>
      </c>
      <c r="Q361" s="8" t="s">
        <v>5696</v>
      </c>
      <c r="R361" s="8" t="s">
        <v>5919</v>
      </c>
      <c r="S361" s="8" t="s">
        <v>5992</v>
      </c>
    </row>
    <row r="362" spans="1:19" ht="107.1" customHeight="1" x14ac:dyDescent="0.25">
      <c r="A362" s="8" t="s">
        <v>5993</v>
      </c>
      <c r="B362" s="8" t="s">
        <v>5693</v>
      </c>
      <c r="C362" s="8" t="s">
        <v>5918</v>
      </c>
      <c r="D362" s="10">
        <v>41</v>
      </c>
      <c r="E362" s="8" t="s">
        <v>1206</v>
      </c>
      <c r="F362" s="8" t="s">
        <v>1207</v>
      </c>
      <c r="G362" s="8" t="s">
        <v>4551</v>
      </c>
      <c r="H362" s="8" t="s">
        <v>1206</v>
      </c>
      <c r="I362" s="8" t="s">
        <v>1206</v>
      </c>
      <c r="J362" s="15" t="s">
        <v>5695</v>
      </c>
      <c r="K362" s="8"/>
      <c r="L362" s="15" t="s">
        <v>1685</v>
      </c>
      <c r="M362" s="8" t="s">
        <v>5578</v>
      </c>
      <c r="N362" s="8"/>
      <c r="O362" s="8" t="s">
        <v>5574</v>
      </c>
      <c r="P362" s="11"/>
      <c r="Q362" s="8" t="s">
        <v>5696</v>
      </c>
      <c r="R362" s="8" t="s">
        <v>5919</v>
      </c>
      <c r="S362" s="8" t="s">
        <v>5994</v>
      </c>
    </row>
    <row r="363" spans="1:19" ht="107.1" customHeight="1" x14ac:dyDescent="0.25">
      <c r="A363" s="8" t="s">
        <v>5995</v>
      </c>
      <c r="B363" s="8" t="s">
        <v>5693</v>
      </c>
      <c r="C363" s="8" t="s">
        <v>5918</v>
      </c>
      <c r="D363" s="10">
        <v>42</v>
      </c>
      <c r="E363" s="8" t="s">
        <v>1138</v>
      </c>
      <c r="F363" s="8" t="s">
        <v>1139</v>
      </c>
      <c r="G363" s="8" t="s">
        <v>4551</v>
      </c>
      <c r="H363" s="8" t="s">
        <v>1138</v>
      </c>
      <c r="I363" s="8" t="s">
        <v>1138</v>
      </c>
      <c r="J363" s="15" t="s">
        <v>5695</v>
      </c>
      <c r="K363" s="8"/>
      <c r="L363" s="15" t="s">
        <v>1685</v>
      </c>
      <c r="M363" s="8" t="s">
        <v>5578</v>
      </c>
      <c r="N363" s="8"/>
      <c r="O363" s="8" t="s">
        <v>5574</v>
      </c>
      <c r="P363" s="11"/>
      <c r="Q363" s="8" t="s">
        <v>5696</v>
      </c>
      <c r="R363" s="8" t="s">
        <v>5919</v>
      </c>
      <c r="S363" s="8" t="s">
        <v>5996</v>
      </c>
    </row>
    <row r="364" spans="1:19" ht="107.1" customHeight="1" x14ac:dyDescent="0.25">
      <c r="A364" s="8" t="s">
        <v>5997</v>
      </c>
      <c r="B364" s="8" t="s">
        <v>5693</v>
      </c>
      <c r="C364" s="8" t="s">
        <v>5918</v>
      </c>
      <c r="D364" s="10">
        <v>43</v>
      </c>
      <c r="E364" s="8" t="s">
        <v>1157</v>
      </c>
      <c r="F364" s="8" t="s">
        <v>1159</v>
      </c>
      <c r="G364" s="8" t="s">
        <v>4551</v>
      </c>
      <c r="H364" s="8" t="s">
        <v>1157</v>
      </c>
      <c r="I364" s="8" t="s">
        <v>1157</v>
      </c>
      <c r="J364" s="15" t="s">
        <v>5695</v>
      </c>
      <c r="K364" s="8"/>
      <c r="L364" s="15" t="s">
        <v>1685</v>
      </c>
      <c r="M364" s="8" t="s">
        <v>5578</v>
      </c>
      <c r="N364" s="8"/>
      <c r="O364" s="8" t="s">
        <v>5574</v>
      </c>
      <c r="P364" s="11"/>
      <c r="Q364" s="8" t="s">
        <v>5696</v>
      </c>
      <c r="R364" s="8" t="s">
        <v>5919</v>
      </c>
      <c r="S364" s="8" t="s">
        <v>5998</v>
      </c>
    </row>
    <row r="365" spans="1:19" ht="107.1" customHeight="1" x14ac:dyDescent="0.25">
      <c r="A365" s="8" t="s">
        <v>5999</v>
      </c>
      <c r="B365" s="8" t="s">
        <v>5693</v>
      </c>
      <c r="C365" s="8" t="s">
        <v>5918</v>
      </c>
      <c r="D365" s="10">
        <v>44</v>
      </c>
      <c r="E365" s="8" t="s">
        <v>672</v>
      </c>
      <c r="F365" s="8" t="s">
        <v>673</v>
      </c>
      <c r="G365" s="8" t="s">
        <v>4551</v>
      </c>
      <c r="H365" s="8" t="s">
        <v>672</v>
      </c>
      <c r="I365" s="8" t="s">
        <v>672</v>
      </c>
      <c r="J365" s="15" t="s">
        <v>5695</v>
      </c>
      <c r="K365" s="8"/>
      <c r="L365" s="15" t="s">
        <v>1685</v>
      </c>
      <c r="M365" s="8" t="s">
        <v>5578</v>
      </c>
      <c r="N365" s="8"/>
      <c r="O365" s="8" t="s">
        <v>5574</v>
      </c>
      <c r="P365" s="11" t="s">
        <v>3533</v>
      </c>
      <c r="Q365" s="8" t="s">
        <v>5696</v>
      </c>
      <c r="R365" s="8" t="s">
        <v>5919</v>
      </c>
      <c r="S365" s="8" t="s">
        <v>6000</v>
      </c>
    </row>
    <row r="366" spans="1:19" ht="107.1" customHeight="1" x14ac:dyDescent="0.25">
      <c r="A366" s="8" t="s">
        <v>6001</v>
      </c>
      <c r="B366" s="8" t="s">
        <v>5693</v>
      </c>
      <c r="C366" s="8" t="s">
        <v>5918</v>
      </c>
      <c r="D366" s="10">
        <v>45</v>
      </c>
      <c r="E366" s="8" t="s">
        <v>1105</v>
      </c>
      <c r="F366" s="8" t="s">
        <v>1106</v>
      </c>
      <c r="G366" s="8" t="s">
        <v>4551</v>
      </c>
      <c r="H366" s="8" t="s">
        <v>1105</v>
      </c>
      <c r="I366" s="8" t="s">
        <v>1105</v>
      </c>
      <c r="J366" s="15" t="s">
        <v>5695</v>
      </c>
      <c r="K366" s="8"/>
      <c r="L366" s="15" t="s">
        <v>1685</v>
      </c>
      <c r="M366" s="8" t="s">
        <v>5578</v>
      </c>
      <c r="N366" s="8"/>
      <c r="O366" s="8" t="s">
        <v>5574</v>
      </c>
      <c r="P366" s="11"/>
      <c r="Q366" s="8" t="s">
        <v>5696</v>
      </c>
      <c r="R366" s="8" t="s">
        <v>5919</v>
      </c>
      <c r="S366" s="8" t="s">
        <v>6002</v>
      </c>
    </row>
    <row r="367" spans="1:19" ht="107.1" customHeight="1" x14ac:dyDescent="0.25">
      <c r="A367" s="8" t="s">
        <v>6003</v>
      </c>
      <c r="B367" s="8" t="s">
        <v>5693</v>
      </c>
      <c r="C367" s="8" t="s">
        <v>5918</v>
      </c>
      <c r="D367" s="10">
        <v>46</v>
      </c>
      <c r="E367" s="8" t="s">
        <v>1114</v>
      </c>
      <c r="F367" s="8" t="s">
        <v>1115</v>
      </c>
      <c r="G367" s="8" t="s">
        <v>4551</v>
      </c>
      <c r="H367" s="8" t="s">
        <v>1114</v>
      </c>
      <c r="I367" s="8" t="s">
        <v>1114</v>
      </c>
      <c r="J367" s="15" t="s">
        <v>5695</v>
      </c>
      <c r="K367" s="8"/>
      <c r="L367" s="15" t="s">
        <v>1685</v>
      </c>
      <c r="M367" s="8" t="s">
        <v>5578</v>
      </c>
      <c r="N367" s="8"/>
      <c r="O367" s="8" t="s">
        <v>5574</v>
      </c>
      <c r="P367" s="11"/>
      <c r="Q367" s="8" t="s">
        <v>5696</v>
      </c>
      <c r="R367" s="8" t="s">
        <v>5919</v>
      </c>
      <c r="S367" s="8" t="s">
        <v>6004</v>
      </c>
    </row>
    <row r="368" spans="1:19" ht="107.1" customHeight="1" x14ac:dyDescent="0.25">
      <c r="A368" s="8" t="s">
        <v>6005</v>
      </c>
      <c r="B368" s="8" t="s">
        <v>5693</v>
      </c>
      <c r="C368" s="8" t="s">
        <v>5918</v>
      </c>
      <c r="D368" s="10">
        <v>47</v>
      </c>
      <c r="E368" s="8" t="s">
        <v>1210</v>
      </c>
      <c r="F368" s="8" t="s">
        <v>1212</v>
      </c>
      <c r="G368" s="8" t="s">
        <v>4551</v>
      </c>
      <c r="H368" s="8" t="s">
        <v>1210</v>
      </c>
      <c r="I368" s="8" t="s">
        <v>1210</v>
      </c>
      <c r="J368" s="15" t="s">
        <v>5695</v>
      </c>
      <c r="K368" s="8"/>
      <c r="L368" s="15" t="s">
        <v>1685</v>
      </c>
      <c r="M368" s="8" t="s">
        <v>5578</v>
      </c>
      <c r="N368" s="8"/>
      <c r="O368" s="8" t="s">
        <v>5574</v>
      </c>
      <c r="P368" s="11"/>
      <c r="Q368" s="8" t="s">
        <v>5696</v>
      </c>
      <c r="R368" s="8" t="s">
        <v>5919</v>
      </c>
      <c r="S368" s="8" t="s">
        <v>6006</v>
      </c>
    </row>
    <row r="369" spans="1:19" ht="107.1" customHeight="1" x14ac:dyDescent="0.25">
      <c r="A369" s="8" t="s">
        <v>6007</v>
      </c>
      <c r="B369" s="8" t="s">
        <v>5693</v>
      </c>
      <c r="C369" s="8" t="s">
        <v>5918</v>
      </c>
      <c r="D369" s="10">
        <v>48</v>
      </c>
      <c r="E369" s="8" t="s">
        <v>701</v>
      </c>
      <c r="F369" s="8" t="s">
        <v>3156</v>
      </c>
      <c r="G369" s="8" t="s">
        <v>4551</v>
      </c>
      <c r="H369" s="8" t="s">
        <v>701</v>
      </c>
      <c r="I369" s="8" t="s">
        <v>701</v>
      </c>
      <c r="J369" s="15" t="s">
        <v>5695</v>
      </c>
      <c r="K369" s="8"/>
      <c r="L369" s="15" t="s">
        <v>1685</v>
      </c>
      <c r="M369" s="8" t="s">
        <v>5578</v>
      </c>
      <c r="N369" s="8"/>
      <c r="O369" s="8" t="s">
        <v>5574</v>
      </c>
      <c r="P369" s="11"/>
      <c r="Q369" s="8" t="s">
        <v>5696</v>
      </c>
      <c r="R369" s="8" t="s">
        <v>5919</v>
      </c>
      <c r="S369" s="8" t="s">
        <v>6008</v>
      </c>
    </row>
    <row r="370" spans="1:19" ht="107.1" customHeight="1" x14ac:dyDescent="0.25">
      <c r="A370" s="8" t="s">
        <v>6009</v>
      </c>
      <c r="B370" s="8" t="s">
        <v>5693</v>
      </c>
      <c r="C370" s="8" t="s">
        <v>5918</v>
      </c>
      <c r="D370" s="10">
        <v>49</v>
      </c>
      <c r="E370" s="8" t="s">
        <v>587</v>
      </c>
      <c r="F370" s="8" t="s">
        <v>3166</v>
      </c>
      <c r="G370" s="8" t="s">
        <v>4551</v>
      </c>
      <c r="H370" s="8" t="s">
        <v>587</v>
      </c>
      <c r="I370" s="8" t="s">
        <v>587</v>
      </c>
      <c r="J370" s="15" t="s">
        <v>5695</v>
      </c>
      <c r="K370" s="8"/>
      <c r="L370" s="15" t="s">
        <v>1685</v>
      </c>
      <c r="M370" s="8" t="s">
        <v>5578</v>
      </c>
      <c r="N370" s="8"/>
      <c r="O370" s="8" t="s">
        <v>5574</v>
      </c>
      <c r="P370" s="11"/>
      <c r="Q370" s="8" t="s">
        <v>5696</v>
      </c>
      <c r="R370" s="8" t="s">
        <v>5919</v>
      </c>
      <c r="S370" s="8" t="s">
        <v>6010</v>
      </c>
    </row>
    <row r="371" spans="1:19" ht="107.1" customHeight="1" x14ac:dyDescent="0.25">
      <c r="A371" s="8" t="s">
        <v>6011</v>
      </c>
      <c r="B371" s="8" t="s">
        <v>5693</v>
      </c>
      <c r="C371" s="8" t="s">
        <v>5918</v>
      </c>
      <c r="D371" s="10">
        <v>50</v>
      </c>
      <c r="E371" s="8" t="s">
        <v>847</v>
      </c>
      <c r="F371" s="8" t="s">
        <v>3007</v>
      </c>
      <c r="G371" s="8" t="s">
        <v>4551</v>
      </c>
      <c r="H371" s="8" t="s">
        <v>847</v>
      </c>
      <c r="I371" s="8" t="s">
        <v>847</v>
      </c>
      <c r="J371" s="15" t="s">
        <v>5695</v>
      </c>
      <c r="K371" s="8"/>
      <c r="L371" s="15" t="s">
        <v>1685</v>
      </c>
      <c r="M371" s="8" t="s">
        <v>5578</v>
      </c>
      <c r="N371" s="8"/>
      <c r="O371" s="8" t="s">
        <v>5574</v>
      </c>
      <c r="P371" s="11" t="s">
        <v>3533</v>
      </c>
      <c r="Q371" s="8" t="s">
        <v>5696</v>
      </c>
      <c r="R371" s="8" t="s">
        <v>5919</v>
      </c>
      <c r="S371" s="8" t="s">
        <v>6012</v>
      </c>
    </row>
    <row r="372" spans="1:19" ht="107.1" customHeight="1" x14ac:dyDescent="0.25">
      <c r="A372" s="8" t="s">
        <v>6013</v>
      </c>
      <c r="B372" s="8" t="s">
        <v>5693</v>
      </c>
      <c r="C372" s="8" t="s">
        <v>5918</v>
      </c>
      <c r="D372" s="10">
        <v>51</v>
      </c>
      <c r="E372" s="8" t="s">
        <v>753</v>
      </c>
      <c r="F372" s="8" t="s">
        <v>3134</v>
      </c>
      <c r="G372" s="8" t="s">
        <v>4551</v>
      </c>
      <c r="H372" s="8" t="s">
        <v>753</v>
      </c>
      <c r="I372" s="8" t="s">
        <v>753</v>
      </c>
      <c r="J372" s="15" t="s">
        <v>5695</v>
      </c>
      <c r="K372" s="8"/>
      <c r="L372" s="15" t="s">
        <v>1685</v>
      </c>
      <c r="M372" s="8" t="s">
        <v>5578</v>
      </c>
      <c r="N372" s="8"/>
      <c r="O372" s="8" t="s">
        <v>5574</v>
      </c>
      <c r="P372" s="11" t="s">
        <v>3533</v>
      </c>
      <c r="Q372" s="8" t="s">
        <v>5696</v>
      </c>
      <c r="R372" s="8" t="s">
        <v>5919</v>
      </c>
      <c r="S372" s="8" t="s">
        <v>6014</v>
      </c>
    </row>
    <row r="373" spans="1:19" ht="107.1" customHeight="1" x14ac:dyDescent="0.25">
      <c r="A373" s="8" t="s">
        <v>6015</v>
      </c>
      <c r="B373" s="8" t="s">
        <v>5693</v>
      </c>
      <c r="C373" s="8" t="s">
        <v>5918</v>
      </c>
      <c r="D373" s="10">
        <v>52</v>
      </c>
      <c r="E373" s="8" t="s">
        <v>1180</v>
      </c>
      <c r="F373" s="8" t="s">
        <v>1181</v>
      </c>
      <c r="G373" s="8" t="s">
        <v>4551</v>
      </c>
      <c r="H373" s="8" t="s">
        <v>1180</v>
      </c>
      <c r="I373" s="8" t="s">
        <v>1180</v>
      </c>
      <c r="J373" s="15" t="s">
        <v>5695</v>
      </c>
      <c r="K373" s="8"/>
      <c r="L373" s="15" t="s">
        <v>1685</v>
      </c>
      <c r="M373" s="8" t="s">
        <v>5578</v>
      </c>
      <c r="N373" s="8"/>
      <c r="O373" s="8" t="s">
        <v>5574</v>
      </c>
      <c r="P373" s="11"/>
      <c r="Q373" s="8" t="s">
        <v>5696</v>
      </c>
      <c r="R373" s="8" t="s">
        <v>5919</v>
      </c>
      <c r="S373" s="8" t="s">
        <v>6016</v>
      </c>
    </row>
    <row r="374" spans="1:19" ht="107.1" customHeight="1" x14ac:dyDescent="0.25">
      <c r="A374" s="8" t="s">
        <v>6017</v>
      </c>
      <c r="B374" s="8" t="s">
        <v>5693</v>
      </c>
      <c r="C374" s="8" t="s">
        <v>5918</v>
      </c>
      <c r="D374" s="10">
        <v>53</v>
      </c>
      <c r="E374" s="8" t="s">
        <v>1101</v>
      </c>
      <c r="F374" s="8" t="s">
        <v>1102</v>
      </c>
      <c r="G374" s="8" t="s">
        <v>4551</v>
      </c>
      <c r="H374" s="8" t="s">
        <v>1101</v>
      </c>
      <c r="I374" s="8" t="s">
        <v>1101</v>
      </c>
      <c r="J374" s="15" t="s">
        <v>5695</v>
      </c>
      <c r="K374" s="8"/>
      <c r="L374" s="15" t="s">
        <v>1685</v>
      </c>
      <c r="M374" s="8" t="s">
        <v>5578</v>
      </c>
      <c r="N374" s="8"/>
      <c r="O374" s="8" t="s">
        <v>5574</v>
      </c>
      <c r="P374" s="11"/>
      <c r="Q374" s="8" t="s">
        <v>5696</v>
      </c>
      <c r="R374" s="8" t="s">
        <v>5919</v>
      </c>
      <c r="S374" s="8" t="s">
        <v>6018</v>
      </c>
    </row>
    <row r="375" spans="1:19" ht="107.1" customHeight="1" x14ac:dyDescent="0.25">
      <c r="A375" s="8" t="s">
        <v>6019</v>
      </c>
      <c r="B375" s="8" t="s">
        <v>5693</v>
      </c>
      <c r="C375" s="8" t="s">
        <v>5918</v>
      </c>
      <c r="D375" s="10">
        <v>54</v>
      </c>
      <c r="E375" s="8" t="s">
        <v>502</v>
      </c>
      <c r="F375" s="8" t="s">
        <v>2845</v>
      </c>
      <c r="G375" s="8" t="s">
        <v>4551</v>
      </c>
      <c r="H375" s="8" t="s">
        <v>502</v>
      </c>
      <c r="I375" s="8" t="s">
        <v>502</v>
      </c>
      <c r="J375" s="15" t="s">
        <v>5695</v>
      </c>
      <c r="K375" s="8"/>
      <c r="L375" s="15" t="s">
        <v>1685</v>
      </c>
      <c r="M375" s="8" t="s">
        <v>5578</v>
      </c>
      <c r="N375" s="8"/>
      <c r="O375" s="8" t="s">
        <v>5574</v>
      </c>
      <c r="P375" s="11"/>
      <c r="Q375" s="8" t="s">
        <v>5696</v>
      </c>
      <c r="R375" s="8" t="s">
        <v>5919</v>
      </c>
      <c r="S375" s="8" t="s">
        <v>6020</v>
      </c>
    </row>
    <row r="376" spans="1:19" ht="107.1" customHeight="1" x14ac:dyDescent="0.25">
      <c r="A376" s="8" t="s">
        <v>6021</v>
      </c>
      <c r="B376" s="8" t="s">
        <v>5693</v>
      </c>
      <c r="C376" s="8" t="s">
        <v>5918</v>
      </c>
      <c r="D376" s="10">
        <v>55</v>
      </c>
      <c r="E376" s="8" t="s">
        <v>1142</v>
      </c>
      <c r="F376" s="8" t="s">
        <v>1144</v>
      </c>
      <c r="G376" s="8" t="s">
        <v>4551</v>
      </c>
      <c r="H376" s="8" t="s">
        <v>1142</v>
      </c>
      <c r="I376" s="8" t="s">
        <v>1142</v>
      </c>
      <c r="J376" s="15" t="s">
        <v>5695</v>
      </c>
      <c r="K376" s="8"/>
      <c r="L376" s="15" t="s">
        <v>1685</v>
      </c>
      <c r="M376" s="8" t="s">
        <v>5578</v>
      </c>
      <c r="N376" s="8"/>
      <c r="O376" s="8" t="s">
        <v>5574</v>
      </c>
      <c r="P376" s="11"/>
      <c r="Q376" s="8" t="s">
        <v>5696</v>
      </c>
      <c r="R376" s="8" t="s">
        <v>5919</v>
      </c>
      <c r="S376" s="8" t="s">
        <v>6022</v>
      </c>
    </row>
    <row r="377" spans="1:19" ht="107.1" customHeight="1" x14ac:dyDescent="0.25">
      <c r="A377" s="8" t="s">
        <v>6023</v>
      </c>
      <c r="B377" s="8" t="s">
        <v>5693</v>
      </c>
      <c r="C377" s="8" t="s">
        <v>5918</v>
      </c>
      <c r="D377" s="10">
        <v>56</v>
      </c>
      <c r="E377" s="8" t="s">
        <v>1229</v>
      </c>
      <c r="F377" s="8" t="s">
        <v>1231</v>
      </c>
      <c r="G377" s="8" t="s">
        <v>4551</v>
      </c>
      <c r="H377" s="8" t="s">
        <v>1229</v>
      </c>
      <c r="I377" s="8" t="s">
        <v>1229</v>
      </c>
      <c r="J377" s="15" t="s">
        <v>5695</v>
      </c>
      <c r="K377" s="8"/>
      <c r="L377" s="15" t="s">
        <v>1685</v>
      </c>
      <c r="M377" s="8" t="s">
        <v>5578</v>
      </c>
      <c r="N377" s="8"/>
      <c r="O377" s="8" t="s">
        <v>5574</v>
      </c>
      <c r="P377" s="11"/>
      <c r="Q377" s="8" t="s">
        <v>5696</v>
      </c>
      <c r="R377" s="8" t="s">
        <v>5919</v>
      </c>
      <c r="S377" s="8" t="s">
        <v>6024</v>
      </c>
    </row>
    <row r="378" spans="1:19" ht="107.1" customHeight="1" x14ac:dyDescent="0.25">
      <c r="A378" s="8" t="s">
        <v>6025</v>
      </c>
      <c r="B378" s="8" t="s">
        <v>5693</v>
      </c>
      <c r="C378" s="8" t="s">
        <v>5918</v>
      </c>
      <c r="D378" s="10">
        <v>57</v>
      </c>
      <c r="E378" s="8" t="s">
        <v>1058</v>
      </c>
      <c r="F378" s="8" t="s">
        <v>1060</v>
      </c>
      <c r="G378" s="8" t="s">
        <v>4551</v>
      </c>
      <c r="H378" s="8" t="s">
        <v>1058</v>
      </c>
      <c r="I378" s="8" t="s">
        <v>1058</v>
      </c>
      <c r="J378" s="15" t="s">
        <v>5695</v>
      </c>
      <c r="K378" s="8"/>
      <c r="L378" s="15" t="s">
        <v>1685</v>
      </c>
      <c r="M378" s="8" t="s">
        <v>5578</v>
      </c>
      <c r="N378" s="8"/>
      <c r="O378" s="8" t="s">
        <v>5574</v>
      </c>
      <c r="P378" s="11"/>
      <c r="Q378" s="8" t="s">
        <v>5696</v>
      </c>
      <c r="R378" s="8" t="s">
        <v>5919</v>
      </c>
      <c r="S378" s="8" t="s">
        <v>6026</v>
      </c>
    </row>
    <row r="379" spans="1:19" ht="107.1" customHeight="1" x14ac:dyDescent="0.25">
      <c r="A379" s="8" t="s">
        <v>6027</v>
      </c>
      <c r="B379" s="8" t="s">
        <v>5693</v>
      </c>
      <c r="C379" s="8" t="s">
        <v>5918</v>
      </c>
      <c r="D379" s="10">
        <v>58</v>
      </c>
      <c r="E379" s="8" t="s">
        <v>599</v>
      </c>
      <c r="F379" s="8" t="s">
        <v>604</v>
      </c>
      <c r="G379" s="8" t="s">
        <v>4551</v>
      </c>
      <c r="H379" s="8" t="s">
        <v>599</v>
      </c>
      <c r="I379" s="8" t="s">
        <v>599</v>
      </c>
      <c r="J379" s="15" t="s">
        <v>5695</v>
      </c>
      <c r="K379" s="8"/>
      <c r="L379" s="15" t="s">
        <v>1685</v>
      </c>
      <c r="M379" s="8" t="s">
        <v>5578</v>
      </c>
      <c r="N379" s="8"/>
      <c r="O379" s="8" t="s">
        <v>5574</v>
      </c>
      <c r="P379" s="11"/>
      <c r="Q379" s="8" t="s">
        <v>5696</v>
      </c>
      <c r="R379" s="8" t="s">
        <v>5919</v>
      </c>
      <c r="S379" s="8" t="s">
        <v>6028</v>
      </c>
    </row>
    <row r="380" spans="1:19" ht="107.1" customHeight="1" x14ac:dyDescent="0.25">
      <c r="A380" s="8" t="s">
        <v>6029</v>
      </c>
      <c r="B380" s="8" t="s">
        <v>5693</v>
      </c>
      <c r="C380" s="8" t="s">
        <v>5918</v>
      </c>
      <c r="D380" s="10">
        <v>59</v>
      </c>
      <c r="E380" s="8" t="s">
        <v>1224</v>
      </c>
      <c r="F380" s="8" t="s">
        <v>1226</v>
      </c>
      <c r="G380" s="8" t="s">
        <v>4551</v>
      </c>
      <c r="H380" s="8" t="s">
        <v>1224</v>
      </c>
      <c r="I380" s="8" t="s">
        <v>1224</v>
      </c>
      <c r="J380" s="15" t="s">
        <v>5695</v>
      </c>
      <c r="K380" s="8"/>
      <c r="L380" s="15" t="s">
        <v>1685</v>
      </c>
      <c r="M380" s="8" t="s">
        <v>5578</v>
      </c>
      <c r="N380" s="8"/>
      <c r="O380" s="8" t="s">
        <v>5574</v>
      </c>
      <c r="P380" s="11"/>
      <c r="Q380" s="8" t="s">
        <v>5696</v>
      </c>
      <c r="R380" s="8" t="s">
        <v>5919</v>
      </c>
      <c r="S380" s="8" t="s">
        <v>6030</v>
      </c>
    </row>
    <row r="381" spans="1:19" ht="93" customHeight="1" x14ac:dyDescent="0.25">
      <c r="A381" s="8" t="s">
        <v>6031</v>
      </c>
      <c r="B381" s="8" t="s">
        <v>5693</v>
      </c>
      <c r="C381" s="8" t="s">
        <v>5918</v>
      </c>
      <c r="D381" s="10">
        <v>60</v>
      </c>
      <c r="E381" s="8" t="s">
        <v>1086</v>
      </c>
      <c r="F381" s="8" t="s">
        <v>1088</v>
      </c>
      <c r="G381" s="8" t="s">
        <v>4551</v>
      </c>
      <c r="H381" s="8" t="s">
        <v>1086</v>
      </c>
      <c r="I381" s="8" t="s">
        <v>1086</v>
      </c>
      <c r="J381" s="15" t="s">
        <v>5695</v>
      </c>
      <c r="K381" s="8"/>
      <c r="L381" s="15" t="s">
        <v>1685</v>
      </c>
      <c r="M381" s="8" t="s">
        <v>5578</v>
      </c>
      <c r="N381" s="8"/>
      <c r="O381" s="8" t="s">
        <v>5574</v>
      </c>
      <c r="P381" s="11"/>
      <c r="Q381" s="8" t="s">
        <v>5696</v>
      </c>
      <c r="R381" s="8" t="s">
        <v>5919</v>
      </c>
      <c r="S381" s="8" t="s">
        <v>6032</v>
      </c>
    </row>
    <row r="382" spans="1:19" ht="107.1" customHeight="1" x14ac:dyDescent="0.25">
      <c r="A382" s="8" t="s">
        <v>6033</v>
      </c>
      <c r="B382" s="8" t="s">
        <v>5693</v>
      </c>
      <c r="C382" s="8" t="s">
        <v>5918</v>
      </c>
      <c r="D382" s="10">
        <v>61</v>
      </c>
      <c r="E382" s="8" t="s">
        <v>370</v>
      </c>
      <c r="F382" s="8" t="s">
        <v>374</v>
      </c>
      <c r="G382" s="8" t="s">
        <v>4551</v>
      </c>
      <c r="H382" s="8" t="s">
        <v>370</v>
      </c>
      <c r="I382" s="8" t="s">
        <v>370</v>
      </c>
      <c r="J382" s="15" t="s">
        <v>5695</v>
      </c>
      <c r="K382" s="8"/>
      <c r="L382" s="15" t="s">
        <v>1685</v>
      </c>
      <c r="M382" s="8" t="s">
        <v>5578</v>
      </c>
      <c r="N382" s="8"/>
      <c r="O382" s="8" t="s">
        <v>5574</v>
      </c>
      <c r="P382" s="11" t="s">
        <v>3541</v>
      </c>
      <c r="Q382" s="8" t="s">
        <v>5696</v>
      </c>
      <c r="R382" s="8" t="s">
        <v>5919</v>
      </c>
      <c r="S382" s="8" t="s">
        <v>6034</v>
      </c>
    </row>
    <row r="383" spans="1:19" ht="107.1" customHeight="1" x14ac:dyDescent="0.25">
      <c r="A383" s="8" t="s">
        <v>6035</v>
      </c>
      <c r="B383" s="8" t="s">
        <v>5693</v>
      </c>
      <c r="C383" s="8" t="s">
        <v>5918</v>
      </c>
      <c r="D383" s="10">
        <v>62</v>
      </c>
      <c r="E383" s="8" t="s">
        <v>511</v>
      </c>
      <c r="F383" s="8" t="s">
        <v>2932</v>
      </c>
      <c r="G383" s="8" t="s">
        <v>4551</v>
      </c>
      <c r="H383" s="8" t="s">
        <v>511</v>
      </c>
      <c r="I383" s="8" t="s">
        <v>511</v>
      </c>
      <c r="J383" s="15" t="s">
        <v>5695</v>
      </c>
      <c r="K383" s="8"/>
      <c r="L383" s="15" t="s">
        <v>1685</v>
      </c>
      <c r="M383" s="8" t="s">
        <v>5578</v>
      </c>
      <c r="N383" s="8"/>
      <c r="O383" s="8" t="s">
        <v>5574</v>
      </c>
      <c r="P383" s="11" t="s">
        <v>3543</v>
      </c>
      <c r="Q383" s="8" t="s">
        <v>5696</v>
      </c>
      <c r="R383" s="8" t="s">
        <v>5919</v>
      </c>
      <c r="S383" s="8" t="s">
        <v>6036</v>
      </c>
    </row>
    <row r="384" spans="1:19" ht="107.1" customHeight="1" x14ac:dyDescent="0.25">
      <c r="A384" s="8" t="s">
        <v>6037</v>
      </c>
      <c r="B384" s="8" t="s">
        <v>5693</v>
      </c>
      <c r="C384" s="8" t="s">
        <v>5918</v>
      </c>
      <c r="D384" s="10">
        <v>63</v>
      </c>
      <c r="E384" s="8" t="s">
        <v>430</v>
      </c>
      <c r="F384" s="8" t="s">
        <v>432</v>
      </c>
      <c r="G384" s="8" t="s">
        <v>4551</v>
      </c>
      <c r="H384" s="8" t="s">
        <v>430</v>
      </c>
      <c r="I384" s="8" t="s">
        <v>430</v>
      </c>
      <c r="J384" s="15" t="s">
        <v>5695</v>
      </c>
      <c r="K384" s="8"/>
      <c r="L384" s="15" t="s">
        <v>1685</v>
      </c>
      <c r="M384" s="8" t="s">
        <v>5578</v>
      </c>
      <c r="N384" s="8"/>
      <c r="O384" s="8" t="s">
        <v>5574</v>
      </c>
      <c r="P384" s="11" t="s">
        <v>3545</v>
      </c>
      <c r="Q384" s="8" t="s">
        <v>5696</v>
      </c>
      <c r="R384" s="8" t="s">
        <v>5919</v>
      </c>
      <c r="S384" s="8" t="s">
        <v>6038</v>
      </c>
    </row>
    <row r="385" spans="1:19" ht="107.1" customHeight="1" x14ac:dyDescent="0.25">
      <c r="A385" s="8" t="s">
        <v>6039</v>
      </c>
      <c r="B385" s="8" t="s">
        <v>5693</v>
      </c>
      <c r="C385" s="8" t="s">
        <v>5918</v>
      </c>
      <c r="D385" s="10">
        <v>64</v>
      </c>
      <c r="E385" s="8" t="s">
        <v>1162</v>
      </c>
      <c r="F385" s="8" t="s">
        <v>1164</v>
      </c>
      <c r="G385" s="8" t="s">
        <v>4551</v>
      </c>
      <c r="H385" s="8" t="s">
        <v>1162</v>
      </c>
      <c r="I385" s="8" t="s">
        <v>1162</v>
      </c>
      <c r="J385" s="15" t="s">
        <v>5695</v>
      </c>
      <c r="K385" s="8"/>
      <c r="L385" s="15" t="s">
        <v>1685</v>
      </c>
      <c r="M385" s="8" t="s">
        <v>5578</v>
      </c>
      <c r="N385" s="8"/>
      <c r="O385" s="8" t="s">
        <v>5574</v>
      </c>
      <c r="P385" s="11"/>
      <c r="Q385" s="8" t="s">
        <v>5696</v>
      </c>
      <c r="R385" s="8" t="s">
        <v>5919</v>
      </c>
      <c r="S385" s="8" t="s">
        <v>6040</v>
      </c>
    </row>
    <row r="386" spans="1:19" ht="107.1" customHeight="1" x14ac:dyDescent="0.25">
      <c r="A386" s="8" t="s">
        <v>6041</v>
      </c>
      <c r="B386" s="8" t="s">
        <v>5693</v>
      </c>
      <c r="C386" s="8" t="s">
        <v>5918</v>
      </c>
      <c r="D386" s="10">
        <v>65</v>
      </c>
      <c r="E386" s="8" t="s">
        <v>656</v>
      </c>
      <c r="F386" s="8" t="s">
        <v>659</v>
      </c>
      <c r="G386" s="8" t="s">
        <v>4551</v>
      </c>
      <c r="H386" s="8" t="s">
        <v>656</v>
      </c>
      <c r="I386" s="8" t="s">
        <v>656</v>
      </c>
      <c r="J386" s="15" t="s">
        <v>5695</v>
      </c>
      <c r="K386" s="8"/>
      <c r="L386" s="15" t="s">
        <v>1685</v>
      </c>
      <c r="M386" s="8" t="s">
        <v>5578</v>
      </c>
      <c r="N386" s="8"/>
      <c r="O386" s="8" t="s">
        <v>5574</v>
      </c>
      <c r="P386" s="11"/>
      <c r="Q386" s="8" t="s">
        <v>5696</v>
      </c>
      <c r="R386" s="8" t="s">
        <v>5919</v>
      </c>
      <c r="S386" s="8" t="s">
        <v>6042</v>
      </c>
    </row>
    <row r="387" spans="1:19" ht="107.1" customHeight="1" x14ac:dyDescent="0.25">
      <c r="A387" s="8" t="s">
        <v>6043</v>
      </c>
      <c r="B387" s="8" t="s">
        <v>5693</v>
      </c>
      <c r="C387" s="8" t="s">
        <v>5918</v>
      </c>
      <c r="D387" s="10">
        <v>66</v>
      </c>
      <c r="E387" s="8" t="s">
        <v>1096</v>
      </c>
      <c r="F387" s="8" t="s">
        <v>1098</v>
      </c>
      <c r="G387" s="8" t="s">
        <v>4551</v>
      </c>
      <c r="H387" s="8" t="s">
        <v>1096</v>
      </c>
      <c r="I387" s="8" t="s">
        <v>1096</v>
      </c>
      <c r="J387" s="15" t="s">
        <v>5695</v>
      </c>
      <c r="K387" s="8"/>
      <c r="L387" s="15" t="s">
        <v>1685</v>
      </c>
      <c r="M387" s="8" t="s">
        <v>5578</v>
      </c>
      <c r="N387" s="8"/>
      <c r="O387" s="8" t="s">
        <v>5574</v>
      </c>
      <c r="P387" s="11"/>
      <c r="Q387" s="8" t="s">
        <v>5696</v>
      </c>
      <c r="R387" s="8" t="s">
        <v>5919</v>
      </c>
      <c r="S387" s="8" t="s">
        <v>6044</v>
      </c>
    </row>
    <row r="388" spans="1:19" ht="107.1" customHeight="1" x14ac:dyDescent="0.25">
      <c r="A388" s="8" t="s">
        <v>6045</v>
      </c>
      <c r="B388" s="8" t="s">
        <v>5693</v>
      </c>
      <c r="C388" s="8" t="s">
        <v>5918</v>
      </c>
      <c r="D388" s="10">
        <v>67</v>
      </c>
      <c r="E388" s="8" t="s">
        <v>613</v>
      </c>
      <c r="F388" s="8" t="s">
        <v>2868</v>
      </c>
      <c r="G388" s="8" t="s">
        <v>4551</v>
      </c>
      <c r="H388" s="8" t="s">
        <v>613</v>
      </c>
      <c r="I388" s="8" t="s">
        <v>613</v>
      </c>
      <c r="J388" s="15" t="s">
        <v>5695</v>
      </c>
      <c r="K388" s="8"/>
      <c r="L388" s="15" t="s">
        <v>1685</v>
      </c>
      <c r="M388" s="8" t="s">
        <v>5578</v>
      </c>
      <c r="N388" s="8"/>
      <c r="O388" s="8" t="s">
        <v>5574</v>
      </c>
      <c r="P388" s="11"/>
      <c r="Q388" s="8" t="s">
        <v>5696</v>
      </c>
      <c r="R388" s="8" t="s">
        <v>5919</v>
      </c>
      <c r="S388" s="8" t="s">
        <v>6046</v>
      </c>
    </row>
    <row r="389" spans="1:19" ht="107.1" customHeight="1" x14ac:dyDescent="0.25">
      <c r="A389" s="8" t="s">
        <v>6047</v>
      </c>
      <c r="B389" s="8" t="s">
        <v>5693</v>
      </c>
      <c r="C389" s="8" t="s">
        <v>5918</v>
      </c>
      <c r="D389" s="10">
        <v>68</v>
      </c>
      <c r="E389" s="8" t="s">
        <v>1219</v>
      </c>
      <c r="F389" s="8" t="s">
        <v>1221</v>
      </c>
      <c r="G389" s="8" t="s">
        <v>4551</v>
      </c>
      <c r="H389" s="8" t="s">
        <v>1219</v>
      </c>
      <c r="I389" s="8" t="s">
        <v>1219</v>
      </c>
      <c r="J389" s="15" t="s">
        <v>5695</v>
      </c>
      <c r="K389" s="8"/>
      <c r="L389" s="15" t="s">
        <v>1685</v>
      </c>
      <c r="M389" s="8" t="s">
        <v>5578</v>
      </c>
      <c r="N389" s="8"/>
      <c r="O389" s="8" t="s">
        <v>5574</v>
      </c>
      <c r="P389" s="11"/>
      <c r="Q389" s="8" t="s">
        <v>5696</v>
      </c>
      <c r="R389" s="8" t="s">
        <v>5919</v>
      </c>
      <c r="S389" s="8" t="s">
        <v>6048</v>
      </c>
    </row>
    <row r="390" spans="1:19" ht="107.1" customHeight="1" x14ac:dyDescent="0.25">
      <c r="A390" s="8" t="s">
        <v>6049</v>
      </c>
      <c r="B390" s="8" t="s">
        <v>5693</v>
      </c>
      <c r="C390" s="8" t="s">
        <v>5918</v>
      </c>
      <c r="D390" s="10">
        <v>69</v>
      </c>
      <c r="E390" s="8" t="s">
        <v>1068</v>
      </c>
      <c r="F390" s="8" t="s">
        <v>1070</v>
      </c>
      <c r="G390" s="8" t="s">
        <v>4551</v>
      </c>
      <c r="H390" s="8" t="s">
        <v>1068</v>
      </c>
      <c r="I390" s="8" t="s">
        <v>1068</v>
      </c>
      <c r="J390" s="15" t="s">
        <v>5695</v>
      </c>
      <c r="K390" s="8"/>
      <c r="L390" s="15" t="s">
        <v>1685</v>
      </c>
      <c r="M390" s="8" t="s">
        <v>5578</v>
      </c>
      <c r="N390" s="8"/>
      <c r="O390" s="8" t="s">
        <v>5574</v>
      </c>
      <c r="P390" s="11"/>
      <c r="Q390" s="8" t="s">
        <v>5696</v>
      </c>
      <c r="R390" s="8" t="s">
        <v>5919</v>
      </c>
      <c r="S390" s="8" t="s">
        <v>6050</v>
      </c>
    </row>
    <row r="391" spans="1:19" ht="107.1" customHeight="1" x14ac:dyDescent="0.25">
      <c r="A391" s="8" t="s">
        <v>6051</v>
      </c>
      <c r="B391" s="8" t="s">
        <v>5693</v>
      </c>
      <c r="C391" s="8" t="s">
        <v>5918</v>
      </c>
      <c r="D391" s="10">
        <v>70</v>
      </c>
      <c r="E391" s="8" t="s">
        <v>542</v>
      </c>
      <c r="F391" s="8" t="s">
        <v>2840</v>
      </c>
      <c r="G391" s="8" t="s">
        <v>4551</v>
      </c>
      <c r="H391" s="8" t="s">
        <v>542</v>
      </c>
      <c r="I391" s="8" t="s">
        <v>542</v>
      </c>
      <c r="J391" s="15" t="s">
        <v>5695</v>
      </c>
      <c r="K391" s="8"/>
      <c r="L391" s="15" t="s">
        <v>1685</v>
      </c>
      <c r="M391" s="8" t="s">
        <v>5578</v>
      </c>
      <c r="N391" s="8"/>
      <c r="O391" s="8" t="s">
        <v>5574</v>
      </c>
      <c r="P391" s="11" t="s">
        <v>3533</v>
      </c>
      <c r="Q391" s="8" t="s">
        <v>5696</v>
      </c>
      <c r="R391" s="8" t="s">
        <v>5919</v>
      </c>
      <c r="S391" s="8" t="s">
        <v>6052</v>
      </c>
    </row>
    <row r="392" spans="1:19" ht="107.1" customHeight="1" x14ac:dyDescent="0.25">
      <c r="A392" s="8" t="s">
        <v>6053</v>
      </c>
      <c r="B392" s="8" t="s">
        <v>5693</v>
      </c>
      <c r="C392" s="8" t="s">
        <v>5918</v>
      </c>
      <c r="D392" s="10">
        <v>71</v>
      </c>
      <c r="E392" s="8" t="s">
        <v>707</v>
      </c>
      <c r="F392" s="8" t="s">
        <v>2966</v>
      </c>
      <c r="G392" s="8" t="s">
        <v>4551</v>
      </c>
      <c r="H392" s="8" t="s">
        <v>707</v>
      </c>
      <c r="I392" s="8" t="s">
        <v>707</v>
      </c>
      <c r="J392" s="15" t="s">
        <v>5695</v>
      </c>
      <c r="K392" s="8"/>
      <c r="L392" s="15" t="s">
        <v>1685</v>
      </c>
      <c r="M392" s="8" t="s">
        <v>5578</v>
      </c>
      <c r="N392" s="8"/>
      <c r="O392" s="8" t="s">
        <v>5574</v>
      </c>
      <c r="P392" s="11" t="s">
        <v>3533</v>
      </c>
      <c r="Q392" s="8" t="s">
        <v>5696</v>
      </c>
      <c r="R392" s="8" t="s">
        <v>5919</v>
      </c>
      <c r="S392" s="8" t="s">
        <v>6054</v>
      </c>
    </row>
    <row r="393" spans="1:19" ht="120.95" customHeight="1" x14ac:dyDescent="0.25">
      <c r="A393" s="8" t="s">
        <v>6055</v>
      </c>
      <c r="B393" s="8" t="s">
        <v>5693</v>
      </c>
      <c r="C393" s="8" t="s">
        <v>5918</v>
      </c>
      <c r="D393" s="10">
        <v>72</v>
      </c>
      <c r="E393" s="8" t="s">
        <v>720</v>
      </c>
      <c r="F393" s="8" t="s">
        <v>724</v>
      </c>
      <c r="G393" s="8" t="s">
        <v>4551</v>
      </c>
      <c r="H393" s="8" t="s">
        <v>720</v>
      </c>
      <c r="I393" s="8" t="s">
        <v>720</v>
      </c>
      <c r="J393" s="8"/>
      <c r="K393" s="8"/>
      <c r="L393" s="15" t="s">
        <v>1685</v>
      </c>
      <c r="M393" s="8" t="s">
        <v>5578</v>
      </c>
      <c r="N393" s="8"/>
      <c r="O393" s="8" t="s">
        <v>5574</v>
      </c>
      <c r="P393" s="11" t="s">
        <v>3548</v>
      </c>
      <c r="Q393" s="8" t="s">
        <v>5768</v>
      </c>
      <c r="R393" s="8" t="s">
        <v>5919</v>
      </c>
      <c r="S393" s="8" t="s">
        <v>6056</v>
      </c>
    </row>
    <row r="394" spans="1:19" ht="120.95" customHeight="1" x14ac:dyDescent="0.25">
      <c r="A394" s="8" t="s">
        <v>6057</v>
      </c>
      <c r="B394" s="8" t="s">
        <v>5693</v>
      </c>
      <c r="C394" s="8" t="s">
        <v>5918</v>
      </c>
      <c r="D394" s="10">
        <v>73</v>
      </c>
      <c r="E394" s="8" t="s">
        <v>623</v>
      </c>
      <c r="F394" s="8" t="s">
        <v>625</v>
      </c>
      <c r="G394" s="8" t="s">
        <v>4551</v>
      </c>
      <c r="H394" s="8" t="s">
        <v>623</v>
      </c>
      <c r="I394" s="8" t="s">
        <v>623</v>
      </c>
      <c r="J394" s="8"/>
      <c r="K394" s="8"/>
      <c r="L394" s="15" t="s">
        <v>1685</v>
      </c>
      <c r="M394" s="8" t="s">
        <v>5578</v>
      </c>
      <c r="N394" s="8"/>
      <c r="O394" s="8" t="s">
        <v>5574</v>
      </c>
      <c r="P394" s="11" t="s">
        <v>3550</v>
      </c>
      <c r="Q394" s="8" t="s">
        <v>5768</v>
      </c>
      <c r="R394" s="8" t="s">
        <v>5919</v>
      </c>
      <c r="S394" s="8" t="s">
        <v>6058</v>
      </c>
    </row>
    <row r="395" spans="1:19" ht="107.1" customHeight="1" x14ac:dyDescent="0.25">
      <c r="A395" s="8" t="s">
        <v>6059</v>
      </c>
      <c r="B395" s="8" t="s">
        <v>5693</v>
      </c>
      <c r="C395" s="8" t="s">
        <v>5918</v>
      </c>
      <c r="D395" s="10">
        <v>74</v>
      </c>
      <c r="E395" s="8" t="s">
        <v>729</v>
      </c>
      <c r="F395" s="8" t="s">
        <v>730</v>
      </c>
      <c r="G395" s="8" t="s">
        <v>4551</v>
      </c>
      <c r="H395" s="8" t="s">
        <v>729</v>
      </c>
      <c r="I395" s="8" t="s">
        <v>729</v>
      </c>
      <c r="J395" s="15" t="s">
        <v>5695</v>
      </c>
      <c r="K395" s="8"/>
      <c r="L395" s="15" t="s">
        <v>1685</v>
      </c>
      <c r="M395" s="8" t="s">
        <v>5578</v>
      </c>
      <c r="N395" s="8"/>
      <c r="O395" s="8" t="s">
        <v>5574</v>
      </c>
      <c r="P395" s="11" t="s">
        <v>3533</v>
      </c>
      <c r="Q395" s="8" t="s">
        <v>5696</v>
      </c>
      <c r="R395" s="8" t="s">
        <v>5919</v>
      </c>
      <c r="S395" s="8" t="s">
        <v>6060</v>
      </c>
    </row>
    <row r="396" spans="1:19" ht="107.1" customHeight="1" x14ac:dyDescent="0.25">
      <c r="A396" s="8" t="s">
        <v>6061</v>
      </c>
      <c r="B396" s="8" t="s">
        <v>5693</v>
      </c>
      <c r="C396" s="8" t="s">
        <v>5918</v>
      </c>
      <c r="D396" s="10">
        <v>75</v>
      </c>
      <c r="E396" s="8" t="s">
        <v>1193</v>
      </c>
      <c r="F396" s="8" t="s">
        <v>1195</v>
      </c>
      <c r="G396" s="8" t="s">
        <v>4551</v>
      </c>
      <c r="H396" s="8" t="s">
        <v>1193</v>
      </c>
      <c r="I396" s="8" t="s">
        <v>1193</v>
      </c>
      <c r="J396" s="15" t="s">
        <v>5695</v>
      </c>
      <c r="K396" s="8"/>
      <c r="L396" s="15" t="s">
        <v>1685</v>
      </c>
      <c r="M396" s="8" t="s">
        <v>5578</v>
      </c>
      <c r="N396" s="8"/>
      <c r="O396" s="8" t="s">
        <v>5574</v>
      </c>
      <c r="P396" s="11"/>
      <c r="Q396" s="8" t="s">
        <v>5696</v>
      </c>
      <c r="R396" s="8" t="s">
        <v>5919</v>
      </c>
      <c r="S396" s="8" t="s">
        <v>6062</v>
      </c>
    </row>
    <row r="397" spans="1:19" ht="120.95" customHeight="1" x14ac:dyDescent="0.25">
      <c r="A397" s="8" t="s">
        <v>6063</v>
      </c>
      <c r="B397" s="8" t="s">
        <v>5693</v>
      </c>
      <c r="C397" s="8" t="s">
        <v>5918</v>
      </c>
      <c r="D397" s="10">
        <v>76</v>
      </c>
      <c r="E397" s="8" t="s">
        <v>738</v>
      </c>
      <c r="F397" s="8" t="s">
        <v>2882</v>
      </c>
      <c r="G397" s="8" t="s">
        <v>4551</v>
      </c>
      <c r="H397" s="8" t="s">
        <v>738</v>
      </c>
      <c r="I397" s="8" t="s">
        <v>738</v>
      </c>
      <c r="J397" s="8"/>
      <c r="K397" s="8"/>
      <c r="L397" s="15" t="s">
        <v>1685</v>
      </c>
      <c r="M397" s="8" t="s">
        <v>5578</v>
      </c>
      <c r="N397" s="8"/>
      <c r="O397" s="8" t="s">
        <v>5574</v>
      </c>
      <c r="P397" s="11" t="s">
        <v>3552</v>
      </c>
      <c r="Q397" s="8" t="s">
        <v>5768</v>
      </c>
      <c r="R397" s="8" t="s">
        <v>5919</v>
      </c>
      <c r="S397" s="8" t="s">
        <v>6064</v>
      </c>
    </row>
    <row r="398" spans="1:19" ht="107.1" customHeight="1" x14ac:dyDescent="0.25">
      <c r="A398" s="8" t="s">
        <v>6065</v>
      </c>
      <c r="B398" s="8" t="s">
        <v>5693</v>
      </c>
      <c r="C398" s="8" t="s">
        <v>5918</v>
      </c>
      <c r="D398" s="10">
        <v>77</v>
      </c>
      <c r="E398" s="8" t="s">
        <v>460</v>
      </c>
      <c r="F398" s="8" t="s">
        <v>462</v>
      </c>
      <c r="G398" s="8" t="s">
        <v>4551</v>
      </c>
      <c r="H398" s="8" t="s">
        <v>460</v>
      </c>
      <c r="I398" s="8" t="s">
        <v>460</v>
      </c>
      <c r="J398" s="8"/>
      <c r="K398" s="8"/>
      <c r="L398" s="15" t="s">
        <v>1685</v>
      </c>
      <c r="M398" s="8" t="s">
        <v>5578</v>
      </c>
      <c r="N398" s="8"/>
      <c r="O398" s="8" t="s">
        <v>5574</v>
      </c>
      <c r="P398" s="11" t="s">
        <v>3554</v>
      </c>
      <c r="Q398" s="8" t="s">
        <v>5768</v>
      </c>
      <c r="R398" s="8" t="s">
        <v>5919</v>
      </c>
      <c r="S398" s="8" t="s">
        <v>6066</v>
      </c>
    </row>
    <row r="399" spans="1:19" ht="107.1" customHeight="1" x14ac:dyDescent="0.25">
      <c r="A399" s="8" t="s">
        <v>6067</v>
      </c>
      <c r="B399" s="8" t="s">
        <v>5693</v>
      </c>
      <c r="C399" s="8" t="s">
        <v>5918</v>
      </c>
      <c r="D399" s="10">
        <v>78</v>
      </c>
      <c r="E399" s="8" t="s">
        <v>551</v>
      </c>
      <c r="F399" s="8" t="s">
        <v>552</v>
      </c>
      <c r="G399" s="8" t="s">
        <v>4551</v>
      </c>
      <c r="H399" s="8" t="s">
        <v>551</v>
      </c>
      <c r="I399" s="8" t="s">
        <v>551</v>
      </c>
      <c r="J399" s="8"/>
      <c r="K399" s="8"/>
      <c r="L399" s="15" t="s">
        <v>1685</v>
      </c>
      <c r="M399" s="8" t="s">
        <v>5578</v>
      </c>
      <c r="N399" s="8"/>
      <c r="O399" s="8" t="s">
        <v>5574</v>
      </c>
      <c r="P399" s="11" t="s">
        <v>3533</v>
      </c>
      <c r="Q399" s="8" t="s">
        <v>5768</v>
      </c>
      <c r="R399" s="8" t="s">
        <v>5919</v>
      </c>
      <c r="S399" s="8" t="s">
        <v>6068</v>
      </c>
    </row>
    <row r="400" spans="1:19" ht="107.1" customHeight="1" x14ac:dyDescent="0.25">
      <c r="A400" s="8" t="s">
        <v>6069</v>
      </c>
      <c r="B400" s="8" t="s">
        <v>5693</v>
      </c>
      <c r="C400" s="8" t="s">
        <v>5918</v>
      </c>
      <c r="D400" s="10">
        <v>79</v>
      </c>
      <c r="E400" s="8" t="s">
        <v>496</v>
      </c>
      <c r="F400" s="8" t="s">
        <v>498</v>
      </c>
      <c r="G400" s="8" t="s">
        <v>4551</v>
      </c>
      <c r="H400" s="8" t="s">
        <v>496</v>
      </c>
      <c r="I400" s="8" t="s">
        <v>496</v>
      </c>
      <c r="J400" s="8"/>
      <c r="K400" s="8"/>
      <c r="L400" s="15" t="s">
        <v>1685</v>
      </c>
      <c r="M400" s="8" t="s">
        <v>5578</v>
      </c>
      <c r="N400" s="8"/>
      <c r="O400" s="8" t="s">
        <v>5574</v>
      </c>
      <c r="P400" s="11" t="s">
        <v>3556</v>
      </c>
      <c r="Q400" s="8" t="s">
        <v>5768</v>
      </c>
      <c r="R400" s="8" t="s">
        <v>5919</v>
      </c>
      <c r="S400" s="8" t="s">
        <v>6070</v>
      </c>
    </row>
    <row r="401" spans="1:19" ht="107.1" customHeight="1" x14ac:dyDescent="0.25">
      <c r="A401" s="8" t="s">
        <v>6071</v>
      </c>
      <c r="B401" s="8" t="s">
        <v>5693</v>
      </c>
      <c r="C401" s="8" t="s">
        <v>5918</v>
      </c>
      <c r="D401" s="10">
        <v>80</v>
      </c>
      <c r="E401" s="8" t="s">
        <v>676</v>
      </c>
      <c r="F401" s="8" t="s">
        <v>677</v>
      </c>
      <c r="G401" s="8" t="s">
        <v>4551</v>
      </c>
      <c r="H401" s="8" t="s">
        <v>676</v>
      </c>
      <c r="I401" s="8" t="s">
        <v>676</v>
      </c>
      <c r="J401" s="8"/>
      <c r="K401" s="8"/>
      <c r="L401" s="15" t="s">
        <v>1685</v>
      </c>
      <c r="M401" s="8" t="s">
        <v>5578</v>
      </c>
      <c r="N401" s="8"/>
      <c r="O401" s="8" t="s">
        <v>5574</v>
      </c>
      <c r="P401" s="11" t="s">
        <v>3533</v>
      </c>
      <c r="Q401" s="8" t="s">
        <v>5768</v>
      </c>
      <c r="R401" s="8" t="s">
        <v>5919</v>
      </c>
      <c r="S401" s="8" t="s">
        <v>6072</v>
      </c>
    </row>
    <row r="402" spans="1:19" ht="107.1" customHeight="1" x14ac:dyDescent="0.25">
      <c r="A402" s="8" t="s">
        <v>6073</v>
      </c>
      <c r="B402" s="8" t="s">
        <v>5693</v>
      </c>
      <c r="C402" s="8" t="s">
        <v>5918</v>
      </c>
      <c r="D402" s="10">
        <v>81</v>
      </c>
      <c r="E402" s="8" t="s">
        <v>799</v>
      </c>
      <c r="F402" s="8" t="s">
        <v>802</v>
      </c>
      <c r="G402" s="8" t="s">
        <v>4551</v>
      </c>
      <c r="H402" s="8" t="s">
        <v>799</v>
      </c>
      <c r="I402" s="8" t="s">
        <v>799</v>
      </c>
      <c r="J402" s="8"/>
      <c r="K402" s="8"/>
      <c r="L402" s="15" t="s">
        <v>1685</v>
      </c>
      <c r="M402" s="8" t="s">
        <v>5578</v>
      </c>
      <c r="N402" s="8"/>
      <c r="O402" s="8" t="s">
        <v>5574</v>
      </c>
      <c r="P402" s="11" t="s">
        <v>3558</v>
      </c>
      <c r="Q402" s="8" t="s">
        <v>5768</v>
      </c>
      <c r="R402" s="8" t="s">
        <v>5919</v>
      </c>
      <c r="S402" s="8" t="s">
        <v>6074</v>
      </c>
    </row>
    <row r="403" spans="1:19" ht="107.1" customHeight="1" x14ac:dyDescent="0.25">
      <c r="A403" s="8" t="s">
        <v>6075</v>
      </c>
      <c r="B403" s="8" t="s">
        <v>5693</v>
      </c>
      <c r="C403" s="8" t="s">
        <v>5918</v>
      </c>
      <c r="D403" s="10">
        <v>82</v>
      </c>
      <c r="E403" s="8" t="s">
        <v>609</v>
      </c>
      <c r="F403" s="8" t="s">
        <v>610</v>
      </c>
      <c r="G403" s="8" t="s">
        <v>4551</v>
      </c>
      <c r="H403" s="8" t="s">
        <v>609</v>
      </c>
      <c r="I403" s="8" t="s">
        <v>609</v>
      </c>
      <c r="J403" s="8"/>
      <c r="K403" s="8"/>
      <c r="L403" s="15" t="s">
        <v>1685</v>
      </c>
      <c r="M403" s="8" t="s">
        <v>5578</v>
      </c>
      <c r="N403" s="8"/>
      <c r="O403" s="8" t="s">
        <v>5574</v>
      </c>
      <c r="P403" s="11" t="s">
        <v>3533</v>
      </c>
      <c r="Q403" s="8" t="s">
        <v>5768</v>
      </c>
      <c r="R403" s="8" t="s">
        <v>5919</v>
      </c>
      <c r="S403" s="8" t="s">
        <v>6076</v>
      </c>
    </row>
    <row r="404" spans="1:19" ht="107.1" customHeight="1" x14ac:dyDescent="0.25">
      <c r="A404" s="8" t="s">
        <v>6077</v>
      </c>
      <c r="B404" s="8" t="s">
        <v>5693</v>
      </c>
      <c r="C404" s="8" t="s">
        <v>5918</v>
      </c>
      <c r="D404" s="10">
        <v>83</v>
      </c>
      <c r="E404" s="8" t="s">
        <v>452</v>
      </c>
      <c r="F404" s="8" t="s">
        <v>454</v>
      </c>
      <c r="G404" s="8" t="s">
        <v>4551</v>
      </c>
      <c r="H404" s="8" t="s">
        <v>452</v>
      </c>
      <c r="I404" s="8" t="s">
        <v>452</v>
      </c>
      <c r="J404" s="8"/>
      <c r="K404" s="8"/>
      <c r="L404" s="15" t="s">
        <v>1685</v>
      </c>
      <c r="M404" s="8" t="s">
        <v>5578</v>
      </c>
      <c r="N404" s="8"/>
      <c r="O404" s="8" t="s">
        <v>5574</v>
      </c>
      <c r="P404" s="11" t="s">
        <v>3533</v>
      </c>
      <c r="Q404" s="8" t="s">
        <v>5768</v>
      </c>
      <c r="R404" s="8" t="s">
        <v>5919</v>
      </c>
      <c r="S404" s="8" t="s">
        <v>6078</v>
      </c>
    </row>
    <row r="405" spans="1:19" ht="107.1" customHeight="1" x14ac:dyDescent="0.25">
      <c r="A405" s="8" t="s">
        <v>6079</v>
      </c>
      <c r="B405" s="8" t="s">
        <v>5693</v>
      </c>
      <c r="C405" s="8" t="s">
        <v>5918</v>
      </c>
      <c r="D405" s="10">
        <v>84</v>
      </c>
      <c r="E405" s="8" t="s">
        <v>806</v>
      </c>
      <c r="F405" s="8" t="s">
        <v>807</v>
      </c>
      <c r="G405" s="8" t="s">
        <v>4551</v>
      </c>
      <c r="H405" s="8" t="s">
        <v>806</v>
      </c>
      <c r="I405" s="8" t="s">
        <v>806</v>
      </c>
      <c r="J405" s="8"/>
      <c r="K405" s="8"/>
      <c r="L405" s="15" t="s">
        <v>1685</v>
      </c>
      <c r="M405" s="8" t="s">
        <v>5578</v>
      </c>
      <c r="N405" s="8"/>
      <c r="O405" s="8" t="s">
        <v>5574</v>
      </c>
      <c r="P405" s="11" t="s">
        <v>3533</v>
      </c>
      <c r="Q405" s="8" t="s">
        <v>5768</v>
      </c>
      <c r="R405" s="8" t="s">
        <v>5919</v>
      </c>
      <c r="S405" s="8" t="s">
        <v>6080</v>
      </c>
    </row>
    <row r="406" spans="1:19" ht="107.1" customHeight="1" x14ac:dyDescent="0.25">
      <c r="A406" s="8" t="s">
        <v>6081</v>
      </c>
      <c r="B406" s="8" t="s">
        <v>5693</v>
      </c>
      <c r="C406" s="8" t="s">
        <v>5918</v>
      </c>
      <c r="D406" s="10">
        <v>85</v>
      </c>
      <c r="E406" s="8" t="s">
        <v>547</v>
      </c>
      <c r="F406" s="8" t="s">
        <v>548</v>
      </c>
      <c r="G406" s="8" t="s">
        <v>4551</v>
      </c>
      <c r="H406" s="8" t="s">
        <v>547</v>
      </c>
      <c r="I406" s="8" t="s">
        <v>547</v>
      </c>
      <c r="J406" s="8"/>
      <c r="K406" s="8"/>
      <c r="L406" s="15" t="s">
        <v>1685</v>
      </c>
      <c r="M406" s="8" t="s">
        <v>5578</v>
      </c>
      <c r="N406" s="8"/>
      <c r="O406" s="8" t="s">
        <v>5574</v>
      </c>
      <c r="P406" s="11" t="s">
        <v>3533</v>
      </c>
      <c r="Q406" s="8" t="s">
        <v>5768</v>
      </c>
      <c r="R406" s="8" t="s">
        <v>5919</v>
      </c>
      <c r="S406" s="8" t="s">
        <v>6082</v>
      </c>
    </row>
    <row r="407" spans="1:19" ht="120.95" customHeight="1" x14ac:dyDescent="0.25">
      <c r="A407" s="8" t="s">
        <v>6083</v>
      </c>
      <c r="B407" s="8" t="s">
        <v>5693</v>
      </c>
      <c r="C407" s="8" t="s">
        <v>5918</v>
      </c>
      <c r="D407" s="10">
        <v>86</v>
      </c>
      <c r="E407" s="8" t="s">
        <v>398</v>
      </c>
      <c r="F407" s="8" t="s">
        <v>2968</v>
      </c>
      <c r="G407" s="8" t="s">
        <v>4551</v>
      </c>
      <c r="H407" s="8" t="s">
        <v>398</v>
      </c>
      <c r="I407" s="8" t="s">
        <v>398</v>
      </c>
      <c r="J407" s="8"/>
      <c r="K407" s="8"/>
      <c r="L407" s="15" t="s">
        <v>1685</v>
      </c>
      <c r="M407" s="8" t="s">
        <v>5578</v>
      </c>
      <c r="N407" s="8"/>
      <c r="O407" s="8" t="s">
        <v>5574</v>
      </c>
      <c r="P407" s="11" t="s">
        <v>3315</v>
      </c>
      <c r="Q407" s="8" t="s">
        <v>5768</v>
      </c>
      <c r="R407" s="8" t="s">
        <v>5919</v>
      </c>
      <c r="S407" s="8" t="s">
        <v>6084</v>
      </c>
    </row>
    <row r="408" spans="1:19" ht="107.1" customHeight="1" x14ac:dyDescent="0.25">
      <c r="A408" s="8" t="s">
        <v>6085</v>
      </c>
      <c r="B408" s="8" t="s">
        <v>5693</v>
      </c>
      <c r="C408" s="8" t="s">
        <v>5918</v>
      </c>
      <c r="D408" s="10">
        <v>87</v>
      </c>
      <c r="E408" s="8" t="s">
        <v>343</v>
      </c>
      <c r="F408" s="8" t="s">
        <v>2994</v>
      </c>
      <c r="G408" s="8" t="s">
        <v>4551</v>
      </c>
      <c r="H408" s="8" t="s">
        <v>343</v>
      </c>
      <c r="I408" s="8" t="s">
        <v>343</v>
      </c>
      <c r="J408" s="8"/>
      <c r="K408" s="8"/>
      <c r="L408" s="15" t="s">
        <v>1685</v>
      </c>
      <c r="M408" s="8" t="s">
        <v>5578</v>
      </c>
      <c r="N408" s="8"/>
      <c r="O408" s="8" t="s">
        <v>5574</v>
      </c>
      <c r="P408" s="11" t="s">
        <v>3533</v>
      </c>
      <c r="Q408" s="8" t="s">
        <v>5768</v>
      </c>
      <c r="R408" s="8" t="s">
        <v>5919</v>
      </c>
      <c r="S408" s="8" t="s">
        <v>6086</v>
      </c>
    </row>
    <row r="409" spans="1:19" ht="107.1" customHeight="1" x14ac:dyDescent="0.25">
      <c r="A409" s="8" t="s">
        <v>6087</v>
      </c>
      <c r="B409" s="8" t="s">
        <v>5693</v>
      </c>
      <c r="C409" s="8" t="s">
        <v>5918</v>
      </c>
      <c r="D409" s="10">
        <v>88</v>
      </c>
      <c r="E409" s="8" t="s">
        <v>810</v>
      </c>
      <c r="F409" s="8" t="s">
        <v>811</v>
      </c>
      <c r="G409" s="8" t="s">
        <v>4551</v>
      </c>
      <c r="H409" s="8" t="s">
        <v>810</v>
      </c>
      <c r="I409" s="8" t="s">
        <v>810</v>
      </c>
      <c r="J409" s="8"/>
      <c r="K409" s="8"/>
      <c r="L409" s="15" t="s">
        <v>1685</v>
      </c>
      <c r="M409" s="8" t="s">
        <v>5578</v>
      </c>
      <c r="N409" s="8"/>
      <c r="O409" s="8" t="s">
        <v>5574</v>
      </c>
      <c r="P409" s="11" t="s">
        <v>3533</v>
      </c>
      <c r="Q409" s="8" t="s">
        <v>5768</v>
      </c>
      <c r="R409" s="8" t="s">
        <v>5919</v>
      </c>
      <c r="S409" s="8" t="s">
        <v>6088</v>
      </c>
    </row>
    <row r="410" spans="1:19" ht="107.1" customHeight="1" x14ac:dyDescent="0.25">
      <c r="A410" s="8" t="s">
        <v>6089</v>
      </c>
      <c r="B410" s="8" t="s">
        <v>5693</v>
      </c>
      <c r="C410" s="8" t="s">
        <v>5918</v>
      </c>
      <c r="D410" s="10">
        <v>89</v>
      </c>
      <c r="E410" s="8" t="s">
        <v>768</v>
      </c>
      <c r="F410" s="8" t="s">
        <v>770</v>
      </c>
      <c r="G410" s="8" t="s">
        <v>4551</v>
      </c>
      <c r="H410" s="8" t="s">
        <v>768</v>
      </c>
      <c r="I410" s="8" t="s">
        <v>768</v>
      </c>
      <c r="J410" s="8"/>
      <c r="K410" s="8"/>
      <c r="L410" s="15" t="s">
        <v>1685</v>
      </c>
      <c r="M410" s="8" t="s">
        <v>5578</v>
      </c>
      <c r="N410" s="8"/>
      <c r="O410" s="8" t="s">
        <v>5574</v>
      </c>
      <c r="P410" s="11" t="s">
        <v>3563</v>
      </c>
      <c r="Q410" s="8" t="s">
        <v>5768</v>
      </c>
      <c r="R410" s="8" t="s">
        <v>5919</v>
      </c>
      <c r="S410" s="8" t="s">
        <v>6090</v>
      </c>
    </row>
    <row r="411" spans="1:19" ht="107.1" customHeight="1" x14ac:dyDescent="0.25">
      <c r="A411" s="8" t="s">
        <v>6091</v>
      </c>
      <c r="B411" s="8" t="s">
        <v>5693</v>
      </c>
      <c r="C411" s="8" t="s">
        <v>5918</v>
      </c>
      <c r="D411" s="10">
        <v>90</v>
      </c>
      <c r="E411" s="8" t="s">
        <v>716</v>
      </c>
      <c r="F411" s="8" t="s">
        <v>717</v>
      </c>
      <c r="G411" s="8" t="s">
        <v>4551</v>
      </c>
      <c r="H411" s="8" t="s">
        <v>716</v>
      </c>
      <c r="I411" s="8" t="s">
        <v>716</v>
      </c>
      <c r="J411" s="8"/>
      <c r="K411" s="8"/>
      <c r="L411" s="15" t="s">
        <v>1685</v>
      </c>
      <c r="M411" s="8" t="s">
        <v>5578</v>
      </c>
      <c r="N411" s="8"/>
      <c r="O411" s="8" t="s">
        <v>5574</v>
      </c>
      <c r="P411" s="11" t="s">
        <v>3533</v>
      </c>
      <c r="Q411" s="8" t="s">
        <v>5768</v>
      </c>
      <c r="R411" s="8" t="s">
        <v>5919</v>
      </c>
      <c r="S411" s="8" t="s">
        <v>6092</v>
      </c>
    </row>
    <row r="412" spans="1:19" ht="107.1" customHeight="1" x14ac:dyDescent="0.25">
      <c r="A412" s="8" t="s">
        <v>6093</v>
      </c>
      <c r="B412" s="8" t="s">
        <v>5693</v>
      </c>
      <c r="C412" s="8" t="s">
        <v>5918</v>
      </c>
      <c r="D412" s="10">
        <v>91</v>
      </c>
      <c r="E412" s="8" t="s">
        <v>629</v>
      </c>
      <c r="F412" s="8" t="s">
        <v>631</v>
      </c>
      <c r="G412" s="8" t="s">
        <v>4551</v>
      </c>
      <c r="H412" s="8" t="s">
        <v>629</v>
      </c>
      <c r="I412" s="8" t="s">
        <v>629</v>
      </c>
      <c r="J412" s="8"/>
      <c r="K412" s="8"/>
      <c r="L412" s="15" t="s">
        <v>1685</v>
      </c>
      <c r="M412" s="8" t="s">
        <v>5578</v>
      </c>
      <c r="N412" s="8"/>
      <c r="O412" s="8" t="s">
        <v>5574</v>
      </c>
      <c r="P412" s="11" t="s">
        <v>3533</v>
      </c>
      <c r="Q412" s="8" t="s">
        <v>5768</v>
      </c>
      <c r="R412" s="8" t="s">
        <v>5919</v>
      </c>
      <c r="S412" s="8" t="s">
        <v>6094</v>
      </c>
    </row>
    <row r="413" spans="1:19" ht="107.1" customHeight="1" x14ac:dyDescent="0.25">
      <c r="A413" s="8" t="s">
        <v>6095</v>
      </c>
      <c r="B413" s="8" t="s">
        <v>5693</v>
      </c>
      <c r="C413" s="8" t="s">
        <v>5918</v>
      </c>
      <c r="D413" s="10">
        <v>92</v>
      </c>
      <c r="E413" s="8" t="s">
        <v>774</v>
      </c>
      <c r="F413" s="8" t="s">
        <v>775</v>
      </c>
      <c r="G413" s="8" t="s">
        <v>4551</v>
      </c>
      <c r="H413" s="8" t="s">
        <v>774</v>
      </c>
      <c r="I413" s="8" t="s">
        <v>774</v>
      </c>
      <c r="J413" s="8"/>
      <c r="K413" s="8"/>
      <c r="L413" s="15" t="s">
        <v>1685</v>
      </c>
      <c r="M413" s="8" t="s">
        <v>5578</v>
      </c>
      <c r="N413" s="8"/>
      <c r="O413" s="8" t="s">
        <v>5574</v>
      </c>
      <c r="P413" s="11" t="s">
        <v>3533</v>
      </c>
      <c r="Q413" s="8" t="s">
        <v>5768</v>
      </c>
      <c r="R413" s="8" t="s">
        <v>5919</v>
      </c>
      <c r="S413" s="8" t="s">
        <v>6096</v>
      </c>
    </row>
    <row r="414" spans="1:19" ht="107.1" customHeight="1" x14ac:dyDescent="0.25">
      <c r="A414" s="8" t="s">
        <v>6097</v>
      </c>
      <c r="B414" s="8" t="s">
        <v>5693</v>
      </c>
      <c r="C414" s="8" t="s">
        <v>5918</v>
      </c>
      <c r="D414" s="10">
        <v>93</v>
      </c>
      <c r="E414" s="8" t="s">
        <v>791</v>
      </c>
      <c r="F414" s="8" t="s">
        <v>792</v>
      </c>
      <c r="G414" s="8" t="s">
        <v>4551</v>
      </c>
      <c r="H414" s="8" t="s">
        <v>791</v>
      </c>
      <c r="I414" s="8" t="s">
        <v>791</v>
      </c>
      <c r="J414" s="8"/>
      <c r="K414" s="8"/>
      <c r="L414" s="15" t="s">
        <v>1685</v>
      </c>
      <c r="M414" s="8" t="s">
        <v>5578</v>
      </c>
      <c r="N414" s="8"/>
      <c r="O414" s="8" t="s">
        <v>5574</v>
      </c>
      <c r="P414" s="11" t="s">
        <v>3533</v>
      </c>
      <c r="Q414" s="8" t="s">
        <v>5768</v>
      </c>
      <c r="R414" s="8" t="s">
        <v>5919</v>
      </c>
      <c r="S414" s="8" t="s">
        <v>6098</v>
      </c>
    </row>
    <row r="415" spans="1:19" ht="107.1" customHeight="1" x14ac:dyDescent="0.25">
      <c r="A415" s="8" t="s">
        <v>6099</v>
      </c>
      <c r="B415" s="8" t="s">
        <v>5693</v>
      </c>
      <c r="C415" s="8" t="s">
        <v>5918</v>
      </c>
      <c r="D415" s="10">
        <v>94</v>
      </c>
      <c r="E415" s="8" t="s">
        <v>528</v>
      </c>
      <c r="F415" s="8" t="s">
        <v>530</v>
      </c>
      <c r="G415" s="8" t="s">
        <v>4551</v>
      </c>
      <c r="H415" s="8" t="s">
        <v>528</v>
      </c>
      <c r="I415" s="8" t="s">
        <v>528</v>
      </c>
      <c r="J415" s="8"/>
      <c r="K415" s="8"/>
      <c r="L415" s="15" t="s">
        <v>1685</v>
      </c>
      <c r="M415" s="8" t="s">
        <v>5578</v>
      </c>
      <c r="N415" s="8"/>
      <c r="O415" s="8" t="s">
        <v>5574</v>
      </c>
      <c r="P415" s="11" t="s">
        <v>3533</v>
      </c>
      <c r="Q415" s="8" t="s">
        <v>5768</v>
      </c>
      <c r="R415" s="8" t="s">
        <v>5919</v>
      </c>
      <c r="S415" s="8" t="s">
        <v>6100</v>
      </c>
    </row>
    <row r="416" spans="1:19" ht="107.1" customHeight="1" x14ac:dyDescent="0.25">
      <c r="A416" s="8" t="s">
        <v>6101</v>
      </c>
      <c r="B416" s="8" t="s">
        <v>5693</v>
      </c>
      <c r="C416" s="8" t="s">
        <v>5918</v>
      </c>
      <c r="D416" s="10">
        <v>95</v>
      </c>
      <c r="E416" s="8" t="s">
        <v>821</v>
      </c>
      <c r="F416" s="8" t="s">
        <v>822</v>
      </c>
      <c r="G416" s="8" t="s">
        <v>4551</v>
      </c>
      <c r="H416" s="8" t="s">
        <v>821</v>
      </c>
      <c r="I416" s="8" t="s">
        <v>821</v>
      </c>
      <c r="J416" s="8"/>
      <c r="K416" s="8"/>
      <c r="L416" s="15" t="s">
        <v>1685</v>
      </c>
      <c r="M416" s="8" t="s">
        <v>5578</v>
      </c>
      <c r="N416" s="8"/>
      <c r="O416" s="8" t="s">
        <v>5574</v>
      </c>
      <c r="P416" s="11" t="s">
        <v>3533</v>
      </c>
      <c r="Q416" s="8" t="s">
        <v>5768</v>
      </c>
      <c r="R416" s="8" t="s">
        <v>5919</v>
      </c>
      <c r="S416" s="8" t="s">
        <v>6102</v>
      </c>
    </row>
    <row r="417" spans="1:19" ht="107.1" customHeight="1" x14ac:dyDescent="0.25">
      <c r="A417" s="8" t="s">
        <v>6103</v>
      </c>
      <c r="B417" s="8" t="s">
        <v>5693</v>
      </c>
      <c r="C417" s="8" t="s">
        <v>5918</v>
      </c>
      <c r="D417" s="10">
        <v>96</v>
      </c>
      <c r="E417" s="8" t="s">
        <v>595</v>
      </c>
      <c r="F417" s="8" t="s">
        <v>596</v>
      </c>
      <c r="G417" s="8" t="s">
        <v>4551</v>
      </c>
      <c r="H417" s="8" t="s">
        <v>595</v>
      </c>
      <c r="I417" s="8" t="s">
        <v>595</v>
      </c>
      <c r="J417" s="8"/>
      <c r="K417" s="8"/>
      <c r="L417" s="15" t="s">
        <v>1685</v>
      </c>
      <c r="M417" s="8" t="s">
        <v>5578</v>
      </c>
      <c r="N417" s="8"/>
      <c r="O417" s="8" t="s">
        <v>5574</v>
      </c>
      <c r="P417" s="11" t="s">
        <v>3533</v>
      </c>
      <c r="Q417" s="8" t="s">
        <v>5768</v>
      </c>
      <c r="R417" s="8" t="s">
        <v>5919</v>
      </c>
      <c r="S417" s="8" t="s">
        <v>6104</v>
      </c>
    </row>
    <row r="418" spans="1:19" ht="107.1" customHeight="1" x14ac:dyDescent="0.25">
      <c r="A418" s="8" t="s">
        <v>6105</v>
      </c>
      <c r="B418" s="8" t="s">
        <v>5693</v>
      </c>
      <c r="C418" s="8" t="s">
        <v>5918</v>
      </c>
      <c r="D418" s="10">
        <v>97</v>
      </c>
      <c r="E418" s="8" t="s">
        <v>619</v>
      </c>
      <c r="F418" s="8" t="s">
        <v>620</v>
      </c>
      <c r="G418" s="8" t="s">
        <v>4551</v>
      </c>
      <c r="H418" s="8" t="s">
        <v>619</v>
      </c>
      <c r="I418" s="8" t="s">
        <v>619</v>
      </c>
      <c r="J418" s="8"/>
      <c r="K418" s="8"/>
      <c r="L418" s="15" t="s">
        <v>1685</v>
      </c>
      <c r="M418" s="8" t="s">
        <v>5578</v>
      </c>
      <c r="N418" s="8"/>
      <c r="O418" s="8" t="s">
        <v>5574</v>
      </c>
      <c r="P418" s="11" t="s">
        <v>3533</v>
      </c>
      <c r="Q418" s="8" t="s">
        <v>5768</v>
      </c>
      <c r="R418" s="8" t="s">
        <v>5919</v>
      </c>
      <c r="S418" s="8" t="s">
        <v>6106</v>
      </c>
    </row>
    <row r="419" spans="1:19" ht="107.1" customHeight="1" x14ac:dyDescent="0.25">
      <c r="A419" s="8" t="s">
        <v>6107</v>
      </c>
      <c r="B419" s="8" t="s">
        <v>5693</v>
      </c>
      <c r="C419" s="8" t="s">
        <v>5918</v>
      </c>
      <c r="D419" s="10">
        <v>98</v>
      </c>
      <c r="E419" s="8" t="s">
        <v>634</v>
      </c>
      <c r="F419" s="8" t="s">
        <v>635</v>
      </c>
      <c r="G419" s="8" t="s">
        <v>4551</v>
      </c>
      <c r="H419" s="8" t="s">
        <v>634</v>
      </c>
      <c r="I419" s="8" t="s">
        <v>634</v>
      </c>
      <c r="J419" s="8"/>
      <c r="K419" s="8"/>
      <c r="L419" s="15" t="s">
        <v>1685</v>
      </c>
      <c r="M419" s="8" t="s">
        <v>5578</v>
      </c>
      <c r="N419" s="8"/>
      <c r="O419" s="8" t="s">
        <v>5574</v>
      </c>
      <c r="P419" s="11" t="s">
        <v>3533</v>
      </c>
      <c r="Q419" s="8" t="s">
        <v>5768</v>
      </c>
      <c r="R419" s="8" t="s">
        <v>5919</v>
      </c>
      <c r="S419" s="8" t="s">
        <v>6108</v>
      </c>
    </row>
    <row r="420" spans="1:19" ht="107.1" customHeight="1" x14ac:dyDescent="0.25">
      <c r="A420" s="8" t="s">
        <v>6109</v>
      </c>
      <c r="B420" s="8" t="s">
        <v>5693</v>
      </c>
      <c r="C420" s="8" t="s">
        <v>5918</v>
      </c>
      <c r="D420" s="10">
        <v>99</v>
      </c>
      <c r="E420" s="8" t="s">
        <v>688</v>
      </c>
      <c r="F420" s="8" t="s">
        <v>689</v>
      </c>
      <c r="G420" s="8" t="s">
        <v>4551</v>
      </c>
      <c r="H420" s="8" t="s">
        <v>688</v>
      </c>
      <c r="I420" s="8" t="s">
        <v>688</v>
      </c>
      <c r="J420" s="8"/>
      <c r="K420" s="8"/>
      <c r="L420" s="15" t="s">
        <v>1685</v>
      </c>
      <c r="M420" s="8" t="s">
        <v>5578</v>
      </c>
      <c r="N420" s="8"/>
      <c r="O420" s="8" t="s">
        <v>5574</v>
      </c>
      <c r="P420" s="11" t="s">
        <v>3533</v>
      </c>
      <c r="Q420" s="8" t="s">
        <v>5768</v>
      </c>
      <c r="R420" s="8" t="s">
        <v>5919</v>
      </c>
      <c r="S420" s="8" t="s">
        <v>6110</v>
      </c>
    </row>
    <row r="421" spans="1:19" ht="93" customHeight="1" x14ac:dyDescent="0.25">
      <c r="A421" s="8" t="s">
        <v>6111</v>
      </c>
      <c r="B421" s="8" t="s">
        <v>5693</v>
      </c>
      <c r="C421" s="8" t="s">
        <v>5918</v>
      </c>
      <c r="D421" s="10">
        <v>100</v>
      </c>
      <c r="E421" s="8" t="s">
        <v>1063</v>
      </c>
      <c r="F421" s="8" t="s">
        <v>1065</v>
      </c>
      <c r="G421" s="8" t="s">
        <v>4551</v>
      </c>
      <c r="H421" s="8" t="s">
        <v>1063</v>
      </c>
      <c r="I421" s="8" t="s">
        <v>1063</v>
      </c>
      <c r="J421" s="15" t="s">
        <v>5695</v>
      </c>
      <c r="K421" s="8"/>
      <c r="L421" s="15" t="s">
        <v>1685</v>
      </c>
      <c r="M421" s="8" t="s">
        <v>5578</v>
      </c>
      <c r="N421" s="8"/>
      <c r="O421" s="8" t="s">
        <v>5574</v>
      </c>
      <c r="P421" s="11"/>
      <c r="Q421" s="8" t="s">
        <v>5696</v>
      </c>
      <c r="R421" s="8" t="s">
        <v>5919</v>
      </c>
      <c r="S421" s="8" t="s">
        <v>6112</v>
      </c>
    </row>
    <row r="422" spans="1:19" ht="107.1" customHeight="1" x14ac:dyDescent="0.25">
      <c r="A422" s="8" t="s">
        <v>6113</v>
      </c>
      <c r="B422" s="8" t="s">
        <v>5693</v>
      </c>
      <c r="C422" s="8" t="s">
        <v>5918</v>
      </c>
      <c r="D422" s="10">
        <v>101</v>
      </c>
      <c r="E422" s="8" t="s">
        <v>1215</v>
      </c>
      <c r="F422" s="8" t="s">
        <v>1216</v>
      </c>
      <c r="G422" s="8" t="s">
        <v>4551</v>
      </c>
      <c r="H422" s="8" t="s">
        <v>1215</v>
      </c>
      <c r="I422" s="8" t="s">
        <v>1215</v>
      </c>
      <c r="J422" s="15" t="s">
        <v>5695</v>
      </c>
      <c r="K422" s="8"/>
      <c r="L422" s="15" t="s">
        <v>1685</v>
      </c>
      <c r="M422" s="8" t="s">
        <v>5578</v>
      </c>
      <c r="N422" s="8"/>
      <c r="O422" s="8" t="s">
        <v>5574</v>
      </c>
      <c r="P422" s="11"/>
      <c r="Q422" s="8" t="s">
        <v>5696</v>
      </c>
      <c r="R422" s="8" t="s">
        <v>5919</v>
      </c>
      <c r="S422" s="8" t="s">
        <v>6114</v>
      </c>
    </row>
    <row r="423" spans="1:19" ht="107.1" customHeight="1" x14ac:dyDescent="0.25">
      <c r="A423" s="8" t="s">
        <v>6115</v>
      </c>
      <c r="B423" s="8" t="s">
        <v>5693</v>
      </c>
      <c r="C423" s="8" t="s">
        <v>5918</v>
      </c>
      <c r="D423" s="10">
        <v>102</v>
      </c>
      <c r="E423" s="8" t="s">
        <v>1147</v>
      </c>
      <c r="F423" s="8" t="s">
        <v>1149</v>
      </c>
      <c r="G423" s="8" t="s">
        <v>4551</v>
      </c>
      <c r="H423" s="8" t="s">
        <v>1147</v>
      </c>
      <c r="I423" s="8" t="s">
        <v>1147</v>
      </c>
      <c r="J423" s="15" t="s">
        <v>5695</v>
      </c>
      <c r="K423" s="8"/>
      <c r="L423" s="15" t="s">
        <v>1685</v>
      </c>
      <c r="M423" s="8" t="s">
        <v>5578</v>
      </c>
      <c r="N423" s="8"/>
      <c r="O423" s="8" t="s">
        <v>5574</v>
      </c>
      <c r="P423" s="11"/>
      <c r="Q423" s="8" t="s">
        <v>5696</v>
      </c>
      <c r="R423" s="8" t="s">
        <v>5919</v>
      </c>
      <c r="S423" s="8" t="s">
        <v>6116</v>
      </c>
    </row>
    <row r="424" spans="1:19" ht="93" customHeight="1" x14ac:dyDescent="0.25">
      <c r="A424" s="8" t="s">
        <v>6117</v>
      </c>
      <c r="B424" s="8" t="s">
        <v>5693</v>
      </c>
      <c r="C424" s="8" t="s">
        <v>5918</v>
      </c>
      <c r="D424" s="10">
        <v>103</v>
      </c>
      <c r="E424" s="8" t="s">
        <v>1239</v>
      </c>
      <c r="F424" s="8" t="s">
        <v>1240</v>
      </c>
      <c r="G424" s="8" t="s">
        <v>4551</v>
      </c>
      <c r="H424" s="8" t="s">
        <v>1239</v>
      </c>
      <c r="I424" s="8" t="s">
        <v>1239</v>
      </c>
      <c r="J424" s="15" t="s">
        <v>5695</v>
      </c>
      <c r="K424" s="8"/>
      <c r="L424" s="15" t="s">
        <v>1685</v>
      </c>
      <c r="M424" s="8" t="s">
        <v>5578</v>
      </c>
      <c r="N424" s="8"/>
      <c r="O424" s="8" t="s">
        <v>5574</v>
      </c>
      <c r="P424" s="11"/>
      <c r="Q424" s="8" t="s">
        <v>5696</v>
      </c>
      <c r="R424" s="8" t="s">
        <v>5919</v>
      </c>
      <c r="S424" s="8" t="s">
        <v>6118</v>
      </c>
    </row>
    <row r="425" spans="1:19" ht="107.1" customHeight="1" x14ac:dyDescent="0.25">
      <c r="A425" s="8" t="s">
        <v>6119</v>
      </c>
      <c r="B425" s="8" t="s">
        <v>5693</v>
      </c>
      <c r="C425" s="8" t="s">
        <v>5918</v>
      </c>
      <c r="D425" s="10">
        <v>104</v>
      </c>
      <c r="E425" s="8" t="s">
        <v>668</v>
      </c>
      <c r="F425" s="8" t="s">
        <v>669</v>
      </c>
      <c r="G425" s="8" t="s">
        <v>4551</v>
      </c>
      <c r="H425" s="8" t="s">
        <v>668</v>
      </c>
      <c r="I425" s="8" t="s">
        <v>668</v>
      </c>
      <c r="J425" s="8"/>
      <c r="K425" s="8"/>
      <c r="L425" s="15" t="s">
        <v>1685</v>
      </c>
      <c r="M425" s="8" t="s">
        <v>5578</v>
      </c>
      <c r="N425" s="8"/>
      <c r="O425" s="8" t="s">
        <v>5574</v>
      </c>
      <c r="P425" s="11" t="s">
        <v>3533</v>
      </c>
      <c r="Q425" s="8" t="s">
        <v>5768</v>
      </c>
      <c r="R425" s="8" t="s">
        <v>5919</v>
      </c>
      <c r="S425" s="8" t="s">
        <v>6120</v>
      </c>
    </row>
    <row r="426" spans="1:19" ht="107.1" customHeight="1" x14ac:dyDescent="0.25">
      <c r="A426" s="8" t="s">
        <v>6121</v>
      </c>
      <c r="B426" s="8" t="s">
        <v>5693</v>
      </c>
      <c r="C426" s="8" t="s">
        <v>5918</v>
      </c>
      <c r="D426" s="10">
        <v>105</v>
      </c>
      <c r="E426" s="8" t="s">
        <v>778</v>
      </c>
      <c r="F426" s="8" t="s">
        <v>781</v>
      </c>
      <c r="G426" s="8" t="s">
        <v>4551</v>
      </c>
      <c r="H426" s="8" t="s">
        <v>778</v>
      </c>
      <c r="I426" s="8" t="s">
        <v>778</v>
      </c>
      <c r="J426" s="8"/>
      <c r="K426" s="8"/>
      <c r="L426" s="15" t="s">
        <v>1685</v>
      </c>
      <c r="M426" s="8" t="s">
        <v>5578</v>
      </c>
      <c r="N426" s="8"/>
      <c r="O426" s="8" t="s">
        <v>5574</v>
      </c>
      <c r="P426" s="11" t="s">
        <v>3565</v>
      </c>
      <c r="Q426" s="8" t="s">
        <v>5768</v>
      </c>
      <c r="R426" s="8" t="s">
        <v>5919</v>
      </c>
      <c r="S426" s="8" t="s">
        <v>6122</v>
      </c>
    </row>
    <row r="427" spans="1:19" ht="107.1" customHeight="1" x14ac:dyDescent="0.25">
      <c r="A427" s="8" t="s">
        <v>6123</v>
      </c>
      <c r="B427" s="8" t="s">
        <v>5693</v>
      </c>
      <c r="C427" s="8" t="s">
        <v>5918</v>
      </c>
      <c r="D427" s="10">
        <v>106</v>
      </c>
      <c r="E427" s="8" t="s">
        <v>795</v>
      </c>
      <c r="F427" s="8" t="s">
        <v>796</v>
      </c>
      <c r="G427" s="8" t="s">
        <v>4551</v>
      </c>
      <c r="H427" s="8" t="s">
        <v>795</v>
      </c>
      <c r="I427" s="8" t="s">
        <v>795</v>
      </c>
      <c r="J427" s="8"/>
      <c r="K427" s="8"/>
      <c r="L427" s="15" t="s">
        <v>1685</v>
      </c>
      <c r="M427" s="8" t="s">
        <v>5578</v>
      </c>
      <c r="N427" s="8"/>
      <c r="O427" s="8" t="s">
        <v>5574</v>
      </c>
      <c r="P427" s="11" t="s">
        <v>3533</v>
      </c>
      <c r="Q427" s="8" t="s">
        <v>5768</v>
      </c>
      <c r="R427" s="8" t="s">
        <v>5919</v>
      </c>
      <c r="S427" s="8" t="s">
        <v>6124</v>
      </c>
    </row>
    <row r="428" spans="1:19" ht="107.1" customHeight="1" x14ac:dyDescent="0.25">
      <c r="A428" s="8" t="s">
        <v>6125</v>
      </c>
      <c r="B428" s="8" t="s">
        <v>5693</v>
      </c>
      <c r="C428" s="8" t="s">
        <v>5918</v>
      </c>
      <c r="D428" s="10">
        <v>107</v>
      </c>
      <c r="E428" s="8" t="s">
        <v>638</v>
      </c>
      <c r="F428" s="8" t="s">
        <v>639</v>
      </c>
      <c r="G428" s="8" t="s">
        <v>4551</v>
      </c>
      <c r="H428" s="8" t="s">
        <v>638</v>
      </c>
      <c r="I428" s="8" t="s">
        <v>638</v>
      </c>
      <c r="J428" s="8"/>
      <c r="K428" s="8"/>
      <c r="L428" s="15" t="s">
        <v>1685</v>
      </c>
      <c r="M428" s="8" t="s">
        <v>5578</v>
      </c>
      <c r="N428" s="8"/>
      <c r="O428" s="8" t="s">
        <v>5574</v>
      </c>
      <c r="P428" s="11" t="s">
        <v>3533</v>
      </c>
      <c r="Q428" s="8" t="s">
        <v>5768</v>
      </c>
      <c r="R428" s="8" t="s">
        <v>5919</v>
      </c>
      <c r="S428" s="8" t="s">
        <v>6126</v>
      </c>
    </row>
    <row r="429" spans="1:19" ht="107.1" customHeight="1" x14ac:dyDescent="0.25">
      <c r="A429" s="8" t="s">
        <v>6127</v>
      </c>
      <c r="B429" s="8" t="s">
        <v>5693</v>
      </c>
      <c r="C429" s="8" t="s">
        <v>5918</v>
      </c>
      <c r="D429" s="10">
        <v>108</v>
      </c>
      <c r="E429" s="8" t="s">
        <v>1198</v>
      </c>
      <c r="F429" s="8" t="s">
        <v>1199</v>
      </c>
      <c r="G429" s="8" t="s">
        <v>4551</v>
      </c>
      <c r="H429" s="8" t="s">
        <v>1198</v>
      </c>
      <c r="I429" s="8" t="s">
        <v>1198</v>
      </c>
      <c r="J429" s="15" t="s">
        <v>5695</v>
      </c>
      <c r="K429" s="8"/>
      <c r="L429" s="15" t="s">
        <v>1685</v>
      </c>
      <c r="M429" s="8" t="s">
        <v>5578</v>
      </c>
      <c r="N429" s="8"/>
      <c r="O429" s="8" t="s">
        <v>5574</v>
      </c>
      <c r="P429" s="11"/>
      <c r="Q429" s="8" t="s">
        <v>5696</v>
      </c>
      <c r="R429" s="8" t="s">
        <v>5919</v>
      </c>
      <c r="S429" s="8" t="s">
        <v>6128</v>
      </c>
    </row>
    <row r="430" spans="1:19" ht="93" customHeight="1" x14ac:dyDescent="0.25">
      <c r="A430" s="8" t="s">
        <v>6129</v>
      </c>
      <c r="B430" s="8" t="s">
        <v>5693</v>
      </c>
      <c r="C430" s="8" t="s">
        <v>5918</v>
      </c>
      <c r="D430" s="10">
        <v>109</v>
      </c>
      <c r="E430" s="8" t="s">
        <v>1078</v>
      </c>
      <c r="F430" s="8" t="s">
        <v>1079</v>
      </c>
      <c r="G430" s="8" t="s">
        <v>4551</v>
      </c>
      <c r="H430" s="8" t="s">
        <v>1078</v>
      </c>
      <c r="I430" s="8" t="s">
        <v>1078</v>
      </c>
      <c r="J430" s="15" t="s">
        <v>5695</v>
      </c>
      <c r="K430" s="8"/>
      <c r="L430" s="15" t="s">
        <v>1685</v>
      </c>
      <c r="M430" s="8" t="s">
        <v>5578</v>
      </c>
      <c r="N430" s="8"/>
      <c r="O430" s="8" t="s">
        <v>5574</v>
      </c>
      <c r="P430" s="11"/>
      <c r="Q430" s="8" t="s">
        <v>5696</v>
      </c>
      <c r="R430" s="8" t="s">
        <v>5919</v>
      </c>
      <c r="S430" s="8" t="s">
        <v>6130</v>
      </c>
    </row>
    <row r="431" spans="1:19" ht="107.1" customHeight="1" x14ac:dyDescent="0.25">
      <c r="A431" s="8" t="s">
        <v>6131</v>
      </c>
      <c r="B431" s="8" t="s">
        <v>5693</v>
      </c>
      <c r="C431" s="8" t="s">
        <v>5918</v>
      </c>
      <c r="D431" s="10">
        <v>110</v>
      </c>
      <c r="E431" s="8" t="s">
        <v>380</v>
      </c>
      <c r="F431" s="8" t="s">
        <v>383</v>
      </c>
      <c r="G431" s="8" t="s">
        <v>4551</v>
      </c>
      <c r="H431" s="8" t="s">
        <v>380</v>
      </c>
      <c r="I431" s="8" t="s">
        <v>380</v>
      </c>
      <c r="J431" s="8"/>
      <c r="K431" s="8"/>
      <c r="L431" s="15" t="s">
        <v>1685</v>
      </c>
      <c r="M431" s="8" t="s">
        <v>5578</v>
      </c>
      <c r="N431" s="8"/>
      <c r="O431" s="8" t="s">
        <v>5574</v>
      </c>
      <c r="P431" s="11" t="s">
        <v>3567</v>
      </c>
      <c r="Q431" s="8" t="s">
        <v>5768</v>
      </c>
      <c r="R431" s="8" t="s">
        <v>5919</v>
      </c>
      <c r="S431" s="8" t="s">
        <v>6132</v>
      </c>
    </row>
    <row r="432" spans="1:19" ht="107.1" customHeight="1" x14ac:dyDescent="0.25">
      <c r="A432" s="8" t="s">
        <v>6133</v>
      </c>
      <c r="B432" s="8" t="s">
        <v>5693</v>
      </c>
      <c r="C432" s="8" t="s">
        <v>5918</v>
      </c>
      <c r="D432" s="10">
        <v>111</v>
      </c>
      <c r="E432" s="8" t="s">
        <v>1331</v>
      </c>
      <c r="F432" s="8" t="s">
        <v>1332</v>
      </c>
      <c r="G432" s="8" t="s">
        <v>4551</v>
      </c>
      <c r="H432" s="8" t="s">
        <v>1331</v>
      </c>
      <c r="I432" s="8" t="s">
        <v>1331</v>
      </c>
      <c r="J432" s="15" t="s">
        <v>5695</v>
      </c>
      <c r="K432" s="8"/>
      <c r="L432" s="15" t="s">
        <v>1685</v>
      </c>
      <c r="M432" s="8" t="s">
        <v>5578</v>
      </c>
      <c r="N432" s="8"/>
      <c r="O432" s="8" t="s">
        <v>5574</v>
      </c>
      <c r="P432" s="11"/>
      <c r="Q432" s="8" t="s">
        <v>5696</v>
      </c>
      <c r="R432" s="8" t="s">
        <v>5919</v>
      </c>
      <c r="S432" s="8" t="s">
        <v>6134</v>
      </c>
    </row>
    <row r="433" spans="1:19" ht="107.1" customHeight="1" x14ac:dyDescent="0.25">
      <c r="A433" s="8" t="s">
        <v>6135</v>
      </c>
      <c r="B433" s="8" t="s">
        <v>5693</v>
      </c>
      <c r="C433" s="8" t="s">
        <v>5918</v>
      </c>
      <c r="D433" s="10">
        <v>112</v>
      </c>
      <c r="E433" s="8" t="s">
        <v>1253</v>
      </c>
      <c r="F433" s="8" t="s">
        <v>1255</v>
      </c>
      <c r="G433" s="8" t="s">
        <v>4551</v>
      </c>
      <c r="H433" s="8" t="s">
        <v>1253</v>
      </c>
      <c r="I433" s="8" t="s">
        <v>1253</v>
      </c>
      <c r="J433" s="15" t="s">
        <v>5695</v>
      </c>
      <c r="K433" s="8"/>
      <c r="L433" s="15" t="s">
        <v>1685</v>
      </c>
      <c r="M433" s="8" t="s">
        <v>5578</v>
      </c>
      <c r="N433" s="8"/>
      <c r="O433" s="8" t="s">
        <v>5574</v>
      </c>
      <c r="P433" s="11"/>
      <c r="Q433" s="8" t="s">
        <v>5696</v>
      </c>
      <c r="R433" s="8" t="s">
        <v>5919</v>
      </c>
      <c r="S433" s="8" t="s">
        <v>6136</v>
      </c>
    </row>
    <row r="434" spans="1:19" ht="107.1" customHeight="1" x14ac:dyDescent="0.25">
      <c r="A434" s="8" t="s">
        <v>6137</v>
      </c>
      <c r="B434" s="8" t="s">
        <v>5693</v>
      </c>
      <c r="C434" s="8" t="s">
        <v>5918</v>
      </c>
      <c r="D434" s="10">
        <v>113</v>
      </c>
      <c r="E434" s="8" t="s">
        <v>1465</v>
      </c>
      <c r="F434" s="8" t="s">
        <v>1466</v>
      </c>
      <c r="G434" s="8" t="s">
        <v>4551</v>
      </c>
      <c r="H434" s="8" t="s">
        <v>1465</v>
      </c>
      <c r="I434" s="8" t="s">
        <v>1465</v>
      </c>
      <c r="J434" s="15" t="s">
        <v>5695</v>
      </c>
      <c r="K434" s="8"/>
      <c r="L434" s="15" t="s">
        <v>1685</v>
      </c>
      <c r="M434" s="8" t="s">
        <v>5578</v>
      </c>
      <c r="N434" s="8"/>
      <c r="O434" s="8" t="s">
        <v>5574</v>
      </c>
      <c r="P434" s="11"/>
      <c r="Q434" s="8" t="s">
        <v>5696</v>
      </c>
      <c r="R434" s="8" t="s">
        <v>5919</v>
      </c>
      <c r="S434" s="8" t="s">
        <v>6138</v>
      </c>
    </row>
    <row r="435" spans="1:19" ht="107.1" customHeight="1" x14ac:dyDescent="0.25">
      <c r="A435" s="8" t="s">
        <v>6139</v>
      </c>
      <c r="B435" s="8" t="s">
        <v>5693</v>
      </c>
      <c r="C435" s="8" t="s">
        <v>5918</v>
      </c>
      <c r="D435" s="10">
        <v>114</v>
      </c>
      <c r="E435" s="8" t="s">
        <v>1474</v>
      </c>
      <c r="F435" s="8" t="s">
        <v>1475</v>
      </c>
      <c r="G435" s="8" t="s">
        <v>4551</v>
      </c>
      <c r="H435" s="8" t="s">
        <v>1474</v>
      </c>
      <c r="I435" s="8" t="s">
        <v>1474</v>
      </c>
      <c r="J435" s="15" t="s">
        <v>5695</v>
      </c>
      <c r="K435" s="8"/>
      <c r="L435" s="15" t="s">
        <v>1685</v>
      </c>
      <c r="M435" s="8" t="s">
        <v>5578</v>
      </c>
      <c r="N435" s="8"/>
      <c r="O435" s="8" t="s">
        <v>5574</v>
      </c>
      <c r="P435" s="11"/>
      <c r="Q435" s="8" t="s">
        <v>5696</v>
      </c>
      <c r="R435" s="8" t="s">
        <v>5919</v>
      </c>
      <c r="S435" s="8" t="s">
        <v>6140</v>
      </c>
    </row>
    <row r="436" spans="1:19" ht="107.1" customHeight="1" x14ac:dyDescent="0.25">
      <c r="A436" s="8" t="s">
        <v>6141</v>
      </c>
      <c r="B436" s="8" t="s">
        <v>5693</v>
      </c>
      <c r="C436" s="8" t="s">
        <v>5918</v>
      </c>
      <c r="D436" s="10">
        <v>115</v>
      </c>
      <c r="E436" s="8" t="s">
        <v>1248</v>
      </c>
      <c r="F436" s="8" t="s">
        <v>1250</v>
      </c>
      <c r="G436" s="8" t="s">
        <v>4551</v>
      </c>
      <c r="H436" s="8" t="s">
        <v>1248</v>
      </c>
      <c r="I436" s="8" t="s">
        <v>1248</v>
      </c>
      <c r="J436" s="15" t="s">
        <v>5695</v>
      </c>
      <c r="K436" s="8"/>
      <c r="L436" s="15" t="s">
        <v>1685</v>
      </c>
      <c r="M436" s="8" t="s">
        <v>5578</v>
      </c>
      <c r="N436" s="8"/>
      <c r="O436" s="8" t="s">
        <v>5574</v>
      </c>
      <c r="P436" s="11"/>
      <c r="Q436" s="8" t="s">
        <v>5696</v>
      </c>
      <c r="R436" s="8" t="s">
        <v>5919</v>
      </c>
      <c r="S436" s="8" t="s">
        <v>6142</v>
      </c>
    </row>
    <row r="437" spans="1:19" ht="107.1" customHeight="1" x14ac:dyDescent="0.25">
      <c r="A437" s="8" t="s">
        <v>6143</v>
      </c>
      <c r="B437" s="8" t="s">
        <v>5693</v>
      </c>
      <c r="C437" s="8" t="s">
        <v>5918</v>
      </c>
      <c r="D437" s="10">
        <v>116</v>
      </c>
      <c r="E437" s="8" t="s">
        <v>1615</v>
      </c>
      <c r="F437" s="8" t="s">
        <v>1616</v>
      </c>
      <c r="G437" s="8" t="s">
        <v>4551</v>
      </c>
      <c r="H437" s="8" t="s">
        <v>1615</v>
      </c>
      <c r="I437" s="8" t="s">
        <v>1615</v>
      </c>
      <c r="J437" s="15" t="s">
        <v>5695</v>
      </c>
      <c r="K437" s="8"/>
      <c r="L437" s="15" t="s">
        <v>1685</v>
      </c>
      <c r="M437" s="8" t="s">
        <v>5578</v>
      </c>
      <c r="N437" s="8"/>
      <c r="O437" s="8" t="s">
        <v>5574</v>
      </c>
      <c r="P437" s="11"/>
      <c r="Q437" s="8" t="s">
        <v>5696</v>
      </c>
      <c r="R437" s="8" t="s">
        <v>5919</v>
      </c>
      <c r="S437" s="8" t="s">
        <v>6144</v>
      </c>
    </row>
    <row r="438" spans="1:19" ht="93" customHeight="1" x14ac:dyDescent="0.25">
      <c r="A438" s="8" t="s">
        <v>6145</v>
      </c>
      <c r="B438" s="8" t="s">
        <v>5693</v>
      </c>
      <c r="C438" s="8" t="s">
        <v>5918</v>
      </c>
      <c r="D438" s="10">
        <v>117</v>
      </c>
      <c r="E438" s="8" t="s">
        <v>1426</v>
      </c>
      <c r="F438" s="8" t="s">
        <v>1427</v>
      </c>
      <c r="G438" s="8" t="s">
        <v>4551</v>
      </c>
      <c r="H438" s="8" t="s">
        <v>1426</v>
      </c>
      <c r="I438" s="8" t="s">
        <v>1426</v>
      </c>
      <c r="J438" s="15" t="s">
        <v>5695</v>
      </c>
      <c r="K438" s="8"/>
      <c r="L438" s="15" t="s">
        <v>1685</v>
      </c>
      <c r="M438" s="8" t="s">
        <v>5578</v>
      </c>
      <c r="N438" s="8"/>
      <c r="O438" s="8" t="s">
        <v>5574</v>
      </c>
      <c r="P438" s="11"/>
      <c r="Q438" s="8" t="s">
        <v>5696</v>
      </c>
      <c r="R438" s="8" t="s">
        <v>5919</v>
      </c>
      <c r="S438" s="8" t="s">
        <v>6146</v>
      </c>
    </row>
    <row r="439" spans="1:19" ht="107.1" customHeight="1" x14ac:dyDescent="0.25">
      <c r="A439" s="8" t="s">
        <v>6147</v>
      </c>
      <c r="B439" s="8" t="s">
        <v>5693</v>
      </c>
      <c r="C439" s="8" t="s">
        <v>5918</v>
      </c>
      <c r="D439" s="10">
        <v>118</v>
      </c>
      <c r="E439" s="8" t="s">
        <v>1662</v>
      </c>
      <c r="F439" s="8" t="s">
        <v>1663</v>
      </c>
      <c r="G439" s="8" t="s">
        <v>4551</v>
      </c>
      <c r="H439" s="8" t="s">
        <v>1662</v>
      </c>
      <c r="I439" s="8" t="s">
        <v>1662</v>
      </c>
      <c r="J439" s="15" t="s">
        <v>5695</v>
      </c>
      <c r="K439" s="8"/>
      <c r="L439" s="15" t="s">
        <v>1685</v>
      </c>
      <c r="M439" s="8" t="s">
        <v>5578</v>
      </c>
      <c r="N439" s="8"/>
      <c r="O439" s="8" t="s">
        <v>5574</v>
      </c>
      <c r="P439" s="11"/>
      <c r="Q439" s="8" t="s">
        <v>5696</v>
      </c>
      <c r="R439" s="8" t="s">
        <v>5919</v>
      </c>
      <c r="S439" s="8" t="s">
        <v>6148</v>
      </c>
    </row>
    <row r="440" spans="1:19" ht="107.1" customHeight="1" x14ac:dyDescent="0.25">
      <c r="A440" s="8" t="s">
        <v>6149</v>
      </c>
      <c r="B440" s="8" t="s">
        <v>5693</v>
      </c>
      <c r="C440" s="8" t="s">
        <v>5918</v>
      </c>
      <c r="D440" s="10">
        <v>119</v>
      </c>
      <c r="E440" s="8" t="s">
        <v>1378</v>
      </c>
      <c r="F440" s="8" t="s">
        <v>1379</v>
      </c>
      <c r="G440" s="8" t="s">
        <v>4551</v>
      </c>
      <c r="H440" s="8" t="s">
        <v>1378</v>
      </c>
      <c r="I440" s="8" t="s">
        <v>1378</v>
      </c>
      <c r="J440" s="15" t="s">
        <v>5695</v>
      </c>
      <c r="K440" s="8"/>
      <c r="L440" s="15" t="s">
        <v>1685</v>
      </c>
      <c r="M440" s="8" t="s">
        <v>5578</v>
      </c>
      <c r="N440" s="8"/>
      <c r="O440" s="8" t="s">
        <v>5574</v>
      </c>
      <c r="P440" s="11"/>
      <c r="Q440" s="8" t="s">
        <v>5696</v>
      </c>
      <c r="R440" s="8" t="s">
        <v>5919</v>
      </c>
      <c r="S440" s="8" t="s">
        <v>6150</v>
      </c>
    </row>
    <row r="441" spans="1:19" ht="107.1" customHeight="1" x14ac:dyDescent="0.25">
      <c r="A441" s="8" t="s">
        <v>6151</v>
      </c>
      <c r="B441" s="8" t="s">
        <v>5693</v>
      </c>
      <c r="C441" s="8" t="s">
        <v>5918</v>
      </c>
      <c r="D441" s="10">
        <v>120</v>
      </c>
      <c r="E441" s="8" t="s">
        <v>1262</v>
      </c>
      <c r="F441" s="8" t="s">
        <v>1263</v>
      </c>
      <c r="G441" s="8" t="s">
        <v>4551</v>
      </c>
      <c r="H441" s="8" t="s">
        <v>1262</v>
      </c>
      <c r="I441" s="8" t="s">
        <v>1262</v>
      </c>
      <c r="J441" s="15" t="s">
        <v>5695</v>
      </c>
      <c r="K441" s="8"/>
      <c r="L441" s="15" t="s">
        <v>1685</v>
      </c>
      <c r="M441" s="8" t="s">
        <v>5578</v>
      </c>
      <c r="N441" s="8"/>
      <c r="O441" s="8" t="s">
        <v>5574</v>
      </c>
      <c r="P441" s="11"/>
      <c r="Q441" s="8" t="s">
        <v>5696</v>
      </c>
      <c r="R441" s="8" t="s">
        <v>5919</v>
      </c>
      <c r="S441" s="8" t="s">
        <v>6152</v>
      </c>
    </row>
    <row r="442" spans="1:19" ht="93" customHeight="1" x14ac:dyDescent="0.25">
      <c r="A442" s="8" t="s">
        <v>6153</v>
      </c>
      <c r="B442" s="8" t="s">
        <v>5693</v>
      </c>
      <c r="C442" s="8" t="s">
        <v>5918</v>
      </c>
      <c r="D442" s="10">
        <v>121</v>
      </c>
      <c r="E442" s="8" t="s">
        <v>1544</v>
      </c>
      <c r="F442" s="8" t="s">
        <v>1545</v>
      </c>
      <c r="G442" s="8" t="s">
        <v>4551</v>
      </c>
      <c r="H442" s="8" t="s">
        <v>1544</v>
      </c>
      <c r="I442" s="8" t="s">
        <v>1544</v>
      </c>
      <c r="J442" s="15" t="s">
        <v>5695</v>
      </c>
      <c r="K442" s="8"/>
      <c r="L442" s="15" t="s">
        <v>1685</v>
      </c>
      <c r="M442" s="8" t="s">
        <v>5578</v>
      </c>
      <c r="N442" s="8"/>
      <c r="O442" s="8" t="s">
        <v>5574</v>
      </c>
      <c r="P442" s="11"/>
      <c r="Q442" s="8" t="s">
        <v>5696</v>
      </c>
      <c r="R442" s="8" t="s">
        <v>5919</v>
      </c>
      <c r="S442" s="8" t="s">
        <v>6154</v>
      </c>
    </row>
    <row r="443" spans="1:19" ht="107.1" customHeight="1" x14ac:dyDescent="0.25">
      <c r="A443" s="8" t="s">
        <v>6155</v>
      </c>
      <c r="B443" s="8" t="s">
        <v>5693</v>
      </c>
      <c r="C443" s="8" t="s">
        <v>5918</v>
      </c>
      <c r="D443" s="10">
        <v>122</v>
      </c>
      <c r="E443" s="8" t="s">
        <v>996</v>
      </c>
      <c r="F443" s="8" t="s">
        <v>3179</v>
      </c>
      <c r="G443" s="8" t="s">
        <v>4551</v>
      </c>
      <c r="H443" s="8" t="s">
        <v>996</v>
      </c>
      <c r="I443" s="8" t="s">
        <v>996</v>
      </c>
      <c r="J443" s="15" t="s">
        <v>5695</v>
      </c>
      <c r="K443" s="8"/>
      <c r="L443" s="15" t="s">
        <v>1685</v>
      </c>
      <c r="M443" s="8" t="s">
        <v>5578</v>
      </c>
      <c r="N443" s="8"/>
      <c r="O443" s="8" t="s">
        <v>5574</v>
      </c>
      <c r="P443" s="11"/>
      <c r="Q443" s="8" t="s">
        <v>5696</v>
      </c>
      <c r="R443" s="8" t="s">
        <v>5919</v>
      </c>
      <c r="S443" s="8" t="s">
        <v>6156</v>
      </c>
    </row>
    <row r="444" spans="1:19" ht="107.1" customHeight="1" x14ac:dyDescent="0.25">
      <c r="A444" s="8" t="s">
        <v>6157</v>
      </c>
      <c r="B444" s="8" t="s">
        <v>5693</v>
      </c>
      <c r="C444" s="8" t="s">
        <v>5918</v>
      </c>
      <c r="D444" s="10">
        <v>123</v>
      </c>
      <c r="E444" s="8" t="s">
        <v>1391</v>
      </c>
      <c r="F444" s="8" t="s">
        <v>1393</v>
      </c>
      <c r="G444" s="8" t="s">
        <v>4551</v>
      </c>
      <c r="H444" s="8" t="s">
        <v>1391</v>
      </c>
      <c r="I444" s="8" t="s">
        <v>1391</v>
      </c>
      <c r="J444" s="15" t="s">
        <v>5695</v>
      </c>
      <c r="K444" s="8"/>
      <c r="L444" s="15" t="s">
        <v>1685</v>
      </c>
      <c r="M444" s="8" t="s">
        <v>5578</v>
      </c>
      <c r="N444" s="8"/>
      <c r="O444" s="8" t="s">
        <v>5574</v>
      </c>
      <c r="P444" s="11"/>
      <c r="Q444" s="8" t="s">
        <v>5696</v>
      </c>
      <c r="R444" s="8" t="s">
        <v>5919</v>
      </c>
      <c r="S444" s="8" t="s">
        <v>6158</v>
      </c>
    </row>
    <row r="445" spans="1:19" ht="107.1" customHeight="1" x14ac:dyDescent="0.25">
      <c r="A445" s="8" t="s">
        <v>6159</v>
      </c>
      <c r="B445" s="8" t="s">
        <v>5693</v>
      </c>
      <c r="C445" s="8" t="s">
        <v>5918</v>
      </c>
      <c r="D445" s="10">
        <v>124</v>
      </c>
      <c r="E445" s="8" t="s">
        <v>976</v>
      </c>
      <c r="F445" s="8" t="s">
        <v>2948</v>
      </c>
      <c r="G445" s="8" t="s">
        <v>4551</v>
      </c>
      <c r="H445" s="8" t="s">
        <v>976</v>
      </c>
      <c r="I445" s="8" t="s">
        <v>976</v>
      </c>
      <c r="J445" s="15" t="s">
        <v>5695</v>
      </c>
      <c r="K445" s="8"/>
      <c r="L445" s="15" t="s">
        <v>1685</v>
      </c>
      <c r="M445" s="8" t="s">
        <v>5578</v>
      </c>
      <c r="N445" s="8"/>
      <c r="O445" s="8" t="s">
        <v>5574</v>
      </c>
      <c r="P445" s="11"/>
      <c r="Q445" s="8" t="s">
        <v>5696</v>
      </c>
      <c r="R445" s="8" t="s">
        <v>5919</v>
      </c>
      <c r="S445" s="8" t="s">
        <v>6160</v>
      </c>
    </row>
    <row r="446" spans="1:19" ht="107.1" customHeight="1" x14ac:dyDescent="0.25">
      <c r="A446" s="8" t="s">
        <v>6161</v>
      </c>
      <c r="B446" s="8" t="s">
        <v>5693</v>
      </c>
      <c r="C446" s="8" t="s">
        <v>5918</v>
      </c>
      <c r="D446" s="10">
        <v>125</v>
      </c>
      <c r="E446" s="8" t="s">
        <v>1449</v>
      </c>
      <c r="F446" s="8" t="s">
        <v>1450</v>
      </c>
      <c r="G446" s="8" t="s">
        <v>4551</v>
      </c>
      <c r="H446" s="8" t="s">
        <v>1449</v>
      </c>
      <c r="I446" s="8" t="s">
        <v>1449</v>
      </c>
      <c r="J446" s="15" t="s">
        <v>5695</v>
      </c>
      <c r="K446" s="8"/>
      <c r="L446" s="15" t="s">
        <v>1685</v>
      </c>
      <c r="M446" s="8" t="s">
        <v>5578</v>
      </c>
      <c r="N446" s="8"/>
      <c r="O446" s="8" t="s">
        <v>5574</v>
      </c>
      <c r="P446" s="11"/>
      <c r="Q446" s="8" t="s">
        <v>5696</v>
      </c>
      <c r="R446" s="8" t="s">
        <v>5919</v>
      </c>
      <c r="S446" s="8" t="s">
        <v>6162</v>
      </c>
    </row>
    <row r="447" spans="1:19" ht="107.1" customHeight="1" x14ac:dyDescent="0.25">
      <c r="A447" s="8" t="s">
        <v>6163</v>
      </c>
      <c r="B447" s="8" t="s">
        <v>5693</v>
      </c>
      <c r="C447" s="8" t="s">
        <v>5918</v>
      </c>
      <c r="D447" s="10">
        <v>126</v>
      </c>
      <c r="E447" s="8" t="s">
        <v>1288</v>
      </c>
      <c r="F447" s="8" t="s">
        <v>1289</v>
      </c>
      <c r="G447" s="8" t="s">
        <v>4551</v>
      </c>
      <c r="H447" s="8" t="s">
        <v>1288</v>
      </c>
      <c r="I447" s="8" t="s">
        <v>1288</v>
      </c>
      <c r="J447" s="15" t="s">
        <v>5695</v>
      </c>
      <c r="K447" s="8"/>
      <c r="L447" s="15" t="s">
        <v>1685</v>
      </c>
      <c r="M447" s="8" t="s">
        <v>5578</v>
      </c>
      <c r="N447" s="8"/>
      <c r="O447" s="8" t="s">
        <v>5574</v>
      </c>
      <c r="P447" s="11"/>
      <c r="Q447" s="8" t="s">
        <v>5696</v>
      </c>
      <c r="R447" s="8" t="s">
        <v>5919</v>
      </c>
      <c r="S447" s="8" t="s">
        <v>6164</v>
      </c>
    </row>
    <row r="448" spans="1:19" ht="107.1" customHeight="1" x14ac:dyDescent="0.25">
      <c r="A448" s="8" t="s">
        <v>6165</v>
      </c>
      <c r="B448" s="8" t="s">
        <v>5693</v>
      </c>
      <c r="C448" s="8" t="s">
        <v>5918</v>
      </c>
      <c r="D448" s="10">
        <v>127</v>
      </c>
      <c r="E448" s="8" t="s">
        <v>1366</v>
      </c>
      <c r="F448" s="8" t="s">
        <v>1367</v>
      </c>
      <c r="G448" s="8" t="s">
        <v>4551</v>
      </c>
      <c r="H448" s="8" t="s">
        <v>1366</v>
      </c>
      <c r="I448" s="8" t="s">
        <v>1366</v>
      </c>
      <c r="J448" s="15" t="s">
        <v>5695</v>
      </c>
      <c r="K448" s="8"/>
      <c r="L448" s="15" t="s">
        <v>1685</v>
      </c>
      <c r="M448" s="8" t="s">
        <v>5578</v>
      </c>
      <c r="N448" s="8"/>
      <c r="O448" s="8" t="s">
        <v>5574</v>
      </c>
      <c r="P448" s="11"/>
      <c r="Q448" s="8" t="s">
        <v>5696</v>
      </c>
      <c r="R448" s="8" t="s">
        <v>5919</v>
      </c>
      <c r="S448" s="8" t="s">
        <v>6166</v>
      </c>
    </row>
    <row r="449" spans="1:19" ht="107.1" customHeight="1" x14ac:dyDescent="0.25">
      <c r="A449" s="8" t="s">
        <v>6167</v>
      </c>
      <c r="B449" s="8" t="s">
        <v>5693</v>
      </c>
      <c r="C449" s="8" t="s">
        <v>5918</v>
      </c>
      <c r="D449" s="10">
        <v>128</v>
      </c>
      <c r="E449" s="8" t="s">
        <v>1469</v>
      </c>
      <c r="F449" s="8" t="s">
        <v>1471</v>
      </c>
      <c r="G449" s="8" t="s">
        <v>4551</v>
      </c>
      <c r="H449" s="8" t="s">
        <v>1469</v>
      </c>
      <c r="I449" s="8" t="s">
        <v>1469</v>
      </c>
      <c r="J449" s="15" t="s">
        <v>5695</v>
      </c>
      <c r="K449" s="8"/>
      <c r="L449" s="15" t="s">
        <v>1685</v>
      </c>
      <c r="M449" s="8" t="s">
        <v>5578</v>
      </c>
      <c r="N449" s="8"/>
      <c r="O449" s="8" t="s">
        <v>5574</v>
      </c>
      <c r="P449" s="11"/>
      <c r="Q449" s="8" t="s">
        <v>5696</v>
      </c>
      <c r="R449" s="8" t="s">
        <v>5919</v>
      </c>
      <c r="S449" s="8" t="s">
        <v>6168</v>
      </c>
    </row>
    <row r="450" spans="1:19" ht="107.1" customHeight="1" x14ac:dyDescent="0.25">
      <c r="A450" s="8" t="s">
        <v>6169</v>
      </c>
      <c r="B450" s="8" t="s">
        <v>5693</v>
      </c>
      <c r="C450" s="8" t="s">
        <v>5918</v>
      </c>
      <c r="D450" s="10">
        <v>129</v>
      </c>
      <c r="E450" s="8" t="s">
        <v>1382</v>
      </c>
      <c r="F450" s="8" t="s">
        <v>1383</v>
      </c>
      <c r="G450" s="8" t="s">
        <v>4551</v>
      </c>
      <c r="H450" s="8" t="s">
        <v>1382</v>
      </c>
      <c r="I450" s="8" t="s">
        <v>1382</v>
      </c>
      <c r="J450" s="15" t="s">
        <v>5695</v>
      </c>
      <c r="K450" s="8"/>
      <c r="L450" s="15" t="s">
        <v>1685</v>
      </c>
      <c r="M450" s="8" t="s">
        <v>5578</v>
      </c>
      <c r="N450" s="8"/>
      <c r="O450" s="8" t="s">
        <v>5574</v>
      </c>
      <c r="P450" s="11"/>
      <c r="Q450" s="8" t="s">
        <v>5696</v>
      </c>
      <c r="R450" s="8" t="s">
        <v>5919</v>
      </c>
      <c r="S450" s="8" t="s">
        <v>6170</v>
      </c>
    </row>
    <row r="451" spans="1:19" ht="93" customHeight="1" x14ac:dyDescent="0.25">
      <c r="A451" s="8" t="s">
        <v>6171</v>
      </c>
      <c r="B451" s="8" t="s">
        <v>5693</v>
      </c>
      <c r="C451" s="8" t="s">
        <v>5918</v>
      </c>
      <c r="D451" s="10">
        <v>130</v>
      </c>
      <c r="E451" s="8" t="s">
        <v>1326</v>
      </c>
      <c r="F451" s="8" t="s">
        <v>1328</v>
      </c>
      <c r="G451" s="8" t="s">
        <v>4551</v>
      </c>
      <c r="H451" s="8" t="s">
        <v>1326</v>
      </c>
      <c r="I451" s="8" t="s">
        <v>1326</v>
      </c>
      <c r="J451" s="15" t="s">
        <v>5695</v>
      </c>
      <c r="K451" s="8"/>
      <c r="L451" s="15" t="s">
        <v>1685</v>
      </c>
      <c r="M451" s="8" t="s">
        <v>5578</v>
      </c>
      <c r="N451" s="8"/>
      <c r="O451" s="8" t="s">
        <v>5574</v>
      </c>
      <c r="P451" s="11"/>
      <c r="Q451" s="8" t="s">
        <v>5696</v>
      </c>
      <c r="R451" s="8" t="s">
        <v>5919</v>
      </c>
      <c r="S451" s="8" t="s">
        <v>6172</v>
      </c>
    </row>
    <row r="452" spans="1:19" ht="107.1" customHeight="1" x14ac:dyDescent="0.25">
      <c r="A452" s="8" t="s">
        <v>6173</v>
      </c>
      <c r="B452" s="8" t="s">
        <v>5693</v>
      </c>
      <c r="C452" s="8" t="s">
        <v>5918</v>
      </c>
      <c r="D452" s="10">
        <v>131</v>
      </c>
      <c r="E452" s="8" t="s">
        <v>1532</v>
      </c>
      <c r="F452" s="8" t="s">
        <v>1533</v>
      </c>
      <c r="G452" s="8" t="s">
        <v>4551</v>
      </c>
      <c r="H452" s="8" t="s">
        <v>1532</v>
      </c>
      <c r="I452" s="8" t="s">
        <v>1532</v>
      </c>
      <c r="J452" s="15" t="s">
        <v>5695</v>
      </c>
      <c r="K452" s="8"/>
      <c r="L452" s="15" t="s">
        <v>1685</v>
      </c>
      <c r="M452" s="8" t="s">
        <v>5578</v>
      </c>
      <c r="N452" s="8"/>
      <c r="O452" s="8" t="s">
        <v>5574</v>
      </c>
      <c r="P452" s="11"/>
      <c r="Q452" s="8" t="s">
        <v>5696</v>
      </c>
      <c r="R452" s="8" t="s">
        <v>5919</v>
      </c>
      <c r="S452" s="8" t="s">
        <v>6174</v>
      </c>
    </row>
    <row r="453" spans="1:19" ht="107.1" customHeight="1" x14ac:dyDescent="0.25">
      <c r="A453" s="8" t="s">
        <v>6175</v>
      </c>
      <c r="B453" s="8" t="s">
        <v>5693</v>
      </c>
      <c r="C453" s="8" t="s">
        <v>5918</v>
      </c>
      <c r="D453" s="10">
        <v>132</v>
      </c>
      <c r="E453" s="8" t="s">
        <v>1581</v>
      </c>
      <c r="F453" s="8" t="s">
        <v>1582</v>
      </c>
      <c r="G453" s="8" t="s">
        <v>4551</v>
      </c>
      <c r="H453" s="8" t="s">
        <v>1581</v>
      </c>
      <c r="I453" s="8" t="s">
        <v>1581</v>
      </c>
      <c r="J453" s="15" t="s">
        <v>5695</v>
      </c>
      <c r="K453" s="8"/>
      <c r="L453" s="15" t="s">
        <v>1685</v>
      </c>
      <c r="M453" s="8" t="s">
        <v>5578</v>
      </c>
      <c r="N453" s="8"/>
      <c r="O453" s="8" t="s">
        <v>5574</v>
      </c>
      <c r="P453" s="11"/>
      <c r="Q453" s="8" t="s">
        <v>5696</v>
      </c>
      <c r="R453" s="8" t="s">
        <v>5919</v>
      </c>
      <c r="S453" s="8" t="s">
        <v>6176</v>
      </c>
    </row>
    <row r="454" spans="1:19" ht="107.1" customHeight="1" x14ac:dyDescent="0.25">
      <c r="A454" s="8" t="s">
        <v>6177</v>
      </c>
      <c r="B454" s="8" t="s">
        <v>5693</v>
      </c>
      <c r="C454" s="8" t="s">
        <v>5918</v>
      </c>
      <c r="D454" s="10">
        <v>133</v>
      </c>
      <c r="E454" s="8" t="s">
        <v>1611</v>
      </c>
      <c r="F454" s="8" t="s">
        <v>1612</v>
      </c>
      <c r="G454" s="8" t="s">
        <v>4551</v>
      </c>
      <c r="H454" s="8" t="s">
        <v>1611</v>
      </c>
      <c r="I454" s="8" t="s">
        <v>1611</v>
      </c>
      <c r="J454" s="15" t="s">
        <v>5695</v>
      </c>
      <c r="K454" s="8"/>
      <c r="L454" s="15" t="s">
        <v>1685</v>
      </c>
      <c r="M454" s="8" t="s">
        <v>5578</v>
      </c>
      <c r="N454" s="8"/>
      <c r="O454" s="8" t="s">
        <v>5574</v>
      </c>
      <c r="P454" s="11"/>
      <c r="Q454" s="8" t="s">
        <v>5696</v>
      </c>
      <c r="R454" s="8" t="s">
        <v>5919</v>
      </c>
      <c r="S454" s="8" t="s">
        <v>6178</v>
      </c>
    </row>
    <row r="455" spans="1:19" ht="107.1" customHeight="1" x14ac:dyDescent="0.25">
      <c r="A455" s="8" t="s">
        <v>6179</v>
      </c>
      <c r="B455" s="8" t="s">
        <v>5693</v>
      </c>
      <c r="C455" s="8" t="s">
        <v>5918</v>
      </c>
      <c r="D455" s="10">
        <v>134</v>
      </c>
      <c r="E455" s="8" t="s">
        <v>1628</v>
      </c>
      <c r="F455" s="8" t="s">
        <v>1630</v>
      </c>
      <c r="G455" s="8" t="s">
        <v>4551</v>
      </c>
      <c r="H455" s="8" t="s">
        <v>1628</v>
      </c>
      <c r="I455" s="8" t="s">
        <v>1628</v>
      </c>
      <c r="J455" s="15" t="s">
        <v>5695</v>
      </c>
      <c r="K455" s="8"/>
      <c r="L455" s="15" t="s">
        <v>1685</v>
      </c>
      <c r="M455" s="8" t="s">
        <v>5578</v>
      </c>
      <c r="N455" s="8"/>
      <c r="O455" s="8" t="s">
        <v>5574</v>
      </c>
      <c r="P455" s="11"/>
      <c r="Q455" s="8" t="s">
        <v>5696</v>
      </c>
      <c r="R455" s="8" t="s">
        <v>5919</v>
      </c>
      <c r="S455" s="8" t="s">
        <v>6180</v>
      </c>
    </row>
    <row r="456" spans="1:19" ht="107.1" customHeight="1" x14ac:dyDescent="0.25">
      <c r="A456" s="8" t="s">
        <v>6181</v>
      </c>
      <c r="B456" s="8" t="s">
        <v>5693</v>
      </c>
      <c r="C456" s="8" t="s">
        <v>5918</v>
      </c>
      <c r="D456" s="10">
        <v>135</v>
      </c>
      <c r="E456" s="8" t="s">
        <v>1258</v>
      </c>
      <c r="F456" s="8" t="s">
        <v>1259</v>
      </c>
      <c r="G456" s="8" t="s">
        <v>4551</v>
      </c>
      <c r="H456" s="8" t="s">
        <v>1258</v>
      </c>
      <c r="I456" s="8" t="s">
        <v>1258</v>
      </c>
      <c r="J456" s="15" t="s">
        <v>5695</v>
      </c>
      <c r="K456" s="8"/>
      <c r="L456" s="15" t="s">
        <v>1685</v>
      </c>
      <c r="M456" s="8" t="s">
        <v>5578</v>
      </c>
      <c r="N456" s="8"/>
      <c r="O456" s="8" t="s">
        <v>5574</v>
      </c>
      <c r="P456" s="11"/>
      <c r="Q456" s="8" t="s">
        <v>5696</v>
      </c>
      <c r="R456" s="8" t="s">
        <v>5919</v>
      </c>
      <c r="S456" s="8" t="s">
        <v>6182</v>
      </c>
    </row>
    <row r="457" spans="1:19" ht="107.1" customHeight="1" x14ac:dyDescent="0.25">
      <c r="A457" s="8" t="s">
        <v>6183</v>
      </c>
      <c r="B457" s="8" t="s">
        <v>5693</v>
      </c>
      <c r="C457" s="8" t="s">
        <v>5918</v>
      </c>
      <c r="D457" s="10">
        <v>136</v>
      </c>
      <c r="E457" s="8" t="s">
        <v>1528</v>
      </c>
      <c r="F457" s="8" t="s">
        <v>1529</v>
      </c>
      <c r="G457" s="8" t="s">
        <v>4551</v>
      </c>
      <c r="H457" s="8" t="s">
        <v>1528</v>
      </c>
      <c r="I457" s="8" t="s">
        <v>1528</v>
      </c>
      <c r="J457" s="15" t="s">
        <v>5695</v>
      </c>
      <c r="K457" s="8"/>
      <c r="L457" s="15" t="s">
        <v>1685</v>
      </c>
      <c r="M457" s="8" t="s">
        <v>5578</v>
      </c>
      <c r="N457" s="8"/>
      <c r="O457" s="8" t="s">
        <v>5574</v>
      </c>
      <c r="P457" s="11"/>
      <c r="Q457" s="8" t="s">
        <v>5696</v>
      </c>
      <c r="R457" s="8" t="s">
        <v>5919</v>
      </c>
      <c r="S457" s="8" t="s">
        <v>6184</v>
      </c>
    </row>
    <row r="458" spans="1:19" ht="107.1" customHeight="1" x14ac:dyDescent="0.25">
      <c r="A458" s="8" t="s">
        <v>6185</v>
      </c>
      <c r="B458" s="8" t="s">
        <v>5693</v>
      </c>
      <c r="C458" s="8" t="s">
        <v>5918</v>
      </c>
      <c r="D458" s="10">
        <v>137</v>
      </c>
      <c r="E458" s="8" t="s">
        <v>1413</v>
      </c>
      <c r="F458" s="8" t="s">
        <v>1414</v>
      </c>
      <c r="G458" s="8" t="s">
        <v>4551</v>
      </c>
      <c r="H458" s="8" t="s">
        <v>1413</v>
      </c>
      <c r="I458" s="8" t="s">
        <v>1413</v>
      </c>
      <c r="J458" s="15" t="s">
        <v>5695</v>
      </c>
      <c r="K458" s="8"/>
      <c r="L458" s="15" t="s">
        <v>1685</v>
      </c>
      <c r="M458" s="8" t="s">
        <v>5578</v>
      </c>
      <c r="N458" s="8"/>
      <c r="O458" s="8" t="s">
        <v>5574</v>
      </c>
      <c r="P458" s="11"/>
      <c r="Q458" s="8" t="s">
        <v>5696</v>
      </c>
      <c r="R458" s="8" t="s">
        <v>5919</v>
      </c>
      <c r="S458" s="8" t="s">
        <v>6186</v>
      </c>
    </row>
    <row r="459" spans="1:19" ht="107.1" customHeight="1" x14ac:dyDescent="0.25">
      <c r="A459" s="8" t="s">
        <v>6187</v>
      </c>
      <c r="B459" s="8" t="s">
        <v>5693</v>
      </c>
      <c r="C459" s="8" t="s">
        <v>5918</v>
      </c>
      <c r="D459" s="10">
        <v>138</v>
      </c>
      <c r="E459" s="8" t="s">
        <v>1312</v>
      </c>
      <c r="F459" s="8" t="s">
        <v>1314</v>
      </c>
      <c r="G459" s="8" t="s">
        <v>4551</v>
      </c>
      <c r="H459" s="8" t="s">
        <v>1312</v>
      </c>
      <c r="I459" s="8" t="s">
        <v>1312</v>
      </c>
      <c r="J459" s="15" t="s">
        <v>5695</v>
      </c>
      <c r="K459" s="8"/>
      <c r="L459" s="15" t="s">
        <v>1685</v>
      </c>
      <c r="M459" s="8" t="s">
        <v>5578</v>
      </c>
      <c r="N459" s="8"/>
      <c r="O459" s="8" t="s">
        <v>5574</v>
      </c>
      <c r="P459" s="11"/>
      <c r="Q459" s="8" t="s">
        <v>5696</v>
      </c>
      <c r="R459" s="8" t="s">
        <v>5919</v>
      </c>
      <c r="S459" s="8" t="s">
        <v>6188</v>
      </c>
    </row>
    <row r="460" spans="1:19" ht="107.1" customHeight="1" x14ac:dyDescent="0.25">
      <c r="A460" s="8" t="s">
        <v>6189</v>
      </c>
      <c r="B460" s="8" t="s">
        <v>5693</v>
      </c>
      <c r="C460" s="8" t="s">
        <v>5918</v>
      </c>
      <c r="D460" s="10">
        <v>139</v>
      </c>
      <c r="E460" s="8" t="s">
        <v>991</v>
      </c>
      <c r="F460" s="8" t="s">
        <v>2879</v>
      </c>
      <c r="G460" s="8" t="s">
        <v>4551</v>
      </c>
      <c r="H460" s="8" t="s">
        <v>991</v>
      </c>
      <c r="I460" s="8" t="s">
        <v>991</v>
      </c>
      <c r="J460" s="15" t="s">
        <v>5695</v>
      </c>
      <c r="K460" s="8"/>
      <c r="L460" s="15" t="s">
        <v>1685</v>
      </c>
      <c r="M460" s="8" t="s">
        <v>5578</v>
      </c>
      <c r="N460" s="8"/>
      <c r="O460" s="8" t="s">
        <v>5574</v>
      </c>
      <c r="P460" s="11"/>
      <c r="Q460" s="8" t="s">
        <v>5696</v>
      </c>
      <c r="R460" s="8" t="s">
        <v>5919</v>
      </c>
      <c r="S460" s="8" t="s">
        <v>6190</v>
      </c>
    </row>
    <row r="461" spans="1:19" ht="107.1" customHeight="1" x14ac:dyDescent="0.25">
      <c r="A461" s="8" t="s">
        <v>6191</v>
      </c>
      <c r="B461" s="8" t="s">
        <v>5693</v>
      </c>
      <c r="C461" s="8" t="s">
        <v>5918</v>
      </c>
      <c r="D461" s="10">
        <v>140</v>
      </c>
      <c r="E461" s="8" t="s">
        <v>1304</v>
      </c>
      <c r="F461" s="8" t="s">
        <v>1305</v>
      </c>
      <c r="G461" s="8" t="s">
        <v>4551</v>
      </c>
      <c r="H461" s="8" t="s">
        <v>1304</v>
      </c>
      <c r="I461" s="8" t="s">
        <v>1304</v>
      </c>
      <c r="J461" s="15" t="s">
        <v>5695</v>
      </c>
      <c r="K461" s="8"/>
      <c r="L461" s="15" t="s">
        <v>1685</v>
      </c>
      <c r="M461" s="8" t="s">
        <v>5578</v>
      </c>
      <c r="N461" s="8"/>
      <c r="O461" s="8" t="s">
        <v>5574</v>
      </c>
      <c r="P461" s="11"/>
      <c r="Q461" s="8" t="s">
        <v>5696</v>
      </c>
      <c r="R461" s="8" t="s">
        <v>5919</v>
      </c>
      <c r="S461" s="8" t="s">
        <v>6192</v>
      </c>
    </row>
    <row r="462" spans="1:19" ht="107.1" customHeight="1" x14ac:dyDescent="0.25">
      <c r="A462" s="8" t="s">
        <v>6193</v>
      </c>
      <c r="B462" s="8" t="s">
        <v>5693</v>
      </c>
      <c r="C462" s="8" t="s">
        <v>5918</v>
      </c>
      <c r="D462" s="10">
        <v>141</v>
      </c>
      <c r="E462" s="8" t="s">
        <v>1417</v>
      </c>
      <c r="F462" s="8" t="s">
        <v>1419</v>
      </c>
      <c r="G462" s="8" t="s">
        <v>4551</v>
      </c>
      <c r="H462" s="8" t="s">
        <v>1417</v>
      </c>
      <c r="I462" s="8" t="s">
        <v>1417</v>
      </c>
      <c r="J462" s="15" t="s">
        <v>5695</v>
      </c>
      <c r="K462" s="8"/>
      <c r="L462" s="15" t="s">
        <v>1685</v>
      </c>
      <c r="M462" s="8" t="s">
        <v>5578</v>
      </c>
      <c r="N462" s="8"/>
      <c r="O462" s="8" t="s">
        <v>5574</v>
      </c>
      <c r="P462" s="11"/>
      <c r="Q462" s="8" t="s">
        <v>5696</v>
      </c>
      <c r="R462" s="8" t="s">
        <v>5919</v>
      </c>
      <c r="S462" s="8" t="s">
        <v>6194</v>
      </c>
    </row>
    <row r="463" spans="1:19" ht="107.1" customHeight="1" x14ac:dyDescent="0.25">
      <c r="A463" s="8" t="s">
        <v>6195</v>
      </c>
      <c r="B463" s="8" t="s">
        <v>5693</v>
      </c>
      <c r="C463" s="8" t="s">
        <v>5918</v>
      </c>
      <c r="D463" s="10">
        <v>142</v>
      </c>
      <c r="E463" s="8" t="s">
        <v>1619</v>
      </c>
      <c r="F463" s="8" t="s">
        <v>1620</v>
      </c>
      <c r="G463" s="8" t="s">
        <v>4551</v>
      </c>
      <c r="H463" s="8" t="s">
        <v>1619</v>
      </c>
      <c r="I463" s="8" t="s">
        <v>1619</v>
      </c>
      <c r="J463" s="15" t="s">
        <v>5695</v>
      </c>
      <c r="K463" s="8"/>
      <c r="L463" s="15" t="s">
        <v>1685</v>
      </c>
      <c r="M463" s="8" t="s">
        <v>5578</v>
      </c>
      <c r="N463" s="8"/>
      <c r="O463" s="8" t="s">
        <v>5574</v>
      </c>
      <c r="P463" s="11"/>
      <c r="Q463" s="8" t="s">
        <v>5696</v>
      </c>
      <c r="R463" s="8" t="s">
        <v>5919</v>
      </c>
      <c r="S463" s="8" t="s">
        <v>6196</v>
      </c>
    </row>
    <row r="464" spans="1:19" ht="107.1" customHeight="1" x14ac:dyDescent="0.25">
      <c r="A464" s="8" t="s">
        <v>6197</v>
      </c>
      <c r="B464" s="8" t="s">
        <v>5693</v>
      </c>
      <c r="C464" s="8" t="s">
        <v>5918</v>
      </c>
      <c r="D464" s="10">
        <v>143</v>
      </c>
      <c r="E464" s="8" t="s">
        <v>1292</v>
      </c>
      <c r="F464" s="8" t="s">
        <v>1293</v>
      </c>
      <c r="G464" s="8" t="s">
        <v>4551</v>
      </c>
      <c r="H464" s="8" t="s">
        <v>1292</v>
      </c>
      <c r="I464" s="8" t="s">
        <v>1292</v>
      </c>
      <c r="J464" s="15" t="s">
        <v>5695</v>
      </c>
      <c r="K464" s="8"/>
      <c r="L464" s="15" t="s">
        <v>1685</v>
      </c>
      <c r="M464" s="8" t="s">
        <v>5578</v>
      </c>
      <c r="N464" s="8"/>
      <c r="O464" s="8" t="s">
        <v>5574</v>
      </c>
      <c r="P464" s="11"/>
      <c r="Q464" s="8" t="s">
        <v>5696</v>
      </c>
      <c r="R464" s="8" t="s">
        <v>5919</v>
      </c>
      <c r="S464" s="8" t="s">
        <v>6198</v>
      </c>
    </row>
    <row r="465" spans="1:19" ht="107.1" customHeight="1" x14ac:dyDescent="0.25">
      <c r="A465" s="8" t="s">
        <v>6199</v>
      </c>
      <c r="B465" s="8" t="s">
        <v>5693</v>
      </c>
      <c r="C465" s="8" t="s">
        <v>5918</v>
      </c>
      <c r="D465" s="10">
        <v>144</v>
      </c>
      <c r="E465" s="8" t="s">
        <v>1279</v>
      </c>
      <c r="F465" s="8" t="s">
        <v>1280</v>
      </c>
      <c r="G465" s="8" t="s">
        <v>4551</v>
      </c>
      <c r="H465" s="8" t="s">
        <v>1279</v>
      </c>
      <c r="I465" s="8" t="s">
        <v>1279</v>
      </c>
      <c r="J465" s="15" t="s">
        <v>5695</v>
      </c>
      <c r="K465" s="8"/>
      <c r="L465" s="15" t="s">
        <v>1685</v>
      </c>
      <c r="M465" s="8" t="s">
        <v>5578</v>
      </c>
      <c r="N465" s="8"/>
      <c r="O465" s="8" t="s">
        <v>5574</v>
      </c>
      <c r="P465" s="11"/>
      <c r="Q465" s="8" t="s">
        <v>5696</v>
      </c>
      <c r="R465" s="8" t="s">
        <v>5919</v>
      </c>
      <c r="S465" s="8" t="s">
        <v>6200</v>
      </c>
    </row>
    <row r="466" spans="1:19" ht="107.1" customHeight="1" x14ac:dyDescent="0.25">
      <c r="A466" s="8" t="s">
        <v>6201</v>
      </c>
      <c r="B466" s="8" t="s">
        <v>5693</v>
      </c>
      <c r="C466" s="8" t="s">
        <v>5918</v>
      </c>
      <c r="D466" s="10">
        <v>145</v>
      </c>
      <c r="E466" s="8" t="s">
        <v>1557</v>
      </c>
      <c r="F466" s="8" t="s">
        <v>1558</v>
      </c>
      <c r="G466" s="8" t="s">
        <v>4551</v>
      </c>
      <c r="H466" s="8" t="s">
        <v>1557</v>
      </c>
      <c r="I466" s="8" t="s">
        <v>1557</v>
      </c>
      <c r="J466" s="15" t="s">
        <v>5695</v>
      </c>
      <c r="K466" s="8"/>
      <c r="L466" s="15" t="s">
        <v>1685</v>
      </c>
      <c r="M466" s="8" t="s">
        <v>5578</v>
      </c>
      <c r="N466" s="8"/>
      <c r="O466" s="8" t="s">
        <v>5574</v>
      </c>
      <c r="P466" s="11"/>
      <c r="Q466" s="8" t="s">
        <v>5696</v>
      </c>
      <c r="R466" s="8" t="s">
        <v>5919</v>
      </c>
      <c r="S466" s="8" t="s">
        <v>6202</v>
      </c>
    </row>
    <row r="467" spans="1:19" ht="107.1" customHeight="1" x14ac:dyDescent="0.25">
      <c r="A467" s="8" t="s">
        <v>6203</v>
      </c>
      <c r="B467" s="8" t="s">
        <v>5693</v>
      </c>
      <c r="C467" s="8" t="s">
        <v>5918</v>
      </c>
      <c r="D467" s="10">
        <v>146</v>
      </c>
      <c r="E467" s="8" t="s">
        <v>1430</v>
      </c>
      <c r="F467" s="8" t="s">
        <v>1432</v>
      </c>
      <c r="G467" s="8" t="s">
        <v>4551</v>
      </c>
      <c r="H467" s="8" t="s">
        <v>1430</v>
      </c>
      <c r="I467" s="8" t="s">
        <v>1430</v>
      </c>
      <c r="J467" s="15" t="s">
        <v>5695</v>
      </c>
      <c r="K467" s="8"/>
      <c r="L467" s="15" t="s">
        <v>1685</v>
      </c>
      <c r="M467" s="8" t="s">
        <v>5578</v>
      </c>
      <c r="N467" s="8"/>
      <c r="O467" s="8" t="s">
        <v>5574</v>
      </c>
      <c r="P467" s="11"/>
      <c r="Q467" s="8" t="s">
        <v>5696</v>
      </c>
      <c r="R467" s="8" t="s">
        <v>5919</v>
      </c>
      <c r="S467" s="8" t="s">
        <v>6204</v>
      </c>
    </row>
    <row r="468" spans="1:19" ht="107.1" customHeight="1" x14ac:dyDescent="0.25">
      <c r="A468" s="8" t="s">
        <v>6205</v>
      </c>
      <c r="B468" s="8" t="s">
        <v>5693</v>
      </c>
      <c r="C468" s="8" t="s">
        <v>5918</v>
      </c>
      <c r="D468" s="10">
        <v>147</v>
      </c>
      <c r="E468" s="8" t="s">
        <v>1670</v>
      </c>
      <c r="F468" s="8" t="s">
        <v>1671</v>
      </c>
      <c r="G468" s="8" t="s">
        <v>4551</v>
      </c>
      <c r="H468" s="8" t="s">
        <v>1670</v>
      </c>
      <c r="I468" s="8" t="s">
        <v>1670</v>
      </c>
      <c r="J468" s="15" t="s">
        <v>5695</v>
      </c>
      <c r="K468" s="8"/>
      <c r="L468" s="15" t="s">
        <v>1685</v>
      </c>
      <c r="M468" s="8" t="s">
        <v>5578</v>
      </c>
      <c r="N468" s="8"/>
      <c r="O468" s="8" t="s">
        <v>5574</v>
      </c>
      <c r="P468" s="11"/>
      <c r="Q468" s="8" t="s">
        <v>5696</v>
      </c>
      <c r="R468" s="8" t="s">
        <v>5919</v>
      </c>
      <c r="S468" s="8" t="s">
        <v>6206</v>
      </c>
    </row>
    <row r="469" spans="1:19" ht="107.1" customHeight="1" x14ac:dyDescent="0.25">
      <c r="A469" s="8" t="s">
        <v>6207</v>
      </c>
      <c r="B469" s="8" t="s">
        <v>5693</v>
      </c>
      <c r="C469" s="8" t="s">
        <v>5918</v>
      </c>
      <c r="D469" s="10">
        <v>148</v>
      </c>
      <c r="E469" s="8" t="s">
        <v>1654</v>
      </c>
      <c r="F469" s="8" t="s">
        <v>1655</v>
      </c>
      <c r="G469" s="8" t="s">
        <v>4551</v>
      </c>
      <c r="H469" s="8" t="s">
        <v>1654</v>
      </c>
      <c r="I469" s="8" t="s">
        <v>1654</v>
      </c>
      <c r="J469" s="15" t="s">
        <v>5695</v>
      </c>
      <c r="K469" s="8"/>
      <c r="L469" s="15" t="s">
        <v>1685</v>
      </c>
      <c r="M469" s="8" t="s">
        <v>5578</v>
      </c>
      <c r="N469" s="8"/>
      <c r="O469" s="8" t="s">
        <v>5574</v>
      </c>
      <c r="P469" s="11"/>
      <c r="Q469" s="8" t="s">
        <v>5696</v>
      </c>
      <c r="R469" s="8" t="s">
        <v>5919</v>
      </c>
      <c r="S469" s="8" t="s">
        <v>6208</v>
      </c>
    </row>
    <row r="470" spans="1:19" ht="107.1" customHeight="1" x14ac:dyDescent="0.25">
      <c r="A470" s="8" t="s">
        <v>6209</v>
      </c>
      <c r="B470" s="8" t="s">
        <v>5693</v>
      </c>
      <c r="C470" s="8" t="s">
        <v>5918</v>
      </c>
      <c r="D470" s="10">
        <v>149</v>
      </c>
      <c r="E470" s="8" t="s">
        <v>1300</v>
      </c>
      <c r="F470" s="8" t="s">
        <v>1301</v>
      </c>
      <c r="G470" s="8" t="s">
        <v>4551</v>
      </c>
      <c r="H470" s="8" t="s">
        <v>1300</v>
      </c>
      <c r="I470" s="8" t="s">
        <v>1300</v>
      </c>
      <c r="J470" s="15" t="s">
        <v>5695</v>
      </c>
      <c r="K470" s="8"/>
      <c r="L470" s="15" t="s">
        <v>1685</v>
      </c>
      <c r="M470" s="8" t="s">
        <v>5578</v>
      </c>
      <c r="N470" s="8"/>
      <c r="O470" s="8" t="s">
        <v>5574</v>
      </c>
      <c r="P470" s="11"/>
      <c r="Q470" s="8" t="s">
        <v>5696</v>
      </c>
      <c r="R470" s="8" t="s">
        <v>5919</v>
      </c>
      <c r="S470" s="8" t="s">
        <v>6210</v>
      </c>
    </row>
    <row r="471" spans="1:19" ht="107.1" customHeight="1" x14ac:dyDescent="0.25">
      <c r="A471" s="8" t="s">
        <v>6211</v>
      </c>
      <c r="B471" s="8" t="s">
        <v>5693</v>
      </c>
      <c r="C471" s="8" t="s">
        <v>5918</v>
      </c>
      <c r="D471" s="10">
        <v>150</v>
      </c>
      <c r="E471" s="8" t="s">
        <v>1457</v>
      </c>
      <c r="F471" s="8" t="s">
        <v>1458</v>
      </c>
      <c r="G471" s="8" t="s">
        <v>4551</v>
      </c>
      <c r="H471" s="8" t="s">
        <v>1457</v>
      </c>
      <c r="I471" s="8" t="s">
        <v>1457</v>
      </c>
      <c r="J471" s="15" t="s">
        <v>5695</v>
      </c>
      <c r="K471" s="8"/>
      <c r="L471" s="15" t="s">
        <v>1685</v>
      </c>
      <c r="M471" s="8" t="s">
        <v>5578</v>
      </c>
      <c r="N471" s="8"/>
      <c r="O471" s="8" t="s">
        <v>5574</v>
      </c>
      <c r="P471" s="11"/>
      <c r="Q471" s="8" t="s">
        <v>5696</v>
      </c>
      <c r="R471" s="8" t="s">
        <v>5919</v>
      </c>
      <c r="S471" s="8" t="s">
        <v>6212</v>
      </c>
    </row>
    <row r="472" spans="1:19" ht="107.1" customHeight="1" x14ac:dyDescent="0.25">
      <c r="A472" s="8" t="s">
        <v>6213</v>
      </c>
      <c r="B472" s="8" t="s">
        <v>5693</v>
      </c>
      <c r="C472" s="8" t="s">
        <v>5918</v>
      </c>
      <c r="D472" s="10">
        <v>151</v>
      </c>
      <c r="E472" s="8" t="s">
        <v>965</v>
      </c>
      <c r="F472" s="8" t="s">
        <v>3100</v>
      </c>
      <c r="G472" s="8" t="s">
        <v>4551</v>
      </c>
      <c r="H472" s="8" t="s">
        <v>965</v>
      </c>
      <c r="I472" s="8" t="s">
        <v>965</v>
      </c>
      <c r="J472" s="15" t="s">
        <v>5695</v>
      </c>
      <c r="K472" s="8"/>
      <c r="L472" s="15" t="s">
        <v>1685</v>
      </c>
      <c r="M472" s="8" t="s">
        <v>5578</v>
      </c>
      <c r="N472" s="8"/>
      <c r="O472" s="8" t="s">
        <v>5574</v>
      </c>
      <c r="P472" s="11"/>
      <c r="Q472" s="8" t="s">
        <v>5696</v>
      </c>
      <c r="R472" s="8" t="s">
        <v>5919</v>
      </c>
      <c r="S472" s="8" t="s">
        <v>6214</v>
      </c>
    </row>
    <row r="473" spans="1:19" ht="107.1" customHeight="1" x14ac:dyDescent="0.25">
      <c r="A473" s="8" t="s">
        <v>6215</v>
      </c>
      <c r="B473" s="8" t="s">
        <v>5693</v>
      </c>
      <c r="C473" s="8" t="s">
        <v>5918</v>
      </c>
      <c r="D473" s="10">
        <v>152</v>
      </c>
      <c r="E473" s="8" t="s">
        <v>1400</v>
      </c>
      <c r="F473" s="8" t="s">
        <v>1401</v>
      </c>
      <c r="G473" s="8" t="s">
        <v>4551</v>
      </c>
      <c r="H473" s="8" t="s">
        <v>1400</v>
      </c>
      <c r="I473" s="8" t="s">
        <v>1400</v>
      </c>
      <c r="J473" s="15" t="s">
        <v>5695</v>
      </c>
      <c r="K473" s="8"/>
      <c r="L473" s="15" t="s">
        <v>1685</v>
      </c>
      <c r="M473" s="8" t="s">
        <v>5578</v>
      </c>
      <c r="N473" s="8"/>
      <c r="O473" s="8" t="s">
        <v>5574</v>
      </c>
      <c r="P473" s="11"/>
      <c r="Q473" s="8" t="s">
        <v>5696</v>
      </c>
      <c r="R473" s="8" t="s">
        <v>5919</v>
      </c>
      <c r="S473" s="8" t="s">
        <v>6216</v>
      </c>
    </row>
    <row r="474" spans="1:19" ht="107.1" customHeight="1" x14ac:dyDescent="0.25">
      <c r="A474" s="8" t="s">
        <v>6217</v>
      </c>
      <c r="B474" s="8" t="s">
        <v>5693</v>
      </c>
      <c r="C474" s="8" t="s">
        <v>5918</v>
      </c>
      <c r="D474" s="10">
        <v>153</v>
      </c>
      <c r="E474" s="8" t="s">
        <v>1515</v>
      </c>
      <c r="F474" s="8" t="s">
        <v>1516</v>
      </c>
      <c r="G474" s="8" t="s">
        <v>4551</v>
      </c>
      <c r="H474" s="8" t="s">
        <v>1515</v>
      </c>
      <c r="I474" s="8" t="s">
        <v>1515</v>
      </c>
      <c r="J474" s="15" t="s">
        <v>5695</v>
      </c>
      <c r="K474" s="8"/>
      <c r="L474" s="15" t="s">
        <v>1685</v>
      </c>
      <c r="M474" s="8" t="s">
        <v>5578</v>
      </c>
      <c r="N474" s="8"/>
      <c r="O474" s="8" t="s">
        <v>5574</v>
      </c>
      <c r="P474" s="11"/>
      <c r="Q474" s="8" t="s">
        <v>5696</v>
      </c>
      <c r="R474" s="8" t="s">
        <v>5919</v>
      </c>
      <c r="S474" s="8" t="s">
        <v>6218</v>
      </c>
    </row>
    <row r="475" spans="1:19" ht="107.1" customHeight="1" x14ac:dyDescent="0.25">
      <c r="A475" s="8" t="s">
        <v>6219</v>
      </c>
      <c r="B475" s="8" t="s">
        <v>5693</v>
      </c>
      <c r="C475" s="8" t="s">
        <v>5918</v>
      </c>
      <c r="D475" s="10">
        <v>154</v>
      </c>
      <c r="E475" s="8" t="s">
        <v>1374</v>
      </c>
      <c r="F475" s="8" t="s">
        <v>1375</v>
      </c>
      <c r="G475" s="8" t="s">
        <v>4551</v>
      </c>
      <c r="H475" s="8" t="s">
        <v>1374</v>
      </c>
      <c r="I475" s="8" t="s">
        <v>1374</v>
      </c>
      <c r="J475" s="15" t="s">
        <v>5695</v>
      </c>
      <c r="K475" s="8"/>
      <c r="L475" s="15" t="s">
        <v>1685</v>
      </c>
      <c r="M475" s="8" t="s">
        <v>5578</v>
      </c>
      <c r="N475" s="8"/>
      <c r="O475" s="8" t="s">
        <v>5574</v>
      </c>
      <c r="P475" s="11"/>
      <c r="Q475" s="8" t="s">
        <v>5696</v>
      </c>
      <c r="R475" s="8" t="s">
        <v>5919</v>
      </c>
      <c r="S475" s="8" t="s">
        <v>6220</v>
      </c>
    </row>
    <row r="476" spans="1:19" ht="107.1" customHeight="1" x14ac:dyDescent="0.25">
      <c r="A476" s="8" t="s">
        <v>6221</v>
      </c>
      <c r="B476" s="8" t="s">
        <v>5693</v>
      </c>
      <c r="C476" s="8" t="s">
        <v>5918</v>
      </c>
      <c r="D476" s="10">
        <v>155</v>
      </c>
      <c r="E476" s="8" t="s">
        <v>1540</v>
      </c>
      <c r="F476" s="8" t="s">
        <v>1541</v>
      </c>
      <c r="G476" s="8" t="s">
        <v>4551</v>
      </c>
      <c r="H476" s="8" t="s">
        <v>1540</v>
      </c>
      <c r="I476" s="8" t="s">
        <v>1540</v>
      </c>
      <c r="J476" s="15" t="s">
        <v>5695</v>
      </c>
      <c r="K476" s="8"/>
      <c r="L476" s="15" t="s">
        <v>1685</v>
      </c>
      <c r="M476" s="8" t="s">
        <v>5578</v>
      </c>
      <c r="N476" s="8"/>
      <c r="O476" s="8" t="s">
        <v>5574</v>
      </c>
      <c r="P476" s="11"/>
      <c r="Q476" s="8" t="s">
        <v>5696</v>
      </c>
      <c r="R476" s="8" t="s">
        <v>5919</v>
      </c>
      <c r="S476" s="8" t="s">
        <v>6222</v>
      </c>
    </row>
    <row r="477" spans="1:19" ht="107.1" customHeight="1" x14ac:dyDescent="0.25">
      <c r="A477" s="8" t="s">
        <v>6223</v>
      </c>
      <c r="B477" s="8" t="s">
        <v>5693</v>
      </c>
      <c r="C477" s="8" t="s">
        <v>5918</v>
      </c>
      <c r="D477" s="10">
        <v>156</v>
      </c>
      <c r="E477" s="8" t="s">
        <v>1243</v>
      </c>
      <c r="F477" s="8" t="s">
        <v>1245</v>
      </c>
      <c r="G477" s="8" t="s">
        <v>4551</v>
      </c>
      <c r="H477" s="8" t="s">
        <v>1243</v>
      </c>
      <c r="I477" s="8" t="s">
        <v>1243</v>
      </c>
      <c r="J477" s="15" t="s">
        <v>5695</v>
      </c>
      <c r="K477" s="8"/>
      <c r="L477" s="15" t="s">
        <v>1685</v>
      </c>
      <c r="M477" s="8" t="s">
        <v>5578</v>
      </c>
      <c r="N477" s="8"/>
      <c r="O477" s="8" t="s">
        <v>5574</v>
      </c>
      <c r="P477" s="11"/>
      <c r="Q477" s="8" t="s">
        <v>5696</v>
      </c>
      <c r="R477" s="8" t="s">
        <v>5919</v>
      </c>
      <c r="S477" s="8" t="s">
        <v>6224</v>
      </c>
    </row>
    <row r="478" spans="1:19" ht="107.1" customHeight="1" x14ac:dyDescent="0.25">
      <c r="A478" s="8" t="s">
        <v>6225</v>
      </c>
      <c r="B478" s="8" t="s">
        <v>5693</v>
      </c>
      <c r="C478" s="8" t="s">
        <v>5918</v>
      </c>
      <c r="D478" s="10">
        <v>157</v>
      </c>
      <c r="E478" s="8" t="s">
        <v>1486</v>
      </c>
      <c r="F478" s="8" t="s">
        <v>1487</v>
      </c>
      <c r="G478" s="8" t="s">
        <v>4551</v>
      </c>
      <c r="H478" s="8" t="s">
        <v>1486</v>
      </c>
      <c r="I478" s="8" t="s">
        <v>1486</v>
      </c>
      <c r="J478" s="15" t="s">
        <v>5695</v>
      </c>
      <c r="K478" s="8"/>
      <c r="L478" s="15" t="s">
        <v>1685</v>
      </c>
      <c r="M478" s="8" t="s">
        <v>5578</v>
      </c>
      <c r="N478" s="8"/>
      <c r="O478" s="8" t="s">
        <v>5574</v>
      </c>
      <c r="P478" s="11"/>
      <c r="Q478" s="8" t="s">
        <v>5696</v>
      </c>
      <c r="R478" s="8" t="s">
        <v>5919</v>
      </c>
      <c r="S478" s="8" t="s">
        <v>6226</v>
      </c>
    </row>
    <row r="479" spans="1:19" ht="107.1" customHeight="1" x14ac:dyDescent="0.25">
      <c r="A479" s="8" t="s">
        <v>6227</v>
      </c>
      <c r="B479" s="8" t="s">
        <v>5693</v>
      </c>
      <c r="C479" s="8" t="s">
        <v>5918</v>
      </c>
      <c r="D479" s="10">
        <v>158</v>
      </c>
      <c r="E479" s="8" t="s">
        <v>1370</v>
      </c>
      <c r="F479" s="8" t="s">
        <v>1371</v>
      </c>
      <c r="G479" s="8" t="s">
        <v>4551</v>
      </c>
      <c r="H479" s="8" t="s">
        <v>1370</v>
      </c>
      <c r="I479" s="8" t="s">
        <v>1370</v>
      </c>
      <c r="J479" s="15" t="s">
        <v>5695</v>
      </c>
      <c r="K479" s="8"/>
      <c r="L479" s="15" t="s">
        <v>1685</v>
      </c>
      <c r="M479" s="8" t="s">
        <v>5578</v>
      </c>
      <c r="N479" s="8"/>
      <c r="O479" s="8" t="s">
        <v>5574</v>
      </c>
      <c r="P479" s="11"/>
      <c r="Q479" s="8" t="s">
        <v>5696</v>
      </c>
      <c r="R479" s="8" t="s">
        <v>5919</v>
      </c>
      <c r="S479" s="8" t="s">
        <v>6228</v>
      </c>
    </row>
    <row r="480" spans="1:19" ht="107.1" customHeight="1" x14ac:dyDescent="0.25">
      <c r="A480" s="8" t="s">
        <v>6229</v>
      </c>
      <c r="B480" s="8" t="s">
        <v>5693</v>
      </c>
      <c r="C480" s="8" t="s">
        <v>5918</v>
      </c>
      <c r="D480" s="10">
        <v>159</v>
      </c>
      <c r="E480" s="8" t="s">
        <v>1275</v>
      </c>
      <c r="F480" s="8" t="s">
        <v>1276</v>
      </c>
      <c r="G480" s="8" t="s">
        <v>4551</v>
      </c>
      <c r="H480" s="8" t="s">
        <v>1275</v>
      </c>
      <c r="I480" s="8" t="s">
        <v>1275</v>
      </c>
      <c r="J480" s="15" t="s">
        <v>5695</v>
      </c>
      <c r="K480" s="8"/>
      <c r="L480" s="15" t="s">
        <v>1685</v>
      </c>
      <c r="M480" s="8" t="s">
        <v>5578</v>
      </c>
      <c r="N480" s="8"/>
      <c r="O480" s="8" t="s">
        <v>5574</v>
      </c>
      <c r="P480" s="11"/>
      <c r="Q480" s="8" t="s">
        <v>5696</v>
      </c>
      <c r="R480" s="8" t="s">
        <v>5919</v>
      </c>
      <c r="S480" s="8" t="s">
        <v>6230</v>
      </c>
    </row>
    <row r="481" spans="1:19" ht="107.1" customHeight="1" x14ac:dyDescent="0.25">
      <c r="A481" s="8" t="s">
        <v>6231</v>
      </c>
      <c r="B481" s="8" t="s">
        <v>5693</v>
      </c>
      <c r="C481" s="8" t="s">
        <v>5918</v>
      </c>
      <c r="D481" s="10">
        <v>160</v>
      </c>
      <c r="E481" s="8" t="s">
        <v>971</v>
      </c>
      <c r="F481" s="8" t="s">
        <v>3105</v>
      </c>
      <c r="G481" s="8" t="s">
        <v>4551</v>
      </c>
      <c r="H481" s="8" t="s">
        <v>971</v>
      </c>
      <c r="I481" s="8" t="s">
        <v>971</v>
      </c>
      <c r="J481" s="15" t="s">
        <v>5695</v>
      </c>
      <c r="K481" s="8"/>
      <c r="L481" s="15" t="s">
        <v>1685</v>
      </c>
      <c r="M481" s="8" t="s">
        <v>5578</v>
      </c>
      <c r="N481" s="8"/>
      <c r="O481" s="8" t="s">
        <v>5574</v>
      </c>
      <c r="P481" s="11"/>
      <c r="Q481" s="8" t="s">
        <v>5696</v>
      </c>
      <c r="R481" s="8" t="s">
        <v>5919</v>
      </c>
      <c r="S481" s="8" t="s">
        <v>6232</v>
      </c>
    </row>
    <row r="482" spans="1:19" ht="107.1" customHeight="1" x14ac:dyDescent="0.25">
      <c r="A482" s="8" t="s">
        <v>6233</v>
      </c>
      <c r="B482" s="8" t="s">
        <v>5693</v>
      </c>
      <c r="C482" s="8" t="s">
        <v>5918</v>
      </c>
      <c r="D482" s="10">
        <v>161</v>
      </c>
      <c r="E482" s="8" t="s">
        <v>1358</v>
      </c>
      <c r="F482" s="8" t="s">
        <v>1359</v>
      </c>
      <c r="G482" s="8" t="s">
        <v>4551</v>
      </c>
      <c r="H482" s="8" t="s">
        <v>1358</v>
      </c>
      <c r="I482" s="8" t="s">
        <v>1358</v>
      </c>
      <c r="J482" s="15" t="s">
        <v>5695</v>
      </c>
      <c r="K482" s="8"/>
      <c r="L482" s="15" t="s">
        <v>1685</v>
      </c>
      <c r="M482" s="8" t="s">
        <v>5578</v>
      </c>
      <c r="N482" s="8"/>
      <c r="O482" s="8" t="s">
        <v>5574</v>
      </c>
      <c r="P482" s="11"/>
      <c r="Q482" s="8" t="s">
        <v>5696</v>
      </c>
      <c r="R482" s="8" t="s">
        <v>5919</v>
      </c>
      <c r="S482" s="8" t="s">
        <v>6234</v>
      </c>
    </row>
    <row r="483" spans="1:19" ht="107.1" customHeight="1" x14ac:dyDescent="0.25">
      <c r="A483" s="8" t="s">
        <v>6235</v>
      </c>
      <c r="B483" s="8" t="s">
        <v>5693</v>
      </c>
      <c r="C483" s="8" t="s">
        <v>5918</v>
      </c>
      <c r="D483" s="10">
        <v>162</v>
      </c>
      <c r="E483" s="8" t="s">
        <v>1589</v>
      </c>
      <c r="F483" s="8" t="s">
        <v>1591</v>
      </c>
      <c r="G483" s="8" t="s">
        <v>4551</v>
      </c>
      <c r="H483" s="8" t="s">
        <v>1589</v>
      </c>
      <c r="I483" s="8" t="s">
        <v>1589</v>
      </c>
      <c r="J483" s="15" t="s">
        <v>5695</v>
      </c>
      <c r="K483" s="8"/>
      <c r="L483" s="15" t="s">
        <v>1685</v>
      </c>
      <c r="M483" s="8" t="s">
        <v>5578</v>
      </c>
      <c r="N483" s="8"/>
      <c r="O483" s="8" t="s">
        <v>5574</v>
      </c>
      <c r="P483" s="11"/>
      <c r="Q483" s="8" t="s">
        <v>5696</v>
      </c>
      <c r="R483" s="8" t="s">
        <v>5919</v>
      </c>
      <c r="S483" s="8" t="s">
        <v>6236</v>
      </c>
    </row>
    <row r="484" spans="1:19" ht="107.1" customHeight="1" x14ac:dyDescent="0.25">
      <c r="A484" s="8" t="s">
        <v>6237</v>
      </c>
      <c r="B484" s="8" t="s">
        <v>5693</v>
      </c>
      <c r="C484" s="8" t="s">
        <v>5918</v>
      </c>
      <c r="D484" s="10">
        <v>163</v>
      </c>
      <c r="E484" s="8" t="s">
        <v>1353</v>
      </c>
      <c r="F484" s="8" t="s">
        <v>1355</v>
      </c>
      <c r="G484" s="8" t="s">
        <v>4551</v>
      </c>
      <c r="H484" s="8" t="s">
        <v>1353</v>
      </c>
      <c r="I484" s="8" t="s">
        <v>1353</v>
      </c>
      <c r="J484" s="15" t="s">
        <v>5695</v>
      </c>
      <c r="K484" s="8"/>
      <c r="L484" s="15" t="s">
        <v>1685</v>
      </c>
      <c r="M484" s="8" t="s">
        <v>5578</v>
      </c>
      <c r="N484" s="8"/>
      <c r="O484" s="8" t="s">
        <v>5574</v>
      </c>
      <c r="P484" s="11"/>
      <c r="Q484" s="8" t="s">
        <v>5696</v>
      </c>
      <c r="R484" s="8" t="s">
        <v>5919</v>
      </c>
      <c r="S484" s="8" t="s">
        <v>6238</v>
      </c>
    </row>
    <row r="485" spans="1:19" ht="107.1" customHeight="1" x14ac:dyDescent="0.25">
      <c r="A485" s="8" t="s">
        <v>6239</v>
      </c>
      <c r="B485" s="8" t="s">
        <v>5693</v>
      </c>
      <c r="C485" s="8" t="s">
        <v>5918</v>
      </c>
      <c r="D485" s="10">
        <v>164</v>
      </c>
      <c r="E485" s="8" t="s">
        <v>1519</v>
      </c>
      <c r="F485" s="8" t="s">
        <v>1520</v>
      </c>
      <c r="G485" s="8" t="s">
        <v>4551</v>
      </c>
      <c r="H485" s="8" t="s">
        <v>1519</v>
      </c>
      <c r="I485" s="8" t="s">
        <v>1519</v>
      </c>
      <c r="J485" s="15" t="s">
        <v>5695</v>
      </c>
      <c r="K485" s="8"/>
      <c r="L485" s="15" t="s">
        <v>1685</v>
      </c>
      <c r="M485" s="8" t="s">
        <v>5578</v>
      </c>
      <c r="N485" s="8"/>
      <c r="O485" s="8" t="s">
        <v>5574</v>
      </c>
      <c r="P485" s="11"/>
      <c r="Q485" s="8" t="s">
        <v>5696</v>
      </c>
      <c r="R485" s="8" t="s">
        <v>5919</v>
      </c>
      <c r="S485" s="8" t="s">
        <v>6240</v>
      </c>
    </row>
    <row r="486" spans="1:19" ht="93" customHeight="1" x14ac:dyDescent="0.25">
      <c r="A486" s="8" t="s">
        <v>6241</v>
      </c>
      <c r="B486" s="8" t="s">
        <v>5693</v>
      </c>
      <c r="C486" s="8" t="s">
        <v>5918</v>
      </c>
      <c r="D486" s="10">
        <v>165</v>
      </c>
      <c r="E486" s="8" t="s">
        <v>949</v>
      </c>
      <c r="F486" s="8" t="s">
        <v>2941</v>
      </c>
      <c r="G486" s="8" t="s">
        <v>4551</v>
      </c>
      <c r="H486" s="8" t="s">
        <v>949</v>
      </c>
      <c r="I486" s="8" t="s">
        <v>949</v>
      </c>
      <c r="J486" s="15" t="s">
        <v>5695</v>
      </c>
      <c r="K486" s="8"/>
      <c r="L486" s="15" t="s">
        <v>1685</v>
      </c>
      <c r="M486" s="8" t="s">
        <v>5578</v>
      </c>
      <c r="N486" s="8"/>
      <c r="O486" s="8" t="s">
        <v>5574</v>
      </c>
      <c r="P486" s="11"/>
      <c r="Q486" s="8" t="s">
        <v>5696</v>
      </c>
      <c r="R486" s="8" t="s">
        <v>5919</v>
      </c>
      <c r="S486" s="8" t="s">
        <v>6242</v>
      </c>
    </row>
    <row r="487" spans="1:19" ht="107.1" customHeight="1" x14ac:dyDescent="0.25">
      <c r="A487" s="8" t="s">
        <v>6243</v>
      </c>
      <c r="B487" s="8" t="s">
        <v>5693</v>
      </c>
      <c r="C487" s="8" t="s">
        <v>5918</v>
      </c>
      <c r="D487" s="10">
        <v>166</v>
      </c>
      <c r="E487" s="8" t="s">
        <v>1642</v>
      </c>
      <c r="F487" s="8" t="s">
        <v>1643</v>
      </c>
      <c r="G487" s="8" t="s">
        <v>4551</v>
      </c>
      <c r="H487" s="8" t="s">
        <v>1642</v>
      </c>
      <c r="I487" s="8" t="s">
        <v>1642</v>
      </c>
      <c r="J487" s="15" t="s">
        <v>5695</v>
      </c>
      <c r="K487" s="8"/>
      <c r="L487" s="15" t="s">
        <v>1685</v>
      </c>
      <c r="M487" s="8" t="s">
        <v>5578</v>
      </c>
      <c r="N487" s="8"/>
      <c r="O487" s="8" t="s">
        <v>5574</v>
      </c>
      <c r="P487" s="11"/>
      <c r="Q487" s="8" t="s">
        <v>5696</v>
      </c>
      <c r="R487" s="8" t="s">
        <v>5919</v>
      </c>
      <c r="S487" s="8" t="s">
        <v>6244</v>
      </c>
    </row>
    <row r="488" spans="1:19" ht="93" customHeight="1" x14ac:dyDescent="0.25">
      <c r="A488" s="8" t="s">
        <v>6245</v>
      </c>
      <c r="B488" s="8" t="s">
        <v>5693</v>
      </c>
      <c r="C488" s="8" t="s">
        <v>5918</v>
      </c>
      <c r="D488" s="10">
        <v>167</v>
      </c>
      <c r="E488" s="8" t="s">
        <v>1386</v>
      </c>
      <c r="F488" s="8" t="s">
        <v>1388</v>
      </c>
      <c r="G488" s="8" t="s">
        <v>4551</v>
      </c>
      <c r="H488" s="8" t="s">
        <v>1386</v>
      </c>
      <c r="I488" s="8" t="s">
        <v>1386</v>
      </c>
      <c r="J488" s="15" t="s">
        <v>5695</v>
      </c>
      <c r="K488" s="8"/>
      <c r="L488" s="15" t="s">
        <v>1685</v>
      </c>
      <c r="M488" s="8" t="s">
        <v>5578</v>
      </c>
      <c r="N488" s="8"/>
      <c r="O488" s="8" t="s">
        <v>5574</v>
      </c>
      <c r="P488" s="11"/>
      <c r="Q488" s="8" t="s">
        <v>5696</v>
      </c>
      <c r="R488" s="8" t="s">
        <v>5919</v>
      </c>
      <c r="S488" s="8" t="s">
        <v>6246</v>
      </c>
    </row>
    <row r="489" spans="1:19" ht="107.1" customHeight="1" x14ac:dyDescent="0.25">
      <c r="A489" s="8" t="s">
        <v>6247</v>
      </c>
      <c r="B489" s="8" t="s">
        <v>5693</v>
      </c>
      <c r="C489" s="8" t="s">
        <v>5918</v>
      </c>
      <c r="D489" s="10">
        <v>168</v>
      </c>
      <c r="E489" s="8" t="s">
        <v>1266</v>
      </c>
      <c r="F489" s="8" t="s">
        <v>1268</v>
      </c>
      <c r="G489" s="8" t="s">
        <v>4551</v>
      </c>
      <c r="H489" s="8" t="s">
        <v>1266</v>
      </c>
      <c r="I489" s="8" t="s">
        <v>1266</v>
      </c>
      <c r="J489" s="15" t="s">
        <v>5695</v>
      </c>
      <c r="K489" s="8"/>
      <c r="L489" s="15" t="s">
        <v>1685</v>
      </c>
      <c r="M489" s="8" t="s">
        <v>5578</v>
      </c>
      <c r="N489" s="8"/>
      <c r="O489" s="8" t="s">
        <v>5574</v>
      </c>
      <c r="P489" s="11"/>
      <c r="Q489" s="8" t="s">
        <v>5696</v>
      </c>
      <c r="R489" s="8" t="s">
        <v>5919</v>
      </c>
      <c r="S489" s="8" t="s">
        <v>6248</v>
      </c>
    </row>
    <row r="490" spans="1:19" ht="107.1" customHeight="1" x14ac:dyDescent="0.25">
      <c r="A490" s="8" t="s">
        <v>6249</v>
      </c>
      <c r="B490" s="8" t="s">
        <v>5693</v>
      </c>
      <c r="C490" s="8" t="s">
        <v>5918</v>
      </c>
      <c r="D490" s="10">
        <v>169</v>
      </c>
      <c r="E490" s="8" t="s">
        <v>1482</v>
      </c>
      <c r="F490" s="8" t="s">
        <v>1483</v>
      </c>
      <c r="G490" s="8" t="s">
        <v>4551</v>
      </c>
      <c r="H490" s="8" t="s">
        <v>1482</v>
      </c>
      <c r="I490" s="8" t="s">
        <v>1482</v>
      </c>
      <c r="J490" s="15" t="s">
        <v>5695</v>
      </c>
      <c r="K490" s="8"/>
      <c r="L490" s="15" t="s">
        <v>1685</v>
      </c>
      <c r="M490" s="8" t="s">
        <v>5578</v>
      </c>
      <c r="N490" s="8"/>
      <c r="O490" s="8" t="s">
        <v>5574</v>
      </c>
      <c r="P490" s="11"/>
      <c r="Q490" s="8" t="s">
        <v>5696</v>
      </c>
      <c r="R490" s="8" t="s">
        <v>5919</v>
      </c>
      <c r="S490" s="8" t="s">
        <v>6250</v>
      </c>
    </row>
    <row r="491" spans="1:19" ht="93" customHeight="1" x14ac:dyDescent="0.25">
      <c r="A491" s="8" t="s">
        <v>6251</v>
      </c>
      <c r="B491" s="8" t="s">
        <v>5693</v>
      </c>
      <c r="C491" s="8" t="s">
        <v>5918</v>
      </c>
      <c r="D491" s="10">
        <v>170</v>
      </c>
      <c r="E491" s="8" t="s">
        <v>1666</v>
      </c>
      <c r="F491" s="8" t="s">
        <v>1667</v>
      </c>
      <c r="G491" s="8" t="s">
        <v>4551</v>
      </c>
      <c r="H491" s="8" t="s">
        <v>1666</v>
      </c>
      <c r="I491" s="8" t="s">
        <v>1666</v>
      </c>
      <c r="J491" s="15" t="s">
        <v>5695</v>
      </c>
      <c r="K491" s="8"/>
      <c r="L491" s="15" t="s">
        <v>1685</v>
      </c>
      <c r="M491" s="8" t="s">
        <v>5578</v>
      </c>
      <c r="N491" s="8"/>
      <c r="O491" s="8" t="s">
        <v>5574</v>
      </c>
      <c r="P491" s="11"/>
      <c r="Q491" s="8" t="s">
        <v>5696</v>
      </c>
      <c r="R491" s="8" t="s">
        <v>5919</v>
      </c>
      <c r="S491" s="8" t="s">
        <v>6252</v>
      </c>
    </row>
    <row r="492" spans="1:19" ht="107.1" customHeight="1" x14ac:dyDescent="0.25">
      <c r="A492" s="8" t="s">
        <v>6253</v>
      </c>
      <c r="B492" s="8" t="s">
        <v>5693</v>
      </c>
      <c r="C492" s="8" t="s">
        <v>5918</v>
      </c>
      <c r="D492" s="10">
        <v>171</v>
      </c>
      <c r="E492" s="8" t="s">
        <v>1577</v>
      </c>
      <c r="F492" s="8" t="s">
        <v>1578</v>
      </c>
      <c r="G492" s="8" t="s">
        <v>4551</v>
      </c>
      <c r="H492" s="8" t="s">
        <v>1577</v>
      </c>
      <c r="I492" s="8" t="s">
        <v>1577</v>
      </c>
      <c r="J492" s="15" t="s">
        <v>5695</v>
      </c>
      <c r="K492" s="8"/>
      <c r="L492" s="15" t="s">
        <v>1685</v>
      </c>
      <c r="M492" s="8" t="s">
        <v>5578</v>
      </c>
      <c r="N492" s="8"/>
      <c r="O492" s="8" t="s">
        <v>5574</v>
      </c>
      <c r="P492" s="11"/>
      <c r="Q492" s="8" t="s">
        <v>5696</v>
      </c>
      <c r="R492" s="8" t="s">
        <v>5919</v>
      </c>
      <c r="S492" s="8" t="s">
        <v>6254</v>
      </c>
    </row>
    <row r="493" spans="1:19" ht="107.1" customHeight="1" x14ac:dyDescent="0.25">
      <c r="A493" s="8" t="s">
        <v>6255</v>
      </c>
      <c r="B493" s="8" t="s">
        <v>5693</v>
      </c>
      <c r="C493" s="8" t="s">
        <v>5918</v>
      </c>
      <c r="D493" s="10">
        <v>172</v>
      </c>
      <c r="E493" s="8" t="s">
        <v>1335</v>
      </c>
      <c r="F493" s="8" t="s">
        <v>1336</v>
      </c>
      <c r="G493" s="8" t="s">
        <v>4551</v>
      </c>
      <c r="H493" s="8" t="s">
        <v>1335</v>
      </c>
      <c r="I493" s="8" t="s">
        <v>1335</v>
      </c>
      <c r="J493" s="15" t="s">
        <v>5695</v>
      </c>
      <c r="K493" s="8"/>
      <c r="L493" s="15" t="s">
        <v>1685</v>
      </c>
      <c r="M493" s="8" t="s">
        <v>5578</v>
      </c>
      <c r="N493" s="8"/>
      <c r="O493" s="8" t="s">
        <v>5574</v>
      </c>
      <c r="P493" s="11"/>
      <c r="Q493" s="8" t="s">
        <v>5696</v>
      </c>
      <c r="R493" s="8" t="s">
        <v>5919</v>
      </c>
      <c r="S493" s="8" t="s">
        <v>6256</v>
      </c>
    </row>
    <row r="494" spans="1:19" ht="107.1" customHeight="1" x14ac:dyDescent="0.25">
      <c r="A494" s="8" t="s">
        <v>6257</v>
      </c>
      <c r="B494" s="8" t="s">
        <v>5693</v>
      </c>
      <c r="C494" s="8" t="s">
        <v>5918</v>
      </c>
      <c r="D494" s="10">
        <v>173</v>
      </c>
      <c r="E494" s="8" t="s">
        <v>1408</v>
      </c>
      <c r="F494" s="8" t="s">
        <v>1410</v>
      </c>
      <c r="G494" s="8" t="s">
        <v>4551</v>
      </c>
      <c r="H494" s="8" t="s">
        <v>1408</v>
      </c>
      <c r="I494" s="8" t="s">
        <v>1408</v>
      </c>
      <c r="J494" s="15" t="s">
        <v>5695</v>
      </c>
      <c r="K494" s="8"/>
      <c r="L494" s="15" t="s">
        <v>1685</v>
      </c>
      <c r="M494" s="8" t="s">
        <v>5578</v>
      </c>
      <c r="N494" s="8"/>
      <c r="O494" s="8" t="s">
        <v>5574</v>
      </c>
      <c r="P494" s="11"/>
      <c r="Q494" s="8" t="s">
        <v>5696</v>
      </c>
      <c r="R494" s="8" t="s">
        <v>5919</v>
      </c>
      <c r="S494" s="8" t="s">
        <v>6258</v>
      </c>
    </row>
    <row r="495" spans="1:19" ht="107.1" customHeight="1" x14ac:dyDescent="0.25">
      <c r="A495" s="8" t="s">
        <v>6259</v>
      </c>
      <c r="B495" s="8" t="s">
        <v>5693</v>
      </c>
      <c r="C495" s="8" t="s">
        <v>5918</v>
      </c>
      <c r="D495" s="10">
        <v>174</v>
      </c>
      <c r="E495" s="8" t="s">
        <v>1494</v>
      </c>
      <c r="F495" s="8" t="s">
        <v>1495</v>
      </c>
      <c r="G495" s="8" t="s">
        <v>4551</v>
      </c>
      <c r="H495" s="8" t="s">
        <v>1494</v>
      </c>
      <c r="I495" s="8" t="s">
        <v>1494</v>
      </c>
      <c r="J495" s="15" t="s">
        <v>5695</v>
      </c>
      <c r="K495" s="8"/>
      <c r="L495" s="15" t="s">
        <v>1685</v>
      </c>
      <c r="M495" s="8" t="s">
        <v>5578</v>
      </c>
      <c r="N495" s="8"/>
      <c r="O495" s="8" t="s">
        <v>5574</v>
      </c>
      <c r="P495" s="11"/>
      <c r="Q495" s="8" t="s">
        <v>5696</v>
      </c>
      <c r="R495" s="8" t="s">
        <v>5919</v>
      </c>
      <c r="S495" s="8" t="s">
        <v>6260</v>
      </c>
    </row>
    <row r="496" spans="1:19" ht="107.1" customHeight="1" x14ac:dyDescent="0.25">
      <c r="A496" s="8" t="s">
        <v>6261</v>
      </c>
      <c r="B496" s="8" t="s">
        <v>5693</v>
      </c>
      <c r="C496" s="8" t="s">
        <v>5918</v>
      </c>
      <c r="D496" s="10">
        <v>175</v>
      </c>
      <c r="E496" s="8" t="s">
        <v>1536</v>
      </c>
      <c r="F496" s="8" t="s">
        <v>1537</v>
      </c>
      <c r="G496" s="8" t="s">
        <v>4551</v>
      </c>
      <c r="H496" s="8" t="s">
        <v>1536</v>
      </c>
      <c r="I496" s="8" t="s">
        <v>1536</v>
      </c>
      <c r="J496" s="15" t="s">
        <v>5695</v>
      </c>
      <c r="K496" s="8"/>
      <c r="L496" s="15" t="s">
        <v>1685</v>
      </c>
      <c r="M496" s="8" t="s">
        <v>5578</v>
      </c>
      <c r="N496" s="8"/>
      <c r="O496" s="8" t="s">
        <v>5574</v>
      </c>
      <c r="P496" s="11"/>
      <c r="Q496" s="8" t="s">
        <v>5696</v>
      </c>
      <c r="R496" s="8" t="s">
        <v>5919</v>
      </c>
      <c r="S496" s="8" t="s">
        <v>6262</v>
      </c>
    </row>
    <row r="497" spans="1:19" ht="107.1" customHeight="1" x14ac:dyDescent="0.25">
      <c r="A497" s="8" t="s">
        <v>6263</v>
      </c>
      <c r="B497" s="8" t="s">
        <v>5693</v>
      </c>
      <c r="C497" s="8" t="s">
        <v>5918</v>
      </c>
      <c r="D497" s="10">
        <v>176</v>
      </c>
      <c r="E497" s="8" t="s">
        <v>1321</v>
      </c>
      <c r="F497" s="8" t="s">
        <v>1323</v>
      </c>
      <c r="G497" s="8" t="s">
        <v>4551</v>
      </c>
      <c r="H497" s="8" t="s">
        <v>1321</v>
      </c>
      <c r="I497" s="8" t="s">
        <v>1321</v>
      </c>
      <c r="J497" s="15" t="s">
        <v>5695</v>
      </c>
      <c r="K497" s="8"/>
      <c r="L497" s="15" t="s">
        <v>1685</v>
      </c>
      <c r="M497" s="8" t="s">
        <v>5578</v>
      </c>
      <c r="N497" s="8"/>
      <c r="O497" s="8" t="s">
        <v>5574</v>
      </c>
      <c r="P497" s="11"/>
      <c r="Q497" s="8" t="s">
        <v>5696</v>
      </c>
      <c r="R497" s="8" t="s">
        <v>5919</v>
      </c>
      <c r="S497" s="8" t="s">
        <v>6264</v>
      </c>
    </row>
    <row r="498" spans="1:19" ht="107.1" customHeight="1" x14ac:dyDescent="0.25">
      <c r="A498" s="8" t="s">
        <v>6265</v>
      </c>
      <c r="B498" s="8" t="s">
        <v>5693</v>
      </c>
      <c r="C498" s="8" t="s">
        <v>5918</v>
      </c>
      <c r="D498" s="10">
        <v>177</v>
      </c>
      <c r="E498" s="8" t="s">
        <v>1317</v>
      </c>
      <c r="F498" s="8" t="s">
        <v>1318</v>
      </c>
      <c r="G498" s="8" t="s">
        <v>4551</v>
      </c>
      <c r="H498" s="8" t="s">
        <v>1317</v>
      </c>
      <c r="I498" s="8" t="s">
        <v>1317</v>
      </c>
      <c r="J498" s="15" t="s">
        <v>5695</v>
      </c>
      <c r="K498" s="8"/>
      <c r="L498" s="15" t="s">
        <v>1685</v>
      </c>
      <c r="M498" s="8" t="s">
        <v>5578</v>
      </c>
      <c r="N498" s="8"/>
      <c r="O498" s="8" t="s">
        <v>5574</v>
      </c>
      <c r="P498" s="11"/>
      <c r="Q498" s="8" t="s">
        <v>5696</v>
      </c>
      <c r="R498" s="8" t="s">
        <v>5919</v>
      </c>
      <c r="S498" s="8" t="s">
        <v>6266</v>
      </c>
    </row>
    <row r="499" spans="1:19" ht="107.1" customHeight="1" x14ac:dyDescent="0.25">
      <c r="A499" s="8" t="s">
        <v>6267</v>
      </c>
      <c r="B499" s="8" t="s">
        <v>5693</v>
      </c>
      <c r="C499" s="8" t="s">
        <v>5918</v>
      </c>
      <c r="D499" s="10">
        <v>178</v>
      </c>
      <c r="E499" s="8" t="s">
        <v>1271</v>
      </c>
      <c r="F499" s="8" t="s">
        <v>1272</v>
      </c>
      <c r="G499" s="8" t="s">
        <v>4551</v>
      </c>
      <c r="H499" s="8" t="s">
        <v>1271</v>
      </c>
      <c r="I499" s="8" t="s">
        <v>1271</v>
      </c>
      <c r="J499" s="15" t="s">
        <v>5695</v>
      </c>
      <c r="K499" s="8"/>
      <c r="L499" s="15" t="s">
        <v>1685</v>
      </c>
      <c r="M499" s="8" t="s">
        <v>5578</v>
      </c>
      <c r="N499" s="8"/>
      <c r="O499" s="8" t="s">
        <v>5574</v>
      </c>
      <c r="P499" s="11"/>
      <c r="Q499" s="8" t="s">
        <v>5696</v>
      </c>
      <c r="R499" s="8" t="s">
        <v>5919</v>
      </c>
      <c r="S499" s="8" t="s">
        <v>6268</v>
      </c>
    </row>
    <row r="500" spans="1:19" ht="107.1" customHeight="1" x14ac:dyDescent="0.25">
      <c r="A500" s="8" t="s">
        <v>6269</v>
      </c>
      <c r="B500" s="8" t="s">
        <v>5693</v>
      </c>
      <c r="C500" s="8" t="s">
        <v>5918</v>
      </c>
      <c r="D500" s="10">
        <v>179</v>
      </c>
      <c r="E500" s="8" t="s">
        <v>1502</v>
      </c>
      <c r="F500" s="8" t="s">
        <v>1503</v>
      </c>
      <c r="G500" s="8" t="s">
        <v>4551</v>
      </c>
      <c r="H500" s="8" t="s">
        <v>1502</v>
      </c>
      <c r="I500" s="8" t="s">
        <v>1502</v>
      </c>
      <c r="J500" s="15" t="s">
        <v>5695</v>
      </c>
      <c r="K500" s="8"/>
      <c r="L500" s="15" t="s">
        <v>1685</v>
      </c>
      <c r="M500" s="8" t="s">
        <v>5578</v>
      </c>
      <c r="N500" s="8"/>
      <c r="O500" s="8" t="s">
        <v>5574</v>
      </c>
      <c r="P500" s="11"/>
      <c r="Q500" s="8" t="s">
        <v>5696</v>
      </c>
      <c r="R500" s="8" t="s">
        <v>5919</v>
      </c>
      <c r="S500" s="8" t="s">
        <v>6270</v>
      </c>
    </row>
    <row r="501" spans="1:19" ht="107.1" customHeight="1" x14ac:dyDescent="0.25">
      <c r="A501" s="8" t="s">
        <v>6271</v>
      </c>
      <c r="B501" s="8" t="s">
        <v>5693</v>
      </c>
      <c r="C501" s="8" t="s">
        <v>5918</v>
      </c>
      <c r="D501" s="10">
        <v>180</v>
      </c>
      <c r="E501" s="8" t="s">
        <v>1461</v>
      </c>
      <c r="F501" s="8" t="s">
        <v>1462</v>
      </c>
      <c r="G501" s="8" t="s">
        <v>4551</v>
      </c>
      <c r="H501" s="8" t="s">
        <v>1461</v>
      </c>
      <c r="I501" s="8" t="s">
        <v>1461</v>
      </c>
      <c r="J501" s="15" t="s">
        <v>5695</v>
      </c>
      <c r="K501" s="8"/>
      <c r="L501" s="15" t="s">
        <v>1685</v>
      </c>
      <c r="M501" s="8" t="s">
        <v>5578</v>
      </c>
      <c r="N501" s="8"/>
      <c r="O501" s="8" t="s">
        <v>5574</v>
      </c>
      <c r="P501" s="11"/>
      <c r="Q501" s="8" t="s">
        <v>5696</v>
      </c>
      <c r="R501" s="8" t="s">
        <v>5919</v>
      </c>
      <c r="S501" s="8" t="s">
        <v>6272</v>
      </c>
    </row>
    <row r="502" spans="1:19" ht="107.1" customHeight="1" x14ac:dyDescent="0.25">
      <c r="A502" s="8" t="s">
        <v>6273</v>
      </c>
      <c r="B502" s="8" t="s">
        <v>5693</v>
      </c>
      <c r="C502" s="8" t="s">
        <v>5918</v>
      </c>
      <c r="D502" s="10">
        <v>181</v>
      </c>
      <c r="E502" s="8" t="s">
        <v>1031</v>
      </c>
      <c r="F502" s="8" t="s">
        <v>3148</v>
      </c>
      <c r="G502" s="8" t="s">
        <v>4551</v>
      </c>
      <c r="H502" s="8" t="s">
        <v>1031</v>
      </c>
      <c r="I502" s="8" t="s">
        <v>1031</v>
      </c>
      <c r="J502" s="15" t="s">
        <v>5695</v>
      </c>
      <c r="K502" s="8"/>
      <c r="L502" s="15" t="s">
        <v>1685</v>
      </c>
      <c r="M502" s="8" t="s">
        <v>5578</v>
      </c>
      <c r="N502" s="8"/>
      <c r="O502" s="8" t="s">
        <v>5574</v>
      </c>
      <c r="P502" s="11"/>
      <c r="Q502" s="8" t="s">
        <v>5696</v>
      </c>
      <c r="R502" s="8" t="s">
        <v>5919</v>
      </c>
      <c r="S502" s="8" t="s">
        <v>6274</v>
      </c>
    </row>
    <row r="503" spans="1:19" ht="107.1" customHeight="1" x14ac:dyDescent="0.25">
      <c r="A503" s="8" t="s">
        <v>6275</v>
      </c>
      <c r="B503" s="8" t="s">
        <v>5693</v>
      </c>
      <c r="C503" s="8" t="s">
        <v>5918</v>
      </c>
      <c r="D503" s="10">
        <v>182</v>
      </c>
      <c r="E503" s="8" t="s">
        <v>1339</v>
      </c>
      <c r="F503" s="8" t="s">
        <v>1340</v>
      </c>
      <c r="G503" s="8" t="s">
        <v>4551</v>
      </c>
      <c r="H503" s="8" t="s">
        <v>1339</v>
      </c>
      <c r="I503" s="8" t="s">
        <v>1339</v>
      </c>
      <c r="J503" s="15" t="s">
        <v>5695</v>
      </c>
      <c r="K503" s="8"/>
      <c r="L503" s="15" t="s">
        <v>1685</v>
      </c>
      <c r="M503" s="8" t="s">
        <v>5578</v>
      </c>
      <c r="N503" s="8"/>
      <c r="O503" s="8" t="s">
        <v>5574</v>
      </c>
      <c r="P503" s="11"/>
      <c r="Q503" s="8" t="s">
        <v>5696</v>
      </c>
      <c r="R503" s="8" t="s">
        <v>5919</v>
      </c>
      <c r="S503" s="8" t="s">
        <v>6276</v>
      </c>
    </row>
    <row r="504" spans="1:19" ht="107.1" customHeight="1" x14ac:dyDescent="0.25">
      <c r="A504" s="8" t="s">
        <v>6277</v>
      </c>
      <c r="B504" s="8" t="s">
        <v>5693</v>
      </c>
      <c r="C504" s="8" t="s">
        <v>5918</v>
      </c>
      <c r="D504" s="10">
        <v>183</v>
      </c>
      <c r="E504" s="8" t="s">
        <v>1490</v>
      </c>
      <c r="F504" s="8" t="s">
        <v>1491</v>
      </c>
      <c r="G504" s="8" t="s">
        <v>4551</v>
      </c>
      <c r="H504" s="8" t="s">
        <v>1490</v>
      </c>
      <c r="I504" s="8" t="s">
        <v>1490</v>
      </c>
      <c r="J504" s="15" t="s">
        <v>5695</v>
      </c>
      <c r="K504" s="8"/>
      <c r="L504" s="15" t="s">
        <v>1685</v>
      </c>
      <c r="M504" s="8" t="s">
        <v>5578</v>
      </c>
      <c r="N504" s="8"/>
      <c r="O504" s="8" t="s">
        <v>5574</v>
      </c>
      <c r="P504" s="11"/>
      <c r="Q504" s="8" t="s">
        <v>5696</v>
      </c>
      <c r="R504" s="8" t="s">
        <v>5919</v>
      </c>
      <c r="S504" s="8" t="s">
        <v>6278</v>
      </c>
    </row>
    <row r="505" spans="1:19" ht="107.1" customHeight="1" x14ac:dyDescent="0.25">
      <c r="A505" s="8" t="s">
        <v>6279</v>
      </c>
      <c r="B505" s="8" t="s">
        <v>5693</v>
      </c>
      <c r="C505" s="8" t="s">
        <v>5918</v>
      </c>
      <c r="D505" s="10">
        <v>184</v>
      </c>
      <c r="E505" s="8" t="s">
        <v>1343</v>
      </c>
      <c r="F505" s="8" t="s">
        <v>1345</v>
      </c>
      <c r="G505" s="8" t="s">
        <v>4551</v>
      </c>
      <c r="H505" s="8" t="s">
        <v>1343</v>
      </c>
      <c r="I505" s="8" t="s">
        <v>1343</v>
      </c>
      <c r="J505" s="15" t="s">
        <v>5695</v>
      </c>
      <c r="K505" s="8"/>
      <c r="L505" s="15" t="s">
        <v>1685</v>
      </c>
      <c r="M505" s="8" t="s">
        <v>5578</v>
      </c>
      <c r="N505" s="8"/>
      <c r="O505" s="8" t="s">
        <v>5574</v>
      </c>
      <c r="P505" s="11"/>
      <c r="Q505" s="8" t="s">
        <v>5696</v>
      </c>
      <c r="R505" s="8" t="s">
        <v>5919</v>
      </c>
      <c r="S505" s="8" t="s">
        <v>6280</v>
      </c>
    </row>
    <row r="506" spans="1:19" ht="107.1" customHeight="1" x14ac:dyDescent="0.25">
      <c r="A506" s="8" t="s">
        <v>6281</v>
      </c>
      <c r="B506" s="8" t="s">
        <v>5693</v>
      </c>
      <c r="C506" s="8" t="s">
        <v>5918</v>
      </c>
      <c r="D506" s="10">
        <v>185</v>
      </c>
      <c r="E506" s="8" t="s">
        <v>1511</v>
      </c>
      <c r="F506" s="8" t="s">
        <v>1512</v>
      </c>
      <c r="G506" s="8" t="s">
        <v>4551</v>
      </c>
      <c r="H506" s="8" t="s">
        <v>1511</v>
      </c>
      <c r="I506" s="8" t="s">
        <v>1511</v>
      </c>
      <c r="J506" s="15" t="s">
        <v>5695</v>
      </c>
      <c r="K506" s="8"/>
      <c r="L506" s="15" t="s">
        <v>1685</v>
      </c>
      <c r="M506" s="8" t="s">
        <v>5578</v>
      </c>
      <c r="N506" s="8"/>
      <c r="O506" s="8" t="s">
        <v>5574</v>
      </c>
      <c r="P506" s="11"/>
      <c r="Q506" s="8" t="s">
        <v>5696</v>
      </c>
      <c r="R506" s="8" t="s">
        <v>5919</v>
      </c>
      <c r="S506" s="8" t="s">
        <v>6282</v>
      </c>
    </row>
    <row r="507" spans="1:19" ht="93" customHeight="1" x14ac:dyDescent="0.25">
      <c r="A507" s="8" t="s">
        <v>6283</v>
      </c>
      <c r="B507" s="8" t="s">
        <v>5693</v>
      </c>
      <c r="C507" s="8" t="s">
        <v>5918</v>
      </c>
      <c r="D507" s="10">
        <v>186</v>
      </c>
      <c r="E507" s="8" t="s">
        <v>1565</v>
      </c>
      <c r="F507" s="8" t="s">
        <v>1566</v>
      </c>
      <c r="G507" s="8" t="s">
        <v>4551</v>
      </c>
      <c r="H507" s="8" t="s">
        <v>1565</v>
      </c>
      <c r="I507" s="8" t="s">
        <v>1565</v>
      </c>
      <c r="J507" s="15" t="s">
        <v>5695</v>
      </c>
      <c r="K507" s="8"/>
      <c r="L507" s="15" t="s">
        <v>1685</v>
      </c>
      <c r="M507" s="8" t="s">
        <v>5578</v>
      </c>
      <c r="N507" s="8"/>
      <c r="O507" s="8" t="s">
        <v>5574</v>
      </c>
      <c r="P507" s="11"/>
      <c r="Q507" s="8" t="s">
        <v>5696</v>
      </c>
      <c r="R507" s="8" t="s">
        <v>5919</v>
      </c>
      <c r="S507" s="8" t="s">
        <v>6284</v>
      </c>
    </row>
    <row r="508" spans="1:19" ht="107.1" customHeight="1" x14ac:dyDescent="0.25">
      <c r="A508" s="8" t="s">
        <v>6285</v>
      </c>
      <c r="B508" s="8" t="s">
        <v>5693</v>
      </c>
      <c r="C508" s="8" t="s">
        <v>5918</v>
      </c>
      <c r="D508" s="10">
        <v>187</v>
      </c>
      <c r="E508" s="8" t="s">
        <v>1623</v>
      </c>
      <c r="F508" s="8" t="s">
        <v>1625</v>
      </c>
      <c r="G508" s="8" t="s">
        <v>4551</v>
      </c>
      <c r="H508" s="8" t="s">
        <v>1623</v>
      </c>
      <c r="I508" s="8" t="s">
        <v>1623</v>
      </c>
      <c r="J508" s="15" t="s">
        <v>5695</v>
      </c>
      <c r="K508" s="8"/>
      <c r="L508" s="15" t="s">
        <v>1685</v>
      </c>
      <c r="M508" s="8" t="s">
        <v>5578</v>
      </c>
      <c r="N508" s="8"/>
      <c r="O508" s="8" t="s">
        <v>5574</v>
      </c>
      <c r="P508" s="11"/>
      <c r="Q508" s="8" t="s">
        <v>5696</v>
      </c>
      <c r="R508" s="8" t="s">
        <v>5919</v>
      </c>
      <c r="S508" s="8" t="s">
        <v>6286</v>
      </c>
    </row>
    <row r="509" spans="1:19" ht="107.1" customHeight="1" x14ac:dyDescent="0.25">
      <c r="A509" s="8" t="s">
        <v>6287</v>
      </c>
      <c r="B509" s="8" t="s">
        <v>5693</v>
      </c>
      <c r="C509" s="8" t="s">
        <v>5918</v>
      </c>
      <c r="D509" s="10">
        <v>188</v>
      </c>
      <c r="E509" s="8" t="s">
        <v>1633</v>
      </c>
      <c r="F509" s="8" t="s">
        <v>1635</v>
      </c>
      <c r="G509" s="8" t="s">
        <v>4551</v>
      </c>
      <c r="H509" s="8" t="s">
        <v>1633</v>
      </c>
      <c r="I509" s="8" t="s">
        <v>1633</v>
      </c>
      <c r="J509" s="15" t="s">
        <v>5695</v>
      </c>
      <c r="K509" s="8"/>
      <c r="L509" s="15" t="s">
        <v>1685</v>
      </c>
      <c r="M509" s="8" t="s">
        <v>5578</v>
      </c>
      <c r="N509" s="8"/>
      <c r="O509" s="8" t="s">
        <v>5574</v>
      </c>
      <c r="P509" s="11"/>
      <c r="Q509" s="8" t="s">
        <v>5696</v>
      </c>
      <c r="R509" s="8" t="s">
        <v>5919</v>
      </c>
      <c r="S509" s="8" t="s">
        <v>6288</v>
      </c>
    </row>
    <row r="510" spans="1:19" ht="93" customHeight="1" x14ac:dyDescent="0.25">
      <c r="A510" s="8" t="s">
        <v>6289</v>
      </c>
      <c r="B510" s="8" t="s">
        <v>5693</v>
      </c>
      <c r="C510" s="8" t="s">
        <v>5918</v>
      </c>
      <c r="D510" s="10">
        <v>189</v>
      </c>
      <c r="E510" s="8" t="s">
        <v>1506</v>
      </c>
      <c r="F510" s="8" t="s">
        <v>1508</v>
      </c>
      <c r="G510" s="8" t="s">
        <v>4551</v>
      </c>
      <c r="H510" s="8" t="s">
        <v>1506</v>
      </c>
      <c r="I510" s="8" t="s">
        <v>1506</v>
      </c>
      <c r="J510" s="15" t="s">
        <v>5695</v>
      </c>
      <c r="K510" s="8"/>
      <c r="L510" s="15" t="s">
        <v>1685</v>
      </c>
      <c r="M510" s="8" t="s">
        <v>5578</v>
      </c>
      <c r="N510" s="8"/>
      <c r="O510" s="8" t="s">
        <v>5574</v>
      </c>
      <c r="P510" s="11"/>
      <c r="Q510" s="8" t="s">
        <v>5696</v>
      </c>
      <c r="R510" s="8" t="s">
        <v>5919</v>
      </c>
      <c r="S510" s="8" t="s">
        <v>6290</v>
      </c>
    </row>
    <row r="511" spans="1:19" ht="107.1" customHeight="1" x14ac:dyDescent="0.25">
      <c r="A511" s="8" t="s">
        <v>6291</v>
      </c>
      <c r="B511" s="8" t="s">
        <v>5693</v>
      </c>
      <c r="C511" s="8" t="s">
        <v>5918</v>
      </c>
      <c r="D511" s="10">
        <v>190</v>
      </c>
      <c r="E511" s="8" t="s">
        <v>1573</v>
      </c>
      <c r="F511" s="8" t="s">
        <v>1574</v>
      </c>
      <c r="G511" s="8" t="s">
        <v>4551</v>
      </c>
      <c r="H511" s="8" t="s">
        <v>1573</v>
      </c>
      <c r="I511" s="8" t="s">
        <v>1573</v>
      </c>
      <c r="J511" s="15" t="s">
        <v>5695</v>
      </c>
      <c r="K511" s="8"/>
      <c r="L511" s="15" t="s">
        <v>1685</v>
      </c>
      <c r="M511" s="8" t="s">
        <v>5578</v>
      </c>
      <c r="N511" s="8"/>
      <c r="O511" s="8" t="s">
        <v>5574</v>
      </c>
      <c r="P511" s="11"/>
      <c r="Q511" s="8" t="s">
        <v>5696</v>
      </c>
      <c r="R511" s="8" t="s">
        <v>5919</v>
      </c>
      <c r="S511" s="8" t="s">
        <v>6292</v>
      </c>
    </row>
    <row r="512" spans="1:19" ht="93" customHeight="1" x14ac:dyDescent="0.25">
      <c r="A512" s="8" t="s">
        <v>6293</v>
      </c>
      <c r="B512" s="8" t="s">
        <v>5693</v>
      </c>
      <c r="C512" s="8" t="s">
        <v>5918</v>
      </c>
      <c r="D512" s="10">
        <v>191</v>
      </c>
      <c r="E512" s="8" t="s">
        <v>1283</v>
      </c>
      <c r="F512" s="8" t="s">
        <v>1285</v>
      </c>
      <c r="G512" s="8" t="s">
        <v>4551</v>
      </c>
      <c r="H512" s="8" t="s">
        <v>1283</v>
      </c>
      <c r="I512" s="8" t="s">
        <v>1283</v>
      </c>
      <c r="J512" s="15" t="s">
        <v>5695</v>
      </c>
      <c r="K512" s="8"/>
      <c r="L512" s="15" t="s">
        <v>1685</v>
      </c>
      <c r="M512" s="8" t="s">
        <v>5578</v>
      </c>
      <c r="N512" s="8"/>
      <c r="O512" s="8" t="s">
        <v>5574</v>
      </c>
      <c r="P512" s="11"/>
      <c r="Q512" s="8" t="s">
        <v>5696</v>
      </c>
      <c r="R512" s="8" t="s">
        <v>5919</v>
      </c>
      <c r="S512" s="8" t="s">
        <v>6294</v>
      </c>
    </row>
    <row r="513" spans="1:19" ht="93" customHeight="1" x14ac:dyDescent="0.25">
      <c r="A513" s="8" t="s">
        <v>6295</v>
      </c>
      <c r="B513" s="8" t="s">
        <v>5693</v>
      </c>
      <c r="C513" s="8" t="s">
        <v>5918</v>
      </c>
      <c r="D513" s="10">
        <v>192</v>
      </c>
      <c r="E513" s="8" t="s">
        <v>1308</v>
      </c>
      <c r="F513" s="8" t="s">
        <v>1309</v>
      </c>
      <c r="G513" s="8" t="s">
        <v>4551</v>
      </c>
      <c r="H513" s="8" t="s">
        <v>1308</v>
      </c>
      <c r="I513" s="8" t="s">
        <v>1308</v>
      </c>
      <c r="J513" s="15" t="s">
        <v>5695</v>
      </c>
      <c r="K513" s="8"/>
      <c r="L513" s="15" t="s">
        <v>1685</v>
      </c>
      <c r="M513" s="8" t="s">
        <v>5578</v>
      </c>
      <c r="N513" s="8"/>
      <c r="O513" s="8" t="s">
        <v>5574</v>
      </c>
      <c r="P513" s="11"/>
      <c r="Q513" s="8" t="s">
        <v>5696</v>
      </c>
      <c r="R513" s="8" t="s">
        <v>5919</v>
      </c>
      <c r="S513" s="8" t="s">
        <v>6296</v>
      </c>
    </row>
    <row r="514" spans="1:19" ht="107.1" customHeight="1" x14ac:dyDescent="0.25">
      <c r="A514" s="8" t="s">
        <v>6297</v>
      </c>
      <c r="B514" s="8" t="s">
        <v>5693</v>
      </c>
      <c r="C514" s="8" t="s">
        <v>5918</v>
      </c>
      <c r="D514" s="10">
        <v>193</v>
      </c>
      <c r="E514" s="8" t="s">
        <v>1498</v>
      </c>
      <c r="F514" s="8" t="s">
        <v>1499</v>
      </c>
      <c r="G514" s="8" t="s">
        <v>4551</v>
      </c>
      <c r="H514" s="8" t="s">
        <v>1498</v>
      </c>
      <c r="I514" s="8" t="s">
        <v>1498</v>
      </c>
      <c r="J514" s="15" t="s">
        <v>5695</v>
      </c>
      <c r="K514" s="8"/>
      <c r="L514" s="15" t="s">
        <v>1685</v>
      </c>
      <c r="M514" s="8" t="s">
        <v>5578</v>
      </c>
      <c r="N514" s="8"/>
      <c r="O514" s="8" t="s">
        <v>5574</v>
      </c>
      <c r="P514" s="11"/>
      <c r="Q514" s="8" t="s">
        <v>5696</v>
      </c>
      <c r="R514" s="8" t="s">
        <v>5919</v>
      </c>
      <c r="S514" s="8" t="s">
        <v>6298</v>
      </c>
    </row>
    <row r="515" spans="1:19" ht="107.1" customHeight="1" x14ac:dyDescent="0.25">
      <c r="A515" s="8" t="s">
        <v>6299</v>
      </c>
      <c r="B515" s="8" t="s">
        <v>5693</v>
      </c>
      <c r="C515" s="8" t="s">
        <v>5918</v>
      </c>
      <c r="D515" s="10">
        <v>194</v>
      </c>
      <c r="E515" s="8" t="s">
        <v>1396</v>
      </c>
      <c r="F515" s="8" t="s">
        <v>1397</v>
      </c>
      <c r="G515" s="8" t="s">
        <v>4551</v>
      </c>
      <c r="H515" s="8" t="s">
        <v>1396</v>
      </c>
      <c r="I515" s="8" t="s">
        <v>1396</v>
      </c>
      <c r="J515" s="15" t="s">
        <v>5695</v>
      </c>
      <c r="K515" s="8"/>
      <c r="L515" s="15" t="s">
        <v>1685</v>
      </c>
      <c r="M515" s="8" t="s">
        <v>5578</v>
      </c>
      <c r="N515" s="8"/>
      <c r="O515" s="8" t="s">
        <v>5574</v>
      </c>
      <c r="P515" s="11"/>
      <c r="Q515" s="8" t="s">
        <v>5696</v>
      </c>
      <c r="R515" s="8" t="s">
        <v>5919</v>
      </c>
      <c r="S515" s="8" t="s">
        <v>6300</v>
      </c>
    </row>
    <row r="516" spans="1:19" ht="107.1" customHeight="1" x14ac:dyDescent="0.25">
      <c r="A516" s="8" t="s">
        <v>6301</v>
      </c>
      <c r="B516" s="8" t="s">
        <v>5693</v>
      </c>
      <c r="C516" s="8" t="s">
        <v>5918</v>
      </c>
      <c r="D516" s="10">
        <v>195</v>
      </c>
      <c r="E516" s="8" t="s">
        <v>1011</v>
      </c>
      <c r="F516" s="8" t="s">
        <v>3072</v>
      </c>
      <c r="G516" s="8" t="s">
        <v>4551</v>
      </c>
      <c r="H516" s="8" t="s">
        <v>1011</v>
      </c>
      <c r="I516" s="8" t="s">
        <v>1011</v>
      </c>
      <c r="J516" s="15" t="s">
        <v>5695</v>
      </c>
      <c r="K516" s="8"/>
      <c r="L516" s="15" t="s">
        <v>1685</v>
      </c>
      <c r="M516" s="8" t="s">
        <v>5578</v>
      </c>
      <c r="N516" s="8"/>
      <c r="O516" s="8" t="s">
        <v>5574</v>
      </c>
      <c r="P516" s="11"/>
      <c r="Q516" s="8" t="s">
        <v>5696</v>
      </c>
      <c r="R516" s="8" t="s">
        <v>5919</v>
      </c>
      <c r="S516" s="8" t="s">
        <v>6302</v>
      </c>
    </row>
    <row r="517" spans="1:19" ht="107.1" customHeight="1" x14ac:dyDescent="0.25">
      <c r="A517" s="8" t="s">
        <v>6303</v>
      </c>
      <c r="B517" s="8" t="s">
        <v>5693</v>
      </c>
      <c r="C517" s="8" t="s">
        <v>5918</v>
      </c>
      <c r="D517" s="10">
        <v>196</v>
      </c>
      <c r="E517" s="8" t="s">
        <v>1603</v>
      </c>
      <c r="F517" s="8" t="s">
        <v>1604</v>
      </c>
      <c r="G517" s="8" t="s">
        <v>4551</v>
      </c>
      <c r="H517" s="8" t="s">
        <v>1603</v>
      </c>
      <c r="I517" s="8" t="s">
        <v>1603</v>
      </c>
      <c r="J517" s="15" t="s">
        <v>5695</v>
      </c>
      <c r="K517" s="8"/>
      <c r="L517" s="15" t="s">
        <v>1685</v>
      </c>
      <c r="M517" s="8" t="s">
        <v>5578</v>
      </c>
      <c r="N517" s="8"/>
      <c r="O517" s="8" t="s">
        <v>5574</v>
      </c>
      <c r="P517" s="11"/>
      <c r="Q517" s="8" t="s">
        <v>5696</v>
      </c>
      <c r="R517" s="8" t="s">
        <v>5919</v>
      </c>
      <c r="S517" s="8" t="s">
        <v>6304</v>
      </c>
    </row>
    <row r="518" spans="1:19" ht="107.1" customHeight="1" x14ac:dyDescent="0.25">
      <c r="A518" s="8" t="s">
        <v>6305</v>
      </c>
      <c r="B518" s="8" t="s">
        <v>5693</v>
      </c>
      <c r="C518" s="8" t="s">
        <v>5918</v>
      </c>
      <c r="D518" s="10">
        <v>197</v>
      </c>
      <c r="E518" s="8" t="s">
        <v>1548</v>
      </c>
      <c r="F518" s="8" t="s">
        <v>1550</v>
      </c>
      <c r="G518" s="8" t="s">
        <v>4551</v>
      </c>
      <c r="H518" s="8" t="s">
        <v>1548</v>
      </c>
      <c r="I518" s="8" t="s">
        <v>1548</v>
      </c>
      <c r="J518" s="15" t="s">
        <v>5695</v>
      </c>
      <c r="K518" s="8"/>
      <c r="L518" s="15" t="s">
        <v>1685</v>
      </c>
      <c r="M518" s="8" t="s">
        <v>5578</v>
      </c>
      <c r="N518" s="8"/>
      <c r="O518" s="8" t="s">
        <v>5574</v>
      </c>
      <c r="P518" s="11"/>
      <c r="Q518" s="8" t="s">
        <v>5696</v>
      </c>
      <c r="R518" s="8" t="s">
        <v>5919</v>
      </c>
      <c r="S518" s="8" t="s">
        <v>6306</v>
      </c>
    </row>
    <row r="519" spans="1:19" ht="107.1" customHeight="1" x14ac:dyDescent="0.25">
      <c r="A519" s="8" t="s">
        <v>6307</v>
      </c>
      <c r="B519" s="8" t="s">
        <v>5693</v>
      </c>
      <c r="C519" s="8" t="s">
        <v>5918</v>
      </c>
      <c r="D519" s="10">
        <v>198</v>
      </c>
      <c r="E519" s="8" t="s">
        <v>1561</v>
      </c>
      <c r="F519" s="8" t="s">
        <v>1562</v>
      </c>
      <c r="G519" s="8" t="s">
        <v>4551</v>
      </c>
      <c r="H519" s="8" t="s">
        <v>1561</v>
      </c>
      <c r="I519" s="8" t="s">
        <v>1561</v>
      </c>
      <c r="J519" s="15" t="s">
        <v>5695</v>
      </c>
      <c r="K519" s="8"/>
      <c r="L519" s="15" t="s">
        <v>1685</v>
      </c>
      <c r="M519" s="8" t="s">
        <v>5578</v>
      </c>
      <c r="N519" s="8"/>
      <c r="O519" s="8" t="s">
        <v>5574</v>
      </c>
      <c r="P519" s="11"/>
      <c r="Q519" s="8" t="s">
        <v>5696</v>
      </c>
      <c r="R519" s="8" t="s">
        <v>5919</v>
      </c>
      <c r="S519" s="8" t="s">
        <v>6308</v>
      </c>
    </row>
    <row r="520" spans="1:19" ht="107.1" customHeight="1" x14ac:dyDescent="0.25">
      <c r="A520" s="8" t="s">
        <v>6309</v>
      </c>
      <c r="B520" s="8" t="s">
        <v>5693</v>
      </c>
      <c r="C520" s="8" t="s">
        <v>5918</v>
      </c>
      <c r="D520" s="10">
        <v>199</v>
      </c>
      <c r="E520" s="8" t="s">
        <v>1444</v>
      </c>
      <c r="F520" s="8" t="s">
        <v>1446</v>
      </c>
      <c r="G520" s="8" t="s">
        <v>4551</v>
      </c>
      <c r="H520" s="8" t="s">
        <v>1444</v>
      </c>
      <c r="I520" s="8" t="s">
        <v>1444</v>
      </c>
      <c r="J520" s="15" t="s">
        <v>5695</v>
      </c>
      <c r="K520" s="8"/>
      <c r="L520" s="15" t="s">
        <v>1685</v>
      </c>
      <c r="M520" s="8" t="s">
        <v>5578</v>
      </c>
      <c r="N520" s="8"/>
      <c r="O520" s="8" t="s">
        <v>5574</v>
      </c>
      <c r="P520" s="11"/>
      <c r="Q520" s="8" t="s">
        <v>5696</v>
      </c>
      <c r="R520" s="8" t="s">
        <v>5919</v>
      </c>
      <c r="S520" s="8" t="s">
        <v>6310</v>
      </c>
    </row>
    <row r="521" spans="1:19" ht="107.1" customHeight="1" x14ac:dyDescent="0.25">
      <c r="A521" s="8" t="s">
        <v>6311</v>
      </c>
      <c r="B521" s="8" t="s">
        <v>5693</v>
      </c>
      <c r="C521" s="8" t="s">
        <v>5918</v>
      </c>
      <c r="D521" s="10">
        <v>200</v>
      </c>
      <c r="E521" s="8" t="s">
        <v>1435</v>
      </c>
      <c r="F521" s="8" t="s">
        <v>1436</v>
      </c>
      <c r="G521" s="8" t="s">
        <v>4551</v>
      </c>
      <c r="H521" s="8" t="s">
        <v>1435</v>
      </c>
      <c r="I521" s="8" t="s">
        <v>1435</v>
      </c>
      <c r="J521" s="15" t="s">
        <v>5695</v>
      </c>
      <c r="K521" s="8"/>
      <c r="L521" s="15" t="s">
        <v>1685</v>
      </c>
      <c r="M521" s="8" t="s">
        <v>5578</v>
      </c>
      <c r="N521" s="8"/>
      <c r="O521" s="8" t="s">
        <v>5574</v>
      </c>
      <c r="P521" s="11"/>
      <c r="Q521" s="8" t="s">
        <v>5696</v>
      </c>
      <c r="R521" s="8" t="s">
        <v>5919</v>
      </c>
      <c r="S521" s="8" t="s">
        <v>6312</v>
      </c>
    </row>
    <row r="522" spans="1:19" ht="107.1" customHeight="1" x14ac:dyDescent="0.25">
      <c r="A522" s="8" t="s">
        <v>6313</v>
      </c>
      <c r="B522" s="8" t="s">
        <v>5693</v>
      </c>
      <c r="C522" s="8" t="s">
        <v>5918</v>
      </c>
      <c r="D522" s="10">
        <v>201</v>
      </c>
      <c r="E522" s="8" t="s">
        <v>1348</v>
      </c>
      <c r="F522" s="8" t="s">
        <v>1350</v>
      </c>
      <c r="G522" s="8" t="s">
        <v>4551</v>
      </c>
      <c r="H522" s="8" t="s">
        <v>1348</v>
      </c>
      <c r="I522" s="8" t="s">
        <v>1348</v>
      </c>
      <c r="J522" s="15" t="s">
        <v>5695</v>
      </c>
      <c r="K522" s="8"/>
      <c r="L522" s="15" t="s">
        <v>1685</v>
      </c>
      <c r="M522" s="8" t="s">
        <v>5578</v>
      </c>
      <c r="N522" s="8"/>
      <c r="O522" s="8" t="s">
        <v>5574</v>
      </c>
      <c r="P522" s="11"/>
      <c r="Q522" s="8" t="s">
        <v>5696</v>
      </c>
      <c r="R522" s="8" t="s">
        <v>5919</v>
      </c>
      <c r="S522" s="8" t="s">
        <v>6314</v>
      </c>
    </row>
    <row r="523" spans="1:19" ht="93" customHeight="1" x14ac:dyDescent="0.25">
      <c r="A523" s="8" t="s">
        <v>6315</v>
      </c>
      <c r="B523" s="8" t="s">
        <v>5693</v>
      </c>
      <c r="C523" s="8" t="s">
        <v>5918</v>
      </c>
      <c r="D523" s="10">
        <v>202</v>
      </c>
      <c r="E523" s="8" t="s">
        <v>1362</v>
      </c>
      <c r="F523" s="8" t="s">
        <v>1363</v>
      </c>
      <c r="G523" s="8" t="s">
        <v>4551</v>
      </c>
      <c r="H523" s="8" t="s">
        <v>1362</v>
      </c>
      <c r="I523" s="8" t="s">
        <v>1362</v>
      </c>
      <c r="J523" s="15" t="s">
        <v>5695</v>
      </c>
      <c r="K523" s="8"/>
      <c r="L523" s="15" t="s">
        <v>1685</v>
      </c>
      <c r="M523" s="8" t="s">
        <v>5578</v>
      </c>
      <c r="N523" s="8"/>
      <c r="O523" s="8" t="s">
        <v>5574</v>
      </c>
      <c r="P523" s="11"/>
      <c r="Q523" s="8" t="s">
        <v>5696</v>
      </c>
      <c r="R523" s="8" t="s">
        <v>5919</v>
      </c>
      <c r="S523" s="8" t="s">
        <v>6316</v>
      </c>
    </row>
    <row r="524" spans="1:19" ht="93" customHeight="1" x14ac:dyDescent="0.25">
      <c r="A524" s="8" t="s">
        <v>6317</v>
      </c>
      <c r="B524" s="8" t="s">
        <v>5693</v>
      </c>
      <c r="C524" s="8" t="s">
        <v>5918</v>
      </c>
      <c r="D524" s="10">
        <v>203</v>
      </c>
      <c r="E524" s="8" t="s">
        <v>1553</v>
      </c>
      <c r="F524" s="8" t="s">
        <v>1554</v>
      </c>
      <c r="G524" s="8" t="s">
        <v>4551</v>
      </c>
      <c r="H524" s="8" t="s">
        <v>1553</v>
      </c>
      <c r="I524" s="8" t="s">
        <v>1553</v>
      </c>
      <c r="J524" s="15" t="s">
        <v>5695</v>
      </c>
      <c r="K524" s="8"/>
      <c r="L524" s="15" t="s">
        <v>1685</v>
      </c>
      <c r="M524" s="8" t="s">
        <v>5578</v>
      </c>
      <c r="N524" s="8"/>
      <c r="O524" s="8" t="s">
        <v>5574</v>
      </c>
      <c r="P524" s="11"/>
      <c r="Q524" s="8" t="s">
        <v>5696</v>
      </c>
      <c r="R524" s="8" t="s">
        <v>5919</v>
      </c>
      <c r="S524" s="8" t="s">
        <v>6318</v>
      </c>
    </row>
    <row r="525" spans="1:19" ht="107.1" customHeight="1" x14ac:dyDescent="0.25">
      <c r="A525" s="8" t="s">
        <v>6319</v>
      </c>
      <c r="B525" s="8" t="s">
        <v>5693</v>
      </c>
      <c r="C525" s="8" t="s">
        <v>5918</v>
      </c>
      <c r="D525" s="10">
        <v>204</v>
      </c>
      <c r="E525" s="8" t="s">
        <v>1523</v>
      </c>
      <c r="F525" s="8" t="s">
        <v>1525</v>
      </c>
      <c r="G525" s="8" t="s">
        <v>4551</v>
      </c>
      <c r="H525" s="8" t="s">
        <v>1523</v>
      </c>
      <c r="I525" s="8" t="s">
        <v>1523</v>
      </c>
      <c r="J525" s="15" t="s">
        <v>5695</v>
      </c>
      <c r="K525" s="8"/>
      <c r="L525" s="15" t="s">
        <v>1685</v>
      </c>
      <c r="M525" s="8" t="s">
        <v>5578</v>
      </c>
      <c r="N525" s="8"/>
      <c r="O525" s="8" t="s">
        <v>5574</v>
      </c>
      <c r="P525" s="11"/>
      <c r="Q525" s="8" t="s">
        <v>5696</v>
      </c>
      <c r="R525" s="8" t="s">
        <v>5919</v>
      </c>
      <c r="S525" s="8" t="s">
        <v>6320</v>
      </c>
    </row>
    <row r="526" spans="1:19" ht="107.1" customHeight="1" x14ac:dyDescent="0.25">
      <c r="A526" s="8" t="s">
        <v>6321</v>
      </c>
      <c r="B526" s="8" t="s">
        <v>5693</v>
      </c>
      <c r="C526" s="8" t="s">
        <v>5918</v>
      </c>
      <c r="D526" s="10">
        <v>205</v>
      </c>
      <c r="E526" s="8" t="s">
        <v>1404</v>
      </c>
      <c r="F526" s="8" t="s">
        <v>1405</v>
      </c>
      <c r="G526" s="8" t="s">
        <v>4551</v>
      </c>
      <c r="H526" s="8" t="s">
        <v>1404</v>
      </c>
      <c r="I526" s="8" t="s">
        <v>1404</v>
      </c>
      <c r="J526" s="15" t="s">
        <v>5695</v>
      </c>
      <c r="K526" s="8"/>
      <c r="L526" s="15" t="s">
        <v>1685</v>
      </c>
      <c r="M526" s="8" t="s">
        <v>5578</v>
      </c>
      <c r="N526" s="8"/>
      <c r="O526" s="8" t="s">
        <v>5574</v>
      </c>
      <c r="P526" s="11"/>
      <c r="Q526" s="8" t="s">
        <v>5696</v>
      </c>
      <c r="R526" s="8" t="s">
        <v>5919</v>
      </c>
      <c r="S526" s="8" t="s">
        <v>6322</v>
      </c>
    </row>
    <row r="527" spans="1:19" ht="107.1" customHeight="1" x14ac:dyDescent="0.25">
      <c r="A527" s="8" t="s">
        <v>6323</v>
      </c>
      <c r="B527" s="8" t="s">
        <v>5693</v>
      </c>
      <c r="C527" s="8" t="s">
        <v>5918</v>
      </c>
      <c r="D527" s="10">
        <v>206</v>
      </c>
      <c r="E527" s="8" t="s">
        <v>1598</v>
      </c>
      <c r="F527" s="8" t="s">
        <v>1600</v>
      </c>
      <c r="G527" s="8" t="s">
        <v>4551</v>
      </c>
      <c r="H527" s="8" t="s">
        <v>1598</v>
      </c>
      <c r="I527" s="8" t="s">
        <v>1598</v>
      </c>
      <c r="J527" s="15" t="s">
        <v>5695</v>
      </c>
      <c r="K527" s="8"/>
      <c r="L527" s="15" t="s">
        <v>1685</v>
      </c>
      <c r="M527" s="8" t="s">
        <v>5578</v>
      </c>
      <c r="N527" s="8"/>
      <c r="O527" s="8" t="s">
        <v>5574</v>
      </c>
      <c r="P527" s="11"/>
      <c r="Q527" s="8" t="s">
        <v>5696</v>
      </c>
      <c r="R527" s="8" t="s">
        <v>5919</v>
      </c>
      <c r="S527" s="8" t="s">
        <v>6324</v>
      </c>
    </row>
    <row r="528" spans="1:19" ht="107.1" customHeight="1" x14ac:dyDescent="0.25">
      <c r="A528" s="8" t="s">
        <v>6325</v>
      </c>
      <c r="B528" s="8" t="s">
        <v>5693</v>
      </c>
      <c r="C528" s="8" t="s">
        <v>5918</v>
      </c>
      <c r="D528" s="10">
        <v>207</v>
      </c>
      <c r="E528" s="8" t="s">
        <v>1439</v>
      </c>
      <c r="F528" s="8" t="s">
        <v>1441</v>
      </c>
      <c r="G528" s="8" t="s">
        <v>4551</v>
      </c>
      <c r="H528" s="8" t="s">
        <v>1439</v>
      </c>
      <c r="I528" s="8" t="s">
        <v>1439</v>
      </c>
      <c r="J528" s="15" t="s">
        <v>5695</v>
      </c>
      <c r="K528" s="8"/>
      <c r="L528" s="15" t="s">
        <v>1685</v>
      </c>
      <c r="M528" s="8" t="s">
        <v>5578</v>
      </c>
      <c r="N528" s="8"/>
      <c r="O528" s="8" t="s">
        <v>5574</v>
      </c>
      <c r="P528" s="11"/>
      <c r="Q528" s="8" t="s">
        <v>5696</v>
      </c>
      <c r="R528" s="8" t="s">
        <v>5919</v>
      </c>
      <c r="S528" s="8" t="s">
        <v>6326</v>
      </c>
    </row>
    <row r="529" spans="1:19" ht="107.1" customHeight="1" x14ac:dyDescent="0.25">
      <c r="A529" s="8" t="s">
        <v>6327</v>
      </c>
      <c r="B529" s="8" t="s">
        <v>5693</v>
      </c>
      <c r="C529" s="8" t="s">
        <v>5918</v>
      </c>
      <c r="D529" s="10">
        <v>208</v>
      </c>
      <c r="E529" s="8" t="s">
        <v>1650</v>
      </c>
      <c r="F529" s="8" t="s">
        <v>1651</v>
      </c>
      <c r="G529" s="8" t="s">
        <v>4551</v>
      </c>
      <c r="H529" s="8" t="s">
        <v>1650</v>
      </c>
      <c r="I529" s="8" t="s">
        <v>1650</v>
      </c>
      <c r="J529" s="15" t="s">
        <v>5695</v>
      </c>
      <c r="K529" s="8"/>
      <c r="L529" s="15" t="s">
        <v>1685</v>
      </c>
      <c r="M529" s="8" t="s">
        <v>5578</v>
      </c>
      <c r="N529" s="8"/>
      <c r="O529" s="8" t="s">
        <v>5574</v>
      </c>
      <c r="P529" s="11"/>
      <c r="Q529" s="8" t="s">
        <v>5696</v>
      </c>
      <c r="R529" s="8" t="s">
        <v>5919</v>
      </c>
      <c r="S529" s="8" t="s">
        <v>6328</v>
      </c>
    </row>
    <row r="530" spans="1:19" ht="107.1" customHeight="1" x14ac:dyDescent="0.25">
      <c r="A530" s="8" t="s">
        <v>6329</v>
      </c>
      <c r="B530" s="8" t="s">
        <v>5693</v>
      </c>
      <c r="C530" s="8" t="s">
        <v>5918</v>
      </c>
      <c r="D530" s="10">
        <v>209</v>
      </c>
      <c r="E530" s="8" t="s">
        <v>1594</v>
      </c>
      <c r="F530" s="8" t="s">
        <v>1595</v>
      </c>
      <c r="G530" s="8" t="s">
        <v>4551</v>
      </c>
      <c r="H530" s="8" t="s">
        <v>1594</v>
      </c>
      <c r="I530" s="8" t="s">
        <v>1594</v>
      </c>
      <c r="J530" s="15" t="s">
        <v>5695</v>
      </c>
      <c r="K530" s="8"/>
      <c r="L530" s="15" t="s">
        <v>1685</v>
      </c>
      <c r="M530" s="8" t="s">
        <v>5578</v>
      </c>
      <c r="N530" s="8"/>
      <c r="O530" s="8" t="s">
        <v>5574</v>
      </c>
      <c r="P530" s="11"/>
      <c r="Q530" s="8" t="s">
        <v>5696</v>
      </c>
      <c r="R530" s="8" t="s">
        <v>5919</v>
      </c>
      <c r="S530" s="8" t="s">
        <v>6330</v>
      </c>
    </row>
    <row r="531" spans="1:19" ht="107.1" customHeight="1" x14ac:dyDescent="0.25">
      <c r="A531" s="8" t="s">
        <v>6331</v>
      </c>
      <c r="B531" s="8" t="s">
        <v>5693</v>
      </c>
      <c r="C531" s="8" t="s">
        <v>5918</v>
      </c>
      <c r="D531" s="10">
        <v>210</v>
      </c>
      <c r="E531" s="8" t="s">
        <v>1478</v>
      </c>
      <c r="F531" s="8" t="s">
        <v>1479</v>
      </c>
      <c r="G531" s="8" t="s">
        <v>4551</v>
      </c>
      <c r="H531" s="8" t="s">
        <v>1478</v>
      </c>
      <c r="I531" s="8" t="s">
        <v>1478</v>
      </c>
      <c r="J531" s="15" t="s">
        <v>5695</v>
      </c>
      <c r="K531" s="8"/>
      <c r="L531" s="15" t="s">
        <v>1685</v>
      </c>
      <c r="M531" s="8" t="s">
        <v>5578</v>
      </c>
      <c r="N531" s="8"/>
      <c r="O531" s="8" t="s">
        <v>5574</v>
      </c>
      <c r="P531" s="11"/>
      <c r="Q531" s="8" t="s">
        <v>5696</v>
      </c>
      <c r="R531" s="8" t="s">
        <v>5919</v>
      </c>
      <c r="S531" s="8" t="s">
        <v>6332</v>
      </c>
    </row>
    <row r="532" spans="1:19" ht="107.1" customHeight="1" x14ac:dyDescent="0.25">
      <c r="A532" s="8" t="s">
        <v>6333</v>
      </c>
      <c r="B532" s="8" t="s">
        <v>5693</v>
      </c>
      <c r="C532" s="8" t="s">
        <v>5918</v>
      </c>
      <c r="D532" s="10">
        <v>211</v>
      </c>
      <c r="E532" s="8" t="s">
        <v>1607</v>
      </c>
      <c r="F532" s="8" t="s">
        <v>1608</v>
      </c>
      <c r="G532" s="8" t="s">
        <v>4551</v>
      </c>
      <c r="H532" s="8" t="s">
        <v>1607</v>
      </c>
      <c r="I532" s="8" t="s">
        <v>1607</v>
      </c>
      <c r="J532" s="15" t="s">
        <v>5695</v>
      </c>
      <c r="K532" s="8"/>
      <c r="L532" s="15" t="s">
        <v>1685</v>
      </c>
      <c r="M532" s="8" t="s">
        <v>5578</v>
      </c>
      <c r="N532" s="8"/>
      <c r="O532" s="8" t="s">
        <v>5574</v>
      </c>
      <c r="P532" s="11"/>
      <c r="Q532" s="8" t="s">
        <v>5696</v>
      </c>
      <c r="R532" s="8" t="s">
        <v>5919</v>
      </c>
      <c r="S532" s="8" t="s">
        <v>6334</v>
      </c>
    </row>
    <row r="533" spans="1:19" ht="107.1" customHeight="1" x14ac:dyDescent="0.25">
      <c r="A533" s="8" t="s">
        <v>6335</v>
      </c>
      <c r="B533" s="8" t="s">
        <v>5693</v>
      </c>
      <c r="C533" s="8" t="s">
        <v>5918</v>
      </c>
      <c r="D533" s="10">
        <v>212</v>
      </c>
      <c r="E533" s="8" t="s">
        <v>1296</v>
      </c>
      <c r="F533" s="8" t="s">
        <v>1297</v>
      </c>
      <c r="G533" s="8" t="s">
        <v>4551</v>
      </c>
      <c r="H533" s="8" t="s">
        <v>1296</v>
      </c>
      <c r="I533" s="8" t="s">
        <v>1296</v>
      </c>
      <c r="J533" s="15" t="s">
        <v>5695</v>
      </c>
      <c r="K533" s="8"/>
      <c r="L533" s="15" t="s">
        <v>1685</v>
      </c>
      <c r="M533" s="8" t="s">
        <v>5578</v>
      </c>
      <c r="N533" s="8"/>
      <c r="O533" s="8" t="s">
        <v>5574</v>
      </c>
      <c r="P533" s="11"/>
      <c r="Q533" s="8" t="s">
        <v>5696</v>
      </c>
      <c r="R533" s="8" t="s">
        <v>5919</v>
      </c>
      <c r="S533" s="8" t="s">
        <v>6336</v>
      </c>
    </row>
    <row r="534" spans="1:19" ht="107.1" customHeight="1" x14ac:dyDescent="0.25">
      <c r="A534" s="8" t="s">
        <v>6337</v>
      </c>
      <c r="B534" s="8" t="s">
        <v>5693</v>
      </c>
      <c r="C534" s="8" t="s">
        <v>5918</v>
      </c>
      <c r="D534" s="10">
        <v>213</v>
      </c>
      <c r="E534" s="8" t="s">
        <v>1422</v>
      </c>
      <c r="F534" s="8" t="s">
        <v>1423</v>
      </c>
      <c r="G534" s="8" t="s">
        <v>4551</v>
      </c>
      <c r="H534" s="8" t="s">
        <v>1422</v>
      </c>
      <c r="I534" s="8" t="s">
        <v>1422</v>
      </c>
      <c r="J534" s="15" t="s">
        <v>5695</v>
      </c>
      <c r="K534" s="8"/>
      <c r="L534" s="15" t="s">
        <v>1685</v>
      </c>
      <c r="M534" s="8" t="s">
        <v>5578</v>
      </c>
      <c r="N534" s="8"/>
      <c r="O534" s="8" t="s">
        <v>5574</v>
      </c>
      <c r="P534" s="11"/>
      <c r="Q534" s="8" t="s">
        <v>5696</v>
      </c>
      <c r="R534" s="8" t="s">
        <v>5919</v>
      </c>
      <c r="S534" s="8" t="s">
        <v>6338</v>
      </c>
    </row>
    <row r="535" spans="1:19" ht="93" customHeight="1" x14ac:dyDescent="0.25">
      <c r="A535" s="8" t="s">
        <v>6339</v>
      </c>
      <c r="B535" s="8" t="s">
        <v>5693</v>
      </c>
      <c r="C535" s="8" t="s">
        <v>5918</v>
      </c>
      <c r="D535" s="10">
        <v>214</v>
      </c>
      <c r="E535" s="8" t="s">
        <v>1658</v>
      </c>
      <c r="F535" s="8" t="s">
        <v>1659</v>
      </c>
      <c r="G535" s="8" t="s">
        <v>4551</v>
      </c>
      <c r="H535" s="8" t="s">
        <v>1658</v>
      </c>
      <c r="I535" s="8" t="s">
        <v>1658</v>
      </c>
      <c r="J535" s="15" t="s">
        <v>5695</v>
      </c>
      <c r="K535" s="8"/>
      <c r="L535" s="15" t="s">
        <v>1685</v>
      </c>
      <c r="M535" s="8" t="s">
        <v>5578</v>
      </c>
      <c r="N535" s="8"/>
      <c r="O535" s="8" t="s">
        <v>5574</v>
      </c>
      <c r="P535" s="11"/>
      <c r="Q535" s="8" t="s">
        <v>5696</v>
      </c>
      <c r="R535" s="8" t="s">
        <v>5919</v>
      </c>
      <c r="S535" s="8" t="s">
        <v>6340</v>
      </c>
    </row>
    <row r="536" spans="1:19" ht="107.1" customHeight="1" x14ac:dyDescent="0.25">
      <c r="A536" s="8" t="s">
        <v>6341</v>
      </c>
      <c r="B536" s="8" t="s">
        <v>5693</v>
      </c>
      <c r="C536" s="8" t="s">
        <v>5918</v>
      </c>
      <c r="D536" s="10">
        <v>215</v>
      </c>
      <c r="E536" s="8" t="s">
        <v>1453</v>
      </c>
      <c r="F536" s="8" t="s">
        <v>1454</v>
      </c>
      <c r="G536" s="8" t="s">
        <v>4551</v>
      </c>
      <c r="H536" s="8" t="s">
        <v>1453</v>
      </c>
      <c r="I536" s="8" t="s">
        <v>1453</v>
      </c>
      <c r="J536" s="15" t="s">
        <v>5695</v>
      </c>
      <c r="K536" s="8"/>
      <c r="L536" s="15" t="s">
        <v>1685</v>
      </c>
      <c r="M536" s="8" t="s">
        <v>5578</v>
      </c>
      <c r="N536" s="8"/>
      <c r="O536" s="8" t="s">
        <v>5574</v>
      </c>
      <c r="P536" s="11"/>
      <c r="Q536" s="8" t="s">
        <v>5696</v>
      </c>
      <c r="R536" s="8" t="s">
        <v>5919</v>
      </c>
      <c r="S536" s="8" t="s">
        <v>6342</v>
      </c>
    </row>
    <row r="537" spans="1:19" ht="107.1" customHeight="1" x14ac:dyDescent="0.25">
      <c r="A537" s="8" t="s">
        <v>6343</v>
      </c>
      <c r="B537" s="8" t="s">
        <v>5693</v>
      </c>
      <c r="C537" s="8" t="s">
        <v>5918</v>
      </c>
      <c r="D537" s="10">
        <v>216</v>
      </c>
      <c r="E537" s="8" t="s">
        <v>1638</v>
      </c>
      <c r="F537" s="8" t="s">
        <v>1639</v>
      </c>
      <c r="G537" s="8" t="s">
        <v>4551</v>
      </c>
      <c r="H537" s="8" t="s">
        <v>1638</v>
      </c>
      <c r="I537" s="8" t="s">
        <v>1638</v>
      </c>
      <c r="J537" s="15" t="s">
        <v>5695</v>
      </c>
      <c r="K537" s="8"/>
      <c r="L537" s="15" t="s">
        <v>1685</v>
      </c>
      <c r="M537" s="8" t="s">
        <v>5578</v>
      </c>
      <c r="N537" s="8"/>
      <c r="O537" s="8" t="s">
        <v>5574</v>
      </c>
      <c r="P537" s="11"/>
      <c r="Q537" s="8" t="s">
        <v>5696</v>
      </c>
      <c r="R537" s="8" t="s">
        <v>5919</v>
      </c>
      <c r="S537" s="8" t="s">
        <v>6344</v>
      </c>
    </row>
    <row r="538" spans="1:19" ht="93" customHeight="1" x14ac:dyDescent="0.25">
      <c r="A538" s="8" t="s">
        <v>6345</v>
      </c>
      <c r="B538" s="8" t="s">
        <v>5693</v>
      </c>
      <c r="C538" s="8" t="s">
        <v>5918</v>
      </c>
      <c r="D538" s="10">
        <v>217</v>
      </c>
      <c r="E538" s="8" t="s">
        <v>1646</v>
      </c>
      <c r="F538" s="8" t="s">
        <v>1647</v>
      </c>
      <c r="G538" s="8" t="s">
        <v>4551</v>
      </c>
      <c r="H538" s="8" t="s">
        <v>1646</v>
      </c>
      <c r="I538" s="8" t="s">
        <v>1646</v>
      </c>
      <c r="J538" s="15" t="s">
        <v>5695</v>
      </c>
      <c r="K538" s="8"/>
      <c r="L538" s="15" t="s">
        <v>1685</v>
      </c>
      <c r="M538" s="8" t="s">
        <v>5578</v>
      </c>
      <c r="N538" s="8"/>
      <c r="O538" s="8" t="s">
        <v>5574</v>
      </c>
      <c r="P538" s="11"/>
      <c r="Q538" s="8" t="s">
        <v>5696</v>
      </c>
      <c r="R538" s="8" t="s">
        <v>5919</v>
      </c>
      <c r="S538" s="8" t="s">
        <v>6346</v>
      </c>
    </row>
    <row r="539" spans="1:19" ht="107.1" customHeight="1" x14ac:dyDescent="0.25">
      <c r="A539" s="8" t="s">
        <v>6347</v>
      </c>
      <c r="B539" s="8" t="s">
        <v>5693</v>
      </c>
      <c r="C539" s="8" t="s">
        <v>5918</v>
      </c>
      <c r="D539" s="10">
        <v>218</v>
      </c>
      <c r="E539" s="8" t="s">
        <v>1569</v>
      </c>
      <c r="F539" s="8" t="s">
        <v>1570</v>
      </c>
      <c r="G539" s="8" t="s">
        <v>4551</v>
      </c>
      <c r="H539" s="8" t="s">
        <v>1569</v>
      </c>
      <c r="I539" s="8" t="s">
        <v>1569</v>
      </c>
      <c r="J539" s="15" t="s">
        <v>5695</v>
      </c>
      <c r="K539" s="8"/>
      <c r="L539" s="15" t="s">
        <v>1685</v>
      </c>
      <c r="M539" s="8" t="s">
        <v>5578</v>
      </c>
      <c r="N539" s="8"/>
      <c r="O539" s="8" t="s">
        <v>5574</v>
      </c>
      <c r="P539" s="11"/>
      <c r="Q539" s="8" t="s">
        <v>5696</v>
      </c>
      <c r="R539" s="8" t="s">
        <v>5919</v>
      </c>
      <c r="S539" s="8" t="s">
        <v>6348</v>
      </c>
    </row>
    <row r="540" spans="1:19" ht="107.1" customHeight="1" x14ac:dyDescent="0.25">
      <c r="A540" s="8" t="s">
        <v>6349</v>
      </c>
      <c r="B540" s="8" t="s">
        <v>5693</v>
      </c>
      <c r="C540" s="8" t="s">
        <v>5918</v>
      </c>
      <c r="D540" s="10">
        <v>219</v>
      </c>
      <c r="E540" s="8" t="s">
        <v>1585</v>
      </c>
      <c r="F540" s="8" t="s">
        <v>1586</v>
      </c>
      <c r="G540" s="8" t="s">
        <v>4551</v>
      </c>
      <c r="H540" s="8" t="s">
        <v>1585</v>
      </c>
      <c r="I540" s="8" t="s">
        <v>1585</v>
      </c>
      <c r="J540" s="15" t="s">
        <v>5695</v>
      </c>
      <c r="K540" s="8"/>
      <c r="L540" s="15" t="s">
        <v>1685</v>
      </c>
      <c r="M540" s="8" t="s">
        <v>5578</v>
      </c>
      <c r="N540" s="8"/>
      <c r="O540" s="8" t="s">
        <v>5574</v>
      </c>
      <c r="P540" s="11"/>
      <c r="Q540" s="8" t="s">
        <v>5696</v>
      </c>
      <c r="R540" s="8" t="s">
        <v>5919</v>
      </c>
      <c r="S540" s="8" t="s">
        <v>6350</v>
      </c>
    </row>
    <row r="541" spans="1:19" ht="107.1" customHeight="1" x14ac:dyDescent="0.25">
      <c r="A541" s="8" t="s">
        <v>6351</v>
      </c>
      <c r="B541" s="8" t="s">
        <v>5693</v>
      </c>
      <c r="C541" s="8" t="s">
        <v>5918</v>
      </c>
      <c r="D541" s="10">
        <v>220</v>
      </c>
      <c r="E541" s="8" t="s">
        <v>6352</v>
      </c>
      <c r="F541" s="8" t="s">
        <v>6353</v>
      </c>
      <c r="G541" s="8" t="s">
        <v>4727</v>
      </c>
      <c r="H541" s="8" t="s">
        <v>6352</v>
      </c>
      <c r="I541" s="8"/>
      <c r="J541" s="15" t="s">
        <v>5695</v>
      </c>
      <c r="K541" s="8"/>
      <c r="L541" s="15" t="s">
        <v>1685</v>
      </c>
      <c r="M541" s="8" t="s">
        <v>5578</v>
      </c>
      <c r="N541" s="8"/>
      <c r="O541" s="8" t="s">
        <v>5574</v>
      </c>
      <c r="P541" s="11"/>
      <c r="Q541" s="8" t="s">
        <v>5696</v>
      </c>
      <c r="R541" s="8" t="s">
        <v>5919</v>
      </c>
      <c r="S541" s="8" t="s">
        <v>6354</v>
      </c>
    </row>
    <row r="542" spans="1:19" ht="107.1" customHeight="1" x14ac:dyDescent="0.25">
      <c r="A542" s="8" t="s">
        <v>6355</v>
      </c>
      <c r="B542" s="8" t="s">
        <v>5693</v>
      </c>
      <c r="C542" s="8" t="s">
        <v>5918</v>
      </c>
      <c r="D542" s="10">
        <v>221</v>
      </c>
      <c r="E542" s="8" t="s">
        <v>6356</v>
      </c>
      <c r="F542" s="8" t="s">
        <v>6357</v>
      </c>
      <c r="G542" s="8" t="s">
        <v>4727</v>
      </c>
      <c r="H542" s="8" t="s">
        <v>6356</v>
      </c>
      <c r="I542" s="8"/>
      <c r="J542" s="15" t="s">
        <v>5695</v>
      </c>
      <c r="K542" s="8"/>
      <c r="L542" s="15" t="s">
        <v>1685</v>
      </c>
      <c r="M542" s="8" t="s">
        <v>5578</v>
      </c>
      <c r="N542" s="8"/>
      <c r="O542" s="8" t="s">
        <v>5574</v>
      </c>
      <c r="P542" s="11"/>
      <c r="Q542" s="8" t="s">
        <v>5696</v>
      </c>
      <c r="R542" s="8" t="s">
        <v>5919</v>
      </c>
      <c r="S542" s="8" t="s">
        <v>6358</v>
      </c>
    </row>
    <row r="543" spans="1:19" ht="107.1" customHeight="1" x14ac:dyDescent="0.25">
      <c r="A543" s="8" t="s">
        <v>6359</v>
      </c>
      <c r="B543" s="8" t="s">
        <v>5693</v>
      </c>
      <c r="C543" s="8" t="s">
        <v>5918</v>
      </c>
      <c r="D543" s="10">
        <v>222</v>
      </c>
      <c r="E543" s="8" t="s">
        <v>6360</v>
      </c>
      <c r="F543" s="8" t="s">
        <v>6361</v>
      </c>
      <c r="G543" s="8" t="s">
        <v>4727</v>
      </c>
      <c r="H543" s="8" t="s">
        <v>6360</v>
      </c>
      <c r="I543" s="8"/>
      <c r="J543" s="15" t="s">
        <v>5695</v>
      </c>
      <c r="K543" s="8"/>
      <c r="L543" s="15" t="s">
        <v>1685</v>
      </c>
      <c r="M543" s="8" t="s">
        <v>5578</v>
      </c>
      <c r="N543" s="8"/>
      <c r="O543" s="8" t="s">
        <v>5574</v>
      </c>
      <c r="P543" s="11"/>
      <c r="Q543" s="8" t="s">
        <v>5696</v>
      </c>
      <c r="R543" s="8" t="s">
        <v>5919</v>
      </c>
      <c r="S543" s="8" t="s">
        <v>6362</v>
      </c>
    </row>
    <row r="544" spans="1:19" ht="107.1" customHeight="1" x14ac:dyDescent="0.25">
      <c r="A544" s="8" t="s">
        <v>6363</v>
      </c>
      <c r="B544" s="8" t="s">
        <v>5693</v>
      </c>
      <c r="C544" s="8" t="s">
        <v>5918</v>
      </c>
      <c r="D544" s="10">
        <v>223</v>
      </c>
      <c r="E544" s="8" t="s">
        <v>6364</v>
      </c>
      <c r="F544" s="8" t="s">
        <v>6365</v>
      </c>
      <c r="G544" s="8" t="s">
        <v>4727</v>
      </c>
      <c r="H544" s="8" t="s">
        <v>6364</v>
      </c>
      <c r="I544" s="8"/>
      <c r="J544" s="15" t="s">
        <v>5695</v>
      </c>
      <c r="K544" s="8"/>
      <c r="L544" s="15" t="s">
        <v>1685</v>
      </c>
      <c r="M544" s="8" t="s">
        <v>5578</v>
      </c>
      <c r="N544" s="8"/>
      <c r="O544" s="8" t="s">
        <v>5574</v>
      </c>
      <c r="P544" s="11"/>
      <c r="Q544" s="8" t="s">
        <v>5696</v>
      </c>
      <c r="R544" s="8" t="s">
        <v>5919</v>
      </c>
      <c r="S544" s="8" t="s">
        <v>6366</v>
      </c>
    </row>
    <row r="545" spans="1:19" ht="107.1" customHeight="1" x14ac:dyDescent="0.25">
      <c r="A545" s="8" t="s">
        <v>6367</v>
      </c>
      <c r="B545" s="8" t="s">
        <v>5693</v>
      </c>
      <c r="C545" s="8" t="s">
        <v>5918</v>
      </c>
      <c r="D545" s="10">
        <v>224</v>
      </c>
      <c r="E545" s="8" t="s">
        <v>6368</v>
      </c>
      <c r="F545" s="8" t="s">
        <v>6369</v>
      </c>
      <c r="G545" s="8" t="s">
        <v>4727</v>
      </c>
      <c r="H545" s="8" t="s">
        <v>6368</v>
      </c>
      <c r="I545" s="8"/>
      <c r="J545" s="15" t="s">
        <v>5695</v>
      </c>
      <c r="K545" s="8"/>
      <c r="L545" s="15" t="s">
        <v>1685</v>
      </c>
      <c r="M545" s="8" t="s">
        <v>5578</v>
      </c>
      <c r="N545" s="8"/>
      <c r="O545" s="8" t="s">
        <v>5574</v>
      </c>
      <c r="P545" s="11"/>
      <c r="Q545" s="8" t="s">
        <v>5696</v>
      </c>
      <c r="R545" s="8" t="s">
        <v>5919</v>
      </c>
      <c r="S545" s="8" t="s">
        <v>6370</v>
      </c>
    </row>
    <row r="546" spans="1:19" ht="107.1" customHeight="1" x14ac:dyDescent="0.25">
      <c r="A546" s="8" t="s">
        <v>6371</v>
      </c>
      <c r="B546" s="8" t="s">
        <v>5693</v>
      </c>
      <c r="C546" s="8" t="s">
        <v>5918</v>
      </c>
      <c r="D546" s="10">
        <v>225</v>
      </c>
      <c r="E546" s="8" t="s">
        <v>6372</v>
      </c>
      <c r="F546" s="8" t="s">
        <v>6373</v>
      </c>
      <c r="G546" s="8" t="s">
        <v>4727</v>
      </c>
      <c r="H546" s="8" t="s">
        <v>6372</v>
      </c>
      <c r="I546" s="8"/>
      <c r="J546" s="15" t="s">
        <v>5695</v>
      </c>
      <c r="K546" s="8"/>
      <c r="L546" s="15" t="s">
        <v>1685</v>
      </c>
      <c r="M546" s="8" t="s">
        <v>5578</v>
      </c>
      <c r="N546" s="8"/>
      <c r="O546" s="8" t="s">
        <v>5574</v>
      </c>
      <c r="P546" s="11"/>
      <c r="Q546" s="8" t="s">
        <v>5696</v>
      </c>
      <c r="R546" s="8" t="s">
        <v>5919</v>
      </c>
      <c r="S546" s="8" t="s">
        <v>6374</v>
      </c>
    </row>
    <row r="547" spans="1:19" ht="107.1" customHeight="1" x14ac:dyDescent="0.25">
      <c r="A547" s="8" t="s">
        <v>6375</v>
      </c>
      <c r="B547" s="8" t="s">
        <v>5693</v>
      </c>
      <c r="C547" s="8" t="s">
        <v>5918</v>
      </c>
      <c r="D547" s="10">
        <v>226</v>
      </c>
      <c r="E547" s="8" t="s">
        <v>6376</v>
      </c>
      <c r="F547" s="8" t="s">
        <v>6377</v>
      </c>
      <c r="G547" s="8" t="s">
        <v>4727</v>
      </c>
      <c r="H547" s="8" t="s">
        <v>6376</v>
      </c>
      <c r="I547" s="8"/>
      <c r="J547" s="15" t="s">
        <v>5695</v>
      </c>
      <c r="K547" s="8"/>
      <c r="L547" s="15" t="s">
        <v>1685</v>
      </c>
      <c r="M547" s="8" t="s">
        <v>5578</v>
      </c>
      <c r="N547" s="8"/>
      <c r="O547" s="8" t="s">
        <v>5574</v>
      </c>
      <c r="P547" s="11"/>
      <c r="Q547" s="8" t="s">
        <v>5696</v>
      </c>
      <c r="R547" s="8" t="s">
        <v>5919</v>
      </c>
      <c r="S547" s="8" t="s">
        <v>6378</v>
      </c>
    </row>
    <row r="548" spans="1:19" ht="93" customHeight="1" x14ac:dyDescent="0.25">
      <c r="A548" s="8" t="s">
        <v>6379</v>
      </c>
      <c r="B548" s="8" t="s">
        <v>5693</v>
      </c>
      <c r="C548" s="8" t="s">
        <v>5918</v>
      </c>
      <c r="D548" s="10">
        <v>227</v>
      </c>
      <c r="E548" s="8" t="s">
        <v>6380</v>
      </c>
      <c r="F548" s="8" t="s">
        <v>6381</v>
      </c>
      <c r="G548" s="8" t="s">
        <v>4727</v>
      </c>
      <c r="H548" s="8" t="s">
        <v>6380</v>
      </c>
      <c r="I548" s="8"/>
      <c r="J548" s="15" t="s">
        <v>5695</v>
      </c>
      <c r="K548" s="8"/>
      <c r="L548" s="15" t="s">
        <v>1685</v>
      </c>
      <c r="M548" s="8" t="s">
        <v>5578</v>
      </c>
      <c r="N548" s="8"/>
      <c r="O548" s="8" t="s">
        <v>5574</v>
      </c>
      <c r="P548" s="11"/>
      <c r="Q548" s="8" t="s">
        <v>5696</v>
      </c>
      <c r="R548" s="8" t="s">
        <v>5919</v>
      </c>
      <c r="S548" s="8" t="s">
        <v>6382</v>
      </c>
    </row>
    <row r="549" spans="1:19" ht="107.1" customHeight="1" x14ac:dyDescent="0.25">
      <c r="A549" s="8" t="s">
        <v>6383</v>
      </c>
      <c r="B549" s="8" t="s">
        <v>5693</v>
      </c>
      <c r="C549" s="8" t="s">
        <v>5918</v>
      </c>
      <c r="D549" s="10">
        <v>228</v>
      </c>
      <c r="E549" s="8" t="s">
        <v>785</v>
      </c>
      <c r="F549" s="8" t="s">
        <v>787</v>
      </c>
      <c r="G549" s="8" t="s">
        <v>4727</v>
      </c>
      <c r="H549" s="8" t="s">
        <v>785</v>
      </c>
      <c r="I549" s="8"/>
      <c r="J549" s="15" t="s">
        <v>5695</v>
      </c>
      <c r="K549" s="8"/>
      <c r="L549" s="15" t="s">
        <v>1685</v>
      </c>
      <c r="M549" s="8" t="s">
        <v>5578</v>
      </c>
      <c r="N549" s="8"/>
      <c r="O549" s="8" t="s">
        <v>5574</v>
      </c>
      <c r="P549" s="11"/>
      <c r="Q549" s="8" t="s">
        <v>5696</v>
      </c>
      <c r="R549" s="8" t="s">
        <v>5919</v>
      </c>
      <c r="S549" s="8" t="s">
        <v>6384</v>
      </c>
    </row>
    <row r="550" spans="1:19" ht="107.1" customHeight="1" x14ac:dyDescent="0.25">
      <c r="A550" s="8" t="s">
        <v>6385</v>
      </c>
      <c r="B550" s="8" t="s">
        <v>5693</v>
      </c>
      <c r="C550" s="8" t="s">
        <v>5918</v>
      </c>
      <c r="D550" s="10">
        <v>229</v>
      </c>
      <c r="E550" s="8" t="s">
        <v>6386</v>
      </c>
      <c r="F550" s="8" t="s">
        <v>6387</v>
      </c>
      <c r="G550" s="8" t="s">
        <v>4727</v>
      </c>
      <c r="H550" s="8" t="s">
        <v>6386</v>
      </c>
      <c r="I550" s="8"/>
      <c r="J550" s="15" t="s">
        <v>5695</v>
      </c>
      <c r="K550" s="8"/>
      <c r="L550" s="15" t="s">
        <v>1685</v>
      </c>
      <c r="M550" s="8" t="s">
        <v>5578</v>
      </c>
      <c r="N550" s="8"/>
      <c r="O550" s="8" t="s">
        <v>5574</v>
      </c>
      <c r="P550" s="11"/>
      <c r="Q550" s="8" t="s">
        <v>5696</v>
      </c>
      <c r="R550" s="8" t="s">
        <v>5919</v>
      </c>
      <c r="S550" s="8" t="s">
        <v>6388</v>
      </c>
    </row>
    <row r="551" spans="1:19" ht="93" customHeight="1" x14ac:dyDescent="0.25">
      <c r="A551" s="8" t="s">
        <v>6389</v>
      </c>
      <c r="B551" s="8" t="s">
        <v>5693</v>
      </c>
      <c r="C551" s="8" t="s">
        <v>5918</v>
      </c>
      <c r="D551" s="10">
        <v>230</v>
      </c>
      <c r="E551" s="8" t="s">
        <v>6390</v>
      </c>
      <c r="F551" s="8" t="s">
        <v>6391</v>
      </c>
      <c r="G551" s="8" t="s">
        <v>4727</v>
      </c>
      <c r="H551" s="8" t="s">
        <v>6390</v>
      </c>
      <c r="I551" s="8"/>
      <c r="J551" s="15" t="s">
        <v>5695</v>
      </c>
      <c r="K551" s="8"/>
      <c r="L551" s="15" t="s">
        <v>1685</v>
      </c>
      <c r="M551" s="8" t="s">
        <v>5578</v>
      </c>
      <c r="N551" s="8"/>
      <c r="O551" s="8" t="s">
        <v>5574</v>
      </c>
      <c r="P551" s="11"/>
      <c r="Q551" s="8" t="s">
        <v>5696</v>
      </c>
      <c r="R551" s="8" t="s">
        <v>5919</v>
      </c>
      <c r="S551" s="8" t="s">
        <v>6392</v>
      </c>
    </row>
    <row r="552" spans="1:19" ht="107.1" customHeight="1" x14ac:dyDescent="0.25">
      <c r="A552" s="8" t="s">
        <v>6393</v>
      </c>
      <c r="B552" s="8" t="s">
        <v>5693</v>
      </c>
      <c r="C552" s="8" t="s">
        <v>5918</v>
      </c>
      <c r="D552" s="10">
        <v>231</v>
      </c>
      <c r="E552" s="8" t="s">
        <v>6394</v>
      </c>
      <c r="F552" s="8" t="s">
        <v>6395</v>
      </c>
      <c r="G552" s="8" t="s">
        <v>4727</v>
      </c>
      <c r="H552" s="8" t="s">
        <v>6394</v>
      </c>
      <c r="I552" s="8"/>
      <c r="J552" s="15" t="s">
        <v>5695</v>
      </c>
      <c r="K552" s="8"/>
      <c r="L552" s="15" t="s">
        <v>1685</v>
      </c>
      <c r="M552" s="8" t="s">
        <v>5578</v>
      </c>
      <c r="N552" s="8"/>
      <c r="O552" s="8" t="s">
        <v>5574</v>
      </c>
      <c r="P552" s="11"/>
      <c r="Q552" s="8" t="s">
        <v>5696</v>
      </c>
      <c r="R552" s="8" t="s">
        <v>5919</v>
      </c>
      <c r="S552" s="8" t="s">
        <v>6396</v>
      </c>
    </row>
    <row r="553" spans="1:19" ht="107.1" customHeight="1" x14ac:dyDescent="0.25">
      <c r="A553" s="8" t="s">
        <v>6397</v>
      </c>
      <c r="B553" s="8" t="s">
        <v>5693</v>
      </c>
      <c r="C553" s="8" t="s">
        <v>5918</v>
      </c>
      <c r="D553" s="10">
        <v>232</v>
      </c>
      <c r="E553" s="8" t="s">
        <v>6398</v>
      </c>
      <c r="F553" s="8" t="s">
        <v>6399</v>
      </c>
      <c r="G553" s="8" t="s">
        <v>4727</v>
      </c>
      <c r="H553" s="8" t="s">
        <v>6398</v>
      </c>
      <c r="I553" s="8"/>
      <c r="J553" s="15" t="s">
        <v>5695</v>
      </c>
      <c r="K553" s="8"/>
      <c r="L553" s="15" t="s">
        <v>1685</v>
      </c>
      <c r="M553" s="8" t="s">
        <v>5578</v>
      </c>
      <c r="N553" s="8"/>
      <c r="O553" s="8" t="s">
        <v>5574</v>
      </c>
      <c r="P553" s="11"/>
      <c r="Q553" s="8" t="s">
        <v>5696</v>
      </c>
      <c r="R553" s="8" t="s">
        <v>5919</v>
      </c>
      <c r="S553" s="8" t="s">
        <v>6400</v>
      </c>
    </row>
    <row r="554" spans="1:19" ht="107.1" customHeight="1" x14ac:dyDescent="0.25">
      <c r="A554" s="8" t="s">
        <v>6401</v>
      </c>
      <c r="B554" s="8" t="s">
        <v>5693</v>
      </c>
      <c r="C554" s="8" t="s">
        <v>5918</v>
      </c>
      <c r="D554" s="10">
        <v>233</v>
      </c>
      <c r="E554" s="8" t="s">
        <v>6402</v>
      </c>
      <c r="F554" s="8" t="s">
        <v>6403</v>
      </c>
      <c r="G554" s="8" t="s">
        <v>4727</v>
      </c>
      <c r="H554" s="8" t="s">
        <v>6402</v>
      </c>
      <c r="I554" s="8"/>
      <c r="J554" s="15" t="s">
        <v>5695</v>
      </c>
      <c r="K554" s="8"/>
      <c r="L554" s="15" t="s">
        <v>1685</v>
      </c>
      <c r="M554" s="8" t="s">
        <v>5578</v>
      </c>
      <c r="N554" s="8"/>
      <c r="O554" s="8" t="s">
        <v>5574</v>
      </c>
      <c r="P554" s="11"/>
      <c r="Q554" s="8" t="s">
        <v>5696</v>
      </c>
      <c r="R554" s="8" t="s">
        <v>5919</v>
      </c>
      <c r="S554" s="8" t="s">
        <v>6404</v>
      </c>
    </row>
    <row r="555" spans="1:19" ht="107.1" customHeight="1" x14ac:dyDescent="0.25">
      <c r="A555" s="8" t="s">
        <v>6405</v>
      </c>
      <c r="B555" s="8" t="s">
        <v>5693</v>
      </c>
      <c r="C555" s="8" t="s">
        <v>5918</v>
      </c>
      <c r="D555" s="10">
        <v>234</v>
      </c>
      <c r="E555" s="8" t="s">
        <v>6406</v>
      </c>
      <c r="F555" s="8" t="s">
        <v>6407</v>
      </c>
      <c r="G555" s="8" t="s">
        <v>4727</v>
      </c>
      <c r="H555" s="8" t="s">
        <v>6406</v>
      </c>
      <c r="I555" s="8"/>
      <c r="J555" s="15" t="s">
        <v>5695</v>
      </c>
      <c r="K555" s="8"/>
      <c r="L555" s="15" t="s">
        <v>1685</v>
      </c>
      <c r="M555" s="8" t="s">
        <v>5578</v>
      </c>
      <c r="N555" s="8"/>
      <c r="O555" s="8" t="s">
        <v>5574</v>
      </c>
      <c r="P555" s="11"/>
      <c r="Q555" s="8" t="s">
        <v>5696</v>
      </c>
      <c r="R555" s="8" t="s">
        <v>5919</v>
      </c>
      <c r="S555" s="8" t="s">
        <v>6408</v>
      </c>
    </row>
    <row r="556" spans="1:19" ht="107.1" customHeight="1" x14ac:dyDescent="0.25">
      <c r="A556" s="8" t="s">
        <v>6409</v>
      </c>
      <c r="B556" s="8" t="s">
        <v>5693</v>
      </c>
      <c r="C556" s="8" t="s">
        <v>5918</v>
      </c>
      <c r="D556" s="10">
        <v>235</v>
      </c>
      <c r="E556" s="8" t="s">
        <v>6410</v>
      </c>
      <c r="F556" s="8" t="s">
        <v>6411</v>
      </c>
      <c r="G556" s="8" t="s">
        <v>4727</v>
      </c>
      <c r="H556" s="8" t="s">
        <v>6410</v>
      </c>
      <c r="I556" s="8"/>
      <c r="J556" s="15" t="s">
        <v>5695</v>
      </c>
      <c r="K556" s="8"/>
      <c r="L556" s="15" t="s">
        <v>1685</v>
      </c>
      <c r="M556" s="8" t="s">
        <v>5578</v>
      </c>
      <c r="N556" s="8"/>
      <c r="O556" s="8" t="s">
        <v>5574</v>
      </c>
      <c r="P556" s="11"/>
      <c r="Q556" s="8" t="s">
        <v>5696</v>
      </c>
      <c r="R556" s="8" t="s">
        <v>5919</v>
      </c>
      <c r="S556" s="8" t="s">
        <v>6412</v>
      </c>
    </row>
    <row r="557" spans="1:19" ht="107.1" customHeight="1" x14ac:dyDescent="0.25">
      <c r="A557" s="8" t="s">
        <v>6413</v>
      </c>
      <c r="B557" s="8" t="s">
        <v>5693</v>
      </c>
      <c r="C557" s="8" t="s">
        <v>5918</v>
      </c>
      <c r="D557" s="10">
        <v>236</v>
      </c>
      <c r="E557" s="8" t="s">
        <v>6414</v>
      </c>
      <c r="F557" s="8" t="s">
        <v>6415</v>
      </c>
      <c r="G557" s="8" t="s">
        <v>4727</v>
      </c>
      <c r="H557" s="8" t="s">
        <v>6414</v>
      </c>
      <c r="I557" s="8"/>
      <c r="J557" s="15" t="s">
        <v>5695</v>
      </c>
      <c r="K557" s="8"/>
      <c r="L557" s="15" t="s">
        <v>1685</v>
      </c>
      <c r="M557" s="8" t="s">
        <v>5578</v>
      </c>
      <c r="N557" s="8"/>
      <c r="O557" s="8" t="s">
        <v>5574</v>
      </c>
      <c r="P557" s="11"/>
      <c r="Q557" s="8" t="s">
        <v>5696</v>
      </c>
      <c r="R557" s="8" t="s">
        <v>5919</v>
      </c>
      <c r="S557" s="8" t="s">
        <v>6416</v>
      </c>
    </row>
    <row r="558" spans="1:19" ht="107.1" customHeight="1" x14ac:dyDescent="0.25">
      <c r="A558" s="8" t="s">
        <v>6417</v>
      </c>
      <c r="B558" s="8" t="s">
        <v>5693</v>
      </c>
      <c r="C558" s="8" t="s">
        <v>5918</v>
      </c>
      <c r="D558" s="10">
        <v>237</v>
      </c>
      <c r="E558" s="8" t="s">
        <v>6418</v>
      </c>
      <c r="F558" s="8" t="s">
        <v>6419</v>
      </c>
      <c r="G558" s="8" t="s">
        <v>4727</v>
      </c>
      <c r="H558" s="8" t="s">
        <v>6418</v>
      </c>
      <c r="I558" s="8"/>
      <c r="J558" s="15" t="s">
        <v>5695</v>
      </c>
      <c r="K558" s="8"/>
      <c r="L558" s="15" t="s">
        <v>1685</v>
      </c>
      <c r="M558" s="8" t="s">
        <v>5578</v>
      </c>
      <c r="N558" s="8"/>
      <c r="O558" s="8" t="s">
        <v>5574</v>
      </c>
      <c r="P558" s="11"/>
      <c r="Q558" s="8" t="s">
        <v>5696</v>
      </c>
      <c r="R558" s="8" t="s">
        <v>5919</v>
      </c>
      <c r="S558" s="8" t="s">
        <v>6420</v>
      </c>
    </row>
    <row r="559" spans="1:19" ht="107.1" customHeight="1" x14ac:dyDescent="0.25">
      <c r="A559" s="8" t="s">
        <v>6421</v>
      </c>
      <c r="B559" s="8" t="s">
        <v>5693</v>
      </c>
      <c r="C559" s="8" t="s">
        <v>5918</v>
      </c>
      <c r="D559" s="10">
        <v>238</v>
      </c>
      <c r="E559" s="8" t="s">
        <v>6422</v>
      </c>
      <c r="F559" s="8" t="s">
        <v>6423</v>
      </c>
      <c r="G559" s="8" t="s">
        <v>4727</v>
      </c>
      <c r="H559" s="8" t="s">
        <v>6422</v>
      </c>
      <c r="I559" s="8"/>
      <c r="J559" s="15" t="s">
        <v>5695</v>
      </c>
      <c r="K559" s="8"/>
      <c r="L559" s="15" t="s">
        <v>1685</v>
      </c>
      <c r="M559" s="8" t="s">
        <v>5578</v>
      </c>
      <c r="N559" s="8"/>
      <c r="O559" s="8" t="s">
        <v>5574</v>
      </c>
      <c r="P559" s="11"/>
      <c r="Q559" s="8" t="s">
        <v>5696</v>
      </c>
      <c r="R559" s="8" t="s">
        <v>5919</v>
      </c>
      <c r="S559" s="8" t="s">
        <v>6424</v>
      </c>
    </row>
    <row r="560" spans="1:19" ht="107.1" customHeight="1" x14ac:dyDescent="0.25">
      <c r="A560" s="8" t="s">
        <v>6425</v>
      </c>
      <c r="B560" s="8" t="s">
        <v>5693</v>
      </c>
      <c r="C560" s="8" t="s">
        <v>5918</v>
      </c>
      <c r="D560" s="10">
        <v>239</v>
      </c>
      <c r="E560" s="8" t="s">
        <v>6426</v>
      </c>
      <c r="F560" s="8" t="s">
        <v>6427</v>
      </c>
      <c r="G560" s="8" t="s">
        <v>4727</v>
      </c>
      <c r="H560" s="8" t="s">
        <v>6426</v>
      </c>
      <c r="I560" s="8"/>
      <c r="J560" s="15" t="s">
        <v>5695</v>
      </c>
      <c r="K560" s="8"/>
      <c r="L560" s="15" t="s">
        <v>1685</v>
      </c>
      <c r="M560" s="8" t="s">
        <v>5578</v>
      </c>
      <c r="N560" s="8"/>
      <c r="O560" s="8" t="s">
        <v>5574</v>
      </c>
      <c r="P560" s="11"/>
      <c r="Q560" s="8" t="s">
        <v>5696</v>
      </c>
      <c r="R560" s="8" t="s">
        <v>5919</v>
      </c>
      <c r="S560" s="8" t="s">
        <v>6428</v>
      </c>
    </row>
    <row r="561" spans="1:19" ht="107.1" customHeight="1" x14ac:dyDescent="0.25">
      <c r="A561" s="8" t="s">
        <v>6429</v>
      </c>
      <c r="B561" s="8" t="s">
        <v>5693</v>
      </c>
      <c r="C561" s="8" t="s">
        <v>5918</v>
      </c>
      <c r="D561" s="10">
        <v>240</v>
      </c>
      <c r="E561" s="8" t="s">
        <v>6430</v>
      </c>
      <c r="F561" s="8" t="s">
        <v>6431</v>
      </c>
      <c r="G561" s="8" t="s">
        <v>4727</v>
      </c>
      <c r="H561" s="8" t="s">
        <v>6430</v>
      </c>
      <c r="I561" s="8"/>
      <c r="J561" s="15" t="s">
        <v>5695</v>
      </c>
      <c r="K561" s="8"/>
      <c r="L561" s="15" t="s">
        <v>1685</v>
      </c>
      <c r="M561" s="8" t="s">
        <v>5578</v>
      </c>
      <c r="N561" s="8"/>
      <c r="O561" s="8" t="s">
        <v>5574</v>
      </c>
      <c r="P561" s="11"/>
      <c r="Q561" s="8" t="s">
        <v>5696</v>
      </c>
      <c r="R561" s="8" t="s">
        <v>5919</v>
      </c>
      <c r="S561" s="8" t="s">
        <v>6432</v>
      </c>
    </row>
    <row r="562" spans="1:19" ht="107.1" customHeight="1" x14ac:dyDescent="0.25">
      <c r="A562" s="8" t="s">
        <v>6433</v>
      </c>
      <c r="B562" s="8" t="s">
        <v>5693</v>
      </c>
      <c r="C562" s="8" t="s">
        <v>5918</v>
      </c>
      <c r="D562" s="10">
        <v>241</v>
      </c>
      <c r="E562" s="8" t="s">
        <v>6434</v>
      </c>
      <c r="F562" s="8" t="s">
        <v>6435</v>
      </c>
      <c r="G562" s="8" t="s">
        <v>4727</v>
      </c>
      <c r="H562" s="8" t="s">
        <v>6434</v>
      </c>
      <c r="I562" s="8"/>
      <c r="J562" s="15" t="s">
        <v>5695</v>
      </c>
      <c r="K562" s="8"/>
      <c r="L562" s="15" t="s">
        <v>1685</v>
      </c>
      <c r="M562" s="8" t="s">
        <v>5578</v>
      </c>
      <c r="N562" s="8"/>
      <c r="O562" s="8" t="s">
        <v>5574</v>
      </c>
      <c r="P562" s="11"/>
      <c r="Q562" s="8" t="s">
        <v>5696</v>
      </c>
      <c r="R562" s="8" t="s">
        <v>5919</v>
      </c>
      <c r="S562" s="8" t="s">
        <v>6436</v>
      </c>
    </row>
    <row r="563" spans="1:19" ht="107.1" customHeight="1" x14ac:dyDescent="0.25">
      <c r="A563" s="8" t="s">
        <v>6437</v>
      </c>
      <c r="B563" s="8" t="s">
        <v>5693</v>
      </c>
      <c r="C563" s="8" t="s">
        <v>5918</v>
      </c>
      <c r="D563" s="10">
        <v>242</v>
      </c>
      <c r="E563" s="8" t="s">
        <v>6438</v>
      </c>
      <c r="F563" s="8" t="s">
        <v>6439</v>
      </c>
      <c r="G563" s="8" t="s">
        <v>4727</v>
      </c>
      <c r="H563" s="8" t="s">
        <v>6438</v>
      </c>
      <c r="I563" s="8"/>
      <c r="J563" s="15" t="s">
        <v>5695</v>
      </c>
      <c r="K563" s="8"/>
      <c r="L563" s="15" t="s">
        <v>1685</v>
      </c>
      <c r="M563" s="8" t="s">
        <v>5578</v>
      </c>
      <c r="N563" s="8"/>
      <c r="O563" s="8" t="s">
        <v>5574</v>
      </c>
      <c r="P563" s="11"/>
      <c r="Q563" s="8" t="s">
        <v>5696</v>
      </c>
      <c r="R563" s="8" t="s">
        <v>5919</v>
      </c>
      <c r="S563" s="8" t="s">
        <v>6440</v>
      </c>
    </row>
    <row r="564" spans="1:19" ht="107.1" customHeight="1" x14ac:dyDescent="0.25">
      <c r="A564" s="8" t="s">
        <v>6441</v>
      </c>
      <c r="B564" s="8" t="s">
        <v>5693</v>
      </c>
      <c r="C564" s="8" t="s">
        <v>5918</v>
      </c>
      <c r="D564" s="10">
        <v>243</v>
      </c>
      <c r="E564" s="8" t="s">
        <v>6442</v>
      </c>
      <c r="F564" s="8" t="s">
        <v>6443</v>
      </c>
      <c r="G564" s="8" t="s">
        <v>4727</v>
      </c>
      <c r="H564" s="8" t="s">
        <v>6442</v>
      </c>
      <c r="I564" s="8"/>
      <c r="J564" s="15" t="s">
        <v>5695</v>
      </c>
      <c r="K564" s="8"/>
      <c r="L564" s="15" t="s">
        <v>1685</v>
      </c>
      <c r="M564" s="8" t="s">
        <v>5578</v>
      </c>
      <c r="N564" s="8"/>
      <c r="O564" s="8" t="s">
        <v>5574</v>
      </c>
      <c r="P564" s="11"/>
      <c r="Q564" s="8" t="s">
        <v>5696</v>
      </c>
      <c r="R564" s="8" t="s">
        <v>5919</v>
      </c>
      <c r="S564" s="8" t="s">
        <v>6444</v>
      </c>
    </row>
    <row r="565" spans="1:19" ht="107.1" customHeight="1" x14ac:dyDescent="0.25">
      <c r="A565" s="8" t="s">
        <v>6445</v>
      </c>
      <c r="B565" s="8" t="s">
        <v>5693</v>
      </c>
      <c r="C565" s="8" t="s">
        <v>5918</v>
      </c>
      <c r="D565" s="10">
        <v>244</v>
      </c>
      <c r="E565" s="8" t="s">
        <v>6446</v>
      </c>
      <c r="F565" s="8" t="s">
        <v>6447</v>
      </c>
      <c r="G565" s="8" t="s">
        <v>4727</v>
      </c>
      <c r="H565" s="8" t="s">
        <v>6446</v>
      </c>
      <c r="I565" s="8"/>
      <c r="J565" s="15" t="s">
        <v>5695</v>
      </c>
      <c r="K565" s="8"/>
      <c r="L565" s="15" t="s">
        <v>1685</v>
      </c>
      <c r="M565" s="8" t="s">
        <v>5578</v>
      </c>
      <c r="N565" s="8"/>
      <c r="O565" s="8" t="s">
        <v>5574</v>
      </c>
      <c r="P565" s="11"/>
      <c r="Q565" s="8" t="s">
        <v>5696</v>
      </c>
      <c r="R565" s="8" t="s">
        <v>5919</v>
      </c>
      <c r="S565" s="8" t="s">
        <v>6448</v>
      </c>
    </row>
    <row r="566" spans="1:19" ht="107.1" customHeight="1" x14ac:dyDescent="0.25">
      <c r="A566" s="8" t="s">
        <v>6449</v>
      </c>
      <c r="B566" s="8" t="s">
        <v>5693</v>
      </c>
      <c r="C566" s="8" t="s">
        <v>5918</v>
      </c>
      <c r="D566" s="10">
        <v>245</v>
      </c>
      <c r="E566" s="8" t="s">
        <v>6450</v>
      </c>
      <c r="F566" s="8" t="s">
        <v>6451</v>
      </c>
      <c r="G566" s="8" t="s">
        <v>4727</v>
      </c>
      <c r="H566" s="8" t="s">
        <v>6450</v>
      </c>
      <c r="I566" s="8"/>
      <c r="J566" s="15" t="s">
        <v>5695</v>
      </c>
      <c r="K566" s="8"/>
      <c r="L566" s="15" t="s">
        <v>1685</v>
      </c>
      <c r="M566" s="8" t="s">
        <v>5578</v>
      </c>
      <c r="N566" s="8"/>
      <c r="O566" s="8" t="s">
        <v>5574</v>
      </c>
      <c r="P566" s="11"/>
      <c r="Q566" s="8" t="s">
        <v>5696</v>
      </c>
      <c r="R566" s="8" t="s">
        <v>5919</v>
      </c>
      <c r="S566" s="8" t="s">
        <v>6452</v>
      </c>
    </row>
    <row r="567" spans="1:19" ht="107.1" customHeight="1" x14ac:dyDescent="0.25">
      <c r="A567" s="8" t="s">
        <v>6453</v>
      </c>
      <c r="B567" s="8" t="s">
        <v>5693</v>
      </c>
      <c r="C567" s="8" t="s">
        <v>5918</v>
      </c>
      <c r="D567" s="10">
        <v>246</v>
      </c>
      <c r="E567" s="8" t="s">
        <v>6454</v>
      </c>
      <c r="F567" s="8" t="s">
        <v>6455</v>
      </c>
      <c r="G567" s="8" t="s">
        <v>4727</v>
      </c>
      <c r="H567" s="8" t="s">
        <v>6454</v>
      </c>
      <c r="I567" s="8"/>
      <c r="J567" s="15" t="s">
        <v>5695</v>
      </c>
      <c r="K567" s="8"/>
      <c r="L567" s="15" t="s">
        <v>1685</v>
      </c>
      <c r="M567" s="8" t="s">
        <v>5578</v>
      </c>
      <c r="N567" s="8"/>
      <c r="O567" s="8" t="s">
        <v>5574</v>
      </c>
      <c r="P567" s="11"/>
      <c r="Q567" s="8" t="s">
        <v>5696</v>
      </c>
      <c r="R567" s="8" t="s">
        <v>5919</v>
      </c>
      <c r="S567" s="8" t="s">
        <v>6456</v>
      </c>
    </row>
    <row r="568" spans="1:19" ht="107.1" customHeight="1" x14ac:dyDescent="0.25">
      <c r="A568" s="8" t="s">
        <v>6457</v>
      </c>
      <c r="B568" s="8" t="s">
        <v>5693</v>
      </c>
      <c r="C568" s="8" t="s">
        <v>5918</v>
      </c>
      <c r="D568" s="10">
        <v>247</v>
      </c>
      <c r="E568" s="8" t="s">
        <v>6458</v>
      </c>
      <c r="F568" s="8" t="s">
        <v>6459</v>
      </c>
      <c r="G568" s="8" t="s">
        <v>4727</v>
      </c>
      <c r="H568" s="8" t="s">
        <v>6458</v>
      </c>
      <c r="I568" s="8"/>
      <c r="J568" s="15" t="s">
        <v>5695</v>
      </c>
      <c r="K568" s="8"/>
      <c r="L568" s="15" t="s">
        <v>1685</v>
      </c>
      <c r="M568" s="8" t="s">
        <v>5578</v>
      </c>
      <c r="N568" s="8"/>
      <c r="O568" s="8" t="s">
        <v>5574</v>
      </c>
      <c r="P568" s="11"/>
      <c r="Q568" s="8" t="s">
        <v>5696</v>
      </c>
      <c r="R568" s="8" t="s">
        <v>5919</v>
      </c>
      <c r="S568" s="8" t="s">
        <v>6460</v>
      </c>
    </row>
    <row r="569" spans="1:19" ht="107.1" customHeight="1" x14ac:dyDescent="0.25">
      <c r="A569" s="8" t="s">
        <v>6461</v>
      </c>
      <c r="B569" s="8" t="s">
        <v>5693</v>
      </c>
      <c r="C569" s="8" t="s">
        <v>5918</v>
      </c>
      <c r="D569" s="10">
        <v>248</v>
      </c>
      <c r="E569" s="8" t="s">
        <v>6462</v>
      </c>
      <c r="F569" s="8" t="s">
        <v>6463</v>
      </c>
      <c r="G569" s="8" t="s">
        <v>4727</v>
      </c>
      <c r="H569" s="8" t="s">
        <v>6462</v>
      </c>
      <c r="I569" s="8"/>
      <c r="J569" s="15" t="s">
        <v>5695</v>
      </c>
      <c r="K569" s="8"/>
      <c r="L569" s="15" t="s">
        <v>1685</v>
      </c>
      <c r="M569" s="8" t="s">
        <v>5578</v>
      </c>
      <c r="N569" s="8"/>
      <c r="O569" s="8" t="s">
        <v>5574</v>
      </c>
      <c r="P569" s="11"/>
      <c r="Q569" s="8" t="s">
        <v>5696</v>
      </c>
      <c r="R569" s="8" t="s">
        <v>5919</v>
      </c>
      <c r="S569" s="8" t="s">
        <v>6464</v>
      </c>
    </row>
    <row r="570" spans="1:19" ht="107.1" customHeight="1" x14ac:dyDescent="0.25">
      <c r="A570" s="8" t="s">
        <v>6465</v>
      </c>
      <c r="B570" s="8" t="s">
        <v>5693</v>
      </c>
      <c r="C570" s="8" t="s">
        <v>5918</v>
      </c>
      <c r="D570" s="10">
        <v>249</v>
      </c>
      <c r="E570" s="8" t="s">
        <v>6466</v>
      </c>
      <c r="F570" s="8" t="s">
        <v>6467</v>
      </c>
      <c r="G570" s="8" t="s">
        <v>4727</v>
      </c>
      <c r="H570" s="8" t="s">
        <v>6466</v>
      </c>
      <c r="I570" s="8"/>
      <c r="J570" s="15" t="s">
        <v>5695</v>
      </c>
      <c r="K570" s="8"/>
      <c r="L570" s="15" t="s">
        <v>1685</v>
      </c>
      <c r="M570" s="8" t="s">
        <v>5578</v>
      </c>
      <c r="N570" s="8"/>
      <c r="O570" s="8" t="s">
        <v>5574</v>
      </c>
      <c r="P570" s="11"/>
      <c r="Q570" s="8" t="s">
        <v>5696</v>
      </c>
      <c r="R570" s="8" t="s">
        <v>5919</v>
      </c>
      <c r="S570" s="8" t="s">
        <v>6468</v>
      </c>
    </row>
    <row r="571" spans="1:19" ht="107.1" customHeight="1" x14ac:dyDescent="0.25">
      <c r="A571" s="8" t="s">
        <v>6469</v>
      </c>
      <c r="B571" s="8" t="s">
        <v>5693</v>
      </c>
      <c r="C571" s="8" t="s">
        <v>5918</v>
      </c>
      <c r="D571" s="10">
        <v>250</v>
      </c>
      <c r="E571" s="8" t="s">
        <v>6470</v>
      </c>
      <c r="F571" s="8" t="s">
        <v>6471</v>
      </c>
      <c r="G571" s="8" t="s">
        <v>4727</v>
      </c>
      <c r="H571" s="8" t="s">
        <v>6470</v>
      </c>
      <c r="I571" s="8"/>
      <c r="J571" s="15" t="s">
        <v>5695</v>
      </c>
      <c r="K571" s="8"/>
      <c r="L571" s="15" t="s">
        <v>1685</v>
      </c>
      <c r="M571" s="8" t="s">
        <v>5578</v>
      </c>
      <c r="N571" s="8"/>
      <c r="O571" s="8" t="s">
        <v>5574</v>
      </c>
      <c r="P571" s="11"/>
      <c r="Q571" s="8" t="s">
        <v>5696</v>
      </c>
      <c r="R571" s="8" t="s">
        <v>5919</v>
      </c>
      <c r="S571" s="8" t="s">
        <v>6472</v>
      </c>
    </row>
    <row r="572" spans="1:19" ht="107.1" customHeight="1" x14ac:dyDescent="0.25">
      <c r="A572" s="8" t="s">
        <v>6473</v>
      </c>
      <c r="B572" s="8" t="s">
        <v>5693</v>
      </c>
      <c r="C572" s="8" t="s">
        <v>5918</v>
      </c>
      <c r="D572" s="10">
        <v>251</v>
      </c>
      <c r="E572" s="8" t="s">
        <v>6474</v>
      </c>
      <c r="F572" s="8" t="s">
        <v>6475</v>
      </c>
      <c r="G572" s="8" t="s">
        <v>4727</v>
      </c>
      <c r="H572" s="8" t="s">
        <v>6474</v>
      </c>
      <c r="I572" s="8"/>
      <c r="J572" s="15" t="s">
        <v>5695</v>
      </c>
      <c r="K572" s="8"/>
      <c r="L572" s="15" t="s">
        <v>1685</v>
      </c>
      <c r="M572" s="8" t="s">
        <v>5578</v>
      </c>
      <c r="N572" s="8"/>
      <c r="O572" s="8" t="s">
        <v>5574</v>
      </c>
      <c r="P572" s="11"/>
      <c r="Q572" s="8" t="s">
        <v>5696</v>
      </c>
      <c r="R572" s="8" t="s">
        <v>5919</v>
      </c>
      <c r="S572" s="8" t="s">
        <v>6476</v>
      </c>
    </row>
    <row r="573" spans="1:19" ht="107.1" customHeight="1" x14ac:dyDescent="0.25">
      <c r="A573" s="8" t="s">
        <v>6477</v>
      </c>
      <c r="B573" s="8" t="s">
        <v>5693</v>
      </c>
      <c r="C573" s="8" t="s">
        <v>5918</v>
      </c>
      <c r="D573" s="10">
        <v>252</v>
      </c>
      <c r="E573" s="8" t="s">
        <v>6478</v>
      </c>
      <c r="F573" s="8" t="s">
        <v>6479</v>
      </c>
      <c r="G573" s="8" t="s">
        <v>4727</v>
      </c>
      <c r="H573" s="8" t="s">
        <v>6478</v>
      </c>
      <c r="I573" s="8"/>
      <c r="J573" s="15" t="s">
        <v>5695</v>
      </c>
      <c r="K573" s="8"/>
      <c r="L573" s="15" t="s">
        <v>1685</v>
      </c>
      <c r="M573" s="8" t="s">
        <v>5578</v>
      </c>
      <c r="N573" s="8"/>
      <c r="O573" s="8" t="s">
        <v>5574</v>
      </c>
      <c r="P573" s="11"/>
      <c r="Q573" s="8" t="s">
        <v>5696</v>
      </c>
      <c r="R573" s="8" t="s">
        <v>5919</v>
      </c>
      <c r="S573" s="8" t="s">
        <v>6480</v>
      </c>
    </row>
    <row r="574" spans="1:19" ht="107.1" customHeight="1" x14ac:dyDescent="0.25">
      <c r="A574" s="8" t="s">
        <v>6481</v>
      </c>
      <c r="B574" s="8" t="s">
        <v>5693</v>
      </c>
      <c r="C574" s="8" t="s">
        <v>5918</v>
      </c>
      <c r="D574" s="10">
        <v>253</v>
      </c>
      <c r="E574" s="8" t="s">
        <v>6482</v>
      </c>
      <c r="F574" s="8" t="s">
        <v>6483</v>
      </c>
      <c r="G574" s="8" t="s">
        <v>4727</v>
      </c>
      <c r="H574" s="8" t="s">
        <v>6482</v>
      </c>
      <c r="I574" s="8"/>
      <c r="J574" s="15" t="s">
        <v>5695</v>
      </c>
      <c r="K574" s="8"/>
      <c r="L574" s="15" t="s">
        <v>1685</v>
      </c>
      <c r="M574" s="8" t="s">
        <v>5578</v>
      </c>
      <c r="N574" s="8"/>
      <c r="O574" s="8" t="s">
        <v>5574</v>
      </c>
      <c r="P574" s="11"/>
      <c r="Q574" s="8" t="s">
        <v>5696</v>
      </c>
      <c r="R574" s="8" t="s">
        <v>5919</v>
      </c>
      <c r="S574" s="8" t="s">
        <v>6484</v>
      </c>
    </row>
    <row r="575" spans="1:19" ht="107.1" customHeight="1" x14ac:dyDescent="0.25">
      <c r="A575" s="8" t="s">
        <v>6485</v>
      </c>
      <c r="B575" s="8" t="s">
        <v>5693</v>
      </c>
      <c r="C575" s="8" t="s">
        <v>5918</v>
      </c>
      <c r="D575" s="10">
        <v>254</v>
      </c>
      <c r="E575" s="8" t="s">
        <v>6486</v>
      </c>
      <c r="F575" s="8" t="s">
        <v>6487</v>
      </c>
      <c r="G575" s="8" t="s">
        <v>4727</v>
      </c>
      <c r="H575" s="8" t="s">
        <v>6486</v>
      </c>
      <c r="I575" s="8"/>
      <c r="J575" s="15" t="s">
        <v>5695</v>
      </c>
      <c r="K575" s="8"/>
      <c r="L575" s="15" t="s">
        <v>1685</v>
      </c>
      <c r="M575" s="8" t="s">
        <v>5578</v>
      </c>
      <c r="N575" s="8"/>
      <c r="O575" s="8" t="s">
        <v>5574</v>
      </c>
      <c r="P575" s="11"/>
      <c r="Q575" s="8" t="s">
        <v>5696</v>
      </c>
      <c r="R575" s="8" t="s">
        <v>5919</v>
      </c>
      <c r="S575" s="8" t="s">
        <v>6488</v>
      </c>
    </row>
    <row r="576" spans="1:19" ht="107.1" customHeight="1" x14ac:dyDescent="0.25">
      <c r="A576" s="8" t="s">
        <v>6489</v>
      </c>
      <c r="B576" s="8" t="s">
        <v>5693</v>
      </c>
      <c r="C576" s="8" t="s">
        <v>5918</v>
      </c>
      <c r="D576" s="10">
        <v>255</v>
      </c>
      <c r="E576" s="8" t="s">
        <v>6490</v>
      </c>
      <c r="F576" s="8" t="s">
        <v>6491</v>
      </c>
      <c r="G576" s="8" t="s">
        <v>4727</v>
      </c>
      <c r="H576" s="8" t="s">
        <v>6490</v>
      </c>
      <c r="I576" s="8"/>
      <c r="J576" s="15" t="s">
        <v>5695</v>
      </c>
      <c r="K576" s="8"/>
      <c r="L576" s="15" t="s">
        <v>1685</v>
      </c>
      <c r="M576" s="8" t="s">
        <v>5578</v>
      </c>
      <c r="N576" s="8"/>
      <c r="O576" s="8" t="s">
        <v>5574</v>
      </c>
      <c r="P576" s="11"/>
      <c r="Q576" s="8" t="s">
        <v>5696</v>
      </c>
      <c r="R576" s="8" t="s">
        <v>5919</v>
      </c>
      <c r="S576" s="8" t="s">
        <v>6492</v>
      </c>
    </row>
    <row r="577" spans="1:19" ht="107.1" customHeight="1" x14ac:dyDescent="0.25">
      <c r="A577" s="8" t="s">
        <v>6493</v>
      </c>
      <c r="B577" s="8" t="s">
        <v>5693</v>
      </c>
      <c r="C577" s="8" t="s">
        <v>5918</v>
      </c>
      <c r="D577" s="10">
        <v>256</v>
      </c>
      <c r="E577" s="8" t="s">
        <v>6494</v>
      </c>
      <c r="F577" s="8" t="s">
        <v>6495</v>
      </c>
      <c r="G577" s="8" t="s">
        <v>4727</v>
      </c>
      <c r="H577" s="8" t="s">
        <v>6494</v>
      </c>
      <c r="I577" s="8"/>
      <c r="J577" s="15" t="s">
        <v>5695</v>
      </c>
      <c r="K577" s="8"/>
      <c r="L577" s="15" t="s">
        <v>1685</v>
      </c>
      <c r="M577" s="8" t="s">
        <v>5578</v>
      </c>
      <c r="N577" s="8"/>
      <c r="O577" s="8" t="s">
        <v>5574</v>
      </c>
      <c r="P577" s="11"/>
      <c r="Q577" s="8" t="s">
        <v>5696</v>
      </c>
      <c r="R577" s="8" t="s">
        <v>5919</v>
      </c>
      <c r="S577" s="8" t="s">
        <v>6496</v>
      </c>
    </row>
    <row r="578" spans="1:19" ht="107.1" customHeight="1" x14ac:dyDescent="0.25">
      <c r="A578" s="8" t="s">
        <v>6497</v>
      </c>
      <c r="B578" s="8" t="s">
        <v>5693</v>
      </c>
      <c r="C578" s="8" t="s">
        <v>5918</v>
      </c>
      <c r="D578" s="10">
        <v>257</v>
      </c>
      <c r="E578" s="8" t="s">
        <v>6498</v>
      </c>
      <c r="F578" s="8" t="s">
        <v>6499</v>
      </c>
      <c r="G578" s="8" t="s">
        <v>4727</v>
      </c>
      <c r="H578" s="8" t="s">
        <v>6498</v>
      </c>
      <c r="I578" s="8"/>
      <c r="J578" s="15" t="s">
        <v>5695</v>
      </c>
      <c r="K578" s="8"/>
      <c r="L578" s="15" t="s">
        <v>1685</v>
      </c>
      <c r="M578" s="8" t="s">
        <v>5578</v>
      </c>
      <c r="N578" s="8"/>
      <c r="O578" s="8" t="s">
        <v>5574</v>
      </c>
      <c r="P578" s="11"/>
      <c r="Q578" s="8" t="s">
        <v>5696</v>
      </c>
      <c r="R578" s="8" t="s">
        <v>5919</v>
      </c>
      <c r="S578" s="8" t="s">
        <v>6500</v>
      </c>
    </row>
    <row r="579" spans="1:19" ht="93" customHeight="1" x14ac:dyDescent="0.25">
      <c r="A579" s="8" t="s">
        <v>6501</v>
      </c>
      <c r="B579" s="8" t="s">
        <v>5693</v>
      </c>
      <c r="C579" s="8" t="s">
        <v>5918</v>
      </c>
      <c r="D579" s="10">
        <v>258</v>
      </c>
      <c r="E579" s="8" t="s">
        <v>6502</v>
      </c>
      <c r="F579" s="8" t="s">
        <v>6503</v>
      </c>
      <c r="G579" s="8" t="s">
        <v>4727</v>
      </c>
      <c r="H579" s="8" t="s">
        <v>6502</v>
      </c>
      <c r="I579" s="8"/>
      <c r="J579" s="15" t="s">
        <v>5695</v>
      </c>
      <c r="K579" s="8"/>
      <c r="L579" s="15" t="s">
        <v>1685</v>
      </c>
      <c r="M579" s="8" t="s">
        <v>5578</v>
      </c>
      <c r="N579" s="8"/>
      <c r="O579" s="8" t="s">
        <v>5574</v>
      </c>
      <c r="P579" s="11"/>
      <c r="Q579" s="8" t="s">
        <v>5696</v>
      </c>
      <c r="R579" s="8" t="s">
        <v>5919</v>
      </c>
      <c r="S579" s="8" t="s">
        <v>6504</v>
      </c>
    </row>
    <row r="580" spans="1:19" ht="107.1" customHeight="1" x14ac:dyDescent="0.25">
      <c r="A580" s="8" t="s">
        <v>6505</v>
      </c>
      <c r="B580" s="8" t="s">
        <v>5693</v>
      </c>
      <c r="C580" s="8" t="s">
        <v>5918</v>
      </c>
      <c r="D580" s="10">
        <v>259</v>
      </c>
      <c r="E580" s="8" t="s">
        <v>6506</v>
      </c>
      <c r="F580" s="8" t="s">
        <v>6507</v>
      </c>
      <c r="G580" s="8" t="s">
        <v>4727</v>
      </c>
      <c r="H580" s="8" t="s">
        <v>6506</v>
      </c>
      <c r="I580" s="8"/>
      <c r="J580" s="15" t="s">
        <v>5695</v>
      </c>
      <c r="K580" s="8"/>
      <c r="L580" s="15" t="s">
        <v>1685</v>
      </c>
      <c r="M580" s="8" t="s">
        <v>5578</v>
      </c>
      <c r="N580" s="8"/>
      <c r="O580" s="8" t="s">
        <v>5574</v>
      </c>
      <c r="P580" s="11"/>
      <c r="Q580" s="8" t="s">
        <v>5696</v>
      </c>
      <c r="R580" s="8" t="s">
        <v>5919</v>
      </c>
      <c r="S580" s="8" t="s">
        <v>6508</v>
      </c>
    </row>
    <row r="581" spans="1:19" ht="107.1" customHeight="1" x14ac:dyDescent="0.25">
      <c r="A581" s="8" t="s">
        <v>6509</v>
      </c>
      <c r="B581" s="8" t="s">
        <v>5693</v>
      </c>
      <c r="C581" s="8" t="s">
        <v>5918</v>
      </c>
      <c r="D581" s="10">
        <v>260</v>
      </c>
      <c r="E581" s="8" t="s">
        <v>6510</v>
      </c>
      <c r="F581" s="8" t="s">
        <v>6511</v>
      </c>
      <c r="G581" s="8" t="s">
        <v>4727</v>
      </c>
      <c r="H581" s="8" t="s">
        <v>6510</v>
      </c>
      <c r="I581" s="8"/>
      <c r="J581" s="15" t="s">
        <v>5695</v>
      </c>
      <c r="K581" s="8"/>
      <c r="L581" s="15" t="s">
        <v>1685</v>
      </c>
      <c r="M581" s="8" t="s">
        <v>5578</v>
      </c>
      <c r="N581" s="8"/>
      <c r="O581" s="8" t="s">
        <v>5574</v>
      </c>
      <c r="P581" s="11"/>
      <c r="Q581" s="8" t="s">
        <v>5696</v>
      </c>
      <c r="R581" s="8" t="s">
        <v>5919</v>
      </c>
      <c r="S581" s="8" t="s">
        <v>6512</v>
      </c>
    </row>
    <row r="582" spans="1:19" ht="107.1" customHeight="1" x14ac:dyDescent="0.25">
      <c r="A582" s="8" t="s">
        <v>6513</v>
      </c>
      <c r="B582" s="8" t="s">
        <v>5693</v>
      </c>
      <c r="C582" s="8" t="s">
        <v>5918</v>
      </c>
      <c r="D582" s="10">
        <v>261</v>
      </c>
      <c r="E582" s="8" t="s">
        <v>6514</v>
      </c>
      <c r="F582" s="8" t="s">
        <v>6515</v>
      </c>
      <c r="G582" s="8" t="s">
        <v>4727</v>
      </c>
      <c r="H582" s="8" t="s">
        <v>6514</v>
      </c>
      <c r="I582" s="8"/>
      <c r="J582" s="15" t="s">
        <v>5695</v>
      </c>
      <c r="K582" s="8"/>
      <c r="L582" s="15" t="s">
        <v>1685</v>
      </c>
      <c r="M582" s="8" t="s">
        <v>5578</v>
      </c>
      <c r="N582" s="8"/>
      <c r="O582" s="8" t="s">
        <v>5574</v>
      </c>
      <c r="P582" s="11"/>
      <c r="Q582" s="8" t="s">
        <v>5696</v>
      </c>
      <c r="R582" s="8" t="s">
        <v>5919</v>
      </c>
      <c r="S582" s="8" t="s">
        <v>6516</v>
      </c>
    </row>
    <row r="583" spans="1:19" ht="107.1" customHeight="1" x14ac:dyDescent="0.25">
      <c r="A583" s="8" t="s">
        <v>6517</v>
      </c>
      <c r="B583" s="8" t="s">
        <v>5693</v>
      </c>
      <c r="C583" s="8" t="s">
        <v>5918</v>
      </c>
      <c r="D583" s="10">
        <v>262</v>
      </c>
      <c r="E583" s="8" t="s">
        <v>6518</v>
      </c>
      <c r="F583" s="8" t="s">
        <v>6519</v>
      </c>
      <c r="G583" s="8" t="s">
        <v>4727</v>
      </c>
      <c r="H583" s="8" t="s">
        <v>6518</v>
      </c>
      <c r="I583" s="8"/>
      <c r="J583" s="15" t="s">
        <v>5695</v>
      </c>
      <c r="K583" s="8"/>
      <c r="L583" s="15" t="s">
        <v>1685</v>
      </c>
      <c r="M583" s="8" t="s">
        <v>5578</v>
      </c>
      <c r="N583" s="8"/>
      <c r="O583" s="8" t="s">
        <v>5574</v>
      </c>
      <c r="P583" s="11"/>
      <c r="Q583" s="8" t="s">
        <v>5696</v>
      </c>
      <c r="R583" s="8" t="s">
        <v>5919</v>
      </c>
      <c r="S583" s="8" t="s">
        <v>6520</v>
      </c>
    </row>
    <row r="584" spans="1:19" ht="107.1" customHeight="1" x14ac:dyDescent="0.25">
      <c r="A584" s="8" t="s">
        <v>6521</v>
      </c>
      <c r="B584" s="8" t="s">
        <v>5693</v>
      </c>
      <c r="C584" s="8" t="s">
        <v>5918</v>
      </c>
      <c r="D584" s="10">
        <v>263</v>
      </c>
      <c r="E584" s="8" t="s">
        <v>6522</v>
      </c>
      <c r="F584" s="8" t="s">
        <v>6523</v>
      </c>
      <c r="G584" s="8" t="s">
        <v>4727</v>
      </c>
      <c r="H584" s="8" t="s">
        <v>6522</v>
      </c>
      <c r="I584" s="8"/>
      <c r="J584" s="15" t="s">
        <v>5695</v>
      </c>
      <c r="K584" s="8"/>
      <c r="L584" s="15" t="s">
        <v>1685</v>
      </c>
      <c r="M584" s="8" t="s">
        <v>5578</v>
      </c>
      <c r="N584" s="8"/>
      <c r="O584" s="8" t="s">
        <v>5574</v>
      </c>
      <c r="P584" s="11"/>
      <c r="Q584" s="8" t="s">
        <v>5696</v>
      </c>
      <c r="R584" s="8" t="s">
        <v>5919</v>
      </c>
      <c r="S584" s="8" t="s">
        <v>6524</v>
      </c>
    </row>
    <row r="585" spans="1:19" ht="107.1" customHeight="1" x14ac:dyDescent="0.25">
      <c r="A585" s="8" t="s">
        <v>6525</v>
      </c>
      <c r="B585" s="8" t="s">
        <v>5693</v>
      </c>
      <c r="C585" s="8" t="s">
        <v>5918</v>
      </c>
      <c r="D585" s="10">
        <v>264</v>
      </c>
      <c r="E585" s="8" t="s">
        <v>6526</v>
      </c>
      <c r="F585" s="8" t="s">
        <v>6527</v>
      </c>
      <c r="G585" s="8" t="s">
        <v>4727</v>
      </c>
      <c r="H585" s="8" t="s">
        <v>6526</v>
      </c>
      <c r="I585" s="8"/>
      <c r="J585" s="15" t="s">
        <v>5695</v>
      </c>
      <c r="K585" s="8"/>
      <c r="L585" s="15" t="s">
        <v>1685</v>
      </c>
      <c r="M585" s="8" t="s">
        <v>5578</v>
      </c>
      <c r="N585" s="8"/>
      <c r="O585" s="8" t="s">
        <v>5574</v>
      </c>
      <c r="P585" s="11"/>
      <c r="Q585" s="8" t="s">
        <v>5696</v>
      </c>
      <c r="R585" s="8" t="s">
        <v>5919</v>
      </c>
      <c r="S585" s="8" t="s">
        <v>6528</v>
      </c>
    </row>
    <row r="586" spans="1:19" ht="107.1" customHeight="1" x14ac:dyDescent="0.25">
      <c r="A586" s="8" t="s">
        <v>6529</v>
      </c>
      <c r="B586" s="8" t="s">
        <v>5693</v>
      </c>
      <c r="C586" s="8" t="s">
        <v>5918</v>
      </c>
      <c r="D586" s="10">
        <v>265</v>
      </c>
      <c r="E586" s="8" t="s">
        <v>6530</v>
      </c>
      <c r="F586" s="8" t="s">
        <v>6531</v>
      </c>
      <c r="G586" s="8" t="s">
        <v>4727</v>
      </c>
      <c r="H586" s="8" t="s">
        <v>6530</v>
      </c>
      <c r="I586" s="8"/>
      <c r="J586" s="15" t="s">
        <v>5695</v>
      </c>
      <c r="K586" s="8"/>
      <c r="L586" s="15" t="s">
        <v>1685</v>
      </c>
      <c r="M586" s="8" t="s">
        <v>5578</v>
      </c>
      <c r="N586" s="8"/>
      <c r="O586" s="8" t="s">
        <v>5574</v>
      </c>
      <c r="P586" s="11"/>
      <c r="Q586" s="8" t="s">
        <v>5696</v>
      </c>
      <c r="R586" s="8" t="s">
        <v>5919</v>
      </c>
      <c r="S586" s="8" t="s">
        <v>6532</v>
      </c>
    </row>
    <row r="587" spans="1:19" ht="107.1" customHeight="1" x14ac:dyDescent="0.25">
      <c r="A587" s="8" t="s">
        <v>6533</v>
      </c>
      <c r="B587" s="8" t="s">
        <v>5693</v>
      </c>
      <c r="C587" s="8" t="s">
        <v>5918</v>
      </c>
      <c r="D587" s="10">
        <v>266</v>
      </c>
      <c r="E587" s="8" t="s">
        <v>6534</v>
      </c>
      <c r="F587" s="8" t="s">
        <v>6535</v>
      </c>
      <c r="G587" s="8" t="s">
        <v>4727</v>
      </c>
      <c r="H587" s="8" t="s">
        <v>6534</v>
      </c>
      <c r="I587" s="8"/>
      <c r="J587" s="15" t="s">
        <v>5695</v>
      </c>
      <c r="K587" s="8"/>
      <c r="L587" s="15" t="s">
        <v>1685</v>
      </c>
      <c r="M587" s="8" t="s">
        <v>5578</v>
      </c>
      <c r="N587" s="8"/>
      <c r="O587" s="8" t="s">
        <v>5574</v>
      </c>
      <c r="P587" s="11"/>
      <c r="Q587" s="8" t="s">
        <v>5696</v>
      </c>
      <c r="R587" s="8" t="s">
        <v>5919</v>
      </c>
      <c r="S587" s="8" t="s">
        <v>6536</v>
      </c>
    </row>
    <row r="588" spans="1:19" ht="93" customHeight="1" x14ac:dyDescent="0.25">
      <c r="A588" s="8" t="s">
        <v>6537</v>
      </c>
      <c r="B588" s="8" t="s">
        <v>5693</v>
      </c>
      <c r="C588" s="8" t="s">
        <v>5918</v>
      </c>
      <c r="D588" s="10">
        <v>267</v>
      </c>
      <c r="E588" s="8" t="s">
        <v>6538</v>
      </c>
      <c r="F588" s="8" t="s">
        <v>6539</v>
      </c>
      <c r="G588" s="8" t="s">
        <v>4727</v>
      </c>
      <c r="H588" s="8" t="s">
        <v>6538</v>
      </c>
      <c r="I588" s="8"/>
      <c r="J588" s="15" t="s">
        <v>5695</v>
      </c>
      <c r="K588" s="8"/>
      <c r="L588" s="15" t="s">
        <v>1685</v>
      </c>
      <c r="M588" s="8" t="s">
        <v>5578</v>
      </c>
      <c r="N588" s="8"/>
      <c r="O588" s="8" t="s">
        <v>5574</v>
      </c>
      <c r="P588" s="11"/>
      <c r="Q588" s="8" t="s">
        <v>5696</v>
      </c>
      <c r="R588" s="8" t="s">
        <v>5919</v>
      </c>
      <c r="S588" s="8" t="s">
        <v>6540</v>
      </c>
    </row>
    <row r="589" spans="1:19" ht="107.1" customHeight="1" x14ac:dyDescent="0.25">
      <c r="A589" s="8" t="s">
        <v>6541</v>
      </c>
      <c r="B589" s="8" t="s">
        <v>5693</v>
      </c>
      <c r="C589" s="8" t="s">
        <v>5918</v>
      </c>
      <c r="D589" s="10">
        <v>268</v>
      </c>
      <c r="E589" s="8" t="s">
        <v>6542</v>
      </c>
      <c r="F589" s="8" t="s">
        <v>6543</v>
      </c>
      <c r="G589" s="8" t="s">
        <v>4727</v>
      </c>
      <c r="H589" s="8" t="s">
        <v>6542</v>
      </c>
      <c r="I589" s="8"/>
      <c r="J589" s="15" t="s">
        <v>5695</v>
      </c>
      <c r="K589" s="8"/>
      <c r="L589" s="15" t="s">
        <v>1685</v>
      </c>
      <c r="M589" s="8" t="s">
        <v>5578</v>
      </c>
      <c r="N589" s="8"/>
      <c r="O589" s="8" t="s">
        <v>5574</v>
      </c>
      <c r="P589" s="11"/>
      <c r="Q589" s="8" t="s">
        <v>5696</v>
      </c>
      <c r="R589" s="8" t="s">
        <v>5919</v>
      </c>
      <c r="S589" s="8" t="s">
        <v>6544</v>
      </c>
    </row>
    <row r="590" spans="1:19" ht="107.1" customHeight="1" x14ac:dyDescent="0.25">
      <c r="A590" s="8" t="s">
        <v>6545</v>
      </c>
      <c r="B590" s="8" t="s">
        <v>5693</v>
      </c>
      <c r="C590" s="8" t="s">
        <v>5918</v>
      </c>
      <c r="D590" s="10">
        <v>269</v>
      </c>
      <c r="E590" s="8" t="s">
        <v>6546</v>
      </c>
      <c r="F590" s="8" t="s">
        <v>6547</v>
      </c>
      <c r="G590" s="8" t="s">
        <v>4727</v>
      </c>
      <c r="H590" s="8" t="s">
        <v>6546</v>
      </c>
      <c r="I590" s="8"/>
      <c r="J590" s="15" t="s">
        <v>5695</v>
      </c>
      <c r="K590" s="8"/>
      <c r="L590" s="15" t="s">
        <v>1685</v>
      </c>
      <c r="M590" s="8" t="s">
        <v>5578</v>
      </c>
      <c r="N590" s="8"/>
      <c r="O590" s="8" t="s">
        <v>5574</v>
      </c>
      <c r="P590" s="11"/>
      <c r="Q590" s="8" t="s">
        <v>5696</v>
      </c>
      <c r="R590" s="8" t="s">
        <v>5919</v>
      </c>
      <c r="S590" s="8" t="s">
        <v>6548</v>
      </c>
    </row>
    <row r="591" spans="1:19" ht="93" customHeight="1" x14ac:dyDescent="0.25">
      <c r="A591" s="8" t="s">
        <v>6549</v>
      </c>
      <c r="B591" s="8" t="s">
        <v>5693</v>
      </c>
      <c r="C591" s="8" t="s">
        <v>5918</v>
      </c>
      <c r="D591" s="10">
        <v>270</v>
      </c>
      <c r="E591" s="8" t="s">
        <v>6550</v>
      </c>
      <c r="F591" s="8" t="s">
        <v>6551</v>
      </c>
      <c r="G591" s="8" t="s">
        <v>4727</v>
      </c>
      <c r="H591" s="8" t="s">
        <v>6550</v>
      </c>
      <c r="I591" s="8"/>
      <c r="J591" s="15" t="s">
        <v>5695</v>
      </c>
      <c r="K591" s="8"/>
      <c r="L591" s="15" t="s">
        <v>1685</v>
      </c>
      <c r="M591" s="8" t="s">
        <v>5578</v>
      </c>
      <c r="N591" s="8"/>
      <c r="O591" s="8" t="s">
        <v>5574</v>
      </c>
      <c r="P591" s="11"/>
      <c r="Q591" s="8" t="s">
        <v>5696</v>
      </c>
      <c r="R591" s="8" t="s">
        <v>5919</v>
      </c>
      <c r="S591" s="8" t="s">
        <v>6552</v>
      </c>
    </row>
    <row r="592" spans="1:19" ht="107.1" customHeight="1" x14ac:dyDescent="0.25">
      <c r="A592" s="8" t="s">
        <v>6553</v>
      </c>
      <c r="B592" s="8" t="s">
        <v>5693</v>
      </c>
      <c r="C592" s="8" t="s">
        <v>5918</v>
      </c>
      <c r="D592" s="10">
        <v>271</v>
      </c>
      <c r="E592" s="8" t="s">
        <v>6554</v>
      </c>
      <c r="F592" s="8" t="s">
        <v>6555</v>
      </c>
      <c r="G592" s="8" t="s">
        <v>4727</v>
      </c>
      <c r="H592" s="8" t="s">
        <v>6554</v>
      </c>
      <c r="I592" s="8"/>
      <c r="J592" s="15" t="s">
        <v>5695</v>
      </c>
      <c r="K592" s="8"/>
      <c r="L592" s="15" t="s">
        <v>1685</v>
      </c>
      <c r="M592" s="8" t="s">
        <v>5578</v>
      </c>
      <c r="N592" s="8"/>
      <c r="O592" s="8" t="s">
        <v>5574</v>
      </c>
      <c r="P592" s="11"/>
      <c r="Q592" s="8" t="s">
        <v>5696</v>
      </c>
      <c r="R592" s="8" t="s">
        <v>5919</v>
      </c>
      <c r="S592" s="8" t="s">
        <v>6556</v>
      </c>
    </row>
    <row r="593" spans="1:19" ht="107.1" customHeight="1" x14ac:dyDescent="0.25">
      <c r="A593" s="8" t="s">
        <v>6557</v>
      </c>
      <c r="B593" s="8" t="s">
        <v>5693</v>
      </c>
      <c r="C593" s="8" t="s">
        <v>5918</v>
      </c>
      <c r="D593" s="10">
        <v>272</v>
      </c>
      <c r="E593" s="8" t="s">
        <v>6558</v>
      </c>
      <c r="F593" s="8" t="s">
        <v>6559</v>
      </c>
      <c r="G593" s="8" t="s">
        <v>4727</v>
      </c>
      <c r="H593" s="8" t="s">
        <v>6558</v>
      </c>
      <c r="I593" s="8"/>
      <c r="J593" s="15" t="s">
        <v>5695</v>
      </c>
      <c r="K593" s="8"/>
      <c r="L593" s="15" t="s">
        <v>1685</v>
      </c>
      <c r="M593" s="8" t="s">
        <v>5578</v>
      </c>
      <c r="N593" s="8"/>
      <c r="O593" s="8" t="s">
        <v>5574</v>
      </c>
      <c r="P593" s="11"/>
      <c r="Q593" s="8" t="s">
        <v>5696</v>
      </c>
      <c r="R593" s="8" t="s">
        <v>5919</v>
      </c>
      <c r="S593" s="8" t="s">
        <v>6560</v>
      </c>
    </row>
    <row r="594" spans="1:19" ht="107.1" customHeight="1" x14ac:dyDescent="0.25">
      <c r="A594" s="8" t="s">
        <v>6561</v>
      </c>
      <c r="B594" s="8" t="s">
        <v>5693</v>
      </c>
      <c r="C594" s="8" t="s">
        <v>5918</v>
      </c>
      <c r="D594" s="10">
        <v>273</v>
      </c>
      <c r="E594" s="8" t="s">
        <v>6562</v>
      </c>
      <c r="F594" s="8" t="s">
        <v>6563</v>
      </c>
      <c r="G594" s="8" t="s">
        <v>4727</v>
      </c>
      <c r="H594" s="8" t="s">
        <v>6562</v>
      </c>
      <c r="I594" s="8"/>
      <c r="J594" s="15" t="s">
        <v>5695</v>
      </c>
      <c r="K594" s="8"/>
      <c r="L594" s="15" t="s">
        <v>1685</v>
      </c>
      <c r="M594" s="8" t="s">
        <v>5578</v>
      </c>
      <c r="N594" s="8"/>
      <c r="O594" s="8" t="s">
        <v>5574</v>
      </c>
      <c r="P594" s="11"/>
      <c r="Q594" s="8" t="s">
        <v>5696</v>
      </c>
      <c r="R594" s="8" t="s">
        <v>5919</v>
      </c>
      <c r="S594" s="8" t="s">
        <v>6564</v>
      </c>
    </row>
    <row r="595" spans="1:19" ht="107.1" customHeight="1" x14ac:dyDescent="0.25">
      <c r="A595" s="8" t="s">
        <v>6565</v>
      </c>
      <c r="B595" s="8" t="s">
        <v>5693</v>
      </c>
      <c r="C595" s="8" t="s">
        <v>5918</v>
      </c>
      <c r="D595" s="10">
        <v>274</v>
      </c>
      <c r="E595" s="8" t="s">
        <v>6566</v>
      </c>
      <c r="F595" s="8" t="s">
        <v>6567</v>
      </c>
      <c r="G595" s="8" t="s">
        <v>4727</v>
      </c>
      <c r="H595" s="8" t="s">
        <v>6566</v>
      </c>
      <c r="I595" s="8"/>
      <c r="J595" s="15" t="s">
        <v>5695</v>
      </c>
      <c r="K595" s="8"/>
      <c r="L595" s="15" t="s">
        <v>1685</v>
      </c>
      <c r="M595" s="8" t="s">
        <v>5578</v>
      </c>
      <c r="N595" s="8"/>
      <c r="O595" s="8" t="s">
        <v>5574</v>
      </c>
      <c r="P595" s="11"/>
      <c r="Q595" s="8" t="s">
        <v>5696</v>
      </c>
      <c r="R595" s="8" t="s">
        <v>5919</v>
      </c>
      <c r="S595" s="8" t="s">
        <v>6568</v>
      </c>
    </row>
    <row r="596" spans="1:19" ht="107.1" customHeight="1" x14ac:dyDescent="0.25">
      <c r="A596" s="8" t="s">
        <v>6569</v>
      </c>
      <c r="B596" s="8" t="s">
        <v>5693</v>
      </c>
      <c r="C596" s="8" t="s">
        <v>5918</v>
      </c>
      <c r="D596" s="10">
        <v>275</v>
      </c>
      <c r="E596" s="8" t="s">
        <v>6570</v>
      </c>
      <c r="F596" s="8" t="s">
        <v>6571</v>
      </c>
      <c r="G596" s="8" t="s">
        <v>4727</v>
      </c>
      <c r="H596" s="8" t="s">
        <v>6570</v>
      </c>
      <c r="I596" s="8"/>
      <c r="J596" s="15" t="s">
        <v>5695</v>
      </c>
      <c r="K596" s="8"/>
      <c r="L596" s="15" t="s">
        <v>1685</v>
      </c>
      <c r="M596" s="8" t="s">
        <v>5578</v>
      </c>
      <c r="N596" s="8"/>
      <c r="O596" s="8" t="s">
        <v>5574</v>
      </c>
      <c r="P596" s="11"/>
      <c r="Q596" s="8" t="s">
        <v>5696</v>
      </c>
      <c r="R596" s="8" t="s">
        <v>5919</v>
      </c>
      <c r="S596" s="8" t="s">
        <v>6572</v>
      </c>
    </row>
    <row r="597" spans="1:19" ht="93" customHeight="1" x14ac:dyDescent="0.25">
      <c r="A597" s="8" t="s">
        <v>6573</v>
      </c>
      <c r="B597" s="8" t="s">
        <v>5693</v>
      </c>
      <c r="C597" s="8" t="s">
        <v>5918</v>
      </c>
      <c r="D597" s="10">
        <v>276</v>
      </c>
      <c r="E597" s="8" t="s">
        <v>6574</v>
      </c>
      <c r="F597" s="8" t="s">
        <v>6575</v>
      </c>
      <c r="G597" s="8" t="s">
        <v>4727</v>
      </c>
      <c r="H597" s="8" t="s">
        <v>6574</v>
      </c>
      <c r="I597" s="8"/>
      <c r="J597" s="15" t="s">
        <v>5695</v>
      </c>
      <c r="K597" s="8"/>
      <c r="L597" s="15" t="s">
        <v>1685</v>
      </c>
      <c r="M597" s="8" t="s">
        <v>5578</v>
      </c>
      <c r="N597" s="8"/>
      <c r="O597" s="8" t="s">
        <v>5574</v>
      </c>
      <c r="P597" s="11"/>
      <c r="Q597" s="8" t="s">
        <v>5696</v>
      </c>
      <c r="R597" s="8" t="s">
        <v>5919</v>
      </c>
      <c r="S597" s="8" t="s">
        <v>6576</v>
      </c>
    </row>
    <row r="598" spans="1:19" ht="107.1" customHeight="1" x14ac:dyDescent="0.25">
      <c r="A598" s="8" t="s">
        <v>6577</v>
      </c>
      <c r="B598" s="8" t="s">
        <v>5693</v>
      </c>
      <c r="C598" s="8" t="s">
        <v>5918</v>
      </c>
      <c r="D598" s="10">
        <v>277</v>
      </c>
      <c r="E598" s="8" t="s">
        <v>6578</v>
      </c>
      <c r="F598" s="8" t="s">
        <v>6579</v>
      </c>
      <c r="G598" s="8" t="s">
        <v>4727</v>
      </c>
      <c r="H598" s="8" t="s">
        <v>6578</v>
      </c>
      <c r="I598" s="8"/>
      <c r="J598" s="15" t="s">
        <v>5695</v>
      </c>
      <c r="K598" s="8"/>
      <c r="L598" s="15" t="s">
        <v>1685</v>
      </c>
      <c r="M598" s="8" t="s">
        <v>5578</v>
      </c>
      <c r="N598" s="8"/>
      <c r="O598" s="8" t="s">
        <v>5574</v>
      </c>
      <c r="P598" s="11"/>
      <c r="Q598" s="8" t="s">
        <v>5696</v>
      </c>
      <c r="R598" s="8" t="s">
        <v>5919</v>
      </c>
      <c r="S598" s="8" t="s">
        <v>6580</v>
      </c>
    </row>
    <row r="599" spans="1:19" ht="107.1" customHeight="1" x14ac:dyDescent="0.25">
      <c r="A599" s="8" t="s">
        <v>6581</v>
      </c>
      <c r="B599" s="8" t="s">
        <v>5693</v>
      </c>
      <c r="C599" s="8" t="s">
        <v>5918</v>
      </c>
      <c r="D599" s="10">
        <v>278</v>
      </c>
      <c r="E599" s="8" t="s">
        <v>6582</v>
      </c>
      <c r="F599" s="8" t="s">
        <v>6583</v>
      </c>
      <c r="G599" s="8" t="s">
        <v>4727</v>
      </c>
      <c r="H599" s="8" t="s">
        <v>6582</v>
      </c>
      <c r="I599" s="8"/>
      <c r="J599" s="15" t="s">
        <v>5695</v>
      </c>
      <c r="K599" s="8"/>
      <c r="L599" s="15" t="s">
        <v>1685</v>
      </c>
      <c r="M599" s="8" t="s">
        <v>5578</v>
      </c>
      <c r="N599" s="8"/>
      <c r="O599" s="8" t="s">
        <v>5574</v>
      </c>
      <c r="P599" s="11"/>
      <c r="Q599" s="8" t="s">
        <v>5696</v>
      </c>
      <c r="R599" s="8" t="s">
        <v>5919</v>
      </c>
      <c r="S599" s="8" t="s">
        <v>6584</v>
      </c>
    </row>
    <row r="600" spans="1:19" ht="107.1" customHeight="1" x14ac:dyDescent="0.25">
      <c r="A600" s="8" t="s">
        <v>6585</v>
      </c>
      <c r="B600" s="8" t="s">
        <v>5693</v>
      </c>
      <c r="C600" s="8" t="s">
        <v>5918</v>
      </c>
      <c r="D600" s="10">
        <v>279</v>
      </c>
      <c r="E600" s="8" t="s">
        <v>6586</v>
      </c>
      <c r="F600" s="8" t="s">
        <v>6587</v>
      </c>
      <c r="G600" s="8" t="s">
        <v>4727</v>
      </c>
      <c r="H600" s="8" t="s">
        <v>6586</v>
      </c>
      <c r="I600" s="8"/>
      <c r="J600" s="15" t="s">
        <v>5695</v>
      </c>
      <c r="K600" s="8"/>
      <c r="L600" s="15" t="s">
        <v>1685</v>
      </c>
      <c r="M600" s="8" t="s">
        <v>5578</v>
      </c>
      <c r="N600" s="8"/>
      <c r="O600" s="8" t="s">
        <v>5574</v>
      </c>
      <c r="P600" s="11"/>
      <c r="Q600" s="8" t="s">
        <v>5696</v>
      </c>
      <c r="R600" s="8" t="s">
        <v>5919</v>
      </c>
      <c r="S600" s="8" t="s">
        <v>6588</v>
      </c>
    </row>
    <row r="601" spans="1:19" ht="107.1" customHeight="1" x14ac:dyDescent="0.25">
      <c r="A601" s="8" t="s">
        <v>6589</v>
      </c>
      <c r="B601" s="8" t="s">
        <v>5693</v>
      </c>
      <c r="C601" s="8" t="s">
        <v>5918</v>
      </c>
      <c r="D601" s="10">
        <v>280</v>
      </c>
      <c r="E601" s="8" t="s">
        <v>6590</v>
      </c>
      <c r="F601" s="8" t="s">
        <v>6591</v>
      </c>
      <c r="G601" s="8" t="s">
        <v>4727</v>
      </c>
      <c r="H601" s="8" t="s">
        <v>6590</v>
      </c>
      <c r="I601" s="8"/>
      <c r="J601" s="15" t="s">
        <v>5695</v>
      </c>
      <c r="K601" s="8"/>
      <c r="L601" s="15" t="s">
        <v>1685</v>
      </c>
      <c r="M601" s="8" t="s">
        <v>5578</v>
      </c>
      <c r="N601" s="8"/>
      <c r="O601" s="8" t="s">
        <v>5574</v>
      </c>
      <c r="P601" s="11"/>
      <c r="Q601" s="8" t="s">
        <v>5696</v>
      </c>
      <c r="R601" s="8" t="s">
        <v>5919</v>
      </c>
      <c r="S601" s="8" t="s">
        <v>6592</v>
      </c>
    </row>
    <row r="602" spans="1:19" ht="93" customHeight="1" x14ac:dyDescent="0.25">
      <c r="A602" s="8" t="s">
        <v>6593</v>
      </c>
      <c r="B602" s="8" t="s">
        <v>5693</v>
      </c>
      <c r="C602" s="8" t="s">
        <v>5918</v>
      </c>
      <c r="D602" s="10">
        <v>281</v>
      </c>
      <c r="E602" s="8" t="s">
        <v>6594</v>
      </c>
      <c r="F602" s="8" t="s">
        <v>6595</v>
      </c>
      <c r="G602" s="8" t="s">
        <v>4727</v>
      </c>
      <c r="H602" s="8" t="s">
        <v>6594</v>
      </c>
      <c r="I602" s="8"/>
      <c r="J602" s="15" t="s">
        <v>5695</v>
      </c>
      <c r="K602" s="8"/>
      <c r="L602" s="15" t="s">
        <v>1685</v>
      </c>
      <c r="M602" s="8" t="s">
        <v>5578</v>
      </c>
      <c r="N602" s="8"/>
      <c r="O602" s="8" t="s">
        <v>5574</v>
      </c>
      <c r="P602" s="11"/>
      <c r="Q602" s="8" t="s">
        <v>5696</v>
      </c>
      <c r="R602" s="8" t="s">
        <v>5919</v>
      </c>
      <c r="S602" s="8" t="s">
        <v>6596</v>
      </c>
    </row>
    <row r="603" spans="1:19" ht="107.1" customHeight="1" x14ac:dyDescent="0.25">
      <c r="A603" s="8" t="s">
        <v>6597</v>
      </c>
      <c r="B603" s="8" t="s">
        <v>5693</v>
      </c>
      <c r="C603" s="8" t="s">
        <v>5918</v>
      </c>
      <c r="D603" s="10">
        <v>282</v>
      </c>
      <c r="E603" s="8" t="s">
        <v>6598</v>
      </c>
      <c r="F603" s="8" t="s">
        <v>6599</v>
      </c>
      <c r="G603" s="8" t="s">
        <v>4727</v>
      </c>
      <c r="H603" s="8" t="s">
        <v>6598</v>
      </c>
      <c r="I603" s="8"/>
      <c r="J603" s="15" t="s">
        <v>5695</v>
      </c>
      <c r="K603" s="8"/>
      <c r="L603" s="15" t="s">
        <v>1685</v>
      </c>
      <c r="M603" s="8" t="s">
        <v>5578</v>
      </c>
      <c r="N603" s="8"/>
      <c r="O603" s="8" t="s">
        <v>5574</v>
      </c>
      <c r="P603" s="11"/>
      <c r="Q603" s="8" t="s">
        <v>5696</v>
      </c>
      <c r="R603" s="8" t="s">
        <v>5919</v>
      </c>
      <c r="S603" s="8" t="s">
        <v>6600</v>
      </c>
    </row>
    <row r="604" spans="1:19" ht="107.1" customHeight="1" x14ac:dyDescent="0.25">
      <c r="A604" s="8" t="s">
        <v>6601</v>
      </c>
      <c r="B604" s="8" t="s">
        <v>5693</v>
      </c>
      <c r="C604" s="8" t="s">
        <v>5918</v>
      </c>
      <c r="D604" s="10">
        <v>283</v>
      </c>
      <c r="E604" s="8" t="s">
        <v>6602</v>
      </c>
      <c r="F604" s="8" t="s">
        <v>6603</v>
      </c>
      <c r="G604" s="8" t="s">
        <v>4727</v>
      </c>
      <c r="H604" s="8" t="s">
        <v>6602</v>
      </c>
      <c r="I604" s="8"/>
      <c r="J604" s="15" t="s">
        <v>5695</v>
      </c>
      <c r="K604" s="8"/>
      <c r="L604" s="15" t="s">
        <v>1685</v>
      </c>
      <c r="M604" s="8" t="s">
        <v>5578</v>
      </c>
      <c r="N604" s="8"/>
      <c r="O604" s="8" t="s">
        <v>5574</v>
      </c>
      <c r="P604" s="11"/>
      <c r="Q604" s="8" t="s">
        <v>5696</v>
      </c>
      <c r="R604" s="8" t="s">
        <v>5919</v>
      </c>
      <c r="S604" s="8" t="s">
        <v>6604</v>
      </c>
    </row>
    <row r="605" spans="1:19" ht="107.1" customHeight="1" x14ac:dyDescent="0.25">
      <c r="A605" s="8" t="s">
        <v>6605</v>
      </c>
      <c r="B605" s="8" t="s">
        <v>5693</v>
      </c>
      <c r="C605" s="8" t="s">
        <v>5918</v>
      </c>
      <c r="D605" s="10">
        <v>284</v>
      </c>
      <c r="E605" s="8" t="s">
        <v>6606</v>
      </c>
      <c r="F605" s="8" t="s">
        <v>6607</v>
      </c>
      <c r="G605" s="8" t="s">
        <v>4727</v>
      </c>
      <c r="H605" s="8" t="s">
        <v>6606</v>
      </c>
      <c r="I605" s="8"/>
      <c r="J605" s="15" t="s">
        <v>5695</v>
      </c>
      <c r="K605" s="8"/>
      <c r="L605" s="15" t="s">
        <v>1685</v>
      </c>
      <c r="M605" s="8" t="s">
        <v>5578</v>
      </c>
      <c r="N605" s="8"/>
      <c r="O605" s="8" t="s">
        <v>5574</v>
      </c>
      <c r="P605" s="11"/>
      <c r="Q605" s="8" t="s">
        <v>5696</v>
      </c>
      <c r="R605" s="8" t="s">
        <v>5919</v>
      </c>
      <c r="S605" s="8" t="s">
        <v>6608</v>
      </c>
    </row>
    <row r="606" spans="1:19" ht="107.1" customHeight="1" x14ac:dyDescent="0.25">
      <c r="A606" s="8" t="s">
        <v>6609</v>
      </c>
      <c r="B606" s="8" t="s">
        <v>5693</v>
      </c>
      <c r="C606" s="8" t="s">
        <v>5918</v>
      </c>
      <c r="D606" s="10">
        <v>285</v>
      </c>
      <c r="E606" s="8" t="s">
        <v>6610</v>
      </c>
      <c r="F606" s="8" t="s">
        <v>6611</v>
      </c>
      <c r="G606" s="8" t="s">
        <v>4727</v>
      </c>
      <c r="H606" s="8" t="s">
        <v>6610</v>
      </c>
      <c r="I606" s="8"/>
      <c r="J606" s="15" t="s">
        <v>5695</v>
      </c>
      <c r="K606" s="8"/>
      <c r="L606" s="15" t="s">
        <v>1685</v>
      </c>
      <c r="M606" s="8" t="s">
        <v>5578</v>
      </c>
      <c r="N606" s="8"/>
      <c r="O606" s="8" t="s">
        <v>5574</v>
      </c>
      <c r="P606" s="11"/>
      <c r="Q606" s="8" t="s">
        <v>5696</v>
      </c>
      <c r="R606" s="8" t="s">
        <v>5919</v>
      </c>
      <c r="S606" s="8" t="s">
        <v>6612</v>
      </c>
    </row>
    <row r="607" spans="1:19" ht="107.1" customHeight="1" x14ac:dyDescent="0.25">
      <c r="A607" s="8" t="s">
        <v>6613</v>
      </c>
      <c r="B607" s="8" t="s">
        <v>5693</v>
      </c>
      <c r="C607" s="8" t="s">
        <v>5918</v>
      </c>
      <c r="D607" s="10">
        <v>286</v>
      </c>
      <c r="E607" s="8" t="s">
        <v>6614</v>
      </c>
      <c r="F607" s="8" t="s">
        <v>6615</v>
      </c>
      <c r="G607" s="8" t="s">
        <v>4727</v>
      </c>
      <c r="H607" s="8" t="s">
        <v>6614</v>
      </c>
      <c r="I607" s="8"/>
      <c r="J607" s="15" t="s">
        <v>5695</v>
      </c>
      <c r="K607" s="8"/>
      <c r="L607" s="15" t="s">
        <v>1685</v>
      </c>
      <c r="M607" s="8" t="s">
        <v>5578</v>
      </c>
      <c r="N607" s="8"/>
      <c r="O607" s="8" t="s">
        <v>5574</v>
      </c>
      <c r="P607" s="11"/>
      <c r="Q607" s="8" t="s">
        <v>5696</v>
      </c>
      <c r="R607" s="8" t="s">
        <v>5919</v>
      </c>
      <c r="S607" s="8" t="s">
        <v>6616</v>
      </c>
    </row>
    <row r="608" spans="1:19" ht="107.1" customHeight="1" x14ac:dyDescent="0.25">
      <c r="A608" s="8" t="s">
        <v>6617</v>
      </c>
      <c r="B608" s="8" t="s">
        <v>5693</v>
      </c>
      <c r="C608" s="8" t="s">
        <v>5918</v>
      </c>
      <c r="D608" s="10">
        <v>287</v>
      </c>
      <c r="E608" s="8" t="s">
        <v>6618</v>
      </c>
      <c r="F608" s="8" t="s">
        <v>6619</v>
      </c>
      <c r="G608" s="8" t="s">
        <v>4727</v>
      </c>
      <c r="H608" s="8" t="s">
        <v>6618</v>
      </c>
      <c r="I608" s="8"/>
      <c r="J608" s="15" t="s">
        <v>5695</v>
      </c>
      <c r="K608" s="8"/>
      <c r="L608" s="15" t="s">
        <v>1685</v>
      </c>
      <c r="M608" s="8" t="s">
        <v>5578</v>
      </c>
      <c r="N608" s="8"/>
      <c r="O608" s="8" t="s">
        <v>5574</v>
      </c>
      <c r="P608" s="11"/>
      <c r="Q608" s="8" t="s">
        <v>5696</v>
      </c>
      <c r="R608" s="8" t="s">
        <v>5919</v>
      </c>
      <c r="S608" s="8" t="s">
        <v>6620</v>
      </c>
    </row>
    <row r="609" spans="1:19" ht="93" customHeight="1" x14ac:dyDescent="0.25">
      <c r="A609" s="8" t="s">
        <v>6621</v>
      </c>
      <c r="B609" s="8" t="s">
        <v>5693</v>
      </c>
      <c r="C609" s="8" t="s">
        <v>5918</v>
      </c>
      <c r="D609" s="10">
        <v>288</v>
      </c>
      <c r="E609" s="8" t="s">
        <v>6622</v>
      </c>
      <c r="F609" s="8" t="s">
        <v>6623</v>
      </c>
      <c r="G609" s="8" t="s">
        <v>4727</v>
      </c>
      <c r="H609" s="8" t="s">
        <v>6622</v>
      </c>
      <c r="I609" s="8"/>
      <c r="J609" s="15" t="s">
        <v>5695</v>
      </c>
      <c r="K609" s="8"/>
      <c r="L609" s="15" t="s">
        <v>1685</v>
      </c>
      <c r="M609" s="8" t="s">
        <v>5578</v>
      </c>
      <c r="N609" s="8"/>
      <c r="O609" s="8" t="s">
        <v>5574</v>
      </c>
      <c r="P609" s="11"/>
      <c r="Q609" s="8" t="s">
        <v>5696</v>
      </c>
      <c r="R609" s="8" t="s">
        <v>5919</v>
      </c>
      <c r="S609" s="8" t="s">
        <v>6624</v>
      </c>
    </row>
    <row r="610" spans="1:19" ht="107.1" customHeight="1" x14ac:dyDescent="0.25">
      <c r="A610" s="8" t="s">
        <v>6625</v>
      </c>
      <c r="B610" s="8" t="s">
        <v>5693</v>
      </c>
      <c r="C610" s="8" t="s">
        <v>5918</v>
      </c>
      <c r="D610" s="10">
        <v>289</v>
      </c>
      <c r="E610" s="8" t="s">
        <v>6626</v>
      </c>
      <c r="F610" s="8" t="s">
        <v>6627</v>
      </c>
      <c r="G610" s="8" t="s">
        <v>4727</v>
      </c>
      <c r="H610" s="8" t="s">
        <v>6626</v>
      </c>
      <c r="I610" s="8"/>
      <c r="J610" s="15" t="s">
        <v>5695</v>
      </c>
      <c r="K610" s="8"/>
      <c r="L610" s="15" t="s">
        <v>1685</v>
      </c>
      <c r="M610" s="8" t="s">
        <v>5578</v>
      </c>
      <c r="N610" s="8"/>
      <c r="O610" s="8" t="s">
        <v>5574</v>
      </c>
      <c r="P610" s="11"/>
      <c r="Q610" s="8" t="s">
        <v>5696</v>
      </c>
      <c r="R610" s="8" t="s">
        <v>5919</v>
      </c>
      <c r="S610" s="8" t="s">
        <v>6628</v>
      </c>
    </row>
    <row r="611" spans="1:19" ht="93" customHeight="1" x14ac:dyDescent="0.25">
      <c r="A611" s="8" t="s">
        <v>6629</v>
      </c>
      <c r="B611" s="8" t="s">
        <v>5693</v>
      </c>
      <c r="C611" s="8" t="s">
        <v>5918</v>
      </c>
      <c r="D611" s="10">
        <v>290</v>
      </c>
      <c r="E611" s="8" t="s">
        <v>1004</v>
      </c>
      <c r="F611" s="8" t="s">
        <v>6630</v>
      </c>
      <c r="G611" s="8" t="s">
        <v>4551</v>
      </c>
      <c r="H611" s="8" t="s">
        <v>1004</v>
      </c>
      <c r="I611" s="8" t="s">
        <v>1004</v>
      </c>
      <c r="J611" s="15" t="s">
        <v>5695</v>
      </c>
      <c r="K611" s="8"/>
      <c r="L611" s="15" t="s">
        <v>1685</v>
      </c>
      <c r="M611" s="8" t="s">
        <v>5578</v>
      </c>
      <c r="N611" s="8"/>
      <c r="O611" s="8" t="s">
        <v>5574</v>
      </c>
      <c r="P611" s="11"/>
      <c r="Q611" s="8" t="s">
        <v>5696</v>
      </c>
      <c r="R611" s="8" t="s">
        <v>5919</v>
      </c>
      <c r="S611" s="8" t="s">
        <v>6631</v>
      </c>
    </row>
    <row r="612" spans="1:19" ht="107.1" customHeight="1" x14ac:dyDescent="0.25">
      <c r="A612" s="8" t="s">
        <v>6632</v>
      </c>
      <c r="B612" s="8" t="s">
        <v>5693</v>
      </c>
      <c r="C612" s="8" t="s">
        <v>5918</v>
      </c>
      <c r="D612" s="10">
        <v>291</v>
      </c>
      <c r="E612" s="8" t="s">
        <v>6633</v>
      </c>
      <c r="F612" s="8" t="s">
        <v>6634</v>
      </c>
      <c r="G612" s="8" t="s">
        <v>4727</v>
      </c>
      <c r="H612" s="8" t="s">
        <v>6633</v>
      </c>
      <c r="I612" s="8"/>
      <c r="J612" s="15" t="s">
        <v>5695</v>
      </c>
      <c r="K612" s="8"/>
      <c r="L612" s="15" t="s">
        <v>1685</v>
      </c>
      <c r="M612" s="8" t="s">
        <v>5578</v>
      </c>
      <c r="N612" s="8"/>
      <c r="O612" s="8" t="s">
        <v>5574</v>
      </c>
      <c r="P612" s="11"/>
      <c r="Q612" s="8" t="s">
        <v>5696</v>
      </c>
      <c r="R612" s="8" t="s">
        <v>5919</v>
      </c>
      <c r="S612" s="8" t="s">
        <v>6635</v>
      </c>
    </row>
    <row r="613" spans="1:19" ht="107.1" customHeight="1" x14ac:dyDescent="0.25">
      <c r="A613" s="8" t="s">
        <v>6636</v>
      </c>
      <c r="B613" s="8" t="s">
        <v>5693</v>
      </c>
      <c r="C613" s="8" t="s">
        <v>5918</v>
      </c>
      <c r="D613" s="10">
        <v>292</v>
      </c>
      <c r="E613" s="8" t="s">
        <v>6637</v>
      </c>
      <c r="F613" s="8" t="s">
        <v>6638</v>
      </c>
      <c r="G613" s="8" t="s">
        <v>4727</v>
      </c>
      <c r="H613" s="8" t="s">
        <v>6637</v>
      </c>
      <c r="I613" s="8"/>
      <c r="J613" s="15" t="s">
        <v>5695</v>
      </c>
      <c r="K613" s="8"/>
      <c r="L613" s="15" t="s">
        <v>1685</v>
      </c>
      <c r="M613" s="8" t="s">
        <v>5578</v>
      </c>
      <c r="N613" s="8"/>
      <c r="O613" s="8" t="s">
        <v>5574</v>
      </c>
      <c r="P613" s="11"/>
      <c r="Q613" s="8" t="s">
        <v>5696</v>
      </c>
      <c r="R613" s="8" t="s">
        <v>5919</v>
      </c>
      <c r="S613" s="8" t="s">
        <v>6639</v>
      </c>
    </row>
    <row r="614" spans="1:19" ht="107.1" customHeight="1" x14ac:dyDescent="0.25">
      <c r="A614" s="8" t="s">
        <v>6640</v>
      </c>
      <c r="B614" s="8" t="s">
        <v>5693</v>
      </c>
      <c r="C614" s="8" t="s">
        <v>5918</v>
      </c>
      <c r="D614" s="10">
        <v>293</v>
      </c>
      <c r="E614" s="8" t="s">
        <v>6641</v>
      </c>
      <c r="F614" s="8" t="s">
        <v>6642</v>
      </c>
      <c r="G614" s="8" t="s">
        <v>4727</v>
      </c>
      <c r="H614" s="8" t="s">
        <v>6641</v>
      </c>
      <c r="I614" s="8"/>
      <c r="J614" s="15" t="s">
        <v>5695</v>
      </c>
      <c r="K614" s="8"/>
      <c r="L614" s="15" t="s">
        <v>1685</v>
      </c>
      <c r="M614" s="8" t="s">
        <v>5578</v>
      </c>
      <c r="N614" s="8"/>
      <c r="O614" s="8" t="s">
        <v>5574</v>
      </c>
      <c r="P614" s="11"/>
      <c r="Q614" s="8" t="s">
        <v>5696</v>
      </c>
      <c r="R614" s="8" t="s">
        <v>5919</v>
      </c>
      <c r="S614" s="8" t="s">
        <v>6643</v>
      </c>
    </row>
    <row r="615" spans="1:19" ht="107.1" customHeight="1" x14ac:dyDescent="0.25">
      <c r="A615" s="8" t="s">
        <v>6644</v>
      </c>
      <c r="B615" s="8" t="s">
        <v>5693</v>
      </c>
      <c r="C615" s="8" t="s">
        <v>5918</v>
      </c>
      <c r="D615" s="10">
        <v>294</v>
      </c>
      <c r="E615" s="8" t="s">
        <v>6645</v>
      </c>
      <c r="F615" s="8" t="s">
        <v>6646</v>
      </c>
      <c r="G615" s="8" t="s">
        <v>4727</v>
      </c>
      <c r="H615" s="8" t="s">
        <v>6645</v>
      </c>
      <c r="I615" s="8"/>
      <c r="J615" s="15" t="s">
        <v>5695</v>
      </c>
      <c r="K615" s="8"/>
      <c r="L615" s="15" t="s">
        <v>1685</v>
      </c>
      <c r="M615" s="8" t="s">
        <v>5578</v>
      </c>
      <c r="N615" s="8"/>
      <c r="O615" s="8" t="s">
        <v>5574</v>
      </c>
      <c r="P615" s="11"/>
      <c r="Q615" s="8" t="s">
        <v>5696</v>
      </c>
      <c r="R615" s="8" t="s">
        <v>5919</v>
      </c>
      <c r="S615" s="8" t="s">
        <v>6647</v>
      </c>
    </row>
    <row r="616" spans="1:19" ht="107.1" customHeight="1" x14ac:dyDescent="0.25">
      <c r="A616" s="8" t="s">
        <v>6648</v>
      </c>
      <c r="B616" s="8" t="s">
        <v>5693</v>
      </c>
      <c r="C616" s="8" t="s">
        <v>5918</v>
      </c>
      <c r="D616" s="10">
        <v>295</v>
      </c>
      <c r="E616" s="8" t="s">
        <v>6649</v>
      </c>
      <c r="F616" s="8" t="s">
        <v>6650</v>
      </c>
      <c r="G616" s="8" t="s">
        <v>4727</v>
      </c>
      <c r="H616" s="8" t="s">
        <v>6649</v>
      </c>
      <c r="I616" s="8"/>
      <c r="J616" s="15" t="s">
        <v>5695</v>
      </c>
      <c r="K616" s="8"/>
      <c r="L616" s="15" t="s">
        <v>1685</v>
      </c>
      <c r="M616" s="8" t="s">
        <v>5578</v>
      </c>
      <c r="N616" s="8"/>
      <c r="O616" s="8" t="s">
        <v>5574</v>
      </c>
      <c r="P616" s="11"/>
      <c r="Q616" s="8" t="s">
        <v>5696</v>
      </c>
      <c r="R616" s="8" t="s">
        <v>5919</v>
      </c>
      <c r="S616" s="8" t="s">
        <v>6651</v>
      </c>
    </row>
    <row r="617" spans="1:19" ht="107.1" customHeight="1" x14ac:dyDescent="0.25">
      <c r="A617" s="8" t="s">
        <v>6652</v>
      </c>
      <c r="B617" s="8" t="s">
        <v>5693</v>
      </c>
      <c r="C617" s="8" t="s">
        <v>5918</v>
      </c>
      <c r="D617" s="10">
        <v>296</v>
      </c>
      <c r="E617" s="8" t="s">
        <v>6653</v>
      </c>
      <c r="F617" s="8" t="s">
        <v>6654</v>
      </c>
      <c r="G617" s="8" t="s">
        <v>4727</v>
      </c>
      <c r="H617" s="8" t="s">
        <v>6653</v>
      </c>
      <c r="I617" s="8"/>
      <c r="J617" s="15" t="s">
        <v>5695</v>
      </c>
      <c r="K617" s="8"/>
      <c r="L617" s="15" t="s">
        <v>1685</v>
      </c>
      <c r="M617" s="8" t="s">
        <v>5578</v>
      </c>
      <c r="N617" s="8"/>
      <c r="O617" s="8" t="s">
        <v>5574</v>
      </c>
      <c r="P617" s="11"/>
      <c r="Q617" s="8" t="s">
        <v>5696</v>
      </c>
      <c r="R617" s="8" t="s">
        <v>5919</v>
      </c>
      <c r="S617" s="8" t="s">
        <v>6655</v>
      </c>
    </row>
    <row r="618" spans="1:19" ht="107.1" customHeight="1" x14ac:dyDescent="0.25">
      <c r="A618" s="8" t="s">
        <v>6656</v>
      </c>
      <c r="B618" s="8" t="s">
        <v>5693</v>
      </c>
      <c r="C618" s="8" t="s">
        <v>5918</v>
      </c>
      <c r="D618" s="10">
        <v>297</v>
      </c>
      <c r="E618" s="8" t="s">
        <v>581</v>
      </c>
      <c r="F618" s="8" t="s">
        <v>6657</v>
      </c>
      <c r="G618" s="8" t="s">
        <v>4551</v>
      </c>
      <c r="H618" s="8" t="s">
        <v>581</v>
      </c>
      <c r="I618" s="8" t="s">
        <v>581</v>
      </c>
      <c r="J618" s="15" t="s">
        <v>5695</v>
      </c>
      <c r="K618" s="8"/>
      <c r="L618" s="15" t="s">
        <v>1685</v>
      </c>
      <c r="M618" s="8" t="s">
        <v>5578</v>
      </c>
      <c r="N618" s="8"/>
      <c r="O618" s="8" t="s">
        <v>5574</v>
      </c>
      <c r="P618" s="11"/>
      <c r="Q618" s="8" t="s">
        <v>5696</v>
      </c>
      <c r="R618" s="8" t="s">
        <v>5919</v>
      </c>
      <c r="S618" s="8" t="s">
        <v>6658</v>
      </c>
    </row>
    <row r="619" spans="1:19" ht="107.1" customHeight="1" x14ac:dyDescent="0.25">
      <c r="A619" s="8" t="s">
        <v>6659</v>
      </c>
      <c r="B619" s="8" t="s">
        <v>5693</v>
      </c>
      <c r="C619" s="8" t="s">
        <v>5918</v>
      </c>
      <c r="D619" s="10">
        <v>298</v>
      </c>
      <c r="E619" s="8" t="s">
        <v>6660</v>
      </c>
      <c r="F619" s="8" t="s">
        <v>6661</v>
      </c>
      <c r="G619" s="8" t="s">
        <v>4727</v>
      </c>
      <c r="H619" s="8" t="s">
        <v>6660</v>
      </c>
      <c r="I619" s="8"/>
      <c r="J619" s="15" t="s">
        <v>5695</v>
      </c>
      <c r="K619" s="8"/>
      <c r="L619" s="15" t="s">
        <v>1685</v>
      </c>
      <c r="M619" s="8" t="s">
        <v>5578</v>
      </c>
      <c r="N619" s="8"/>
      <c r="O619" s="8" t="s">
        <v>5574</v>
      </c>
      <c r="P619" s="11"/>
      <c r="Q619" s="8" t="s">
        <v>5696</v>
      </c>
      <c r="R619" s="8" t="s">
        <v>5919</v>
      </c>
      <c r="S619" s="8" t="s">
        <v>6662</v>
      </c>
    </row>
    <row r="620" spans="1:19" ht="107.1" customHeight="1" x14ac:dyDescent="0.25">
      <c r="A620" s="8" t="s">
        <v>6663</v>
      </c>
      <c r="B620" s="8" t="s">
        <v>5693</v>
      </c>
      <c r="C620" s="8" t="s">
        <v>5918</v>
      </c>
      <c r="D620" s="10">
        <v>299</v>
      </c>
      <c r="E620" s="8" t="s">
        <v>6664</v>
      </c>
      <c r="F620" s="8" t="s">
        <v>6665</v>
      </c>
      <c r="G620" s="8" t="s">
        <v>4727</v>
      </c>
      <c r="H620" s="8" t="s">
        <v>6664</v>
      </c>
      <c r="I620" s="8"/>
      <c r="J620" s="15" t="s">
        <v>5695</v>
      </c>
      <c r="K620" s="8"/>
      <c r="L620" s="15" t="s">
        <v>1685</v>
      </c>
      <c r="M620" s="8" t="s">
        <v>5578</v>
      </c>
      <c r="N620" s="8"/>
      <c r="O620" s="8" t="s">
        <v>5574</v>
      </c>
      <c r="P620" s="11"/>
      <c r="Q620" s="8" t="s">
        <v>5696</v>
      </c>
      <c r="R620" s="8" t="s">
        <v>5919</v>
      </c>
      <c r="S620" s="8" t="s">
        <v>6666</v>
      </c>
    </row>
    <row r="621" spans="1:19" ht="93" customHeight="1" x14ac:dyDescent="0.25">
      <c r="A621" s="8" t="s">
        <v>6667</v>
      </c>
      <c r="B621" s="8" t="s">
        <v>5693</v>
      </c>
      <c r="C621" s="8" t="s">
        <v>5918</v>
      </c>
      <c r="D621" s="10">
        <v>300</v>
      </c>
      <c r="E621" s="8" t="s">
        <v>6668</v>
      </c>
      <c r="F621" s="8" t="s">
        <v>6669</v>
      </c>
      <c r="G621" s="8" t="s">
        <v>4727</v>
      </c>
      <c r="H621" s="8" t="s">
        <v>6668</v>
      </c>
      <c r="I621" s="8"/>
      <c r="J621" s="15" t="s">
        <v>5695</v>
      </c>
      <c r="K621" s="8"/>
      <c r="L621" s="15" t="s">
        <v>1685</v>
      </c>
      <c r="M621" s="8" t="s">
        <v>5578</v>
      </c>
      <c r="N621" s="8"/>
      <c r="O621" s="8" t="s">
        <v>5574</v>
      </c>
      <c r="P621" s="11"/>
      <c r="Q621" s="8" t="s">
        <v>5696</v>
      </c>
      <c r="R621" s="8" t="s">
        <v>5919</v>
      </c>
      <c r="S621" s="8" t="s">
        <v>6670</v>
      </c>
    </row>
    <row r="622" spans="1:19" ht="93" customHeight="1" x14ac:dyDescent="0.25">
      <c r="A622" s="8" t="s">
        <v>6671</v>
      </c>
      <c r="B622" s="8" t="s">
        <v>5693</v>
      </c>
      <c r="C622" s="8" t="s">
        <v>5918</v>
      </c>
      <c r="D622" s="10">
        <v>301</v>
      </c>
      <c r="E622" s="8" t="s">
        <v>6672</v>
      </c>
      <c r="F622" s="8" t="s">
        <v>6673</v>
      </c>
      <c r="G622" s="8" t="s">
        <v>4727</v>
      </c>
      <c r="H622" s="8" t="s">
        <v>6672</v>
      </c>
      <c r="I622" s="8"/>
      <c r="J622" s="15" t="s">
        <v>5695</v>
      </c>
      <c r="K622" s="8"/>
      <c r="L622" s="15" t="s">
        <v>1685</v>
      </c>
      <c r="M622" s="8" t="s">
        <v>5578</v>
      </c>
      <c r="N622" s="8"/>
      <c r="O622" s="8" t="s">
        <v>5574</v>
      </c>
      <c r="P622" s="11"/>
      <c r="Q622" s="8" t="s">
        <v>5696</v>
      </c>
      <c r="R622" s="8" t="s">
        <v>5919</v>
      </c>
      <c r="S622" s="8" t="s">
        <v>6674</v>
      </c>
    </row>
    <row r="623" spans="1:19" ht="107.1" customHeight="1" x14ac:dyDescent="0.25">
      <c r="A623" s="8" t="s">
        <v>6675</v>
      </c>
      <c r="B623" s="8" t="s">
        <v>5693</v>
      </c>
      <c r="C623" s="8" t="s">
        <v>5918</v>
      </c>
      <c r="D623" s="10">
        <v>302</v>
      </c>
      <c r="E623" s="8" t="s">
        <v>6676</v>
      </c>
      <c r="F623" s="8" t="s">
        <v>6677</v>
      </c>
      <c r="G623" s="8" t="s">
        <v>4727</v>
      </c>
      <c r="H623" s="8" t="s">
        <v>6676</v>
      </c>
      <c r="I623" s="8"/>
      <c r="J623" s="15" t="s">
        <v>5695</v>
      </c>
      <c r="K623" s="8"/>
      <c r="L623" s="15" t="s">
        <v>1685</v>
      </c>
      <c r="M623" s="8" t="s">
        <v>5578</v>
      </c>
      <c r="N623" s="8"/>
      <c r="O623" s="8" t="s">
        <v>5574</v>
      </c>
      <c r="P623" s="11"/>
      <c r="Q623" s="8" t="s">
        <v>5696</v>
      </c>
      <c r="R623" s="8" t="s">
        <v>5919</v>
      </c>
      <c r="S623" s="8" t="s">
        <v>6678</v>
      </c>
    </row>
    <row r="624" spans="1:19" ht="93" customHeight="1" x14ac:dyDescent="0.25">
      <c r="A624" s="8" t="s">
        <v>6679</v>
      </c>
      <c r="B624" s="8" t="s">
        <v>5693</v>
      </c>
      <c r="C624" s="8" t="s">
        <v>5918</v>
      </c>
      <c r="D624" s="10">
        <v>303</v>
      </c>
      <c r="E624" s="8" t="s">
        <v>6680</v>
      </c>
      <c r="F624" s="8" t="s">
        <v>6681</v>
      </c>
      <c r="G624" s="8" t="s">
        <v>4727</v>
      </c>
      <c r="H624" s="8" t="s">
        <v>6680</v>
      </c>
      <c r="I624" s="8"/>
      <c r="J624" s="15" t="s">
        <v>5695</v>
      </c>
      <c r="K624" s="8"/>
      <c r="L624" s="15" t="s">
        <v>1685</v>
      </c>
      <c r="M624" s="8" t="s">
        <v>5578</v>
      </c>
      <c r="N624" s="8"/>
      <c r="O624" s="8" t="s">
        <v>5574</v>
      </c>
      <c r="P624" s="11"/>
      <c r="Q624" s="8" t="s">
        <v>5696</v>
      </c>
      <c r="R624" s="8" t="s">
        <v>5919</v>
      </c>
      <c r="S624" s="8" t="s">
        <v>6682</v>
      </c>
    </row>
    <row r="625" spans="1:19" ht="107.1" customHeight="1" x14ac:dyDescent="0.25">
      <c r="A625" s="8" t="s">
        <v>6683</v>
      </c>
      <c r="B625" s="8" t="s">
        <v>5693</v>
      </c>
      <c r="C625" s="8" t="s">
        <v>5918</v>
      </c>
      <c r="D625" s="10">
        <v>304</v>
      </c>
      <c r="E625" s="8" t="s">
        <v>6684</v>
      </c>
      <c r="F625" s="8" t="s">
        <v>6685</v>
      </c>
      <c r="G625" s="8" t="s">
        <v>4727</v>
      </c>
      <c r="H625" s="8" t="s">
        <v>6684</v>
      </c>
      <c r="I625" s="8"/>
      <c r="J625" s="15" t="s">
        <v>5695</v>
      </c>
      <c r="K625" s="8"/>
      <c r="L625" s="15" t="s">
        <v>1685</v>
      </c>
      <c r="M625" s="8" t="s">
        <v>5578</v>
      </c>
      <c r="N625" s="8"/>
      <c r="O625" s="8" t="s">
        <v>5574</v>
      </c>
      <c r="P625" s="11"/>
      <c r="Q625" s="8" t="s">
        <v>5696</v>
      </c>
      <c r="R625" s="8" t="s">
        <v>5919</v>
      </c>
      <c r="S625" s="8" t="s">
        <v>6686</v>
      </c>
    </row>
    <row r="626" spans="1:19" ht="107.1" customHeight="1" x14ac:dyDescent="0.25">
      <c r="A626" s="8" t="s">
        <v>6687</v>
      </c>
      <c r="B626" s="8" t="s">
        <v>5693</v>
      </c>
      <c r="C626" s="8" t="s">
        <v>5918</v>
      </c>
      <c r="D626" s="10">
        <v>305</v>
      </c>
      <c r="E626" s="8" t="s">
        <v>6688</v>
      </c>
      <c r="F626" s="8" t="s">
        <v>6689</v>
      </c>
      <c r="G626" s="8" t="s">
        <v>4727</v>
      </c>
      <c r="H626" s="8" t="s">
        <v>6688</v>
      </c>
      <c r="I626" s="8"/>
      <c r="J626" s="15" t="s">
        <v>5695</v>
      </c>
      <c r="K626" s="8"/>
      <c r="L626" s="15" t="s">
        <v>1685</v>
      </c>
      <c r="M626" s="8" t="s">
        <v>5578</v>
      </c>
      <c r="N626" s="8"/>
      <c r="O626" s="8" t="s">
        <v>5574</v>
      </c>
      <c r="P626" s="11"/>
      <c r="Q626" s="8" t="s">
        <v>5696</v>
      </c>
      <c r="R626" s="8" t="s">
        <v>5919</v>
      </c>
      <c r="S626" s="8" t="s">
        <v>6690</v>
      </c>
    </row>
    <row r="627" spans="1:19" ht="93" customHeight="1" x14ac:dyDescent="0.25">
      <c r="A627" s="8" t="s">
        <v>6691</v>
      </c>
      <c r="B627" s="8" t="s">
        <v>5693</v>
      </c>
      <c r="C627" s="8" t="s">
        <v>5918</v>
      </c>
      <c r="D627" s="10">
        <v>306</v>
      </c>
      <c r="E627" s="8" t="s">
        <v>6692</v>
      </c>
      <c r="F627" s="8" t="s">
        <v>6693</v>
      </c>
      <c r="G627" s="8" t="s">
        <v>4727</v>
      </c>
      <c r="H627" s="8" t="s">
        <v>6692</v>
      </c>
      <c r="I627" s="8"/>
      <c r="J627" s="15" t="s">
        <v>5695</v>
      </c>
      <c r="K627" s="8"/>
      <c r="L627" s="15" t="s">
        <v>1685</v>
      </c>
      <c r="M627" s="8" t="s">
        <v>5578</v>
      </c>
      <c r="N627" s="8"/>
      <c r="O627" s="8" t="s">
        <v>5574</v>
      </c>
      <c r="P627" s="11"/>
      <c r="Q627" s="8" t="s">
        <v>5696</v>
      </c>
      <c r="R627" s="8" t="s">
        <v>5919</v>
      </c>
      <c r="S627" s="8" t="s">
        <v>6694</v>
      </c>
    </row>
    <row r="628" spans="1:19" ht="107.1" customHeight="1" x14ac:dyDescent="0.25">
      <c r="A628" s="8" t="s">
        <v>6695</v>
      </c>
      <c r="B628" s="8" t="s">
        <v>5693</v>
      </c>
      <c r="C628" s="8" t="s">
        <v>5918</v>
      </c>
      <c r="D628" s="10">
        <v>307</v>
      </c>
      <c r="E628" s="8" t="s">
        <v>6696</v>
      </c>
      <c r="F628" s="8" t="s">
        <v>6697</v>
      </c>
      <c r="G628" s="8" t="s">
        <v>4727</v>
      </c>
      <c r="H628" s="8" t="s">
        <v>6696</v>
      </c>
      <c r="I628" s="8"/>
      <c r="J628" s="15" t="s">
        <v>5695</v>
      </c>
      <c r="K628" s="8"/>
      <c r="L628" s="15" t="s">
        <v>1685</v>
      </c>
      <c r="M628" s="8" t="s">
        <v>5578</v>
      </c>
      <c r="N628" s="8"/>
      <c r="O628" s="8" t="s">
        <v>5574</v>
      </c>
      <c r="P628" s="11"/>
      <c r="Q628" s="8" t="s">
        <v>5696</v>
      </c>
      <c r="R628" s="8" t="s">
        <v>5919</v>
      </c>
      <c r="S628" s="8" t="s">
        <v>6698</v>
      </c>
    </row>
    <row r="629" spans="1:19" ht="107.1" customHeight="1" x14ac:dyDescent="0.25">
      <c r="A629" s="8" t="s">
        <v>6699</v>
      </c>
      <c r="B629" s="8" t="s">
        <v>5693</v>
      </c>
      <c r="C629" s="8" t="s">
        <v>5918</v>
      </c>
      <c r="D629" s="10">
        <v>308</v>
      </c>
      <c r="E629" s="8" t="s">
        <v>6700</v>
      </c>
      <c r="F629" s="8" t="s">
        <v>6701</v>
      </c>
      <c r="G629" s="8" t="s">
        <v>4727</v>
      </c>
      <c r="H629" s="8" t="s">
        <v>6700</v>
      </c>
      <c r="I629" s="8"/>
      <c r="J629" s="15" t="s">
        <v>5695</v>
      </c>
      <c r="K629" s="8"/>
      <c r="L629" s="15" t="s">
        <v>1685</v>
      </c>
      <c r="M629" s="8" t="s">
        <v>5578</v>
      </c>
      <c r="N629" s="8"/>
      <c r="O629" s="8" t="s">
        <v>5574</v>
      </c>
      <c r="P629" s="11"/>
      <c r="Q629" s="8" t="s">
        <v>5696</v>
      </c>
      <c r="R629" s="8" t="s">
        <v>5919</v>
      </c>
      <c r="S629" s="8" t="s">
        <v>6702</v>
      </c>
    </row>
    <row r="630" spans="1:19" ht="107.1" customHeight="1" x14ac:dyDescent="0.25">
      <c r="A630" s="8" t="s">
        <v>6703</v>
      </c>
      <c r="B630" s="8" t="s">
        <v>5693</v>
      </c>
      <c r="C630" s="8" t="s">
        <v>5918</v>
      </c>
      <c r="D630" s="10">
        <v>309</v>
      </c>
      <c r="E630" s="8" t="s">
        <v>6704</v>
      </c>
      <c r="F630" s="8" t="s">
        <v>6705</v>
      </c>
      <c r="G630" s="8" t="s">
        <v>4727</v>
      </c>
      <c r="H630" s="8" t="s">
        <v>6704</v>
      </c>
      <c r="I630" s="8"/>
      <c r="J630" s="15" t="s">
        <v>5695</v>
      </c>
      <c r="K630" s="8"/>
      <c r="L630" s="15" t="s">
        <v>1685</v>
      </c>
      <c r="M630" s="8" t="s">
        <v>5578</v>
      </c>
      <c r="N630" s="8"/>
      <c r="O630" s="8" t="s">
        <v>5574</v>
      </c>
      <c r="P630" s="11"/>
      <c r="Q630" s="8" t="s">
        <v>5696</v>
      </c>
      <c r="R630" s="8" t="s">
        <v>5919</v>
      </c>
      <c r="S630" s="8" t="s">
        <v>6706</v>
      </c>
    </row>
    <row r="631" spans="1:19" ht="93" customHeight="1" x14ac:dyDescent="0.25">
      <c r="A631" s="8" t="s">
        <v>6707</v>
      </c>
      <c r="B631" s="8" t="s">
        <v>5693</v>
      </c>
      <c r="C631" s="8" t="s">
        <v>5918</v>
      </c>
      <c r="D631" s="10">
        <v>310</v>
      </c>
      <c r="E631" s="8" t="s">
        <v>6708</v>
      </c>
      <c r="F631" s="8" t="s">
        <v>6709</v>
      </c>
      <c r="G631" s="8" t="s">
        <v>4727</v>
      </c>
      <c r="H631" s="8" t="s">
        <v>6708</v>
      </c>
      <c r="I631" s="8"/>
      <c r="J631" s="15" t="s">
        <v>5695</v>
      </c>
      <c r="K631" s="8"/>
      <c r="L631" s="15" t="s">
        <v>1685</v>
      </c>
      <c r="M631" s="8" t="s">
        <v>5578</v>
      </c>
      <c r="N631" s="8"/>
      <c r="O631" s="8" t="s">
        <v>5574</v>
      </c>
      <c r="P631" s="11"/>
      <c r="Q631" s="8" t="s">
        <v>5696</v>
      </c>
      <c r="R631" s="8" t="s">
        <v>5919</v>
      </c>
      <c r="S631" s="8" t="s">
        <v>6710</v>
      </c>
    </row>
    <row r="632" spans="1:19" ht="107.1" customHeight="1" x14ac:dyDescent="0.25">
      <c r="A632" s="8" t="s">
        <v>6711</v>
      </c>
      <c r="B632" s="8" t="s">
        <v>5693</v>
      </c>
      <c r="C632" s="8" t="s">
        <v>5918</v>
      </c>
      <c r="D632" s="10">
        <v>311</v>
      </c>
      <c r="E632" s="8" t="s">
        <v>6712</v>
      </c>
      <c r="F632" s="8" t="s">
        <v>6713</v>
      </c>
      <c r="G632" s="8" t="s">
        <v>4727</v>
      </c>
      <c r="H632" s="8" t="s">
        <v>6712</v>
      </c>
      <c r="I632" s="8"/>
      <c r="J632" s="15" t="s">
        <v>5695</v>
      </c>
      <c r="K632" s="8"/>
      <c r="L632" s="15" t="s">
        <v>1685</v>
      </c>
      <c r="M632" s="8" t="s">
        <v>5578</v>
      </c>
      <c r="N632" s="8"/>
      <c r="O632" s="8" t="s">
        <v>5574</v>
      </c>
      <c r="P632" s="11"/>
      <c r="Q632" s="8" t="s">
        <v>5696</v>
      </c>
      <c r="R632" s="8" t="s">
        <v>5919</v>
      </c>
      <c r="S632" s="8" t="s">
        <v>6714</v>
      </c>
    </row>
    <row r="633" spans="1:19" ht="107.1" customHeight="1" x14ac:dyDescent="0.25">
      <c r="A633" s="8" t="s">
        <v>6715</v>
      </c>
      <c r="B633" s="8" t="s">
        <v>5693</v>
      </c>
      <c r="C633" s="8" t="s">
        <v>5918</v>
      </c>
      <c r="D633" s="10">
        <v>312</v>
      </c>
      <c r="E633" s="8" t="s">
        <v>6716</v>
      </c>
      <c r="F633" s="8" t="s">
        <v>6717</v>
      </c>
      <c r="G633" s="8" t="s">
        <v>4727</v>
      </c>
      <c r="H633" s="8" t="s">
        <v>6716</v>
      </c>
      <c r="I633" s="8"/>
      <c r="J633" s="15" t="s">
        <v>5695</v>
      </c>
      <c r="K633" s="8"/>
      <c r="L633" s="15" t="s">
        <v>1685</v>
      </c>
      <c r="M633" s="8" t="s">
        <v>5578</v>
      </c>
      <c r="N633" s="8"/>
      <c r="O633" s="8" t="s">
        <v>5574</v>
      </c>
      <c r="P633" s="11"/>
      <c r="Q633" s="8" t="s">
        <v>5696</v>
      </c>
      <c r="R633" s="8" t="s">
        <v>5919</v>
      </c>
      <c r="S633" s="8" t="s">
        <v>6718</v>
      </c>
    </row>
    <row r="634" spans="1:19" ht="107.1" customHeight="1" x14ac:dyDescent="0.25">
      <c r="A634" s="8" t="s">
        <v>6719</v>
      </c>
      <c r="B634" s="8" t="s">
        <v>5693</v>
      </c>
      <c r="C634" s="8" t="s">
        <v>5918</v>
      </c>
      <c r="D634" s="10">
        <v>313</v>
      </c>
      <c r="E634" s="8" t="s">
        <v>6720</v>
      </c>
      <c r="F634" s="8" t="s">
        <v>6721</v>
      </c>
      <c r="G634" s="8" t="s">
        <v>4727</v>
      </c>
      <c r="H634" s="8" t="s">
        <v>6720</v>
      </c>
      <c r="I634" s="8"/>
      <c r="J634" s="15" t="s">
        <v>5695</v>
      </c>
      <c r="K634" s="8"/>
      <c r="L634" s="15" t="s">
        <v>1685</v>
      </c>
      <c r="M634" s="8" t="s">
        <v>5578</v>
      </c>
      <c r="N634" s="8"/>
      <c r="O634" s="8" t="s">
        <v>5574</v>
      </c>
      <c r="P634" s="11"/>
      <c r="Q634" s="8" t="s">
        <v>5696</v>
      </c>
      <c r="R634" s="8" t="s">
        <v>5919</v>
      </c>
      <c r="S634" s="8" t="s">
        <v>6722</v>
      </c>
    </row>
    <row r="635" spans="1:19" ht="107.1" customHeight="1" x14ac:dyDescent="0.25">
      <c r="A635" s="8" t="s">
        <v>6723</v>
      </c>
      <c r="B635" s="8" t="s">
        <v>5693</v>
      </c>
      <c r="C635" s="8" t="s">
        <v>5918</v>
      </c>
      <c r="D635" s="10">
        <v>314</v>
      </c>
      <c r="E635" s="8" t="s">
        <v>6724</v>
      </c>
      <c r="F635" s="8" t="s">
        <v>6725</v>
      </c>
      <c r="G635" s="8" t="s">
        <v>4727</v>
      </c>
      <c r="H635" s="8" t="s">
        <v>6724</v>
      </c>
      <c r="I635" s="8"/>
      <c r="J635" s="15" t="s">
        <v>5695</v>
      </c>
      <c r="K635" s="8"/>
      <c r="L635" s="15" t="s">
        <v>1685</v>
      </c>
      <c r="M635" s="8" t="s">
        <v>5578</v>
      </c>
      <c r="N635" s="8"/>
      <c r="O635" s="8" t="s">
        <v>5574</v>
      </c>
      <c r="P635" s="11"/>
      <c r="Q635" s="8" t="s">
        <v>5696</v>
      </c>
      <c r="R635" s="8" t="s">
        <v>5919</v>
      </c>
      <c r="S635" s="8" t="s">
        <v>6726</v>
      </c>
    </row>
    <row r="636" spans="1:19" ht="107.1" customHeight="1" x14ac:dyDescent="0.25">
      <c r="A636" s="8" t="s">
        <v>6727</v>
      </c>
      <c r="B636" s="8" t="s">
        <v>5693</v>
      </c>
      <c r="C636" s="8" t="s">
        <v>5918</v>
      </c>
      <c r="D636" s="10">
        <v>315</v>
      </c>
      <c r="E636" s="8" t="s">
        <v>6728</v>
      </c>
      <c r="F636" s="8" t="s">
        <v>6729</v>
      </c>
      <c r="G636" s="8" t="s">
        <v>4727</v>
      </c>
      <c r="H636" s="8" t="s">
        <v>6728</v>
      </c>
      <c r="I636" s="8"/>
      <c r="J636" s="15" t="s">
        <v>5695</v>
      </c>
      <c r="K636" s="8"/>
      <c r="L636" s="15" t="s">
        <v>1685</v>
      </c>
      <c r="M636" s="8" t="s">
        <v>5578</v>
      </c>
      <c r="N636" s="8"/>
      <c r="O636" s="8" t="s">
        <v>5574</v>
      </c>
      <c r="P636" s="11"/>
      <c r="Q636" s="8" t="s">
        <v>5696</v>
      </c>
      <c r="R636" s="8" t="s">
        <v>5919</v>
      </c>
      <c r="S636" s="8" t="s">
        <v>6730</v>
      </c>
    </row>
    <row r="637" spans="1:19" ht="107.1" customHeight="1" x14ac:dyDescent="0.25">
      <c r="A637" s="8" t="s">
        <v>6731</v>
      </c>
      <c r="B637" s="8" t="s">
        <v>5693</v>
      </c>
      <c r="C637" s="8" t="s">
        <v>5918</v>
      </c>
      <c r="D637" s="10">
        <v>316</v>
      </c>
      <c r="E637" s="8" t="s">
        <v>6732</v>
      </c>
      <c r="F637" s="8" t="s">
        <v>6733</v>
      </c>
      <c r="G637" s="8" t="s">
        <v>4727</v>
      </c>
      <c r="H637" s="8" t="s">
        <v>6732</v>
      </c>
      <c r="I637" s="8"/>
      <c r="J637" s="15" t="s">
        <v>5695</v>
      </c>
      <c r="K637" s="8"/>
      <c r="L637" s="15" t="s">
        <v>1685</v>
      </c>
      <c r="M637" s="8" t="s">
        <v>5578</v>
      </c>
      <c r="N637" s="8"/>
      <c r="O637" s="8" t="s">
        <v>5574</v>
      </c>
      <c r="P637" s="11"/>
      <c r="Q637" s="8" t="s">
        <v>5696</v>
      </c>
      <c r="R637" s="8" t="s">
        <v>5919</v>
      </c>
      <c r="S637" s="8" t="s">
        <v>6734</v>
      </c>
    </row>
    <row r="638" spans="1:19" ht="93" customHeight="1" x14ac:dyDescent="0.25">
      <c r="A638" s="8" t="s">
        <v>6735</v>
      </c>
      <c r="B638" s="8" t="s">
        <v>5693</v>
      </c>
      <c r="C638" s="8" t="s">
        <v>5918</v>
      </c>
      <c r="D638" s="10">
        <v>317</v>
      </c>
      <c r="E638" s="8" t="s">
        <v>6736</v>
      </c>
      <c r="F638" s="8" t="s">
        <v>6737</v>
      </c>
      <c r="G638" s="8" t="s">
        <v>4727</v>
      </c>
      <c r="H638" s="8" t="s">
        <v>6736</v>
      </c>
      <c r="I638" s="8"/>
      <c r="J638" s="15" t="s">
        <v>5695</v>
      </c>
      <c r="K638" s="8"/>
      <c r="L638" s="15" t="s">
        <v>1685</v>
      </c>
      <c r="M638" s="8" t="s">
        <v>5578</v>
      </c>
      <c r="N638" s="8"/>
      <c r="O638" s="8" t="s">
        <v>5574</v>
      </c>
      <c r="P638" s="11"/>
      <c r="Q638" s="8" t="s">
        <v>5696</v>
      </c>
      <c r="R638" s="8" t="s">
        <v>5919</v>
      </c>
      <c r="S638" s="8" t="s">
        <v>6738</v>
      </c>
    </row>
    <row r="639" spans="1:19" ht="107.1" customHeight="1" x14ac:dyDescent="0.25">
      <c r="A639" s="8" t="s">
        <v>6739</v>
      </c>
      <c r="B639" s="8" t="s">
        <v>5693</v>
      </c>
      <c r="C639" s="8" t="s">
        <v>5918</v>
      </c>
      <c r="D639" s="10">
        <v>318</v>
      </c>
      <c r="E639" s="8" t="s">
        <v>6740</v>
      </c>
      <c r="F639" s="8" t="s">
        <v>6741</v>
      </c>
      <c r="G639" s="8" t="s">
        <v>4727</v>
      </c>
      <c r="H639" s="8" t="s">
        <v>6740</v>
      </c>
      <c r="I639" s="8"/>
      <c r="J639" s="15" t="s">
        <v>5695</v>
      </c>
      <c r="K639" s="8"/>
      <c r="L639" s="15" t="s">
        <v>1685</v>
      </c>
      <c r="M639" s="8" t="s">
        <v>5578</v>
      </c>
      <c r="N639" s="8"/>
      <c r="O639" s="8" t="s">
        <v>5574</v>
      </c>
      <c r="P639" s="11"/>
      <c r="Q639" s="8" t="s">
        <v>5696</v>
      </c>
      <c r="R639" s="8" t="s">
        <v>5919</v>
      </c>
      <c r="S639" s="8" t="s">
        <v>6742</v>
      </c>
    </row>
    <row r="640" spans="1:19" ht="107.1" customHeight="1" x14ac:dyDescent="0.25">
      <c r="A640" s="8" t="s">
        <v>6743</v>
      </c>
      <c r="B640" s="8" t="s">
        <v>5693</v>
      </c>
      <c r="C640" s="8" t="s">
        <v>5918</v>
      </c>
      <c r="D640" s="10">
        <v>319</v>
      </c>
      <c r="E640" s="8" t="s">
        <v>6744</v>
      </c>
      <c r="F640" s="8" t="s">
        <v>6745</v>
      </c>
      <c r="G640" s="8" t="s">
        <v>4727</v>
      </c>
      <c r="H640" s="8" t="s">
        <v>6744</v>
      </c>
      <c r="I640" s="8"/>
      <c r="J640" s="15" t="s">
        <v>5695</v>
      </c>
      <c r="K640" s="8"/>
      <c r="L640" s="15" t="s">
        <v>1685</v>
      </c>
      <c r="M640" s="8" t="s">
        <v>5578</v>
      </c>
      <c r="N640" s="8"/>
      <c r="O640" s="8" t="s">
        <v>5574</v>
      </c>
      <c r="P640" s="11"/>
      <c r="Q640" s="8" t="s">
        <v>5696</v>
      </c>
      <c r="R640" s="8" t="s">
        <v>5919</v>
      </c>
      <c r="S640" s="8" t="s">
        <v>6746</v>
      </c>
    </row>
    <row r="641" spans="1:19" ht="107.1" customHeight="1" x14ac:dyDescent="0.25">
      <c r="A641" s="8" t="s">
        <v>6747</v>
      </c>
      <c r="B641" s="8" t="s">
        <v>5693</v>
      </c>
      <c r="C641" s="8" t="s">
        <v>5918</v>
      </c>
      <c r="D641" s="10">
        <v>320</v>
      </c>
      <c r="E641" s="8" t="s">
        <v>6748</v>
      </c>
      <c r="F641" s="8" t="s">
        <v>6749</v>
      </c>
      <c r="G641" s="8" t="s">
        <v>4727</v>
      </c>
      <c r="H641" s="8" t="s">
        <v>6748</v>
      </c>
      <c r="I641" s="8"/>
      <c r="J641" s="15" t="s">
        <v>5695</v>
      </c>
      <c r="K641" s="8"/>
      <c r="L641" s="15" t="s">
        <v>1685</v>
      </c>
      <c r="M641" s="8" t="s">
        <v>5578</v>
      </c>
      <c r="N641" s="8"/>
      <c r="O641" s="8" t="s">
        <v>5574</v>
      </c>
      <c r="P641" s="11"/>
      <c r="Q641" s="8" t="s">
        <v>5696</v>
      </c>
      <c r="R641" s="8" t="s">
        <v>5919</v>
      </c>
      <c r="S641" s="8" t="s">
        <v>6750</v>
      </c>
    </row>
    <row r="642" spans="1:19" ht="107.1" customHeight="1" x14ac:dyDescent="0.25">
      <c r="A642" s="8" t="s">
        <v>6751</v>
      </c>
      <c r="B642" s="8" t="s">
        <v>5693</v>
      </c>
      <c r="C642" s="8" t="s">
        <v>5918</v>
      </c>
      <c r="D642" s="10">
        <v>321</v>
      </c>
      <c r="E642" s="8" t="s">
        <v>6752</v>
      </c>
      <c r="F642" s="8" t="s">
        <v>6753</v>
      </c>
      <c r="G642" s="8" t="s">
        <v>4727</v>
      </c>
      <c r="H642" s="8" t="s">
        <v>6752</v>
      </c>
      <c r="I642" s="8"/>
      <c r="J642" s="15" t="s">
        <v>5695</v>
      </c>
      <c r="K642" s="8"/>
      <c r="L642" s="15" t="s">
        <v>1685</v>
      </c>
      <c r="M642" s="8" t="s">
        <v>5578</v>
      </c>
      <c r="N642" s="8"/>
      <c r="O642" s="8" t="s">
        <v>5574</v>
      </c>
      <c r="P642" s="11"/>
      <c r="Q642" s="8" t="s">
        <v>5696</v>
      </c>
      <c r="R642" s="8" t="s">
        <v>5919</v>
      </c>
      <c r="S642" s="8" t="s">
        <v>6754</v>
      </c>
    </row>
    <row r="643" spans="1:19" ht="107.1" customHeight="1" x14ac:dyDescent="0.25">
      <c r="A643" s="8" t="s">
        <v>6755</v>
      </c>
      <c r="B643" s="8" t="s">
        <v>5693</v>
      </c>
      <c r="C643" s="8" t="s">
        <v>5918</v>
      </c>
      <c r="D643" s="10">
        <v>322</v>
      </c>
      <c r="E643" s="8" t="s">
        <v>6756</v>
      </c>
      <c r="F643" s="8" t="s">
        <v>6757</v>
      </c>
      <c r="G643" s="8" t="s">
        <v>4727</v>
      </c>
      <c r="H643" s="8" t="s">
        <v>6756</v>
      </c>
      <c r="I643" s="8"/>
      <c r="J643" s="15" t="s">
        <v>5695</v>
      </c>
      <c r="K643" s="8"/>
      <c r="L643" s="15" t="s">
        <v>1685</v>
      </c>
      <c r="M643" s="8" t="s">
        <v>5578</v>
      </c>
      <c r="N643" s="8"/>
      <c r="O643" s="8" t="s">
        <v>5574</v>
      </c>
      <c r="P643" s="11"/>
      <c r="Q643" s="8" t="s">
        <v>5696</v>
      </c>
      <c r="R643" s="8" t="s">
        <v>5919</v>
      </c>
      <c r="S643" s="8" t="s">
        <v>6758</v>
      </c>
    </row>
    <row r="644" spans="1:19" ht="107.1" customHeight="1" x14ac:dyDescent="0.25">
      <c r="A644" s="8" t="s">
        <v>6759</v>
      </c>
      <c r="B644" s="8" t="s">
        <v>5693</v>
      </c>
      <c r="C644" s="8" t="s">
        <v>5918</v>
      </c>
      <c r="D644" s="10">
        <v>323</v>
      </c>
      <c r="E644" s="8" t="s">
        <v>6760</v>
      </c>
      <c r="F644" s="8" t="s">
        <v>6761</v>
      </c>
      <c r="G644" s="8" t="s">
        <v>4727</v>
      </c>
      <c r="H644" s="8" t="s">
        <v>6760</v>
      </c>
      <c r="I644" s="8"/>
      <c r="J644" s="15" t="s">
        <v>5695</v>
      </c>
      <c r="K644" s="8"/>
      <c r="L644" s="15" t="s">
        <v>1685</v>
      </c>
      <c r="M644" s="8" t="s">
        <v>5578</v>
      </c>
      <c r="N644" s="8"/>
      <c r="O644" s="8" t="s">
        <v>5574</v>
      </c>
      <c r="P644" s="11"/>
      <c r="Q644" s="8" t="s">
        <v>5696</v>
      </c>
      <c r="R644" s="8" t="s">
        <v>5919</v>
      </c>
      <c r="S644" s="8" t="s">
        <v>6762</v>
      </c>
    </row>
    <row r="645" spans="1:19" ht="107.1" customHeight="1" x14ac:dyDescent="0.25">
      <c r="A645" s="8" t="s">
        <v>6763</v>
      </c>
      <c r="B645" s="8" t="s">
        <v>5693</v>
      </c>
      <c r="C645" s="8" t="s">
        <v>5918</v>
      </c>
      <c r="D645" s="10">
        <v>324</v>
      </c>
      <c r="E645" s="8" t="s">
        <v>6764</v>
      </c>
      <c r="F645" s="8" t="s">
        <v>6765</v>
      </c>
      <c r="G645" s="8" t="s">
        <v>4727</v>
      </c>
      <c r="H645" s="8" t="s">
        <v>6764</v>
      </c>
      <c r="I645" s="8"/>
      <c r="J645" s="15" t="s">
        <v>5695</v>
      </c>
      <c r="K645" s="8"/>
      <c r="L645" s="15" t="s">
        <v>1685</v>
      </c>
      <c r="M645" s="8" t="s">
        <v>5578</v>
      </c>
      <c r="N645" s="8"/>
      <c r="O645" s="8" t="s">
        <v>5574</v>
      </c>
      <c r="P645" s="11"/>
      <c r="Q645" s="8" t="s">
        <v>5696</v>
      </c>
      <c r="R645" s="8" t="s">
        <v>5919</v>
      </c>
      <c r="S645" s="8" t="s">
        <v>6766</v>
      </c>
    </row>
    <row r="646" spans="1:19" ht="107.1" customHeight="1" x14ac:dyDescent="0.25">
      <c r="A646" s="8" t="s">
        <v>6767</v>
      </c>
      <c r="B646" s="8" t="s">
        <v>5693</v>
      </c>
      <c r="C646" s="8" t="s">
        <v>5918</v>
      </c>
      <c r="D646" s="10">
        <v>325</v>
      </c>
      <c r="E646" s="8" t="s">
        <v>6768</v>
      </c>
      <c r="F646" s="8" t="s">
        <v>6769</v>
      </c>
      <c r="G646" s="8" t="s">
        <v>4727</v>
      </c>
      <c r="H646" s="8" t="s">
        <v>6768</v>
      </c>
      <c r="I646" s="8"/>
      <c r="J646" s="15" t="s">
        <v>5695</v>
      </c>
      <c r="K646" s="8"/>
      <c r="L646" s="15" t="s">
        <v>1685</v>
      </c>
      <c r="M646" s="8" t="s">
        <v>5578</v>
      </c>
      <c r="N646" s="8"/>
      <c r="O646" s="8" t="s">
        <v>5574</v>
      </c>
      <c r="P646" s="11"/>
      <c r="Q646" s="8" t="s">
        <v>5696</v>
      </c>
      <c r="R646" s="8" t="s">
        <v>5919</v>
      </c>
      <c r="S646" s="8" t="s">
        <v>6770</v>
      </c>
    </row>
    <row r="647" spans="1:19" ht="107.1" customHeight="1" x14ac:dyDescent="0.25">
      <c r="A647" s="8" t="s">
        <v>6771</v>
      </c>
      <c r="B647" s="8" t="s">
        <v>5693</v>
      </c>
      <c r="C647" s="8" t="s">
        <v>5918</v>
      </c>
      <c r="D647" s="10">
        <v>326</v>
      </c>
      <c r="E647" s="8" t="s">
        <v>6772</v>
      </c>
      <c r="F647" s="8" t="s">
        <v>6773</v>
      </c>
      <c r="G647" s="8" t="s">
        <v>4727</v>
      </c>
      <c r="H647" s="8" t="s">
        <v>6772</v>
      </c>
      <c r="I647" s="8"/>
      <c r="J647" s="15" t="s">
        <v>5695</v>
      </c>
      <c r="K647" s="8"/>
      <c r="L647" s="15" t="s">
        <v>1685</v>
      </c>
      <c r="M647" s="8" t="s">
        <v>5578</v>
      </c>
      <c r="N647" s="8"/>
      <c r="O647" s="8" t="s">
        <v>5574</v>
      </c>
      <c r="P647" s="11"/>
      <c r="Q647" s="8" t="s">
        <v>5696</v>
      </c>
      <c r="R647" s="8" t="s">
        <v>5919</v>
      </c>
      <c r="S647" s="8" t="s">
        <v>6774</v>
      </c>
    </row>
    <row r="648" spans="1:19" ht="107.1" customHeight="1" x14ac:dyDescent="0.25">
      <c r="A648" s="8" t="s">
        <v>6775</v>
      </c>
      <c r="B648" s="8" t="s">
        <v>5693</v>
      </c>
      <c r="C648" s="8" t="s">
        <v>5918</v>
      </c>
      <c r="D648" s="10">
        <v>327</v>
      </c>
      <c r="E648" s="8" t="s">
        <v>6776</v>
      </c>
      <c r="F648" s="8" t="s">
        <v>6777</v>
      </c>
      <c r="G648" s="8" t="s">
        <v>4727</v>
      </c>
      <c r="H648" s="8" t="s">
        <v>6776</v>
      </c>
      <c r="I648" s="8"/>
      <c r="J648" s="15" t="s">
        <v>5695</v>
      </c>
      <c r="K648" s="8"/>
      <c r="L648" s="15" t="s">
        <v>1685</v>
      </c>
      <c r="M648" s="8" t="s">
        <v>5578</v>
      </c>
      <c r="N648" s="8"/>
      <c r="O648" s="8" t="s">
        <v>5574</v>
      </c>
      <c r="P648" s="11"/>
      <c r="Q648" s="8" t="s">
        <v>5696</v>
      </c>
      <c r="R648" s="8" t="s">
        <v>5919</v>
      </c>
      <c r="S648" s="8" t="s">
        <v>6778</v>
      </c>
    </row>
    <row r="649" spans="1:19" ht="107.1" customHeight="1" x14ac:dyDescent="0.25">
      <c r="A649" s="8" t="s">
        <v>6779</v>
      </c>
      <c r="B649" s="8" t="s">
        <v>5693</v>
      </c>
      <c r="C649" s="8" t="s">
        <v>5918</v>
      </c>
      <c r="D649" s="10">
        <v>328</v>
      </c>
      <c r="E649" s="8" t="s">
        <v>6780</v>
      </c>
      <c r="F649" s="8" t="s">
        <v>6781</v>
      </c>
      <c r="G649" s="8" t="s">
        <v>4727</v>
      </c>
      <c r="H649" s="8" t="s">
        <v>6780</v>
      </c>
      <c r="I649" s="8"/>
      <c r="J649" s="15" t="s">
        <v>5695</v>
      </c>
      <c r="K649" s="8"/>
      <c r="L649" s="15" t="s">
        <v>1685</v>
      </c>
      <c r="M649" s="8" t="s">
        <v>5578</v>
      </c>
      <c r="N649" s="8"/>
      <c r="O649" s="8" t="s">
        <v>5574</v>
      </c>
      <c r="P649" s="11"/>
      <c r="Q649" s="8" t="s">
        <v>5696</v>
      </c>
      <c r="R649" s="8" t="s">
        <v>5919</v>
      </c>
      <c r="S649" s="8" t="s">
        <v>6782</v>
      </c>
    </row>
    <row r="650" spans="1:19" ht="107.1" customHeight="1" x14ac:dyDescent="0.25">
      <c r="A650" s="8" t="s">
        <v>6783</v>
      </c>
      <c r="B650" s="8" t="s">
        <v>5693</v>
      </c>
      <c r="C650" s="8" t="s">
        <v>5918</v>
      </c>
      <c r="D650" s="10">
        <v>329</v>
      </c>
      <c r="E650" s="8" t="s">
        <v>6784</v>
      </c>
      <c r="F650" s="8" t="s">
        <v>6785</v>
      </c>
      <c r="G650" s="8" t="s">
        <v>4727</v>
      </c>
      <c r="H650" s="8" t="s">
        <v>6784</v>
      </c>
      <c r="I650" s="8"/>
      <c r="J650" s="15" t="s">
        <v>5695</v>
      </c>
      <c r="K650" s="8"/>
      <c r="L650" s="15" t="s">
        <v>1685</v>
      </c>
      <c r="M650" s="8" t="s">
        <v>5578</v>
      </c>
      <c r="N650" s="8"/>
      <c r="O650" s="8" t="s">
        <v>5574</v>
      </c>
      <c r="P650" s="11"/>
      <c r="Q650" s="8" t="s">
        <v>5696</v>
      </c>
      <c r="R650" s="8" t="s">
        <v>5919</v>
      </c>
      <c r="S650" s="8" t="s">
        <v>6786</v>
      </c>
    </row>
    <row r="651" spans="1:19" ht="107.1" customHeight="1" x14ac:dyDescent="0.25">
      <c r="A651" s="8" t="s">
        <v>6787</v>
      </c>
      <c r="B651" s="8" t="s">
        <v>5693</v>
      </c>
      <c r="C651" s="8" t="s">
        <v>5918</v>
      </c>
      <c r="D651" s="10">
        <v>330</v>
      </c>
      <c r="E651" s="8" t="s">
        <v>6788</v>
      </c>
      <c r="F651" s="8" t="s">
        <v>6789</v>
      </c>
      <c r="G651" s="8" t="s">
        <v>4727</v>
      </c>
      <c r="H651" s="8" t="s">
        <v>6788</v>
      </c>
      <c r="I651" s="8"/>
      <c r="J651" s="15" t="s">
        <v>5695</v>
      </c>
      <c r="K651" s="8"/>
      <c r="L651" s="15" t="s">
        <v>1685</v>
      </c>
      <c r="M651" s="8" t="s">
        <v>5578</v>
      </c>
      <c r="N651" s="8"/>
      <c r="O651" s="8" t="s">
        <v>5574</v>
      </c>
      <c r="P651" s="11"/>
      <c r="Q651" s="8" t="s">
        <v>5696</v>
      </c>
      <c r="R651" s="8" t="s">
        <v>5919</v>
      </c>
      <c r="S651" s="8" t="s">
        <v>6790</v>
      </c>
    </row>
    <row r="652" spans="1:19" ht="107.1" customHeight="1" x14ac:dyDescent="0.25">
      <c r="A652" s="8" t="s">
        <v>6791</v>
      </c>
      <c r="B652" s="8" t="s">
        <v>5693</v>
      </c>
      <c r="C652" s="8" t="s">
        <v>5918</v>
      </c>
      <c r="D652" s="10">
        <v>331</v>
      </c>
      <c r="E652" s="8" t="s">
        <v>6792</v>
      </c>
      <c r="F652" s="8" t="s">
        <v>6793</v>
      </c>
      <c r="G652" s="8" t="s">
        <v>4727</v>
      </c>
      <c r="H652" s="8" t="s">
        <v>6792</v>
      </c>
      <c r="I652" s="8"/>
      <c r="J652" s="15" t="s">
        <v>5695</v>
      </c>
      <c r="K652" s="8"/>
      <c r="L652" s="15" t="s">
        <v>1685</v>
      </c>
      <c r="M652" s="8" t="s">
        <v>5578</v>
      </c>
      <c r="N652" s="8"/>
      <c r="O652" s="8" t="s">
        <v>5574</v>
      </c>
      <c r="P652" s="11"/>
      <c r="Q652" s="8" t="s">
        <v>5696</v>
      </c>
      <c r="R652" s="8" t="s">
        <v>5919</v>
      </c>
      <c r="S652" s="8" t="s">
        <v>6794</v>
      </c>
    </row>
    <row r="653" spans="1:19" ht="107.1" customHeight="1" x14ac:dyDescent="0.25">
      <c r="A653" s="8" t="s">
        <v>6795</v>
      </c>
      <c r="B653" s="8" t="s">
        <v>5693</v>
      </c>
      <c r="C653" s="8" t="s">
        <v>5918</v>
      </c>
      <c r="D653" s="10">
        <v>332</v>
      </c>
      <c r="E653" s="8" t="s">
        <v>6796</v>
      </c>
      <c r="F653" s="8" t="s">
        <v>6797</v>
      </c>
      <c r="G653" s="8" t="s">
        <v>4727</v>
      </c>
      <c r="H653" s="8" t="s">
        <v>6796</v>
      </c>
      <c r="I653" s="8"/>
      <c r="J653" s="15" t="s">
        <v>5695</v>
      </c>
      <c r="K653" s="8"/>
      <c r="L653" s="15" t="s">
        <v>1685</v>
      </c>
      <c r="M653" s="8" t="s">
        <v>5578</v>
      </c>
      <c r="N653" s="8"/>
      <c r="O653" s="8" t="s">
        <v>5574</v>
      </c>
      <c r="P653" s="11"/>
      <c r="Q653" s="8" t="s">
        <v>5696</v>
      </c>
      <c r="R653" s="8" t="s">
        <v>5919</v>
      </c>
      <c r="S653" s="8" t="s">
        <v>6798</v>
      </c>
    </row>
    <row r="654" spans="1:19" ht="107.1" customHeight="1" x14ac:dyDescent="0.25">
      <c r="A654" s="8" t="s">
        <v>6799</v>
      </c>
      <c r="B654" s="8" t="s">
        <v>5693</v>
      </c>
      <c r="C654" s="8" t="s">
        <v>5918</v>
      </c>
      <c r="D654" s="10">
        <v>333</v>
      </c>
      <c r="E654" s="8" t="s">
        <v>6800</v>
      </c>
      <c r="F654" s="8" t="s">
        <v>6801</v>
      </c>
      <c r="G654" s="8" t="s">
        <v>4727</v>
      </c>
      <c r="H654" s="8" t="s">
        <v>6800</v>
      </c>
      <c r="I654" s="8"/>
      <c r="J654" s="15" t="s">
        <v>5695</v>
      </c>
      <c r="K654" s="8"/>
      <c r="L654" s="15" t="s">
        <v>1685</v>
      </c>
      <c r="M654" s="8" t="s">
        <v>5578</v>
      </c>
      <c r="N654" s="8"/>
      <c r="O654" s="8" t="s">
        <v>5574</v>
      </c>
      <c r="P654" s="11"/>
      <c r="Q654" s="8" t="s">
        <v>5696</v>
      </c>
      <c r="R654" s="8" t="s">
        <v>5919</v>
      </c>
      <c r="S654" s="8" t="s">
        <v>6802</v>
      </c>
    </row>
    <row r="655" spans="1:19" ht="107.1" customHeight="1" x14ac:dyDescent="0.25">
      <c r="A655" s="8" t="s">
        <v>6803</v>
      </c>
      <c r="B655" s="8" t="s">
        <v>5693</v>
      </c>
      <c r="C655" s="8" t="s">
        <v>5918</v>
      </c>
      <c r="D655" s="10">
        <v>334</v>
      </c>
      <c r="E655" s="8" t="s">
        <v>6804</v>
      </c>
      <c r="F655" s="8" t="s">
        <v>6805</v>
      </c>
      <c r="G655" s="8" t="s">
        <v>4727</v>
      </c>
      <c r="H655" s="8" t="s">
        <v>6804</v>
      </c>
      <c r="I655" s="8"/>
      <c r="J655" s="15" t="s">
        <v>5695</v>
      </c>
      <c r="K655" s="8"/>
      <c r="L655" s="15" t="s">
        <v>1685</v>
      </c>
      <c r="M655" s="8" t="s">
        <v>5578</v>
      </c>
      <c r="N655" s="8"/>
      <c r="O655" s="8" t="s">
        <v>5574</v>
      </c>
      <c r="P655" s="11"/>
      <c r="Q655" s="8" t="s">
        <v>5696</v>
      </c>
      <c r="R655" s="8" t="s">
        <v>5919</v>
      </c>
      <c r="S655" s="8" t="s">
        <v>6806</v>
      </c>
    </row>
    <row r="656" spans="1:19" ht="107.1" customHeight="1" x14ac:dyDescent="0.25">
      <c r="A656" s="8" t="s">
        <v>6807</v>
      </c>
      <c r="B656" s="8" t="s">
        <v>5693</v>
      </c>
      <c r="C656" s="8" t="s">
        <v>5918</v>
      </c>
      <c r="D656" s="10">
        <v>335</v>
      </c>
      <c r="E656" s="8" t="s">
        <v>1017</v>
      </c>
      <c r="F656" s="8" t="s">
        <v>6808</v>
      </c>
      <c r="G656" s="8" t="s">
        <v>4551</v>
      </c>
      <c r="H656" s="8" t="s">
        <v>1017</v>
      </c>
      <c r="I656" s="8" t="s">
        <v>1017</v>
      </c>
      <c r="J656" s="15" t="s">
        <v>5695</v>
      </c>
      <c r="K656" s="8"/>
      <c r="L656" s="15" t="s">
        <v>1685</v>
      </c>
      <c r="M656" s="8" t="s">
        <v>5578</v>
      </c>
      <c r="N656" s="8"/>
      <c r="O656" s="8" t="s">
        <v>5574</v>
      </c>
      <c r="P656" s="11"/>
      <c r="Q656" s="8" t="s">
        <v>5696</v>
      </c>
      <c r="R656" s="8" t="s">
        <v>5919</v>
      </c>
      <c r="S656" s="8" t="s">
        <v>6809</v>
      </c>
    </row>
    <row r="657" spans="1:19" ht="107.1" customHeight="1" x14ac:dyDescent="0.25">
      <c r="A657" s="8" t="s">
        <v>6810</v>
      </c>
      <c r="B657" s="8" t="s">
        <v>5693</v>
      </c>
      <c r="C657" s="8" t="s">
        <v>5918</v>
      </c>
      <c r="D657" s="10">
        <v>336</v>
      </c>
      <c r="E657" s="8" t="s">
        <v>6811</v>
      </c>
      <c r="F657" s="8" t="s">
        <v>6812</v>
      </c>
      <c r="G657" s="8" t="s">
        <v>4727</v>
      </c>
      <c r="H657" s="8" t="s">
        <v>6811</v>
      </c>
      <c r="I657" s="8"/>
      <c r="J657" s="15" t="s">
        <v>5695</v>
      </c>
      <c r="K657" s="8"/>
      <c r="L657" s="15" t="s">
        <v>1685</v>
      </c>
      <c r="M657" s="8" t="s">
        <v>5578</v>
      </c>
      <c r="N657" s="8"/>
      <c r="O657" s="8" t="s">
        <v>5574</v>
      </c>
      <c r="P657" s="11"/>
      <c r="Q657" s="8" t="s">
        <v>5696</v>
      </c>
      <c r="R657" s="8" t="s">
        <v>5919</v>
      </c>
      <c r="S657" s="8" t="s">
        <v>6813</v>
      </c>
    </row>
    <row r="658" spans="1:19" ht="107.1" customHeight="1" x14ac:dyDescent="0.25">
      <c r="A658" s="8" t="s">
        <v>6814</v>
      </c>
      <c r="B658" s="8" t="s">
        <v>5693</v>
      </c>
      <c r="C658" s="8" t="s">
        <v>5918</v>
      </c>
      <c r="D658" s="10">
        <v>337</v>
      </c>
      <c r="E658" s="8" t="s">
        <v>6815</v>
      </c>
      <c r="F658" s="8" t="s">
        <v>6816</v>
      </c>
      <c r="G658" s="8" t="s">
        <v>4727</v>
      </c>
      <c r="H658" s="8" t="s">
        <v>6815</v>
      </c>
      <c r="I658" s="8"/>
      <c r="J658" s="15" t="s">
        <v>5695</v>
      </c>
      <c r="K658" s="8"/>
      <c r="L658" s="15" t="s">
        <v>1685</v>
      </c>
      <c r="M658" s="8" t="s">
        <v>5578</v>
      </c>
      <c r="N658" s="8"/>
      <c r="O658" s="8" t="s">
        <v>5574</v>
      </c>
      <c r="P658" s="11"/>
      <c r="Q658" s="8" t="s">
        <v>5696</v>
      </c>
      <c r="R658" s="8" t="s">
        <v>5919</v>
      </c>
      <c r="S658" s="8" t="s">
        <v>6817</v>
      </c>
    </row>
    <row r="659" spans="1:19" ht="107.1" customHeight="1" x14ac:dyDescent="0.25">
      <c r="A659" s="8" t="s">
        <v>6818</v>
      </c>
      <c r="B659" s="8" t="s">
        <v>5693</v>
      </c>
      <c r="C659" s="8" t="s">
        <v>5918</v>
      </c>
      <c r="D659" s="10">
        <v>338</v>
      </c>
      <c r="E659" s="8" t="s">
        <v>6819</v>
      </c>
      <c r="F659" s="8" t="s">
        <v>6820</v>
      </c>
      <c r="G659" s="8" t="s">
        <v>4727</v>
      </c>
      <c r="H659" s="8" t="s">
        <v>6819</v>
      </c>
      <c r="I659" s="8"/>
      <c r="J659" s="15" t="s">
        <v>5695</v>
      </c>
      <c r="K659" s="8"/>
      <c r="L659" s="15" t="s">
        <v>1685</v>
      </c>
      <c r="M659" s="8" t="s">
        <v>5578</v>
      </c>
      <c r="N659" s="8"/>
      <c r="O659" s="8" t="s">
        <v>5574</v>
      </c>
      <c r="P659" s="11"/>
      <c r="Q659" s="8" t="s">
        <v>5696</v>
      </c>
      <c r="R659" s="8" t="s">
        <v>5919</v>
      </c>
      <c r="S659" s="8" t="s">
        <v>6821</v>
      </c>
    </row>
    <row r="660" spans="1:19" ht="107.1" customHeight="1" x14ac:dyDescent="0.25">
      <c r="A660" s="8" t="s">
        <v>6822</v>
      </c>
      <c r="B660" s="8" t="s">
        <v>5693</v>
      </c>
      <c r="C660" s="8" t="s">
        <v>5918</v>
      </c>
      <c r="D660" s="10">
        <v>339</v>
      </c>
      <c r="E660" s="8" t="s">
        <v>6823</v>
      </c>
      <c r="F660" s="8" t="s">
        <v>6824</v>
      </c>
      <c r="G660" s="8" t="s">
        <v>4727</v>
      </c>
      <c r="H660" s="8" t="s">
        <v>6823</v>
      </c>
      <c r="I660" s="8"/>
      <c r="J660" s="15" t="s">
        <v>5695</v>
      </c>
      <c r="K660" s="8"/>
      <c r="L660" s="15" t="s">
        <v>1685</v>
      </c>
      <c r="M660" s="8" t="s">
        <v>5578</v>
      </c>
      <c r="N660" s="8"/>
      <c r="O660" s="8" t="s">
        <v>5574</v>
      </c>
      <c r="P660" s="11"/>
      <c r="Q660" s="8" t="s">
        <v>5696</v>
      </c>
      <c r="R660" s="8" t="s">
        <v>5919</v>
      </c>
      <c r="S660" s="8" t="s">
        <v>6825</v>
      </c>
    </row>
    <row r="661" spans="1:19" ht="107.1" customHeight="1" x14ac:dyDescent="0.25">
      <c r="A661" s="8" t="s">
        <v>6826</v>
      </c>
      <c r="B661" s="8" t="s">
        <v>5693</v>
      </c>
      <c r="C661" s="8" t="s">
        <v>5918</v>
      </c>
      <c r="D661" s="10">
        <v>340</v>
      </c>
      <c r="E661" s="8" t="s">
        <v>6827</v>
      </c>
      <c r="F661" s="8" t="s">
        <v>6828</v>
      </c>
      <c r="G661" s="8" t="s">
        <v>4727</v>
      </c>
      <c r="H661" s="8" t="s">
        <v>6827</v>
      </c>
      <c r="I661" s="8"/>
      <c r="J661" s="15" t="s">
        <v>5695</v>
      </c>
      <c r="K661" s="8"/>
      <c r="L661" s="15" t="s">
        <v>1685</v>
      </c>
      <c r="M661" s="8" t="s">
        <v>5578</v>
      </c>
      <c r="N661" s="8"/>
      <c r="O661" s="8" t="s">
        <v>5574</v>
      </c>
      <c r="P661" s="11"/>
      <c r="Q661" s="8" t="s">
        <v>5696</v>
      </c>
      <c r="R661" s="8" t="s">
        <v>5919</v>
      </c>
      <c r="S661" s="8" t="s">
        <v>6829</v>
      </c>
    </row>
    <row r="662" spans="1:19" ht="107.1" customHeight="1" x14ac:dyDescent="0.25">
      <c r="A662" s="8" t="s">
        <v>6830</v>
      </c>
      <c r="B662" s="8" t="s">
        <v>5693</v>
      </c>
      <c r="C662" s="8" t="s">
        <v>5918</v>
      </c>
      <c r="D662" s="10">
        <v>341</v>
      </c>
      <c r="E662" s="8" t="s">
        <v>6831</v>
      </c>
      <c r="F662" s="8" t="s">
        <v>6832</v>
      </c>
      <c r="G662" s="8" t="s">
        <v>4727</v>
      </c>
      <c r="H662" s="8" t="s">
        <v>6831</v>
      </c>
      <c r="I662" s="8"/>
      <c r="J662" s="15" t="s">
        <v>5695</v>
      </c>
      <c r="K662" s="8"/>
      <c r="L662" s="15" t="s">
        <v>1685</v>
      </c>
      <c r="M662" s="8" t="s">
        <v>5578</v>
      </c>
      <c r="N662" s="8"/>
      <c r="O662" s="8" t="s">
        <v>5574</v>
      </c>
      <c r="P662" s="11"/>
      <c r="Q662" s="8" t="s">
        <v>5696</v>
      </c>
      <c r="R662" s="8" t="s">
        <v>5919</v>
      </c>
      <c r="S662" s="8" t="s">
        <v>6833</v>
      </c>
    </row>
    <row r="663" spans="1:19" ht="107.1" customHeight="1" x14ac:dyDescent="0.25">
      <c r="A663" s="8" t="s">
        <v>6834</v>
      </c>
      <c r="B663" s="8" t="s">
        <v>5693</v>
      </c>
      <c r="C663" s="8" t="s">
        <v>5918</v>
      </c>
      <c r="D663" s="10">
        <v>342</v>
      </c>
      <c r="E663" s="8" t="s">
        <v>6835</v>
      </c>
      <c r="F663" s="8" t="s">
        <v>6836</v>
      </c>
      <c r="G663" s="8" t="s">
        <v>4727</v>
      </c>
      <c r="H663" s="8" t="s">
        <v>6835</v>
      </c>
      <c r="I663" s="8"/>
      <c r="J663" s="15" t="s">
        <v>5695</v>
      </c>
      <c r="K663" s="8"/>
      <c r="L663" s="15" t="s">
        <v>1685</v>
      </c>
      <c r="M663" s="8" t="s">
        <v>5578</v>
      </c>
      <c r="N663" s="8"/>
      <c r="O663" s="8" t="s">
        <v>5574</v>
      </c>
      <c r="P663" s="11"/>
      <c r="Q663" s="8" t="s">
        <v>5696</v>
      </c>
      <c r="R663" s="8" t="s">
        <v>5919</v>
      </c>
      <c r="S663" s="8" t="s">
        <v>6837</v>
      </c>
    </row>
    <row r="664" spans="1:19" ht="107.1" customHeight="1" x14ac:dyDescent="0.25">
      <c r="A664" s="8" t="s">
        <v>6838</v>
      </c>
      <c r="B664" s="8" t="s">
        <v>5693</v>
      </c>
      <c r="C664" s="8" t="s">
        <v>5918</v>
      </c>
      <c r="D664" s="10">
        <v>343</v>
      </c>
      <c r="E664" s="8" t="s">
        <v>6839</v>
      </c>
      <c r="F664" s="8" t="s">
        <v>6840</v>
      </c>
      <c r="G664" s="8" t="s">
        <v>4727</v>
      </c>
      <c r="H664" s="8" t="s">
        <v>6839</v>
      </c>
      <c r="I664" s="8"/>
      <c r="J664" s="15" t="s">
        <v>5695</v>
      </c>
      <c r="K664" s="8"/>
      <c r="L664" s="15" t="s">
        <v>1685</v>
      </c>
      <c r="M664" s="8" t="s">
        <v>5578</v>
      </c>
      <c r="N664" s="8"/>
      <c r="O664" s="8" t="s">
        <v>5574</v>
      </c>
      <c r="P664" s="11"/>
      <c r="Q664" s="8" t="s">
        <v>5696</v>
      </c>
      <c r="R664" s="8" t="s">
        <v>5919</v>
      </c>
      <c r="S664" s="8" t="s">
        <v>6841</v>
      </c>
    </row>
    <row r="665" spans="1:19" ht="93" customHeight="1" x14ac:dyDescent="0.25">
      <c r="A665" s="8" t="s">
        <v>6842</v>
      </c>
      <c r="B665" s="8" t="s">
        <v>5693</v>
      </c>
      <c r="C665" s="8" t="s">
        <v>5918</v>
      </c>
      <c r="D665" s="10">
        <v>344</v>
      </c>
      <c r="E665" s="8" t="s">
        <v>6843</v>
      </c>
      <c r="F665" s="8" t="s">
        <v>6844</v>
      </c>
      <c r="G665" s="8" t="s">
        <v>4727</v>
      </c>
      <c r="H665" s="8" t="s">
        <v>6843</v>
      </c>
      <c r="I665" s="8"/>
      <c r="J665" s="15" t="s">
        <v>5695</v>
      </c>
      <c r="K665" s="8"/>
      <c r="L665" s="15" t="s">
        <v>1685</v>
      </c>
      <c r="M665" s="8" t="s">
        <v>5578</v>
      </c>
      <c r="N665" s="8"/>
      <c r="O665" s="8" t="s">
        <v>5574</v>
      </c>
      <c r="P665" s="11"/>
      <c r="Q665" s="8" t="s">
        <v>5696</v>
      </c>
      <c r="R665" s="8" t="s">
        <v>5919</v>
      </c>
      <c r="S665" s="8" t="s">
        <v>6845</v>
      </c>
    </row>
    <row r="666" spans="1:19" ht="107.1" customHeight="1" x14ac:dyDescent="0.25">
      <c r="A666" s="8" t="s">
        <v>6846</v>
      </c>
      <c r="B666" s="8" t="s">
        <v>5693</v>
      </c>
      <c r="C666" s="8" t="s">
        <v>5918</v>
      </c>
      <c r="D666" s="10">
        <v>345</v>
      </c>
      <c r="E666" s="8" t="s">
        <v>6847</v>
      </c>
      <c r="F666" s="8" t="s">
        <v>6848</v>
      </c>
      <c r="G666" s="8" t="s">
        <v>4727</v>
      </c>
      <c r="H666" s="8" t="s">
        <v>6847</v>
      </c>
      <c r="I666" s="8"/>
      <c r="J666" s="15" t="s">
        <v>5695</v>
      </c>
      <c r="K666" s="8"/>
      <c r="L666" s="15" t="s">
        <v>1685</v>
      </c>
      <c r="M666" s="8" t="s">
        <v>5578</v>
      </c>
      <c r="N666" s="8"/>
      <c r="O666" s="8" t="s">
        <v>5574</v>
      </c>
      <c r="P666" s="11"/>
      <c r="Q666" s="8" t="s">
        <v>5696</v>
      </c>
      <c r="R666" s="8" t="s">
        <v>5919</v>
      </c>
      <c r="S666" s="8" t="s">
        <v>6849</v>
      </c>
    </row>
    <row r="667" spans="1:19" ht="93" customHeight="1" x14ac:dyDescent="0.25">
      <c r="A667" s="8" t="s">
        <v>6850</v>
      </c>
      <c r="B667" s="8" t="s">
        <v>5693</v>
      </c>
      <c r="C667" s="8" t="s">
        <v>5918</v>
      </c>
      <c r="D667" s="10">
        <v>346</v>
      </c>
      <c r="E667" s="8" t="s">
        <v>6851</v>
      </c>
      <c r="F667" s="8" t="s">
        <v>6852</v>
      </c>
      <c r="G667" s="8" t="s">
        <v>4727</v>
      </c>
      <c r="H667" s="8" t="s">
        <v>6851</v>
      </c>
      <c r="I667" s="8"/>
      <c r="J667" s="15" t="s">
        <v>5695</v>
      </c>
      <c r="K667" s="8"/>
      <c r="L667" s="15" t="s">
        <v>1685</v>
      </c>
      <c r="M667" s="8" t="s">
        <v>5578</v>
      </c>
      <c r="N667" s="8"/>
      <c r="O667" s="8" t="s">
        <v>5574</v>
      </c>
      <c r="P667" s="11"/>
      <c r="Q667" s="8" t="s">
        <v>5696</v>
      </c>
      <c r="R667" s="8" t="s">
        <v>5919</v>
      </c>
      <c r="S667" s="8" t="s">
        <v>6853</v>
      </c>
    </row>
    <row r="668" spans="1:19" ht="107.1" customHeight="1" x14ac:dyDescent="0.25">
      <c r="A668" s="8" t="s">
        <v>6854</v>
      </c>
      <c r="B668" s="8" t="s">
        <v>5693</v>
      </c>
      <c r="C668" s="8" t="s">
        <v>5918</v>
      </c>
      <c r="D668" s="10">
        <v>347</v>
      </c>
      <c r="E668" s="8" t="s">
        <v>6855</v>
      </c>
      <c r="F668" s="8" t="s">
        <v>6856</v>
      </c>
      <c r="G668" s="8" t="s">
        <v>4727</v>
      </c>
      <c r="H668" s="8" t="s">
        <v>6855</v>
      </c>
      <c r="I668" s="8"/>
      <c r="J668" s="15" t="s">
        <v>5695</v>
      </c>
      <c r="K668" s="8"/>
      <c r="L668" s="15" t="s">
        <v>1685</v>
      </c>
      <c r="M668" s="8" t="s">
        <v>5578</v>
      </c>
      <c r="N668" s="8"/>
      <c r="O668" s="8" t="s">
        <v>5574</v>
      </c>
      <c r="P668" s="11"/>
      <c r="Q668" s="8" t="s">
        <v>5696</v>
      </c>
      <c r="R668" s="8" t="s">
        <v>5919</v>
      </c>
      <c r="S668" s="8" t="s">
        <v>6857</v>
      </c>
    </row>
    <row r="669" spans="1:19" ht="93" customHeight="1" x14ac:dyDescent="0.25">
      <c r="A669" s="8" t="s">
        <v>6858</v>
      </c>
      <c r="B669" s="8" t="s">
        <v>5693</v>
      </c>
      <c r="C669" s="8" t="s">
        <v>5918</v>
      </c>
      <c r="D669" s="10">
        <v>348</v>
      </c>
      <c r="E669" s="8" t="s">
        <v>6859</v>
      </c>
      <c r="F669" s="8" t="s">
        <v>6860</v>
      </c>
      <c r="G669" s="8" t="s">
        <v>4727</v>
      </c>
      <c r="H669" s="8" t="s">
        <v>6859</v>
      </c>
      <c r="I669" s="8"/>
      <c r="J669" s="15" t="s">
        <v>5695</v>
      </c>
      <c r="K669" s="8"/>
      <c r="L669" s="15" t="s">
        <v>1685</v>
      </c>
      <c r="M669" s="8" t="s">
        <v>5578</v>
      </c>
      <c r="N669" s="8"/>
      <c r="O669" s="8" t="s">
        <v>5574</v>
      </c>
      <c r="P669" s="11"/>
      <c r="Q669" s="8" t="s">
        <v>5696</v>
      </c>
      <c r="R669" s="8" t="s">
        <v>5919</v>
      </c>
      <c r="S669" s="8" t="s">
        <v>6861</v>
      </c>
    </row>
    <row r="670" spans="1:19" ht="93" customHeight="1" x14ac:dyDescent="0.25">
      <c r="A670" s="8" t="s">
        <v>6862</v>
      </c>
      <c r="B670" s="8" t="s">
        <v>5693</v>
      </c>
      <c r="C670" s="8" t="s">
        <v>5918</v>
      </c>
      <c r="D670" s="10">
        <v>349</v>
      </c>
      <c r="E670" s="8" t="s">
        <v>6863</v>
      </c>
      <c r="F670" s="8" t="s">
        <v>6864</v>
      </c>
      <c r="G670" s="8" t="s">
        <v>4727</v>
      </c>
      <c r="H670" s="8" t="s">
        <v>6863</v>
      </c>
      <c r="I670" s="8"/>
      <c r="J670" s="15" t="s">
        <v>5695</v>
      </c>
      <c r="K670" s="8"/>
      <c r="L670" s="15" t="s">
        <v>1685</v>
      </c>
      <c r="M670" s="8" t="s">
        <v>5578</v>
      </c>
      <c r="N670" s="8"/>
      <c r="O670" s="8" t="s">
        <v>5574</v>
      </c>
      <c r="P670" s="11"/>
      <c r="Q670" s="8" t="s">
        <v>5696</v>
      </c>
      <c r="R670" s="8" t="s">
        <v>5919</v>
      </c>
      <c r="S670" s="8" t="s">
        <v>6865</v>
      </c>
    </row>
    <row r="671" spans="1:19" ht="107.1" customHeight="1" x14ac:dyDescent="0.25">
      <c r="A671" s="8" t="s">
        <v>6866</v>
      </c>
      <c r="B671" s="8" t="s">
        <v>5693</v>
      </c>
      <c r="C671" s="8" t="s">
        <v>5918</v>
      </c>
      <c r="D671" s="10">
        <v>350</v>
      </c>
      <c r="E671" s="8" t="s">
        <v>6867</v>
      </c>
      <c r="F671" s="8" t="s">
        <v>6868</v>
      </c>
      <c r="G671" s="8" t="s">
        <v>4727</v>
      </c>
      <c r="H671" s="8" t="s">
        <v>6867</v>
      </c>
      <c r="I671" s="8"/>
      <c r="J671" s="15" t="s">
        <v>5695</v>
      </c>
      <c r="K671" s="8"/>
      <c r="L671" s="15" t="s">
        <v>1685</v>
      </c>
      <c r="M671" s="8" t="s">
        <v>5578</v>
      </c>
      <c r="N671" s="8"/>
      <c r="O671" s="8" t="s">
        <v>5574</v>
      </c>
      <c r="P671" s="11"/>
      <c r="Q671" s="8" t="s">
        <v>5696</v>
      </c>
      <c r="R671" s="8" t="s">
        <v>5919</v>
      </c>
      <c r="S671" s="8" t="s">
        <v>6869</v>
      </c>
    </row>
    <row r="672" spans="1:19" ht="107.1" customHeight="1" x14ac:dyDescent="0.25">
      <c r="A672" s="8" t="s">
        <v>6870</v>
      </c>
      <c r="B672" s="8" t="s">
        <v>5693</v>
      </c>
      <c r="C672" s="8" t="s">
        <v>5918</v>
      </c>
      <c r="D672" s="10">
        <v>351</v>
      </c>
      <c r="E672" s="8" t="s">
        <v>6871</v>
      </c>
      <c r="F672" s="8" t="s">
        <v>6872</v>
      </c>
      <c r="G672" s="8" t="s">
        <v>4727</v>
      </c>
      <c r="H672" s="8" t="s">
        <v>6871</v>
      </c>
      <c r="I672" s="8"/>
      <c r="J672" s="15" t="s">
        <v>5695</v>
      </c>
      <c r="K672" s="8"/>
      <c r="L672" s="15" t="s">
        <v>1685</v>
      </c>
      <c r="M672" s="8" t="s">
        <v>5578</v>
      </c>
      <c r="N672" s="8"/>
      <c r="O672" s="8" t="s">
        <v>5574</v>
      </c>
      <c r="P672" s="11"/>
      <c r="Q672" s="8" t="s">
        <v>5696</v>
      </c>
      <c r="R672" s="8" t="s">
        <v>5919</v>
      </c>
      <c r="S672" s="8" t="s">
        <v>6873</v>
      </c>
    </row>
    <row r="673" spans="1:19" ht="107.1" customHeight="1" x14ac:dyDescent="0.25">
      <c r="A673" s="8" t="s">
        <v>6874</v>
      </c>
      <c r="B673" s="8" t="s">
        <v>5693</v>
      </c>
      <c r="C673" s="8" t="s">
        <v>5918</v>
      </c>
      <c r="D673" s="10">
        <v>352</v>
      </c>
      <c r="E673" s="8" t="s">
        <v>6875</v>
      </c>
      <c r="F673" s="8" t="s">
        <v>6876</v>
      </c>
      <c r="G673" s="8" t="s">
        <v>4727</v>
      </c>
      <c r="H673" s="8" t="s">
        <v>6875</v>
      </c>
      <c r="I673" s="8"/>
      <c r="J673" s="15" t="s">
        <v>5695</v>
      </c>
      <c r="K673" s="8"/>
      <c r="L673" s="15" t="s">
        <v>1685</v>
      </c>
      <c r="M673" s="8" t="s">
        <v>5578</v>
      </c>
      <c r="N673" s="8"/>
      <c r="O673" s="8" t="s">
        <v>5574</v>
      </c>
      <c r="P673" s="11"/>
      <c r="Q673" s="8" t="s">
        <v>5696</v>
      </c>
      <c r="R673" s="8" t="s">
        <v>5919</v>
      </c>
      <c r="S673" s="8" t="s">
        <v>6877</v>
      </c>
    </row>
    <row r="674" spans="1:19" ht="93" customHeight="1" x14ac:dyDescent="0.25">
      <c r="A674" s="8" t="s">
        <v>6878</v>
      </c>
      <c r="B674" s="8" t="s">
        <v>5693</v>
      </c>
      <c r="C674" s="8" t="s">
        <v>5918</v>
      </c>
      <c r="D674" s="10">
        <v>353</v>
      </c>
      <c r="E674" s="8" t="s">
        <v>6879</v>
      </c>
      <c r="F674" s="8" t="s">
        <v>6880</v>
      </c>
      <c r="G674" s="8" t="s">
        <v>4727</v>
      </c>
      <c r="H674" s="8" t="s">
        <v>6879</v>
      </c>
      <c r="I674" s="8"/>
      <c r="J674" s="15" t="s">
        <v>5695</v>
      </c>
      <c r="K674" s="8"/>
      <c r="L674" s="15" t="s">
        <v>1685</v>
      </c>
      <c r="M674" s="8" t="s">
        <v>5578</v>
      </c>
      <c r="N674" s="8"/>
      <c r="O674" s="8" t="s">
        <v>5574</v>
      </c>
      <c r="P674" s="11"/>
      <c r="Q674" s="8" t="s">
        <v>5696</v>
      </c>
      <c r="R674" s="8" t="s">
        <v>5919</v>
      </c>
      <c r="S674" s="8" t="s">
        <v>6881</v>
      </c>
    </row>
    <row r="675" spans="1:19" ht="107.1" customHeight="1" x14ac:dyDescent="0.25">
      <c r="A675" s="8" t="s">
        <v>6882</v>
      </c>
      <c r="B675" s="8" t="s">
        <v>5693</v>
      </c>
      <c r="C675" s="8" t="s">
        <v>5918</v>
      </c>
      <c r="D675" s="10">
        <v>354</v>
      </c>
      <c r="E675" s="8" t="s">
        <v>6883</v>
      </c>
      <c r="F675" s="8" t="s">
        <v>6884</v>
      </c>
      <c r="G675" s="8" t="s">
        <v>4727</v>
      </c>
      <c r="H675" s="8" t="s">
        <v>6883</v>
      </c>
      <c r="I675" s="8"/>
      <c r="J675" s="15" t="s">
        <v>5695</v>
      </c>
      <c r="K675" s="8"/>
      <c r="L675" s="15" t="s">
        <v>1685</v>
      </c>
      <c r="M675" s="8" t="s">
        <v>5578</v>
      </c>
      <c r="N675" s="8"/>
      <c r="O675" s="8" t="s">
        <v>5574</v>
      </c>
      <c r="P675" s="11"/>
      <c r="Q675" s="8" t="s">
        <v>5696</v>
      </c>
      <c r="R675" s="8" t="s">
        <v>5919</v>
      </c>
      <c r="S675" s="8" t="s">
        <v>6885</v>
      </c>
    </row>
    <row r="676" spans="1:19" ht="93" customHeight="1" x14ac:dyDescent="0.25">
      <c r="A676" s="8" t="s">
        <v>6886</v>
      </c>
      <c r="B676" s="8" t="s">
        <v>5693</v>
      </c>
      <c r="C676" s="8" t="s">
        <v>5918</v>
      </c>
      <c r="D676" s="10">
        <v>355</v>
      </c>
      <c r="E676" s="8" t="s">
        <v>6887</v>
      </c>
      <c r="F676" s="8" t="s">
        <v>6888</v>
      </c>
      <c r="G676" s="8" t="s">
        <v>4727</v>
      </c>
      <c r="H676" s="8" t="s">
        <v>6887</v>
      </c>
      <c r="I676" s="8"/>
      <c r="J676" s="15" t="s">
        <v>5695</v>
      </c>
      <c r="K676" s="8"/>
      <c r="L676" s="15" t="s">
        <v>1685</v>
      </c>
      <c r="M676" s="8" t="s">
        <v>5578</v>
      </c>
      <c r="N676" s="8"/>
      <c r="O676" s="8" t="s">
        <v>5574</v>
      </c>
      <c r="P676" s="11"/>
      <c r="Q676" s="8" t="s">
        <v>5696</v>
      </c>
      <c r="R676" s="8" t="s">
        <v>5919</v>
      </c>
      <c r="S676" s="8" t="s">
        <v>6889</v>
      </c>
    </row>
    <row r="677" spans="1:19" ht="107.1" customHeight="1" x14ac:dyDescent="0.25">
      <c r="A677" s="8" t="s">
        <v>6890</v>
      </c>
      <c r="B677" s="8" t="s">
        <v>5693</v>
      </c>
      <c r="C677" s="8" t="s">
        <v>5918</v>
      </c>
      <c r="D677" s="10">
        <v>356</v>
      </c>
      <c r="E677" s="8" t="s">
        <v>6891</v>
      </c>
      <c r="F677" s="8" t="s">
        <v>6892</v>
      </c>
      <c r="G677" s="8" t="s">
        <v>4727</v>
      </c>
      <c r="H677" s="8" t="s">
        <v>6891</v>
      </c>
      <c r="I677" s="8"/>
      <c r="J677" s="15" t="s">
        <v>5695</v>
      </c>
      <c r="K677" s="8"/>
      <c r="L677" s="15" t="s">
        <v>1685</v>
      </c>
      <c r="M677" s="8" t="s">
        <v>5578</v>
      </c>
      <c r="N677" s="8"/>
      <c r="O677" s="8" t="s">
        <v>5574</v>
      </c>
      <c r="P677" s="11"/>
      <c r="Q677" s="8" t="s">
        <v>5696</v>
      </c>
      <c r="R677" s="8" t="s">
        <v>5919</v>
      </c>
      <c r="S677" s="8" t="s">
        <v>6893</v>
      </c>
    </row>
    <row r="678" spans="1:19" ht="93" customHeight="1" x14ac:dyDescent="0.25">
      <c r="A678" s="8" t="s">
        <v>6894</v>
      </c>
      <c r="B678" s="8" t="s">
        <v>5693</v>
      </c>
      <c r="C678" s="8" t="s">
        <v>5918</v>
      </c>
      <c r="D678" s="10">
        <v>357</v>
      </c>
      <c r="E678" s="8" t="s">
        <v>6895</v>
      </c>
      <c r="F678" s="8" t="s">
        <v>6896</v>
      </c>
      <c r="G678" s="8" t="s">
        <v>4727</v>
      </c>
      <c r="H678" s="8" t="s">
        <v>6895</v>
      </c>
      <c r="I678" s="8"/>
      <c r="J678" s="15" t="s">
        <v>5695</v>
      </c>
      <c r="K678" s="8"/>
      <c r="L678" s="15" t="s">
        <v>1685</v>
      </c>
      <c r="M678" s="8" t="s">
        <v>5578</v>
      </c>
      <c r="N678" s="8"/>
      <c r="O678" s="8" t="s">
        <v>5574</v>
      </c>
      <c r="P678" s="11"/>
      <c r="Q678" s="8" t="s">
        <v>5696</v>
      </c>
      <c r="R678" s="8" t="s">
        <v>5919</v>
      </c>
      <c r="S678" s="8" t="s">
        <v>6897</v>
      </c>
    </row>
    <row r="679" spans="1:19" ht="107.1" customHeight="1" x14ac:dyDescent="0.25">
      <c r="A679" s="8" t="s">
        <v>6898</v>
      </c>
      <c r="B679" s="8" t="s">
        <v>5693</v>
      </c>
      <c r="C679" s="8" t="s">
        <v>5918</v>
      </c>
      <c r="D679" s="10">
        <v>358</v>
      </c>
      <c r="E679" s="8" t="s">
        <v>6899</v>
      </c>
      <c r="F679" s="8" t="s">
        <v>6900</v>
      </c>
      <c r="G679" s="8" t="s">
        <v>4727</v>
      </c>
      <c r="H679" s="8" t="s">
        <v>6899</v>
      </c>
      <c r="I679" s="8"/>
      <c r="J679" s="15" t="s">
        <v>5695</v>
      </c>
      <c r="K679" s="8"/>
      <c r="L679" s="15" t="s">
        <v>1685</v>
      </c>
      <c r="M679" s="8" t="s">
        <v>5578</v>
      </c>
      <c r="N679" s="8"/>
      <c r="O679" s="8" t="s">
        <v>5574</v>
      </c>
      <c r="P679" s="11"/>
      <c r="Q679" s="8" t="s">
        <v>5696</v>
      </c>
      <c r="R679" s="8" t="s">
        <v>5919</v>
      </c>
      <c r="S679" s="8" t="s">
        <v>6901</v>
      </c>
    </row>
    <row r="680" spans="1:19" ht="107.1" customHeight="1" x14ac:dyDescent="0.25">
      <c r="A680" s="8" t="s">
        <v>6902</v>
      </c>
      <c r="B680" s="8" t="s">
        <v>5693</v>
      </c>
      <c r="C680" s="8" t="s">
        <v>5918</v>
      </c>
      <c r="D680" s="10">
        <v>359</v>
      </c>
      <c r="E680" s="8" t="s">
        <v>6903</v>
      </c>
      <c r="F680" s="8" t="s">
        <v>6904</v>
      </c>
      <c r="G680" s="8" t="s">
        <v>4727</v>
      </c>
      <c r="H680" s="8" t="s">
        <v>6903</v>
      </c>
      <c r="I680" s="8"/>
      <c r="J680" s="15" t="s">
        <v>5695</v>
      </c>
      <c r="K680" s="8"/>
      <c r="L680" s="15" t="s">
        <v>1685</v>
      </c>
      <c r="M680" s="8" t="s">
        <v>5578</v>
      </c>
      <c r="N680" s="8"/>
      <c r="O680" s="8" t="s">
        <v>5574</v>
      </c>
      <c r="P680" s="11"/>
      <c r="Q680" s="8" t="s">
        <v>5696</v>
      </c>
      <c r="R680" s="8" t="s">
        <v>5919</v>
      </c>
      <c r="S680" s="8" t="s">
        <v>6905</v>
      </c>
    </row>
    <row r="681" spans="1:19" ht="107.1" customHeight="1" x14ac:dyDescent="0.25">
      <c r="A681" s="8" t="s">
        <v>6906</v>
      </c>
      <c r="B681" s="8" t="s">
        <v>5693</v>
      </c>
      <c r="C681" s="8" t="s">
        <v>5918</v>
      </c>
      <c r="D681" s="10">
        <v>360</v>
      </c>
      <c r="E681" s="8" t="s">
        <v>6907</v>
      </c>
      <c r="F681" s="8" t="s">
        <v>6908</v>
      </c>
      <c r="G681" s="8" t="s">
        <v>4727</v>
      </c>
      <c r="H681" s="8" t="s">
        <v>6907</v>
      </c>
      <c r="I681" s="8"/>
      <c r="J681" s="15" t="s">
        <v>5695</v>
      </c>
      <c r="K681" s="8"/>
      <c r="L681" s="15" t="s">
        <v>1685</v>
      </c>
      <c r="M681" s="8" t="s">
        <v>5578</v>
      </c>
      <c r="N681" s="8"/>
      <c r="O681" s="8" t="s">
        <v>5574</v>
      </c>
      <c r="P681" s="11"/>
      <c r="Q681" s="8" t="s">
        <v>5696</v>
      </c>
      <c r="R681" s="8" t="s">
        <v>5919</v>
      </c>
      <c r="S681" s="8" t="s">
        <v>6909</v>
      </c>
    </row>
    <row r="682" spans="1:19" ht="107.1" customHeight="1" x14ac:dyDescent="0.25">
      <c r="A682" s="8" t="s">
        <v>6910</v>
      </c>
      <c r="B682" s="8" t="s">
        <v>5693</v>
      </c>
      <c r="C682" s="8" t="s">
        <v>5918</v>
      </c>
      <c r="D682" s="10">
        <v>361</v>
      </c>
      <c r="E682" s="8" t="s">
        <v>6911</v>
      </c>
      <c r="F682" s="8" t="s">
        <v>6912</v>
      </c>
      <c r="G682" s="8" t="s">
        <v>4727</v>
      </c>
      <c r="H682" s="8" t="s">
        <v>6911</v>
      </c>
      <c r="I682" s="8"/>
      <c r="J682" s="15" t="s">
        <v>5695</v>
      </c>
      <c r="K682" s="8"/>
      <c r="L682" s="15" t="s">
        <v>1685</v>
      </c>
      <c r="M682" s="8" t="s">
        <v>5578</v>
      </c>
      <c r="N682" s="8"/>
      <c r="O682" s="8" t="s">
        <v>5574</v>
      </c>
      <c r="P682" s="11"/>
      <c r="Q682" s="8" t="s">
        <v>5696</v>
      </c>
      <c r="R682" s="8" t="s">
        <v>5919</v>
      </c>
      <c r="S682" s="8" t="s">
        <v>6913</v>
      </c>
    </row>
    <row r="683" spans="1:19" ht="107.1" customHeight="1" x14ac:dyDescent="0.25">
      <c r="A683" s="8" t="s">
        <v>6914</v>
      </c>
      <c r="B683" s="8" t="s">
        <v>5693</v>
      </c>
      <c r="C683" s="8" t="s">
        <v>5918</v>
      </c>
      <c r="D683" s="10">
        <v>362</v>
      </c>
      <c r="E683" s="8" t="s">
        <v>6915</v>
      </c>
      <c r="F683" s="8" t="s">
        <v>6916</v>
      </c>
      <c r="G683" s="8" t="s">
        <v>4727</v>
      </c>
      <c r="H683" s="8" t="s">
        <v>6915</v>
      </c>
      <c r="I683" s="8"/>
      <c r="J683" s="15" t="s">
        <v>5695</v>
      </c>
      <c r="K683" s="8"/>
      <c r="L683" s="15" t="s">
        <v>1685</v>
      </c>
      <c r="M683" s="8" t="s">
        <v>5578</v>
      </c>
      <c r="N683" s="8"/>
      <c r="O683" s="8" t="s">
        <v>5574</v>
      </c>
      <c r="P683" s="11"/>
      <c r="Q683" s="8" t="s">
        <v>5696</v>
      </c>
      <c r="R683" s="8" t="s">
        <v>5919</v>
      </c>
      <c r="S683" s="8" t="s">
        <v>6917</v>
      </c>
    </row>
    <row r="684" spans="1:19" ht="93" customHeight="1" x14ac:dyDescent="0.25">
      <c r="A684" s="8" t="s">
        <v>6918</v>
      </c>
      <c r="B684" s="8" t="s">
        <v>5693</v>
      </c>
      <c r="C684" s="8" t="s">
        <v>5918</v>
      </c>
      <c r="D684" s="10">
        <v>363</v>
      </c>
      <c r="E684" s="8" t="s">
        <v>6919</v>
      </c>
      <c r="F684" s="8" t="s">
        <v>6920</v>
      </c>
      <c r="G684" s="8" t="s">
        <v>4727</v>
      </c>
      <c r="H684" s="8" t="s">
        <v>6919</v>
      </c>
      <c r="I684" s="8"/>
      <c r="J684" s="15" t="s">
        <v>5695</v>
      </c>
      <c r="K684" s="8"/>
      <c r="L684" s="15" t="s">
        <v>1685</v>
      </c>
      <c r="M684" s="8" t="s">
        <v>5578</v>
      </c>
      <c r="N684" s="8"/>
      <c r="O684" s="8" t="s">
        <v>5574</v>
      </c>
      <c r="P684" s="11"/>
      <c r="Q684" s="8" t="s">
        <v>5696</v>
      </c>
      <c r="R684" s="8" t="s">
        <v>5919</v>
      </c>
      <c r="S684" s="8" t="s">
        <v>6921</v>
      </c>
    </row>
    <row r="685" spans="1:19" ht="93" customHeight="1" x14ac:dyDescent="0.25">
      <c r="A685" s="8" t="s">
        <v>6922</v>
      </c>
      <c r="B685" s="8" t="s">
        <v>5693</v>
      </c>
      <c r="C685" s="8" t="s">
        <v>5918</v>
      </c>
      <c r="D685" s="10">
        <v>364</v>
      </c>
      <c r="E685" s="8" t="s">
        <v>6923</v>
      </c>
      <c r="F685" s="8" t="s">
        <v>6924</v>
      </c>
      <c r="G685" s="8" t="s">
        <v>4727</v>
      </c>
      <c r="H685" s="8" t="s">
        <v>6923</v>
      </c>
      <c r="I685" s="8"/>
      <c r="J685" s="15" t="s">
        <v>5695</v>
      </c>
      <c r="K685" s="8"/>
      <c r="L685" s="15" t="s">
        <v>1685</v>
      </c>
      <c r="M685" s="8" t="s">
        <v>5578</v>
      </c>
      <c r="N685" s="8"/>
      <c r="O685" s="8" t="s">
        <v>5574</v>
      </c>
      <c r="P685" s="11"/>
      <c r="Q685" s="8" t="s">
        <v>5696</v>
      </c>
      <c r="R685" s="8" t="s">
        <v>5919</v>
      </c>
      <c r="S685" s="8" t="s">
        <v>6925</v>
      </c>
    </row>
    <row r="686" spans="1:19" ht="107.1" customHeight="1" x14ac:dyDescent="0.25">
      <c r="A686" s="8" t="s">
        <v>6926</v>
      </c>
      <c r="B686" s="8" t="s">
        <v>5693</v>
      </c>
      <c r="C686" s="8" t="s">
        <v>5918</v>
      </c>
      <c r="D686" s="10">
        <v>365</v>
      </c>
      <c r="E686" s="8" t="s">
        <v>6927</v>
      </c>
      <c r="F686" s="8" t="s">
        <v>6928</v>
      </c>
      <c r="G686" s="8" t="s">
        <v>4727</v>
      </c>
      <c r="H686" s="8" t="s">
        <v>6927</v>
      </c>
      <c r="I686" s="8"/>
      <c r="J686" s="15" t="s">
        <v>5695</v>
      </c>
      <c r="K686" s="8"/>
      <c r="L686" s="15" t="s">
        <v>1685</v>
      </c>
      <c r="M686" s="8" t="s">
        <v>5578</v>
      </c>
      <c r="N686" s="8"/>
      <c r="O686" s="8" t="s">
        <v>5574</v>
      </c>
      <c r="P686" s="11"/>
      <c r="Q686" s="8" t="s">
        <v>5696</v>
      </c>
      <c r="R686" s="8" t="s">
        <v>5919</v>
      </c>
      <c r="S686" s="8" t="s">
        <v>6929</v>
      </c>
    </row>
    <row r="687" spans="1:19" ht="93" customHeight="1" x14ac:dyDescent="0.25">
      <c r="A687" s="8" t="s">
        <v>6930</v>
      </c>
      <c r="B687" s="8" t="s">
        <v>5693</v>
      </c>
      <c r="C687" s="8" t="s">
        <v>5918</v>
      </c>
      <c r="D687" s="10">
        <v>366</v>
      </c>
      <c r="E687" s="8" t="s">
        <v>6931</v>
      </c>
      <c r="F687" s="8" t="s">
        <v>6932</v>
      </c>
      <c r="G687" s="8" t="s">
        <v>4727</v>
      </c>
      <c r="H687" s="8" t="s">
        <v>6931</v>
      </c>
      <c r="I687" s="8"/>
      <c r="J687" s="15" t="s">
        <v>5695</v>
      </c>
      <c r="K687" s="8"/>
      <c r="L687" s="15" t="s">
        <v>1685</v>
      </c>
      <c r="M687" s="8" t="s">
        <v>5578</v>
      </c>
      <c r="N687" s="8"/>
      <c r="O687" s="8" t="s">
        <v>5574</v>
      </c>
      <c r="P687" s="11"/>
      <c r="Q687" s="8" t="s">
        <v>5696</v>
      </c>
      <c r="R687" s="8" t="s">
        <v>5919</v>
      </c>
      <c r="S687" s="8" t="s">
        <v>6933</v>
      </c>
    </row>
    <row r="688" spans="1:19" ht="107.1" customHeight="1" x14ac:dyDescent="0.25">
      <c r="A688" s="8" t="s">
        <v>6934</v>
      </c>
      <c r="B688" s="8" t="s">
        <v>5693</v>
      </c>
      <c r="C688" s="8" t="s">
        <v>5918</v>
      </c>
      <c r="D688" s="10">
        <v>367</v>
      </c>
      <c r="E688" s="8" t="s">
        <v>6935</v>
      </c>
      <c r="F688" s="8" t="s">
        <v>6936</v>
      </c>
      <c r="G688" s="8" t="s">
        <v>4727</v>
      </c>
      <c r="H688" s="8" t="s">
        <v>6935</v>
      </c>
      <c r="I688" s="8"/>
      <c r="J688" s="15" t="s">
        <v>5695</v>
      </c>
      <c r="K688" s="8"/>
      <c r="L688" s="15" t="s">
        <v>1685</v>
      </c>
      <c r="M688" s="8" t="s">
        <v>5578</v>
      </c>
      <c r="N688" s="8"/>
      <c r="O688" s="8" t="s">
        <v>5574</v>
      </c>
      <c r="P688" s="11"/>
      <c r="Q688" s="8" t="s">
        <v>5696</v>
      </c>
      <c r="R688" s="8" t="s">
        <v>5919</v>
      </c>
      <c r="S688" s="8" t="s">
        <v>6937</v>
      </c>
    </row>
    <row r="689" spans="1:19" ht="107.1" customHeight="1" x14ac:dyDescent="0.25">
      <c r="A689" s="8" t="s">
        <v>6938</v>
      </c>
      <c r="B689" s="8" t="s">
        <v>5693</v>
      </c>
      <c r="C689" s="8" t="s">
        <v>5918</v>
      </c>
      <c r="D689" s="10">
        <v>368</v>
      </c>
      <c r="E689" s="8" t="s">
        <v>6939</v>
      </c>
      <c r="F689" s="8" t="s">
        <v>6940</v>
      </c>
      <c r="G689" s="8" t="s">
        <v>4727</v>
      </c>
      <c r="H689" s="8" t="s">
        <v>6939</v>
      </c>
      <c r="I689" s="8"/>
      <c r="J689" s="15" t="s">
        <v>5695</v>
      </c>
      <c r="K689" s="8"/>
      <c r="L689" s="15" t="s">
        <v>1685</v>
      </c>
      <c r="M689" s="8" t="s">
        <v>5578</v>
      </c>
      <c r="N689" s="8"/>
      <c r="O689" s="8" t="s">
        <v>5574</v>
      </c>
      <c r="P689" s="11"/>
      <c r="Q689" s="8" t="s">
        <v>5696</v>
      </c>
      <c r="R689" s="8" t="s">
        <v>5919</v>
      </c>
      <c r="S689" s="8" t="s">
        <v>6941</v>
      </c>
    </row>
    <row r="690" spans="1:19" ht="107.1" customHeight="1" x14ac:dyDescent="0.25">
      <c r="A690" s="8" t="s">
        <v>6942</v>
      </c>
      <c r="B690" s="8" t="s">
        <v>5693</v>
      </c>
      <c r="C690" s="8" t="s">
        <v>5918</v>
      </c>
      <c r="D690" s="10">
        <v>369</v>
      </c>
      <c r="E690" s="8" t="s">
        <v>6943</v>
      </c>
      <c r="F690" s="8" t="s">
        <v>6944</v>
      </c>
      <c r="G690" s="8" t="s">
        <v>4727</v>
      </c>
      <c r="H690" s="8" t="s">
        <v>6943</v>
      </c>
      <c r="I690" s="8"/>
      <c r="J690" s="8"/>
      <c r="K690" s="8"/>
      <c r="L690" s="15" t="s">
        <v>1685</v>
      </c>
      <c r="M690" s="8" t="s">
        <v>5578</v>
      </c>
      <c r="N690" s="8"/>
      <c r="O690" s="8" t="s">
        <v>5574</v>
      </c>
      <c r="P690" s="11" t="s">
        <v>3567</v>
      </c>
      <c r="Q690" s="8" t="s">
        <v>5768</v>
      </c>
      <c r="R690" s="8" t="s">
        <v>5919</v>
      </c>
      <c r="S690" s="8" t="s">
        <v>6945</v>
      </c>
    </row>
    <row r="691" spans="1:19" ht="107.1" customHeight="1" x14ac:dyDescent="0.25">
      <c r="A691" s="8" t="s">
        <v>6946</v>
      </c>
      <c r="B691" s="8" t="s">
        <v>5693</v>
      </c>
      <c r="C691" s="8" t="s">
        <v>5918</v>
      </c>
      <c r="D691" s="10">
        <v>370</v>
      </c>
      <c r="E691" s="8" t="s">
        <v>6947</v>
      </c>
      <c r="F691" s="8" t="s">
        <v>6948</v>
      </c>
      <c r="G691" s="8" t="s">
        <v>4727</v>
      </c>
      <c r="H691" s="8" t="s">
        <v>6947</v>
      </c>
      <c r="I691" s="8"/>
      <c r="J691" s="8"/>
      <c r="K691" s="8"/>
      <c r="L691" s="15" t="s">
        <v>1685</v>
      </c>
      <c r="M691" s="8" t="s">
        <v>5578</v>
      </c>
      <c r="N691" s="8"/>
      <c r="O691" s="8" t="s">
        <v>5574</v>
      </c>
      <c r="P691" s="11" t="s">
        <v>3567</v>
      </c>
      <c r="Q691" s="8" t="s">
        <v>5768</v>
      </c>
      <c r="R691" s="8" t="s">
        <v>5919</v>
      </c>
      <c r="S691" s="8" t="s">
        <v>6949</v>
      </c>
    </row>
    <row r="692" spans="1:19" ht="107.1" customHeight="1" x14ac:dyDescent="0.25">
      <c r="A692" s="8" t="s">
        <v>6950</v>
      </c>
      <c r="B692" s="8" t="s">
        <v>5693</v>
      </c>
      <c r="C692" s="8" t="s">
        <v>5918</v>
      </c>
      <c r="D692" s="10">
        <v>371</v>
      </c>
      <c r="E692" s="8" t="s">
        <v>6951</v>
      </c>
      <c r="F692" s="8" t="s">
        <v>6952</v>
      </c>
      <c r="G692" s="8" t="s">
        <v>4727</v>
      </c>
      <c r="H692" s="8" t="s">
        <v>6951</v>
      </c>
      <c r="I692" s="8"/>
      <c r="J692" s="15" t="s">
        <v>5695</v>
      </c>
      <c r="K692" s="8"/>
      <c r="L692" s="15" t="s">
        <v>1685</v>
      </c>
      <c r="M692" s="8" t="s">
        <v>5578</v>
      </c>
      <c r="N692" s="8"/>
      <c r="O692" s="8" t="s">
        <v>5574</v>
      </c>
      <c r="P692" s="11"/>
      <c r="Q692" s="8" t="s">
        <v>5696</v>
      </c>
      <c r="R692" s="8" t="s">
        <v>5919</v>
      </c>
      <c r="S692" s="8" t="s">
        <v>6953</v>
      </c>
    </row>
    <row r="693" spans="1:19" ht="107.1" customHeight="1" x14ac:dyDescent="0.25">
      <c r="A693" s="8" t="s">
        <v>6954</v>
      </c>
      <c r="B693" s="8" t="s">
        <v>5693</v>
      </c>
      <c r="C693" s="8" t="s">
        <v>5918</v>
      </c>
      <c r="D693" s="10">
        <v>372</v>
      </c>
      <c r="E693" s="8" t="s">
        <v>6955</v>
      </c>
      <c r="F693" s="8" t="s">
        <v>6956</v>
      </c>
      <c r="G693" s="8" t="s">
        <v>4727</v>
      </c>
      <c r="H693" s="8" t="s">
        <v>6955</v>
      </c>
      <c r="I693" s="8"/>
      <c r="J693" s="15" t="s">
        <v>5695</v>
      </c>
      <c r="K693" s="8"/>
      <c r="L693" s="15" t="s">
        <v>1685</v>
      </c>
      <c r="M693" s="8" t="s">
        <v>5578</v>
      </c>
      <c r="N693" s="8"/>
      <c r="O693" s="8" t="s">
        <v>5574</v>
      </c>
      <c r="P693" s="11"/>
      <c r="Q693" s="8" t="s">
        <v>5696</v>
      </c>
      <c r="R693" s="8" t="s">
        <v>5919</v>
      </c>
      <c r="S693" s="8" t="s">
        <v>6957</v>
      </c>
    </row>
    <row r="694" spans="1:19" ht="107.1" customHeight="1" x14ac:dyDescent="0.25">
      <c r="A694" s="8" t="s">
        <v>6958</v>
      </c>
      <c r="B694" s="8" t="s">
        <v>5693</v>
      </c>
      <c r="C694" s="8" t="s">
        <v>5918</v>
      </c>
      <c r="D694" s="10">
        <v>373</v>
      </c>
      <c r="E694" s="8" t="s">
        <v>6959</v>
      </c>
      <c r="F694" s="8" t="s">
        <v>6960</v>
      </c>
      <c r="G694" s="8" t="s">
        <v>4727</v>
      </c>
      <c r="H694" s="8" t="s">
        <v>6959</v>
      </c>
      <c r="I694" s="8"/>
      <c r="J694" s="15" t="s">
        <v>5695</v>
      </c>
      <c r="K694" s="8"/>
      <c r="L694" s="15" t="s">
        <v>1685</v>
      </c>
      <c r="M694" s="8" t="s">
        <v>5578</v>
      </c>
      <c r="N694" s="8"/>
      <c r="O694" s="8" t="s">
        <v>5574</v>
      </c>
      <c r="P694" s="11"/>
      <c r="Q694" s="8" t="s">
        <v>5696</v>
      </c>
      <c r="R694" s="8" t="s">
        <v>5919</v>
      </c>
      <c r="S694" s="8" t="s">
        <v>6961</v>
      </c>
    </row>
    <row r="695" spans="1:19" ht="107.1" customHeight="1" x14ac:dyDescent="0.25">
      <c r="A695" s="8" t="s">
        <v>6962</v>
      </c>
      <c r="B695" s="8" t="s">
        <v>5693</v>
      </c>
      <c r="C695" s="8" t="s">
        <v>5918</v>
      </c>
      <c r="D695" s="10">
        <v>374</v>
      </c>
      <c r="E695" s="8" t="s">
        <v>957</v>
      </c>
      <c r="F695" s="8" t="s">
        <v>6963</v>
      </c>
      <c r="G695" s="8" t="s">
        <v>4551</v>
      </c>
      <c r="H695" s="8" t="s">
        <v>957</v>
      </c>
      <c r="I695" s="8" t="s">
        <v>957</v>
      </c>
      <c r="J695" s="15" t="s">
        <v>5695</v>
      </c>
      <c r="K695" s="8"/>
      <c r="L695" s="15" t="s">
        <v>1685</v>
      </c>
      <c r="M695" s="8" t="s">
        <v>5578</v>
      </c>
      <c r="N695" s="8"/>
      <c r="O695" s="8" t="s">
        <v>5574</v>
      </c>
      <c r="P695" s="11"/>
      <c r="Q695" s="8" t="s">
        <v>5696</v>
      </c>
      <c r="R695" s="8" t="s">
        <v>5919</v>
      </c>
      <c r="S695" s="8" t="s">
        <v>6964</v>
      </c>
    </row>
    <row r="696" spans="1:19" ht="107.1" customHeight="1" x14ac:dyDescent="0.25">
      <c r="A696" s="8" t="s">
        <v>6965</v>
      </c>
      <c r="B696" s="8" t="s">
        <v>5693</v>
      </c>
      <c r="C696" s="8" t="s">
        <v>5918</v>
      </c>
      <c r="D696" s="10">
        <v>375</v>
      </c>
      <c r="E696" s="8" t="s">
        <v>6966</v>
      </c>
      <c r="F696" s="8" t="s">
        <v>6967</v>
      </c>
      <c r="G696" s="8" t="s">
        <v>4727</v>
      </c>
      <c r="H696" s="8" t="s">
        <v>6966</v>
      </c>
      <c r="I696" s="8"/>
      <c r="J696" s="15" t="s">
        <v>5695</v>
      </c>
      <c r="K696" s="8"/>
      <c r="L696" s="15" t="s">
        <v>1685</v>
      </c>
      <c r="M696" s="8" t="s">
        <v>5578</v>
      </c>
      <c r="N696" s="8"/>
      <c r="O696" s="8" t="s">
        <v>5574</v>
      </c>
      <c r="P696" s="11"/>
      <c r="Q696" s="8" t="s">
        <v>5696</v>
      </c>
      <c r="R696" s="8" t="s">
        <v>5919</v>
      </c>
      <c r="S696" s="8" t="s">
        <v>6968</v>
      </c>
    </row>
    <row r="697" spans="1:19" ht="107.1" customHeight="1" x14ac:dyDescent="0.25">
      <c r="A697" s="8" t="s">
        <v>6969</v>
      </c>
      <c r="B697" s="8" t="s">
        <v>5693</v>
      </c>
      <c r="C697" s="8" t="s">
        <v>5918</v>
      </c>
      <c r="D697" s="10">
        <v>376</v>
      </c>
      <c r="E697" s="8" t="s">
        <v>6970</v>
      </c>
      <c r="F697" s="8" t="s">
        <v>6971</v>
      </c>
      <c r="G697" s="8" t="s">
        <v>4727</v>
      </c>
      <c r="H697" s="8" t="s">
        <v>6970</v>
      </c>
      <c r="I697" s="8"/>
      <c r="J697" s="15" t="s">
        <v>5695</v>
      </c>
      <c r="K697" s="8"/>
      <c r="L697" s="15" t="s">
        <v>1685</v>
      </c>
      <c r="M697" s="8" t="s">
        <v>5578</v>
      </c>
      <c r="N697" s="8"/>
      <c r="O697" s="8" t="s">
        <v>5574</v>
      </c>
      <c r="P697" s="11"/>
      <c r="Q697" s="8" t="s">
        <v>5696</v>
      </c>
      <c r="R697" s="8" t="s">
        <v>5919</v>
      </c>
      <c r="S697" s="8" t="s">
        <v>6972</v>
      </c>
    </row>
    <row r="698" spans="1:19" ht="107.1" customHeight="1" x14ac:dyDescent="0.25">
      <c r="A698" s="8" t="s">
        <v>6973</v>
      </c>
      <c r="B698" s="8" t="s">
        <v>5693</v>
      </c>
      <c r="C698" s="8" t="s">
        <v>5918</v>
      </c>
      <c r="D698" s="10">
        <v>377</v>
      </c>
      <c r="E698" s="8" t="s">
        <v>6974</v>
      </c>
      <c r="F698" s="8" t="s">
        <v>6975</v>
      </c>
      <c r="G698" s="8" t="s">
        <v>4727</v>
      </c>
      <c r="H698" s="8" t="s">
        <v>6974</v>
      </c>
      <c r="I698" s="8"/>
      <c r="J698" s="15" t="s">
        <v>5695</v>
      </c>
      <c r="K698" s="8"/>
      <c r="L698" s="15" t="s">
        <v>1685</v>
      </c>
      <c r="M698" s="8" t="s">
        <v>5578</v>
      </c>
      <c r="N698" s="8"/>
      <c r="O698" s="8" t="s">
        <v>5574</v>
      </c>
      <c r="P698" s="11"/>
      <c r="Q698" s="8" t="s">
        <v>5696</v>
      </c>
      <c r="R698" s="8" t="s">
        <v>5919</v>
      </c>
      <c r="S698" s="8" t="s">
        <v>6976</v>
      </c>
    </row>
    <row r="699" spans="1:19" ht="107.1" customHeight="1" x14ac:dyDescent="0.25">
      <c r="A699" s="8" t="s">
        <v>6977</v>
      </c>
      <c r="B699" s="8" t="s">
        <v>5693</v>
      </c>
      <c r="C699" s="8" t="s">
        <v>5918</v>
      </c>
      <c r="D699" s="10">
        <v>378</v>
      </c>
      <c r="E699" s="8" t="s">
        <v>6978</v>
      </c>
      <c r="F699" s="8" t="s">
        <v>6979</v>
      </c>
      <c r="G699" s="8" t="s">
        <v>4727</v>
      </c>
      <c r="H699" s="8" t="s">
        <v>6978</v>
      </c>
      <c r="I699" s="8"/>
      <c r="J699" s="15" t="s">
        <v>5695</v>
      </c>
      <c r="K699" s="8"/>
      <c r="L699" s="15" t="s">
        <v>1685</v>
      </c>
      <c r="M699" s="8" t="s">
        <v>5578</v>
      </c>
      <c r="N699" s="8"/>
      <c r="O699" s="8" t="s">
        <v>5574</v>
      </c>
      <c r="P699" s="11"/>
      <c r="Q699" s="8" t="s">
        <v>5696</v>
      </c>
      <c r="R699" s="8" t="s">
        <v>5919</v>
      </c>
      <c r="S699" s="8" t="s">
        <v>6980</v>
      </c>
    </row>
    <row r="700" spans="1:19" ht="107.1" customHeight="1" x14ac:dyDescent="0.25">
      <c r="A700" s="8" t="s">
        <v>6981</v>
      </c>
      <c r="B700" s="8" t="s">
        <v>5693</v>
      </c>
      <c r="C700" s="8" t="s">
        <v>5918</v>
      </c>
      <c r="D700" s="10">
        <v>379</v>
      </c>
      <c r="E700" s="8" t="s">
        <v>6982</v>
      </c>
      <c r="F700" s="8" t="s">
        <v>6983</v>
      </c>
      <c r="G700" s="8" t="s">
        <v>4727</v>
      </c>
      <c r="H700" s="8" t="s">
        <v>6982</v>
      </c>
      <c r="I700" s="8"/>
      <c r="J700" s="15" t="s">
        <v>5695</v>
      </c>
      <c r="K700" s="8"/>
      <c r="L700" s="15" t="s">
        <v>1685</v>
      </c>
      <c r="M700" s="8" t="s">
        <v>5578</v>
      </c>
      <c r="N700" s="8"/>
      <c r="O700" s="8" t="s">
        <v>5574</v>
      </c>
      <c r="P700" s="11"/>
      <c r="Q700" s="8" t="s">
        <v>5696</v>
      </c>
      <c r="R700" s="8" t="s">
        <v>5919</v>
      </c>
      <c r="S700" s="8" t="s">
        <v>6984</v>
      </c>
    </row>
    <row r="701" spans="1:19" ht="93" customHeight="1" x14ac:dyDescent="0.25">
      <c r="A701" s="8" t="s">
        <v>6985</v>
      </c>
      <c r="B701" s="8" t="s">
        <v>5693</v>
      </c>
      <c r="C701" s="8" t="s">
        <v>5918</v>
      </c>
      <c r="D701" s="10">
        <v>380</v>
      </c>
      <c r="E701" s="8" t="s">
        <v>6986</v>
      </c>
      <c r="F701" s="8" t="s">
        <v>6987</v>
      </c>
      <c r="G701" s="8" t="s">
        <v>4727</v>
      </c>
      <c r="H701" s="8" t="s">
        <v>6986</v>
      </c>
      <c r="I701" s="8"/>
      <c r="J701" s="15" t="s">
        <v>5695</v>
      </c>
      <c r="K701" s="8"/>
      <c r="L701" s="15" t="s">
        <v>1685</v>
      </c>
      <c r="M701" s="8" t="s">
        <v>5578</v>
      </c>
      <c r="N701" s="8"/>
      <c r="O701" s="8" t="s">
        <v>5574</v>
      </c>
      <c r="P701" s="11"/>
      <c r="Q701" s="8" t="s">
        <v>5696</v>
      </c>
      <c r="R701" s="8" t="s">
        <v>5919</v>
      </c>
      <c r="S701" s="8" t="s">
        <v>6988</v>
      </c>
    </row>
    <row r="702" spans="1:19" ht="93" customHeight="1" x14ac:dyDescent="0.25">
      <c r="A702" s="8" t="s">
        <v>6989</v>
      </c>
      <c r="B702" s="8" t="s">
        <v>5693</v>
      </c>
      <c r="C702" s="8" t="s">
        <v>5918</v>
      </c>
      <c r="D702" s="10">
        <v>381</v>
      </c>
      <c r="E702" s="8" t="s">
        <v>6990</v>
      </c>
      <c r="F702" s="8" t="s">
        <v>6991</v>
      </c>
      <c r="G702" s="8" t="s">
        <v>4727</v>
      </c>
      <c r="H702" s="8" t="s">
        <v>6990</v>
      </c>
      <c r="I702" s="8"/>
      <c r="J702" s="15" t="s">
        <v>5695</v>
      </c>
      <c r="K702" s="8"/>
      <c r="L702" s="15" t="s">
        <v>1685</v>
      </c>
      <c r="M702" s="8" t="s">
        <v>5578</v>
      </c>
      <c r="N702" s="8"/>
      <c r="O702" s="8" t="s">
        <v>5574</v>
      </c>
      <c r="P702" s="11"/>
      <c r="Q702" s="8" t="s">
        <v>5696</v>
      </c>
      <c r="R702" s="8" t="s">
        <v>5919</v>
      </c>
      <c r="S702" s="8" t="s">
        <v>6992</v>
      </c>
    </row>
    <row r="703" spans="1:19" ht="107.1" customHeight="1" x14ac:dyDescent="0.25">
      <c r="A703" s="8" t="s">
        <v>6993</v>
      </c>
      <c r="B703" s="8" t="s">
        <v>5693</v>
      </c>
      <c r="C703" s="8" t="s">
        <v>5918</v>
      </c>
      <c r="D703" s="10">
        <v>382</v>
      </c>
      <c r="E703" s="8" t="s">
        <v>6994</v>
      </c>
      <c r="F703" s="8" t="s">
        <v>6995</v>
      </c>
      <c r="G703" s="8" t="s">
        <v>4727</v>
      </c>
      <c r="H703" s="8" t="s">
        <v>6994</v>
      </c>
      <c r="I703" s="8"/>
      <c r="J703" s="15" t="s">
        <v>5695</v>
      </c>
      <c r="K703" s="8"/>
      <c r="L703" s="15" t="s">
        <v>1685</v>
      </c>
      <c r="M703" s="8" t="s">
        <v>5578</v>
      </c>
      <c r="N703" s="8"/>
      <c r="O703" s="8" t="s">
        <v>5574</v>
      </c>
      <c r="P703" s="11"/>
      <c r="Q703" s="8" t="s">
        <v>5696</v>
      </c>
      <c r="R703" s="8" t="s">
        <v>5919</v>
      </c>
      <c r="S703" s="8" t="s">
        <v>6996</v>
      </c>
    </row>
    <row r="704" spans="1:19" ht="107.1" customHeight="1" x14ac:dyDescent="0.25">
      <c r="A704" s="8" t="s">
        <v>6997</v>
      </c>
      <c r="B704" s="8" t="s">
        <v>5693</v>
      </c>
      <c r="C704" s="8" t="s">
        <v>5918</v>
      </c>
      <c r="D704" s="10">
        <v>383</v>
      </c>
      <c r="E704" s="8" t="s">
        <v>6998</v>
      </c>
      <c r="F704" s="8" t="s">
        <v>6999</v>
      </c>
      <c r="G704" s="8" t="s">
        <v>4727</v>
      </c>
      <c r="H704" s="8" t="s">
        <v>6998</v>
      </c>
      <c r="I704" s="8"/>
      <c r="J704" s="15" t="s">
        <v>5695</v>
      </c>
      <c r="K704" s="8"/>
      <c r="L704" s="15" t="s">
        <v>1685</v>
      </c>
      <c r="M704" s="8" t="s">
        <v>5578</v>
      </c>
      <c r="N704" s="8"/>
      <c r="O704" s="8" t="s">
        <v>5574</v>
      </c>
      <c r="P704" s="11"/>
      <c r="Q704" s="8" t="s">
        <v>5696</v>
      </c>
      <c r="R704" s="8" t="s">
        <v>5919</v>
      </c>
      <c r="S704" s="8" t="s">
        <v>7000</v>
      </c>
    </row>
    <row r="705" spans="1:19" ht="107.1" customHeight="1" x14ac:dyDescent="0.25">
      <c r="A705" s="8" t="s">
        <v>7001</v>
      </c>
      <c r="B705" s="8" t="s">
        <v>5693</v>
      </c>
      <c r="C705" s="8" t="s">
        <v>5918</v>
      </c>
      <c r="D705" s="10">
        <v>384</v>
      </c>
      <c r="E705" s="8" t="s">
        <v>7002</v>
      </c>
      <c r="F705" s="8" t="s">
        <v>7003</v>
      </c>
      <c r="G705" s="8" t="s">
        <v>4727</v>
      </c>
      <c r="H705" s="8" t="s">
        <v>7002</v>
      </c>
      <c r="I705" s="8"/>
      <c r="J705" s="15" t="s">
        <v>5695</v>
      </c>
      <c r="K705" s="8"/>
      <c r="L705" s="15" t="s">
        <v>1685</v>
      </c>
      <c r="M705" s="8" t="s">
        <v>5578</v>
      </c>
      <c r="N705" s="8"/>
      <c r="O705" s="8" t="s">
        <v>5574</v>
      </c>
      <c r="P705" s="11"/>
      <c r="Q705" s="8" t="s">
        <v>5696</v>
      </c>
      <c r="R705" s="8" t="s">
        <v>5919</v>
      </c>
      <c r="S705" s="8" t="s">
        <v>7004</v>
      </c>
    </row>
    <row r="706" spans="1:19" ht="107.1" customHeight="1" x14ac:dyDescent="0.25">
      <c r="A706" s="8" t="s">
        <v>7005</v>
      </c>
      <c r="B706" s="8" t="s">
        <v>5693</v>
      </c>
      <c r="C706" s="8" t="s">
        <v>5918</v>
      </c>
      <c r="D706" s="10">
        <v>385</v>
      </c>
      <c r="E706" s="8" t="s">
        <v>7006</v>
      </c>
      <c r="F706" s="8" t="s">
        <v>7007</v>
      </c>
      <c r="G706" s="8" t="s">
        <v>4727</v>
      </c>
      <c r="H706" s="8" t="s">
        <v>7006</v>
      </c>
      <c r="I706" s="8"/>
      <c r="J706" s="15" t="s">
        <v>5695</v>
      </c>
      <c r="K706" s="8"/>
      <c r="L706" s="15" t="s">
        <v>1685</v>
      </c>
      <c r="M706" s="8" t="s">
        <v>5578</v>
      </c>
      <c r="N706" s="8"/>
      <c r="O706" s="8" t="s">
        <v>5574</v>
      </c>
      <c r="P706" s="11"/>
      <c r="Q706" s="8" t="s">
        <v>5696</v>
      </c>
      <c r="R706" s="8" t="s">
        <v>5919</v>
      </c>
      <c r="S706" s="8" t="s">
        <v>7008</v>
      </c>
    </row>
    <row r="707" spans="1:19" ht="93" customHeight="1" x14ac:dyDescent="0.25">
      <c r="A707" s="8" t="s">
        <v>7009</v>
      </c>
      <c r="B707" s="8" t="s">
        <v>5693</v>
      </c>
      <c r="C707" s="8" t="s">
        <v>5918</v>
      </c>
      <c r="D707" s="10">
        <v>386</v>
      </c>
      <c r="E707" s="8" t="s">
        <v>7010</v>
      </c>
      <c r="F707" s="8" t="s">
        <v>7011</v>
      </c>
      <c r="G707" s="8" t="s">
        <v>4727</v>
      </c>
      <c r="H707" s="8" t="s">
        <v>7010</v>
      </c>
      <c r="I707" s="8"/>
      <c r="J707" s="15" t="s">
        <v>5695</v>
      </c>
      <c r="K707" s="8"/>
      <c r="L707" s="15" t="s">
        <v>1685</v>
      </c>
      <c r="M707" s="8" t="s">
        <v>5578</v>
      </c>
      <c r="N707" s="8"/>
      <c r="O707" s="8" t="s">
        <v>5574</v>
      </c>
      <c r="P707" s="11"/>
      <c r="Q707" s="8" t="s">
        <v>5696</v>
      </c>
      <c r="R707" s="8" t="s">
        <v>5919</v>
      </c>
      <c r="S707" s="8" t="s">
        <v>7012</v>
      </c>
    </row>
    <row r="708" spans="1:19" ht="93" customHeight="1" x14ac:dyDescent="0.25">
      <c r="A708" s="8" t="s">
        <v>7013</v>
      </c>
      <c r="B708" s="8" t="s">
        <v>5693</v>
      </c>
      <c r="C708" s="8" t="s">
        <v>5918</v>
      </c>
      <c r="D708" s="10">
        <v>387</v>
      </c>
      <c r="E708" s="8" t="s">
        <v>7014</v>
      </c>
      <c r="F708" s="8" t="s">
        <v>7015</v>
      </c>
      <c r="G708" s="8" t="s">
        <v>4727</v>
      </c>
      <c r="H708" s="8" t="s">
        <v>7014</v>
      </c>
      <c r="I708" s="8"/>
      <c r="J708" s="15" t="s">
        <v>5695</v>
      </c>
      <c r="K708" s="8"/>
      <c r="L708" s="15" t="s">
        <v>1685</v>
      </c>
      <c r="M708" s="8" t="s">
        <v>5578</v>
      </c>
      <c r="N708" s="8"/>
      <c r="O708" s="8" t="s">
        <v>5574</v>
      </c>
      <c r="P708" s="11"/>
      <c r="Q708" s="8" t="s">
        <v>5696</v>
      </c>
      <c r="R708" s="8" t="s">
        <v>5919</v>
      </c>
      <c r="S708" s="8" t="s">
        <v>7016</v>
      </c>
    </row>
    <row r="709" spans="1:19" ht="107.1" customHeight="1" x14ac:dyDescent="0.25">
      <c r="A709" s="8" t="s">
        <v>7017</v>
      </c>
      <c r="B709" s="8" t="s">
        <v>5693</v>
      </c>
      <c r="C709" s="8" t="s">
        <v>5918</v>
      </c>
      <c r="D709" s="10">
        <v>388</v>
      </c>
      <c r="E709" s="8" t="s">
        <v>358</v>
      </c>
      <c r="F709" s="8" t="s">
        <v>364</v>
      </c>
      <c r="G709" s="8" t="s">
        <v>4727</v>
      </c>
      <c r="H709" s="8" t="s">
        <v>358</v>
      </c>
      <c r="I709" s="8"/>
      <c r="J709" s="15" t="s">
        <v>5695</v>
      </c>
      <c r="K709" s="8"/>
      <c r="L709" s="15" t="s">
        <v>1685</v>
      </c>
      <c r="M709" s="8" t="s">
        <v>5578</v>
      </c>
      <c r="N709" s="8"/>
      <c r="O709" s="8" t="s">
        <v>5574</v>
      </c>
      <c r="P709" s="11"/>
      <c r="Q709" s="8" t="s">
        <v>5696</v>
      </c>
      <c r="R709" s="8" t="s">
        <v>5919</v>
      </c>
      <c r="S709" s="8" t="s">
        <v>7018</v>
      </c>
    </row>
    <row r="710" spans="1:19" ht="107.1" customHeight="1" x14ac:dyDescent="0.25">
      <c r="A710" s="8" t="s">
        <v>7019</v>
      </c>
      <c r="B710" s="8" t="s">
        <v>5693</v>
      </c>
      <c r="C710" s="8" t="s">
        <v>5918</v>
      </c>
      <c r="D710" s="10">
        <v>389</v>
      </c>
      <c r="E710" s="8" t="s">
        <v>7020</v>
      </c>
      <c r="F710" s="8" t="s">
        <v>7021</v>
      </c>
      <c r="G710" s="8" t="s">
        <v>4727</v>
      </c>
      <c r="H710" s="8" t="s">
        <v>7020</v>
      </c>
      <c r="I710" s="8"/>
      <c r="J710" s="15" t="s">
        <v>5695</v>
      </c>
      <c r="K710" s="8"/>
      <c r="L710" s="15" t="s">
        <v>1685</v>
      </c>
      <c r="M710" s="8" t="s">
        <v>5578</v>
      </c>
      <c r="N710" s="8"/>
      <c r="O710" s="8" t="s">
        <v>5574</v>
      </c>
      <c r="P710" s="11"/>
      <c r="Q710" s="8" t="s">
        <v>5696</v>
      </c>
      <c r="R710" s="8" t="s">
        <v>5919</v>
      </c>
      <c r="S710" s="8" t="s">
        <v>7022</v>
      </c>
    </row>
    <row r="711" spans="1:19" ht="107.1" customHeight="1" x14ac:dyDescent="0.25">
      <c r="A711" s="8" t="s">
        <v>7023</v>
      </c>
      <c r="B711" s="8" t="s">
        <v>5693</v>
      </c>
      <c r="C711" s="8" t="s">
        <v>5918</v>
      </c>
      <c r="D711" s="10">
        <v>390</v>
      </c>
      <c r="E711" s="8" t="s">
        <v>7024</v>
      </c>
      <c r="F711" s="8" t="s">
        <v>7025</v>
      </c>
      <c r="G711" s="8" t="s">
        <v>4727</v>
      </c>
      <c r="H711" s="8" t="s">
        <v>7024</v>
      </c>
      <c r="I711" s="8"/>
      <c r="J711" s="15" t="s">
        <v>5695</v>
      </c>
      <c r="K711" s="8"/>
      <c r="L711" s="15" t="s">
        <v>1685</v>
      </c>
      <c r="M711" s="8" t="s">
        <v>5578</v>
      </c>
      <c r="N711" s="8"/>
      <c r="O711" s="8" t="s">
        <v>5574</v>
      </c>
      <c r="P711" s="11"/>
      <c r="Q711" s="8" t="s">
        <v>5696</v>
      </c>
      <c r="R711" s="8" t="s">
        <v>5919</v>
      </c>
      <c r="S711" s="8" t="s">
        <v>7026</v>
      </c>
    </row>
    <row r="712" spans="1:19" ht="107.1" customHeight="1" x14ac:dyDescent="0.25">
      <c r="A712" s="8" t="s">
        <v>7027</v>
      </c>
      <c r="B712" s="8" t="s">
        <v>5693</v>
      </c>
      <c r="C712" s="8" t="s">
        <v>5918</v>
      </c>
      <c r="D712" s="10">
        <v>391</v>
      </c>
      <c r="E712" s="8" t="s">
        <v>7028</v>
      </c>
      <c r="F712" s="8" t="s">
        <v>7029</v>
      </c>
      <c r="G712" s="8" t="s">
        <v>4727</v>
      </c>
      <c r="H712" s="8" t="s">
        <v>7028</v>
      </c>
      <c r="I712" s="8"/>
      <c r="J712" s="15" t="s">
        <v>5695</v>
      </c>
      <c r="K712" s="8"/>
      <c r="L712" s="15" t="s">
        <v>1685</v>
      </c>
      <c r="M712" s="8" t="s">
        <v>5578</v>
      </c>
      <c r="N712" s="8"/>
      <c r="O712" s="8" t="s">
        <v>5574</v>
      </c>
      <c r="P712" s="11"/>
      <c r="Q712" s="8" t="s">
        <v>5696</v>
      </c>
      <c r="R712" s="8" t="s">
        <v>5919</v>
      </c>
      <c r="S712" s="8" t="s">
        <v>7030</v>
      </c>
    </row>
    <row r="713" spans="1:19" ht="107.1" customHeight="1" x14ac:dyDescent="0.25">
      <c r="A713" s="8" t="s">
        <v>7031</v>
      </c>
      <c r="B713" s="8" t="s">
        <v>5693</v>
      </c>
      <c r="C713" s="8" t="s">
        <v>5918</v>
      </c>
      <c r="D713" s="10">
        <v>392</v>
      </c>
      <c r="E713" s="8" t="s">
        <v>7032</v>
      </c>
      <c r="F713" s="8" t="s">
        <v>7033</v>
      </c>
      <c r="G713" s="8" t="s">
        <v>4727</v>
      </c>
      <c r="H713" s="8" t="s">
        <v>7032</v>
      </c>
      <c r="I713" s="8"/>
      <c r="J713" s="15" t="s">
        <v>5695</v>
      </c>
      <c r="K713" s="8"/>
      <c r="L713" s="15" t="s">
        <v>1685</v>
      </c>
      <c r="M713" s="8" t="s">
        <v>5578</v>
      </c>
      <c r="N713" s="8"/>
      <c r="O713" s="8" t="s">
        <v>5574</v>
      </c>
      <c r="P713" s="11"/>
      <c r="Q713" s="8" t="s">
        <v>5696</v>
      </c>
      <c r="R713" s="8" t="s">
        <v>5919</v>
      </c>
      <c r="S713" s="8" t="s">
        <v>7034</v>
      </c>
    </row>
    <row r="714" spans="1:19" ht="107.1" customHeight="1" x14ac:dyDescent="0.25">
      <c r="A714" s="8" t="s">
        <v>7035</v>
      </c>
      <c r="B714" s="8" t="s">
        <v>5693</v>
      </c>
      <c r="C714" s="8" t="s">
        <v>5918</v>
      </c>
      <c r="D714" s="10">
        <v>393</v>
      </c>
      <c r="E714" s="8" t="s">
        <v>7036</v>
      </c>
      <c r="F714" s="8" t="s">
        <v>7037</v>
      </c>
      <c r="G714" s="8" t="s">
        <v>4727</v>
      </c>
      <c r="H714" s="8" t="s">
        <v>7036</v>
      </c>
      <c r="I714" s="8"/>
      <c r="J714" s="15" t="s">
        <v>5695</v>
      </c>
      <c r="K714" s="8"/>
      <c r="L714" s="15" t="s">
        <v>1685</v>
      </c>
      <c r="M714" s="8" t="s">
        <v>5578</v>
      </c>
      <c r="N714" s="8"/>
      <c r="O714" s="8" t="s">
        <v>5574</v>
      </c>
      <c r="P714" s="11"/>
      <c r="Q714" s="8" t="s">
        <v>5696</v>
      </c>
      <c r="R714" s="8" t="s">
        <v>5919</v>
      </c>
      <c r="S714" s="8" t="s">
        <v>7038</v>
      </c>
    </row>
    <row r="715" spans="1:19" ht="107.1" customHeight="1" x14ac:dyDescent="0.25">
      <c r="A715" s="8" t="s">
        <v>7039</v>
      </c>
      <c r="B715" s="8" t="s">
        <v>5693</v>
      </c>
      <c r="C715" s="8" t="s">
        <v>5918</v>
      </c>
      <c r="D715" s="10">
        <v>394</v>
      </c>
      <c r="E715" s="8" t="s">
        <v>7040</v>
      </c>
      <c r="F715" s="8" t="s">
        <v>7041</v>
      </c>
      <c r="G715" s="8" t="s">
        <v>4727</v>
      </c>
      <c r="H715" s="8" t="s">
        <v>7040</v>
      </c>
      <c r="I715" s="8"/>
      <c r="J715" s="15" t="s">
        <v>5695</v>
      </c>
      <c r="K715" s="8"/>
      <c r="L715" s="15" t="s">
        <v>1685</v>
      </c>
      <c r="M715" s="8" t="s">
        <v>5578</v>
      </c>
      <c r="N715" s="8"/>
      <c r="O715" s="8" t="s">
        <v>5574</v>
      </c>
      <c r="P715" s="11"/>
      <c r="Q715" s="8" t="s">
        <v>5696</v>
      </c>
      <c r="R715" s="8" t="s">
        <v>5919</v>
      </c>
      <c r="S715" s="8" t="s">
        <v>7042</v>
      </c>
    </row>
    <row r="716" spans="1:19" ht="107.1" customHeight="1" x14ac:dyDescent="0.25">
      <c r="A716" s="8" t="s">
        <v>7043</v>
      </c>
      <c r="B716" s="8" t="s">
        <v>5693</v>
      </c>
      <c r="C716" s="8" t="s">
        <v>5918</v>
      </c>
      <c r="D716" s="10">
        <v>395</v>
      </c>
      <c r="E716" s="8" t="s">
        <v>7044</v>
      </c>
      <c r="F716" s="8" t="s">
        <v>7045</v>
      </c>
      <c r="G716" s="8" t="s">
        <v>4727</v>
      </c>
      <c r="H716" s="8" t="s">
        <v>7044</v>
      </c>
      <c r="I716" s="8"/>
      <c r="J716" s="15" t="s">
        <v>5695</v>
      </c>
      <c r="K716" s="8"/>
      <c r="L716" s="15" t="s">
        <v>1685</v>
      </c>
      <c r="M716" s="8" t="s">
        <v>5578</v>
      </c>
      <c r="N716" s="8"/>
      <c r="O716" s="8" t="s">
        <v>5574</v>
      </c>
      <c r="P716" s="11"/>
      <c r="Q716" s="8" t="s">
        <v>5696</v>
      </c>
      <c r="R716" s="8" t="s">
        <v>5919</v>
      </c>
      <c r="S716" s="8" t="s">
        <v>7046</v>
      </c>
    </row>
    <row r="717" spans="1:19" ht="107.1" customHeight="1" x14ac:dyDescent="0.25">
      <c r="A717" s="8" t="s">
        <v>7047</v>
      </c>
      <c r="B717" s="8" t="s">
        <v>5693</v>
      </c>
      <c r="C717" s="8" t="s">
        <v>5918</v>
      </c>
      <c r="D717" s="10">
        <v>396</v>
      </c>
      <c r="E717" s="8" t="s">
        <v>7048</v>
      </c>
      <c r="F717" s="8" t="s">
        <v>7049</v>
      </c>
      <c r="G717" s="8" t="s">
        <v>4727</v>
      </c>
      <c r="H717" s="8" t="s">
        <v>7048</v>
      </c>
      <c r="I717" s="8"/>
      <c r="J717" s="15" t="s">
        <v>5695</v>
      </c>
      <c r="K717" s="8"/>
      <c r="L717" s="15" t="s">
        <v>1685</v>
      </c>
      <c r="M717" s="8" t="s">
        <v>5578</v>
      </c>
      <c r="N717" s="8"/>
      <c r="O717" s="8" t="s">
        <v>5574</v>
      </c>
      <c r="P717" s="11"/>
      <c r="Q717" s="8" t="s">
        <v>5696</v>
      </c>
      <c r="R717" s="8" t="s">
        <v>5919</v>
      </c>
      <c r="S717" s="8" t="s">
        <v>7050</v>
      </c>
    </row>
    <row r="718" spans="1:19" ht="93" customHeight="1" x14ac:dyDescent="0.25">
      <c r="A718" s="8" t="s">
        <v>7051</v>
      </c>
      <c r="B718" s="8" t="s">
        <v>5693</v>
      </c>
      <c r="C718" s="8" t="s">
        <v>5918</v>
      </c>
      <c r="D718" s="10">
        <v>397</v>
      </c>
      <c r="E718" s="8" t="s">
        <v>7052</v>
      </c>
      <c r="F718" s="8" t="s">
        <v>7053</v>
      </c>
      <c r="G718" s="8" t="s">
        <v>4727</v>
      </c>
      <c r="H718" s="8" t="s">
        <v>7052</v>
      </c>
      <c r="I718" s="8"/>
      <c r="J718" s="15" t="s">
        <v>5695</v>
      </c>
      <c r="K718" s="8"/>
      <c r="L718" s="15" t="s">
        <v>1685</v>
      </c>
      <c r="M718" s="8" t="s">
        <v>5578</v>
      </c>
      <c r="N718" s="8"/>
      <c r="O718" s="8" t="s">
        <v>5574</v>
      </c>
      <c r="P718" s="11"/>
      <c r="Q718" s="8" t="s">
        <v>5696</v>
      </c>
      <c r="R718" s="8" t="s">
        <v>5919</v>
      </c>
      <c r="S718" s="8" t="s">
        <v>7054</v>
      </c>
    </row>
    <row r="719" spans="1:19" ht="107.1" customHeight="1" x14ac:dyDescent="0.25">
      <c r="A719" s="8" t="s">
        <v>7055</v>
      </c>
      <c r="B719" s="8" t="s">
        <v>5693</v>
      </c>
      <c r="C719" s="8" t="s">
        <v>5918</v>
      </c>
      <c r="D719" s="10">
        <v>398</v>
      </c>
      <c r="E719" s="8" t="s">
        <v>7056</v>
      </c>
      <c r="F719" s="8" t="s">
        <v>7057</v>
      </c>
      <c r="G719" s="8" t="s">
        <v>4727</v>
      </c>
      <c r="H719" s="8" t="s">
        <v>7056</v>
      </c>
      <c r="I719" s="8"/>
      <c r="J719" s="15" t="s">
        <v>5695</v>
      </c>
      <c r="K719" s="8"/>
      <c r="L719" s="15" t="s">
        <v>1685</v>
      </c>
      <c r="M719" s="8" t="s">
        <v>5578</v>
      </c>
      <c r="N719" s="8"/>
      <c r="O719" s="8" t="s">
        <v>5574</v>
      </c>
      <c r="P719" s="11"/>
      <c r="Q719" s="8" t="s">
        <v>5696</v>
      </c>
      <c r="R719" s="8" t="s">
        <v>5919</v>
      </c>
      <c r="S719" s="8" t="s">
        <v>7058</v>
      </c>
    </row>
    <row r="720" spans="1:19" ht="93" customHeight="1" x14ac:dyDescent="0.25">
      <c r="A720" s="8" t="s">
        <v>7059</v>
      </c>
      <c r="B720" s="8" t="s">
        <v>5693</v>
      </c>
      <c r="C720" s="8" t="s">
        <v>5918</v>
      </c>
      <c r="D720" s="10">
        <v>399</v>
      </c>
      <c r="E720" s="8" t="s">
        <v>7060</v>
      </c>
      <c r="F720" s="8" t="s">
        <v>7061</v>
      </c>
      <c r="G720" s="8" t="s">
        <v>4727</v>
      </c>
      <c r="H720" s="8" t="s">
        <v>7060</v>
      </c>
      <c r="I720" s="8"/>
      <c r="J720" s="15" t="s">
        <v>5695</v>
      </c>
      <c r="K720" s="8"/>
      <c r="L720" s="15" t="s">
        <v>1685</v>
      </c>
      <c r="M720" s="8" t="s">
        <v>5578</v>
      </c>
      <c r="N720" s="8"/>
      <c r="O720" s="8" t="s">
        <v>5574</v>
      </c>
      <c r="P720" s="11"/>
      <c r="Q720" s="8" t="s">
        <v>5696</v>
      </c>
      <c r="R720" s="8" t="s">
        <v>5919</v>
      </c>
      <c r="S720" s="8" t="s">
        <v>7062</v>
      </c>
    </row>
    <row r="721" spans="1:19" ht="107.1" customHeight="1" x14ac:dyDescent="0.25">
      <c r="A721" s="8" t="s">
        <v>7063</v>
      </c>
      <c r="B721" s="8" t="s">
        <v>5693</v>
      </c>
      <c r="C721" s="8" t="s">
        <v>5918</v>
      </c>
      <c r="D721" s="10">
        <v>400</v>
      </c>
      <c r="E721" s="8" t="s">
        <v>7064</v>
      </c>
      <c r="F721" s="8" t="s">
        <v>7065</v>
      </c>
      <c r="G721" s="8" t="s">
        <v>4727</v>
      </c>
      <c r="H721" s="8" t="s">
        <v>7064</v>
      </c>
      <c r="I721" s="8"/>
      <c r="J721" s="15" t="s">
        <v>5695</v>
      </c>
      <c r="K721" s="8"/>
      <c r="L721" s="15" t="s">
        <v>1685</v>
      </c>
      <c r="M721" s="8" t="s">
        <v>5578</v>
      </c>
      <c r="N721" s="8"/>
      <c r="O721" s="8" t="s">
        <v>5574</v>
      </c>
      <c r="P721" s="11"/>
      <c r="Q721" s="8" t="s">
        <v>5696</v>
      </c>
      <c r="R721" s="8" t="s">
        <v>5919</v>
      </c>
      <c r="S721" s="8" t="s">
        <v>7066</v>
      </c>
    </row>
    <row r="722" spans="1:19" ht="93" customHeight="1" x14ac:dyDescent="0.25">
      <c r="A722" s="8" t="s">
        <v>7067</v>
      </c>
      <c r="B722" s="8" t="s">
        <v>5693</v>
      </c>
      <c r="C722" s="8" t="s">
        <v>5918</v>
      </c>
      <c r="D722" s="10">
        <v>401</v>
      </c>
      <c r="E722" s="8" t="s">
        <v>7068</v>
      </c>
      <c r="F722" s="8" t="s">
        <v>7069</v>
      </c>
      <c r="G722" s="8" t="s">
        <v>4727</v>
      </c>
      <c r="H722" s="8" t="s">
        <v>7068</v>
      </c>
      <c r="I722" s="8"/>
      <c r="J722" s="15" t="s">
        <v>5695</v>
      </c>
      <c r="K722" s="8"/>
      <c r="L722" s="15" t="s">
        <v>1685</v>
      </c>
      <c r="M722" s="8" t="s">
        <v>5578</v>
      </c>
      <c r="N722" s="8"/>
      <c r="O722" s="8" t="s">
        <v>5574</v>
      </c>
      <c r="P722" s="11"/>
      <c r="Q722" s="8" t="s">
        <v>5696</v>
      </c>
      <c r="R722" s="8" t="s">
        <v>5919</v>
      </c>
      <c r="S722" s="8" t="s">
        <v>7070</v>
      </c>
    </row>
    <row r="723" spans="1:19" ht="107.1" customHeight="1" x14ac:dyDescent="0.25">
      <c r="A723" s="8" t="s">
        <v>7071</v>
      </c>
      <c r="B723" s="8" t="s">
        <v>5693</v>
      </c>
      <c r="C723" s="8" t="s">
        <v>5918</v>
      </c>
      <c r="D723" s="10">
        <v>402</v>
      </c>
      <c r="E723" s="8" t="s">
        <v>7072</v>
      </c>
      <c r="F723" s="8" t="s">
        <v>7073</v>
      </c>
      <c r="G723" s="8" t="s">
        <v>4727</v>
      </c>
      <c r="H723" s="8" t="s">
        <v>7072</v>
      </c>
      <c r="I723" s="8"/>
      <c r="J723" s="15" t="s">
        <v>5695</v>
      </c>
      <c r="K723" s="8"/>
      <c r="L723" s="15" t="s">
        <v>1685</v>
      </c>
      <c r="M723" s="8" t="s">
        <v>5578</v>
      </c>
      <c r="N723" s="8"/>
      <c r="O723" s="8" t="s">
        <v>5574</v>
      </c>
      <c r="P723" s="11"/>
      <c r="Q723" s="8" t="s">
        <v>5696</v>
      </c>
      <c r="R723" s="8" t="s">
        <v>5919</v>
      </c>
      <c r="S723" s="8" t="s">
        <v>7074</v>
      </c>
    </row>
    <row r="724" spans="1:19" ht="107.1" customHeight="1" x14ac:dyDescent="0.25">
      <c r="A724" s="8" t="s">
        <v>7075</v>
      </c>
      <c r="B724" s="8" t="s">
        <v>5693</v>
      </c>
      <c r="C724" s="8" t="s">
        <v>5918</v>
      </c>
      <c r="D724" s="10">
        <v>403</v>
      </c>
      <c r="E724" s="8" t="s">
        <v>7076</v>
      </c>
      <c r="F724" s="8" t="s">
        <v>7077</v>
      </c>
      <c r="G724" s="8" t="s">
        <v>4727</v>
      </c>
      <c r="H724" s="8" t="s">
        <v>7076</v>
      </c>
      <c r="I724" s="8"/>
      <c r="J724" s="15" t="s">
        <v>5695</v>
      </c>
      <c r="K724" s="8"/>
      <c r="L724" s="15" t="s">
        <v>1685</v>
      </c>
      <c r="M724" s="8" t="s">
        <v>5578</v>
      </c>
      <c r="N724" s="8"/>
      <c r="O724" s="8" t="s">
        <v>5574</v>
      </c>
      <c r="P724" s="11"/>
      <c r="Q724" s="8" t="s">
        <v>5696</v>
      </c>
      <c r="R724" s="8" t="s">
        <v>5919</v>
      </c>
      <c r="S724" s="8" t="s">
        <v>7078</v>
      </c>
    </row>
    <row r="725" spans="1:19" ht="107.1" customHeight="1" x14ac:dyDescent="0.25">
      <c r="A725" s="8" t="s">
        <v>7079</v>
      </c>
      <c r="B725" s="8" t="s">
        <v>5693</v>
      </c>
      <c r="C725" s="8" t="s">
        <v>5918</v>
      </c>
      <c r="D725" s="10">
        <v>404</v>
      </c>
      <c r="E725" s="8" t="s">
        <v>7080</v>
      </c>
      <c r="F725" s="8" t="s">
        <v>7081</v>
      </c>
      <c r="G725" s="8" t="s">
        <v>4727</v>
      </c>
      <c r="H725" s="8" t="s">
        <v>7080</v>
      </c>
      <c r="I725" s="8"/>
      <c r="J725" s="15" t="s">
        <v>5695</v>
      </c>
      <c r="K725" s="8"/>
      <c r="L725" s="15" t="s">
        <v>1685</v>
      </c>
      <c r="M725" s="8" t="s">
        <v>5578</v>
      </c>
      <c r="N725" s="8"/>
      <c r="O725" s="8" t="s">
        <v>5574</v>
      </c>
      <c r="P725" s="11"/>
      <c r="Q725" s="8" t="s">
        <v>5696</v>
      </c>
      <c r="R725" s="8" t="s">
        <v>5919</v>
      </c>
      <c r="S725" s="8" t="s">
        <v>7082</v>
      </c>
    </row>
    <row r="726" spans="1:19" ht="107.1" customHeight="1" x14ac:dyDescent="0.25">
      <c r="A726" s="8" t="s">
        <v>7083</v>
      </c>
      <c r="B726" s="8" t="s">
        <v>5693</v>
      </c>
      <c r="C726" s="8" t="s">
        <v>5918</v>
      </c>
      <c r="D726" s="10">
        <v>405</v>
      </c>
      <c r="E726" s="8" t="s">
        <v>7084</v>
      </c>
      <c r="F726" s="8" t="s">
        <v>7085</v>
      </c>
      <c r="G726" s="8" t="s">
        <v>4727</v>
      </c>
      <c r="H726" s="8" t="s">
        <v>7084</v>
      </c>
      <c r="I726" s="8"/>
      <c r="J726" s="15" t="s">
        <v>5695</v>
      </c>
      <c r="K726" s="8"/>
      <c r="L726" s="15" t="s">
        <v>1685</v>
      </c>
      <c r="M726" s="8" t="s">
        <v>5578</v>
      </c>
      <c r="N726" s="8"/>
      <c r="O726" s="8" t="s">
        <v>5574</v>
      </c>
      <c r="P726" s="11"/>
      <c r="Q726" s="8" t="s">
        <v>5696</v>
      </c>
      <c r="R726" s="8" t="s">
        <v>5919</v>
      </c>
      <c r="S726" s="8" t="s">
        <v>7086</v>
      </c>
    </row>
    <row r="727" spans="1:19" ht="93" customHeight="1" x14ac:dyDescent="0.25">
      <c r="A727" s="8" t="s">
        <v>7087</v>
      </c>
      <c r="B727" s="8" t="s">
        <v>5693</v>
      </c>
      <c r="C727" s="8" t="s">
        <v>5918</v>
      </c>
      <c r="D727" s="10">
        <v>406</v>
      </c>
      <c r="E727" s="8" t="s">
        <v>7088</v>
      </c>
      <c r="F727" s="8" t="s">
        <v>7089</v>
      </c>
      <c r="G727" s="8" t="s">
        <v>4727</v>
      </c>
      <c r="H727" s="8" t="s">
        <v>7088</v>
      </c>
      <c r="I727" s="8"/>
      <c r="J727" s="15" t="s">
        <v>5695</v>
      </c>
      <c r="K727" s="8"/>
      <c r="L727" s="15" t="s">
        <v>1685</v>
      </c>
      <c r="M727" s="8" t="s">
        <v>5578</v>
      </c>
      <c r="N727" s="8"/>
      <c r="O727" s="8" t="s">
        <v>5574</v>
      </c>
      <c r="P727" s="11"/>
      <c r="Q727" s="8" t="s">
        <v>5696</v>
      </c>
      <c r="R727" s="8" t="s">
        <v>5919</v>
      </c>
      <c r="S727" s="8" t="s">
        <v>7090</v>
      </c>
    </row>
    <row r="728" spans="1:19" ht="107.1" customHeight="1" x14ac:dyDescent="0.25">
      <c r="A728" s="8" t="s">
        <v>7091</v>
      </c>
      <c r="B728" s="8" t="s">
        <v>5693</v>
      </c>
      <c r="C728" s="8" t="s">
        <v>5918</v>
      </c>
      <c r="D728" s="10">
        <v>407</v>
      </c>
      <c r="E728" s="8" t="s">
        <v>7092</v>
      </c>
      <c r="F728" s="8" t="s">
        <v>7093</v>
      </c>
      <c r="G728" s="8" t="s">
        <v>4727</v>
      </c>
      <c r="H728" s="8" t="s">
        <v>7092</v>
      </c>
      <c r="I728" s="8"/>
      <c r="J728" s="15" t="s">
        <v>5695</v>
      </c>
      <c r="K728" s="8"/>
      <c r="L728" s="15" t="s">
        <v>1685</v>
      </c>
      <c r="M728" s="8" t="s">
        <v>5578</v>
      </c>
      <c r="N728" s="8"/>
      <c r="O728" s="8" t="s">
        <v>5574</v>
      </c>
      <c r="P728" s="11"/>
      <c r="Q728" s="8" t="s">
        <v>5696</v>
      </c>
      <c r="R728" s="8" t="s">
        <v>5919</v>
      </c>
      <c r="S728" s="8" t="s">
        <v>7094</v>
      </c>
    </row>
    <row r="729" spans="1:19" ht="107.1" customHeight="1" x14ac:dyDescent="0.25">
      <c r="A729" s="8" t="s">
        <v>7095</v>
      </c>
      <c r="B729" s="8" t="s">
        <v>5693</v>
      </c>
      <c r="C729" s="8" t="s">
        <v>5918</v>
      </c>
      <c r="D729" s="10">
        <v>408</v>
      </c>
      <c r="E729" s="8" t="s">
        <v>7096</v>
      </c>
      <c r="F729" s="8" t="s">
        <v>7097</v>
      </c>
      <c r="G729" s="8" t="s">
        <v>4727</v>
      </c>
      <c r="H729" s="8" t="s">
        <v>7096</v>
      </c>
      <c r="I729" s="8"/>
      <c r="J729" s="15" t="s">
        <v>5695</v>
      </c>
      <c r="K729" s="8"/>
      <c r="L729" s="15" t="s">
        <v>1685</v>
      </c>
      <c r="M729" s="8" t="s">
        <v>5578</v>
      </c>
      <c r="N729" s="8"/>
      <c r="O729" s="8" t="s">
        <v>5574</v>
      </c>
      <c r="P729" s="11"/>
      <c r="Q729" s="8" t="s">
        <v>5696</v>
      </c>
      <c r="R729" s="8" t="s">
        <v>5919</v>
      </c>
      <c r="S729" s="8" t="s">
        <v>7098</v>
      </c>
    </row>
    <row r="730" spans="1:19" ht="107.1" customHeight="1" x14ac:dyDescent="0.25">
      <c r="A730" s="8" t="s">
        <v>7099</v>
      </c>
      <c r="B730" s="8" t="s">
        <v>5693</v>
      </c>
      <c r="C730" s="8" t="s">
        <v>5918</v>
      </c>
      <c r="D730" s="10">
        <v>409</v>
      </c>
      <c r="E730" s="8" t="s">
        <v>7100</v>
      </c>
      <c r="F730" s="8" t="s">
        <v>7101</v>
      </c>
      <c r="G730" s="8" t="s">
        <v>4727</v>
      </c>
      <c r="H730" s="8" t="s">
        <v>7100</v>
      </c>
      <c r="I730" s="8"/>
      <c r="J730" s="15" t="s">
        <v>5695</v>
      </c>
      <c r="K730" s="8"/>
      <c r="L730" s="15" t="s">
        <v>1685</v>
      </c>
      <c r="M730" s="8" t="s">
        <v>5578</v>
      </c>
      <c r="N730" s="8"/>
      <c r="O730" s="8" t="s">
        <v>5574</v>
      </c>
      <c r="P730" s="11"/>
      <c r="Q730" s="8" t="s">
        <v>5696</v>
      </c>
      <c r="R730" s="8" t="s">
        <v>5919</v>
      </c>
      <c r="S730" s="8" t="s">
        <v>7102</v>
      </c>
    </row>
    <row r="731" spans="1:19" ht="107.1" customHeight="1" x14ac:dyDescent="0.25">
      <c r="A731" s="8" t="s">
        <v>7103</v>
      </c>
      <c r="B731" s="8" t="s">
        <v>5693</v>
      </c>
      <c r="C731" s="8" t="s">
        <v>5918</v>
      </c>
      <c r="D731" s="10">
        <v>410</v>
      </c>
      <c r="E731" s="8" t="s">
        <v>7104</v>
      </c>
      <c r="F731" s="8" t="s">
        <v>7105</v>
      </c>
      <c r="G731" s="8" t="s">
        <v>4727</v>
      </c>
      <c r="H731" s="8" t="s">
        <v>7104</v>
      </c>
      <c r="I731" s="8"/>
      <c r="J731" s="15" t="s">
        <v>5695</v>
      </c>
      <c r="K731" s="8"/>
      <c r="L731" s="15" t="s">
        <v>1685</v>
      </c>
      <c r="M731" s="8" t="s">
        <v>5578</v>
      </c>
      <c r="N731" s="8"/>
      <c r="O731" s="8" t="s">
        <v>5574</v>
      </c>
      <c r="P731" s="11"/>
      <c r="Q731" s="8" t="s">
        <v>5696</v>
      </c>
      <c r="R731" s="8" t="s">
        <v>5919</v>
      </c>
      <c r="S731" s="8" t="s">
        <v>7106</v>
      </c>
    </row>
    <row r="732" spans="1:19" ht="107.1" customHeight="1" x14ac:dyDescent="0.25">
      <c r="A732" s="8" t="s">
        <v>7107</v>
      </c>
      <c r="B732" s="8" t="s">
        <v>5693</v>
      </c>
      <c r="C732" s="8" t="s">
        <v>5918</v>
      </c>
      <c r="D732" s="10">
        <v>411</v>
      </c>
      <c r="E732" s="8" t="s">
        <v>7108</v>
      </c>
      <c r="F732" s="8" t="s">
        <v>7109</v>
      </c>
      <c r="G732" s="8" t="s">
        <v>4727</v>
      </c>
      <c r="H732" s="8" t="s">
        <v>7108</v>
      </c>
      <c r="I732" s="8"/>
      <c r="J732" s="15" t="s">
        <v>5695</v>
      </c>
      <c r="K732" s="8"/>
      <c r="L732" s="15" t="s">
        <v>1685</v>
      </c>
      <c r="M732" s="8" t="s">
        <v>5578</v>
      </c>
      <c r="N732" s="8"/>
      <c r="O732" s="8" t="s">
        <v>5574</v>
      </c>
      <c r="P732" s="11"/>
      <c r="Q732" s="8" t="s">
        <v>5696</v>
      </c>
      <c r="R732" s="8" t="s">
        <v>5919</v>
      </c>
      <c r="S732" s="8" t="s">
        <v>7110</v>
      </c>
    </row>
    <row r="733" spans="1:19" ht="107.1" customHeight="1" x14ac:dyDescent="0.25">
      <c r="A733" s="8" t="s">
        <v>7111</v>
      </c>
      <c r="B733" s="8" t="s">
        <v>5693</v>
      </c>
      <c r="C733" s="8" t="s">
        <v>5918</v>
      </c>
      <c r="D733" s="10">
        <v>412</v>
      </c>
      <c r="E733" s="8" t="s">
        <v>7112</v>
      </c>
      <c r="F733" s="8" t="s">
        <v>7113</v>
      </c>
      <c r="G733" s="8" t="s">
        <v>4727</v>
      </c>
      <c r="H733" s="8" t="s">
        <v>7112</v>
      </c>
      <c r="I733" s="8"/>
      <c r="J733" s="15" t="s">
        <v>5695</v>
      </c>
      <c r="K733" s="8"/>
      <c r="L733" s="15" t="s">
        <v>1685</v>
      </c>
      <c r="M733" s="8" t="s">
        <v>5578</v>
      </c>
      <c r="N733" s="8"/>
      <c r="O733" s="8" t="s">
        <v>5574</v>
      </c>
      <c r="P733" s="11"/>
      <c r="Q733" s="8" t="s">
        <v>5696</v>
      </c>
      <c r="R733" s="8" t="s">
        <v>5919</v>
      </c>
      <c r="S733" s="8" t="s">
        <v>7114</v>
      </c>
    </row>
    <row r="734" spans="1:19" ht="107.1" customHeight="1" x14ac:dyDescent="0.25">
      <c r="A734" s="8" t="s">
        <v>7115</v>
      </c>
      <c r="B734" s="8" t="s">
        <v>5693</v>
      </c>
      <c r="C734" s="8" t="s">
        <v>5918</v>
      </c>
      <c r="D734" s="10">
        <v>413</v>
      </c>
      <c r="E734" s="8" t="s">
        <v>7116</v>
      </c>
      <c r="F734" s="8" t="s">
        <v>7117</v>
      </c>
      <c r="G734" s="8" t="s">
        <v>4727</v>
      </c>
      <c r="H734" s="8" t="s">
        <v>7116</v>
      </c>
      <c r="I734" s="8"/>
      <c r="J734" s="15" t="s">
        <v>5695</v>
      </c>
      <c r="K734" s="8"/>
      <c r="L734" s="15" t="s">
        <v>1685</v>
      </c>
      <c r="M734" s="8" t="s">
        <v>5578</v>
      </c>
      <c r="N734" s="8"/>
      <c r="O734" s="8" t="s">
        <v>5574</v>
      </c>
      <c r="P734" s="11"/>
      <c r="Q734" s="8" t="s">
        <v>5696</v>
      </c>
      <c r="R734" s="8" t="s">
        <v>5919</v>
      </c>
      <c r="S734" s="8" t="s">
        <v>7118</v>
      </c>
    </row>
    <row r="735" spans="1:19" ht="107.1" customHeight="1" x14ac:dyDescent="0.25">
      <c r="A735" s="8" t="s">
        <v>7119</v>
      </c>
      <c r="B735" s="8" t="s">
        <v>5693</v>
      </c>
      <c r="C735" s="8" t="s">
        <v>5918</v>
      </c>
      <c r="D735" s="10">
        <v>414</v>
      </c>
      <c r="E735" s="8" t="s">
        <v>7120</v>
      </c>
      <c r="F735" s="8" t="s">
        <v>7121</v>
      </c>
      <c r="G735" s="8" t="s">
        <v>4727</v>
      </c>
      <c r="H735" s="8" t="s">
        <v>7120</v>
      </c>
      <c r="I735" s="8"/>
      <c r="J735" s="15" t="s">
        <v>5695</v>
      </c>
      <c r="K735" s="8"/>
      <c r="L735" s="15" t="s">
        <v>1685</v>
      </c>
      <c r="M735" s="8" t="s">
        <v>5578</v>
      </c>
      <c r="N735" s="8"/>
      <c r="O735" s="8" t="s">
        <v>5574</v>
      </c>
      <c r="P735" s="11"/>
      <c r="Q735" s="8" t="s">
        <v>5696</v>
      </c>
      <c r="R735" s="8" t="s">
        <v>5919</v>
      </c>
      <c r="S735" s="8" t="s">
        <v>7122</v>
      </c>
    </row>
    <row r="736" spans="1:19" ht="107.1" customHeight="1" x14ac:dyDescent="0.25">
      <c r="A736" s="8" t="s">
        <v>7123</v>
      </c>
      <c r="B736" s="8" t="s">
        <v>5693</v>
      </c>
      <c r="C736" s="8" t="s">
        <v>5918</v>
      </c>
      <c r="D736" s="10">
        <v>415</v>
      </c>
      <c r="E736" s="8" t="s">
        <v>7124</v>
      </c>
      <c r="F736" s="8" t="s">
        <v>7125</v>
      </c>
      <c r="G736" s="8" t="s">
        <v>4727</v>
      </c>
      <c r="H736" s="8" t="s">
        <v>7124</v>
      </c>
      <c r="I736" s="8"/>
      <c r="J736" s="15" t="s">
        <v>5695</v>
      </c>
      <c r="K736" s="8"/>
      <c r="L736" s="15" t="s">
        <v>1685</v>
      </c>
      <c r="M736" s="8" t="s">
        <v>5578</v>
      </c>
      <c r="N736" s="8"/>
      <c r="O736" s="8" t="s">
        <v>5574</v>
      </c>
      <c r="P736" s="11"/>
      <c r="Q736" s="8" t="s">
        <v>5696</v>
      </c>
      <c r="R736" s="8" t="s">
        <v>5919</v>
      </c>
      <c r="S736" s="8" t="s">
        <v>7126</v>
      </c>
    </row>
    <row r="737" spans="1:19" ht="107.1" customHeight="1" x14ac:dyDescent="0.25">
      <c r="A737" s="8" t="s">
        <v>7127</v>
      </c>
      <c r="B737" s="8" t="s">
        <v>5693</v>
      </c>
      <c r="C737" s="8" t="s">
        <v>5918</v>
      </c>
      <c r="D737" s="10">
        <v>416</v>
      </c>
      <c r="E737" s="8" t="s">
        <v>7128</v>
      </c>
      <c r="F737" s="8" t="s">
        <v>7129</v>
      </c>
      <c r="G737" s="8" t="s">
        <v>4727</v>
      </c>
      <c r="H737" s="8" t="s">
        <v>7128</v>
      </c>
      <c r="I737" s="8"/>
      <c r="J737" s="15" t="s">
        <v>5695</v>
      </c>
      <c r="K737" s="8"/>
      <c r="L737" s="15" t="s">
        <v>1685</v>
      </c>
      <c r="M737" s="8" t="s">
        <v>5578</v>
      </c>
      <c r="N737" s="8"/>
      <c r="O737" s="8" t="s">
        <v>5574</v>
      </c>
      <c r="P737" s="11"/>
      <c r="Q737" s="8" t="s">
        <v>5696</v>
      </c>
      <c r="R737" s="8" t="s">
        <v>5919</v>
      </c>
      <c r="S737" s="8" t="s">
        <v>7130</v>
      </c>
    </row>
    <row r="738" spans="1:19" ht="107.1" customHeight="1" x14ac:dyDescent="0.25">
      <c r="A738" s="8" t="s">
        <v>7131</v>
      </c>
      <c r="B738" s="8" t="s">
        <v>5693</v>
      </c>
      <c r="C738" s="8" t="s">
        <v>5918</v>
      </c>
      <c r="D738" s="10">
        <v>417</v>
      </c>
      <c r="E738" s="8" t="s">
        <v>7132</v>
      </c>
      <c r="F738" s="8" t="s">
        <v>7133</v>
      </c>
      <c r="G738" s="8" t="s">
        <v>4727</v>
      </c>
      <c r="H738" s="8" t="s">
        <v>7132</v>
      </c>
      <c r="I738" s="8"/>
      <c r="J738" s="15" t="s">
        <v>5695</v>
      </c>
      <c r="K738" s="8"/>
      <c r="L738" s="15" t="s">
        <v>1685</v>
      </c>
      <c r="M738" s="8" t="s">
        <v>5578</v>
      </c>
      <c r="N738" s="8"/>
      <c r="O738" s="8" t="s">
        <v>5574</v>
      </c>
      <c r="P738" s="11"/>
      <c r="Q738" s="8" t="s">
        <v>5696</v>
      </c>
      <c r="R738" s="8" t="s">
        <v>5919</v>
      </c>
      <c r="S738" s="8" t="s">
        <v>7134</v>
      </c>
    </row>
    <row r="739" spans="1:19" ht="107.1" customHeight="1" x14ac:dyDescent="0.25">
      <c r="A739" s="8" t="s">
        <v>7135</v>
      </c>
      <c r="B739" s="8" t="s">
        <v>5693</v>
      </c>
      <c r="C739" s="8" t="s">
        <v>5918</v>
      </c>
      <c r="D739" s="10">
        <v>418</v>
      </c>
      <c r="E739" s="8" t="s">
        <v>7136</v>
      </c>
      <c r="F739" s="8" t="s">
        <v>7137</v>
      </c>
      <c r="G739" s="8" t="s">
        <v>4727</v>
      </c>
      <c r="H739" s="8" t="s">
        <v>7136</v>
      </c>
      <c r="I739" s="8"/>
      <c r="J739" s="15" t="s">
        <v>5695</v>
      </c>
      <c r="K739" s="8"/>
      <c r="L739" s="15" t="s">
        <v>1685</v>
      </c>
      <c r="M739" s="8" t="s">
        <v>5578</v>
      </c>
      <c r="N739" s="8"/>
      <c r="O739" s="8" t="s">
        <v>5574</v>
      </c>
      <c r="P739" s="11"/>
      <c r="Q739" s="8" t="s">
        <v>5696</v>
      </c>
      <c r="R739" s="8" t="s">
        <v>5919</v>
      </c>
      <c r="S739" s="8" t="s">
        <v>7138</v>
      </c>
    </row>
    <row r="740" spans="1:19" ht="107.1" customHeight="1" x14ac:dyDescent="0.25">
      <c r="A740" s="8" t="s">
        <v>7139</v>
      </c>
      <c r="B740" s="8" t="s">
        <v>5693</v>
      </c>
      <c r="C740" s="8" t="s">
        <v>5918</v>
      </c>
      <c r="D740" s="10">
        <v>419</v>
      </c>
      <c r="E740" s="8" t="s">
        <v>7140</v>
      </c>
      <c r="F740" s="8" t="s">
        <v>7141</v>
      </c>
      <c r="G740" s="8" t="s">
        <v>4727</v>
      </c>
      <c r="H740" s="8" t="s">
        <v>7140</v>
      </c>
      <c r="I740" s="8"/>
      <c r="J740" s="15" t="s">
        <v>5695</v>
      </c>
      <c r="K740" s="8"/>
      <c r="L740" s="15" t="s">
        <v>1685</v>
      </c>
      <c r="M740" s="8" t="s">
        <v>5578</v>
      </c>
      <c r="N740" s="8"/>
      <c r="O740" s="8" t="s">
        <v>5574</v>
      </c>
      <c r="P740" s="11"/>
      <c r="Q740" s="8" t="s">
        <v>5696</v>
      </c>
      <c r="R740" s="8" t="s">
        <v>5919</v>
      </c>
      <c r="S740" s="8" t="s">
        <v>7142</v>
      </c>
    </row>
    <row r="741" spans="1:19" ht="107.1" customHeight="1" x14ac:dyDescent="0.25">
      <c r="A741" s="8" t="s">
        <v>7143</v>
      </c>
      <c r="B741" s="8" t="s">
        <v>5693</v>
      </c>
      <c r="C741" s="8" t="s">
        <v>5918</v>
      </c>
      <c r="D741" s="10">
        <v>420</v>
      </c>
      <c r="E741" s="8" t="s">
        <v>7144</v>
      </c>
      <c r="F741" s="8" t="s">
        <v>7145</v>
      </c>
      <c r="G741" s="8" t="s">
        <v>4727</v>
      </c>
      <c r="H741" s="8" t="s">
        <v>7144</v>
      </c>
      <c r="I741" s="8"/>
      <c r="J741" s="15" t="s">
        <v>5695</v>
      </c>
      <c r="K741" s="8"/>
      <c r="L741" s="15" t="s">
        <v>1685</v>
      </c>
      <c r="M741" s="8" t="s">
        <v>5578</v>
      </c>
      <c r="N741" s="8"/>
      <c r="O741" s="8" t="s">
        <v>5574</v>
      </c>
      <c r="P741" s="11"/>
      <c r="Q741" s="8" t="s">
        <v>5696</v>
      </c>
      <c r="R741" s="8" t="s">
        <v>5919</v>
      </c>
      <c r="S741" s="8" t="s">
        <v>7146</v>
      </c>
    </row>
    <row r="742" spans="1:19" ht="107.1" customHeight="1" x14ac:dyDescent="0.25">
      <c r="A742" s="8" t="s">
        <v>7147</v>
      </c>
      <c r="B742" s="8" t="s">
        <v>5693</v>
      </c>
      <c r="C742" s="8" t="s">
        <v>5918</v>
      </c>
      <c r="D742" s="10">
        <v>421</v>
      </c>
      <c r="E742" s="8" t="s">
        <v>7148</v>
      </c>
      <c r="F742" s="8" t="s">
        <v>7149</v>
      </c>
      <c r="G742" s="8" t="s">
        <v>4727</v>
      </c>
      <c r="H742" s="8" t="s">
        <v>7148</v>
      </c>
      <c r="I742" s="8"/>
      <c r="J742" s="15" t="s">
        <v>5695</v>
      </c>
      <c r="K742" s="8"/>
      <c r="L742" s="15" t="s">
        <v>1685</v>
      </c>
      <c r="M742" s="8" t="s">
        <v>5578</v>
      </c>
      <c r="N742" s="8"/>
      <c r="O742" s="8" t="s">
        <v>5574</v>
      </c>
      <c r="P742" s="11"/>
      <c r="Q742" s="8" t="s">
        <v>5696</v>
      </c>
      <c r="R742" s="8" t="s">
        <v>5919</v>
      </c>
      <c r="S742" s="8" t="s">
        <v>7150</v>
      </c>
    </row>
    <row r="743" spans="1:19" ht="107.1" customHeight="1" x14ac:dyDescent="0.25">
      <c r="A743" s="8" t="s">
        <v>7151</v>
      </c>
      <c r="B743" s="8" t="s">
        <v>5693</v>
      </c>
      <c r="C743" s="8" t="s">
        <v>5918</v>
      </c>
      <c r="D743" s="10">
        <v>422</v>
      </c>
      <c r="E743" s="8" t="s">
        <v>7152</v>
      </c>
      <c r="F743" s="8" t="s">
        <v>7153</v>
      </c>
      <c r="G743" s="8" t="s">
        <v>4727</v>
      </c>
      <c r="H743" s="8" t="s">
        <v>7152</v>
      </c>
      <c r="I743" s="8"/>
      <c r="J743" s="15" t="s">
        <v>5695</v>
      </c>
      <c r="K743" s="8"/>
      <c r="L743" s="15" t="s">
        <v>1685</v>
      </c>
      <c r="M743" s="8" t="s">
        <v>5578</v>
      </c>
      <c r="N743" s="8"/>
      <c r="O743" s="8" t="s">
        <v>5574</v>
      </c>
      <c r="P743" s="11"/>
      <c r="Q743" s="8" t="s">
        <v>5696</v>
      </c>
      <c r="R743" s="8" t="s">
        <v>5919</v>
      </c>
      <c r="S743" s="8" t="s">
        <v>7154</v>
      </c>
    </row>
    <row r="744" spans="1:19" ht="107.1" customHeight="1" x14ac:dyDescent="0.25">
      <c r="A744" s="8" t="s">
        <v>7155</v>
      </c>
      <c r="B744" s="8" t="s">
        <v>5693</v>
      </c>
      <c r="C744" s="8" t="s">
        <v>5918</v>
      </c>
      <c r="D744" s="10">
        <v>423</v>
      </c>
      <c r="E744" s="8" t="s">
        <v>7156</v>
      </c>
      <c r="F744" s="8" t="s">
        <v>7157</v>
      </c>
      <c r="G744" s="8" t="s">
        <v>4727</v>
      </c>
      <c r="H744" s="8" t="s">
        <v>7156</v>
      </c>
      <c r="I744" s="8"/>
      <c r="J744" s="15" t="s">
        <v>5695</v>
      </c>
      <c r="K744" s="8"/>
      <c r="L744" s="15" t="s">
        <v>1685</v>
      </c>
      <c r="M744" s="8" t="s">
        <v>5578</v>
      </c>
      <c r="N744" s="8"/>
      <c r="O744" s="8" t="s">
        <v>5574</v>
      </c>
      <c r="P744" s="11"/>
      <c r="Q744" s="8" t="s">
        <v>5696</v>
      </c>
      <c r="R744" s="8" t="s">
        <v>5919</v>
      </c>
      <c r="S744" s="8" t="s">
        <v>7158</v>
      </c>
    </row>
    <row r="745" spans="1:19" ht="107.1" customHeight="1" x14ac:dyDescent="0.25">
      <c r="A745" s="8" t="s">
        <v>7159</v>
      </c>
      <c r="B745" s="8" t="s">
        <v>5693</v>
      </c>
      <c r="C745" s="8" t="s">
        <v>5918</v>
      </c>
      <c r="D745" s="10">
        <v>424</v>
      </c>
      <c r="E745" s="8" t="s">
        <v>7160</v>
      </c>
      <c r="F745" s="8" t="s">
        <v>7161</v>
      </c>
      <c r="G745" s="8" t="s">
        <v>4727</v>
      </c>
      <c r="H745" s="8" t="s">
        <v>7160</v>
      </c>
      <c r="I745" s="8"/>
      <c r="J745" s="15" t="s">
        <v>5695</v>
      </c>
      <c r="K745" s="8"/>
      <c r="L745" s="15" t="s">
        <v>1685</v>
      </c>
      <c r="M745" s="8" t="s">
        <v>5578</v>
      </c>
      <c r="N745" s="8"/>
      <c r="O745" s="8" t="s">
        <v>5574</v>
      </c>
      <c r="P745" s="11"/>
      <c r="Q745" s="8" t="s">
        <v>5696</v>
      </c>
      <c r="R745" s="8" t="s">
        <v>5919</v>
      </c>
      <c r="S745" s="8" t="s">
        <v>7162</v>
      </c>
    </row>
    <row r="746" spans="1:19" ht="107.1" customHeight="1" x14ac:dyDescent="0.25">
      <c r="A746" s="8" t="s">
        <v>7163</v>
      </c>
      <c r="B746" s="8" t="s">
        <v>5693</v>
      </c>
      <c r="C746" s="8" t="s">
        <v>5918</v>
      </c>
      <c r="D746" s="10">
        <v>425</v>
      </c>
      <c r="E746" s="8" t="s">
        <v>7164</v>
      </c>
      <c r="F746" s="8" t="s">
        <v>7165</v>
      </c>
      <c r="G746" s="8" t="s">
        <v>4727</v>
      </c>
      <c r="H746" s="8" t="s">
        <v>7164</v>
      </c>
      <c r="I746" s="8"/>
      <c r="J746" s="15" t="s">
        <v>5695</v>
      </c>
      <c r="K746" s="8"/>
      <c r="L746" s="15" t="s">
        <v>1685</v>
      </c>
      <c r="M746" s="8" t="s">
        <v>5578</v>
      </c>
      <c r="N746" s="8"/>
      <c r="O746" s="8" t="s">
        <v>5574</v>
      </c>
      <c r="P746" s="11"/>
      <c r="Q746" s="8" t="s">
        <v>5696</v>
      </c>
      <c r="R746" s="8" t="s">
        <v>5919</v>
      </c>
      <c r="S746" s="8" t="s">
        <v>7166</v>
      </c>
    </row>
    <row r="747" spans="1:19" ht="107.1" customHeight="1" x14ac:dyDescent="0.25">
      <c r="A747" s="8" t="s">
        <v>7167</v>
      </c>
      <c r="B747" s="8" t="s">
        <v>5693</v>
      </c>
      <c r="C747" s="8" t="s">
        <v>5918</v>
      </c>
      <c r="D747" s="10">
        <v>426</v>
      </c>
      <c r="E747" s="8" t="s">
        <v>7168</v>
      </c>
      <c r="F747" s="8" t="s">
        <v>7169</v>
      </c>
      <c r="G747" s="8" t="s">
        <v>4727</v>
      </c>
      <c r="H747" s="8" t="s">
        <v>7168</v>
      </c>
      <c r="I747" s="8"/>
      <c r="J747" s="15" t="s">
        <v>5695</v>
      </c>
      <c r="K747" s="8"/>
      <c r="L747" s="15" t="s">
        <v>1685</v>
      </c>
      <c r="M747" s="8" t="s">
        <v>5578</v>
      </c>
      <c r="N747" s="8"/>
      <c r="O747" s="8" t="s">
        <v>5574</v>
      </c>
      <c r="P747" s="11"/>
      <c r="Q747" s="8" t="s">
        <v>5696</v>
      </c>
      <c r="R747" s="8" t="s">
        <v>5919</v>
      </c>
      <c r="S747" s="8" t="s">
        <v>7170</v>
      </c>
    </row>
    <row r="748" spans="1:19" ht="107.1" customHeight="1" x14ac:dyDescent="0.25">
      <c r="A748" s="8" t="s">
        <v>7171</v>
      </c>
      <c r="B748" s="8" t="s">
        <v>5693</v>
      </c>
      <c r="C748" s="8" t="s">
        <v>5918</v>
      </c>
      <c r="D748" s="10">
        <v>427</v>
      </c>
      <c r="E748" s="8" t="s">
        <v>7172</v>
      </c>
      <c r="F748" s="8" t="s">
        <v>7173</v>
      </c>
      <c r="G748" s="8" t="s">
        <v>4727</v>
      </c>
      <c r="H748" s="8" t="s">
        <v>7172</v>
      </c>
      <c r="I748" s="8"/>
      <c r="J748" s="15" t="s">
        <v>5695</v>
      </c>
      <c r="K748" s="8"/>
      <c r="L748" s="15" t="s">
        <v>1685</v>
      </c>
      <c r="M748" s="8" t="s">
        <v>5578</v>
      </c>
      <c r="N748" s="8"/>
      <c r="O748" s="8" t="s">
        <v>5574</v>
      </c>
      <c r="P748" s="11"/>
      <c r="Q748" s="8" t="s">
        <v>5696</v>
      </c>
      <c r="R748" s="8" t="s">
        <v>5919</v>
      </c>
      <c r="S748" s="8" t="s">
        <v>7174</v>
      </c>
    </row>
    <row r="749" spans="1:19" ht="107.1" customHeight="1" x14ac:dyDescent="0.25">
      <c r="A749" s="8" t="s">
        <v>7175</v>
      </c>
      <c r="B749" s="8" t="s">
        <v>5693</v>
      </c>
      <c r="C749" s="8" t="s">
        <v>5918</v>
      </c>
      <c r="D749" s="10">
        <v>428</v>
      </c>
      <c r="E749" s="8" t="s">
        <v>7176</v>
      </c>
      <c r="F749" s="8" t="s">
        <v>7177</v>
      </c>
      <c r="G749" s="8" t="s">
        <v>4727</v>
      </c>
      <c r="H749" s="8" t="s">
        <v>7176</v>
      </c>
      <c r="I749" s="8"/>
      <c r="J749" s="15" t="s">
        <v>5695</v>
      </c>
      <c r="K749" s="8"/>
      <c r="L749" s="15" t="s">
        <v>1685</v>
      </c>
      <c r="M749" s="8" t="s">
        <v>5578</v>
      </c>
      <c r="N749" s="8"/>
      <c r="O749" s="8" t="s">
        <v>5574</v>
      </c>
      <c r="P749" s="11"/>
      <c r="Q749" s="8" t="s">
        <v>5696</v>
      </c>
      <c r="R749" s="8" t="s">
        <v>5919</v>
      </c>
      <c r="S749" s="8" t="s">
        <v>7178</v>
      </c>
    </row>
    <row r="750" spans="1:19" ht="107.1" customHeight="1" x14ac:dyDescent="0.25">
      <c r="A750" s="8" t="s">
        <v>7179</v>
      </c>
      <c r="B750" s="8" t="s">
        <v>5693</v>
      </c>
      <c r="C750" s="8" t="s">
        <v>5918</v>
      </c>
      <c r="D750" s="10">
        <v>429</v>
      </c>
      <c r="E750" s="8" t="s">
        <v>7180</v>
      </c>
      <c r="F750" s="8" t="s">
        <v>7181</v>
      </c>
      <c r="G750" s="8" t="s">
        <v>4727</v>
      </c>
      <c r="H750" s="8" t="s">
        <v>7180</v>
      </c>
      <c r="I750" s="8"/>
      <c r="J750" s="15" t="s">
        <v>5695</v>
      </c>
      <c r="K750" s="8"/>
      <c r="L750" s="15" t="s">
        <v>1685</v>
      </c>
      <c r="M750" s="8" t="s">
        <v>5578</v>
      </c>
      <c r="N750" s="8"/>
      <c r="O750" s="8" t="s">
        <v>5574</v>
      </c>
      <c r="P750" s="11"/>
      <c r="Q750" s="8" t="s">
        <v>5696</v>
      </c>
      <c r="R750" s="8" t="s">
        <v>5919</v>
      </c>
      <c r="S750" s="8" t="s">
        <v>7182</v>
      </c>
    </row>
    <row r="751" spans="1:19" ht="107.1" customHeight="1" x14ac:dyDescent="0.25">
      <c r="A751" s="8" t="s">
        <v>7183</v>
      </c>
      <c r="B751" s="8" t="s">
        <v>5693</v>
      </c>
      <c r="C751" s="8" t="s">
        <v>5918</v>
      </c>
      <c r="D751" s="10">
        <v>430</v>
      </c>
      <c r="E751" s="8" t="s">
        <v>7184</v>
      </c>
      <c r="F751" s="8" t="s">
        <v>7185</v>
      </c>
      <c r="G751" s="8" t="s">
        <v>4727</v>
      </c>
      <c r="H751" s="8" t="s">
        <v>7184</v>
      </c>
      <c r="I751" s="8"/>
      <c r="J751" s="15" t="s">
        <v>5695</v>
      </c>
      <c r="K751" s="8"/>
      <c r="L751" s="15" t="s">
        <v>1685</v>
      </c>
      <c r="M751" s="8" t="s">
        <v>5578</v>
      </c>
      <c r="N751" s="8"/>
      <c r="O751" s="8" t="s">
        <v>5574</v>
      </c>
      <c r="P751" s="11"/>
      <c r="Q751" s="8" t="s">
        <v>5696</v>
      </c>
      <c r="R751" s="8" t="s">
        <v>5919</v>
      </c>
      <c r="S751" s="8" t="s">
        <v>7186</v>
      </c>
    </row>
    <row r="752" spans="1:19" ht="107.1" customHeight="1" x14ac:dyDescent="0.25">
      <c r="A752" s="8" t="s">
        <v>7187</v>
      </c>
      <c r="B752" s="8" t="s">
        <v>5693</v>
      </c>
      <c r="C752" s="8" t="s">
        <v>5918</v>
      </c>
      <c r="D752" s="10">
        <v>431</v>
      </c>
      <c r="E752" s="8" t="s">
        <v>7188</v>
      </c>
      <c r="F752" s="8" t="s">
        <v>7189</v>
      </c>
      <c r="G752" s="8" t="s">
        <v>4727</v>
      </c>
      <c r="H752" s="8" t="s">
        <v>7188</v>
      </c>
      <c r="I752" s="8"/>
      <c r="J752" s="15" t="s">
        <v>5695</v>
      </c>
      <c r="K752" s="8"/>
      <c r="L752" s="15" t="s">
        <v>1685</v>
      </c>
      <c r="M752" s="8" t="s">
        <v>5578</v>
      </c>
      <c r="N752" s="8"/>
      <c r="O752" s="8" t="s">
        <v>5574</v>
      </c>
      <c r="P752" s="11"/>
      <c r="Q752" s="8" t="s">
        <v>5696</v>
      </c>
      <c r="R752" s="8" t="s">
        <v>5919</v>
      </c>
      <c r="S752" s="8" t="s">
        <v>7190</v>
      </c>
    </row>
    <row r="753" spans="1:19" ht="107.1" customHeight="1" x14ac:dyDescent="0.25">
      <c r="A753" s="8" t="s">
        <v>7191</v>
      </c>
      <c r="B753" s="8" t="s">
        <v>5693</v>
      </c>
      <c r="C753" s="8" t="s">
        <v>5918</v>
      </c>
      <c r="D753" s="10">
        <v>432</v>
      </c>
      <c r="E753" s="8" t="s">
        <v>7192</v>
      </c>
      <c r="F753" s="8" t="s">
        <v>7193</v>
      </c>
      <c r="G753" s="8" t="s">
        <v>4727</v>
      </c>
      <c r="H753" s="8" t="s">
        <v>7192</v>
      </c>
      <c r="I753" s="8"/>
      <c r="J753" s="15" t="s">
        <v>5695</v>
      </c>
      <c r="K753" s="8"/>
      <c r="L753" s="15" t="s">
        <v>1685</v>
      </c>
      <c r="M753" s="8" t="s">
        <v>5578</v>
      </c>
      <c r="N753" s="8"/>
      <c r="O753" s="8" t="s">
        <v>5574</v>
      </c>
      <c r="P753" s="11"/>
      <c r="Q753" s="8" t="s">
        <v>5696</v>
      </c>
      <c r="R753" s="8" t="s">
        <v>5919</v>
      </c>
      <c r="S753" s="8" t="s">
        <v>7194</v>
      </c>
    </row>
    <row r="754" spans="1:19" ht="107.1" customHeight="1" x14ac:dyDescent="0.25">
      <c r="A754" s="8" t="s">
        <v>7195</v>
      </c>
      <c r="B754" s="8" t="s">
        <v>5693</v>
      </c>
      <c r="C754" s="8" t="s">
        <v>5918</v>
      </c>
      <c r="D754" s="10">
        <v>433</v>
      </c>
      <c r="E754" s="8" t="s">
        <v>7196</v>
      </c>
      <c r="F754" s="8" t="s">
        <v>7197</v>
      </c>
      <c r="G754" s="8" t="s">
        <v>4727</v>
      </c>
      <c r="H754" s="8" t="s">
        <v>7196</v>
      </c>
      <c r="I754" s="8"/>
      <c r="J754" s="15" t="s">
        <v>5695</v>
      </c>
      <c r="K754" s="8"/>
      <c r="L754" s="15" t="s">
        <v>1685</v>
      </c>
      <c r="M754" s="8" t="s">
        <v>5578</v>
      </c>
      <c r="N754" s="8"/>
      <c r="O754" s="8" t="s">
        <v>5574</v>
      </c>
      <c r="P754" s="11"/>
      <c r="Q754" s="8" t="s">
        <v>5696</v>
      </c>
      <c r="R754" s="8" t="s">
        <v>5919</v>
      </c>
      <c r="S754" s="8" t="s">
        <v>7198</v>
      </c>
    </row>
    <row r="755" spans="1:19" ht="107.1" customHeight="1" x14ac:dyDescent="0.25">
      <c r="A755" s="8" t="s">
        <v>7199</v>
      </c>
      <c r="B755" s="8" t="s">
        <v>5693</v>
      </c>
      <c r="C755" s="8" t="s">
        <v>5918</v>
      </c>
      <c r="D755" s="10">
        <v>434</v>
      </c>
      <c r="E755" s="8" t="s">
        <v>7200</v>
      </c>
      <c r="F755" s="8" t="s">
        <v>7201</v>
      </c>
      <c r="G755" s="8" t="s">
        <v>4727</v>
      </c>
      <c r="H755" s="8" t="s">
        <v>7200</v>
      </c>
      <c r="I755" s="8"/>
      <c r="J755" s="15" t="s">
        <v>5695</v>
      </c>
      <c r="K755" s="8"/>
      <c r="L755" s="15" t="s">
        <v>1685</v>
      </c>
      <c r="M755" s="8" t="s">
        <v>5578</v>
      </c>
      <c r="N755" s="8"/>
      <c r="O755" s="8" t="s">
        <v>5574</v>
      </c>
      <c r="P755" s="11"/>
      <c r="Q755" s="8" t="s">
        <v>5696</v>
      </c>
      <c r="R755" s="8" t="s">
        <v>5919</v>
      </c>
      <c r="S755" s="8" t="s">
        <v>7202</v>
      </c>
    </row>
    <row r="756" spans="1:19" ht="107.1" customHeight="1" x14ac:dyDescent="0.25">
      <c r="A756" s="8" t="s">
        <v>7203</v>
      </c>
      <c r="B756" s="8" t="s">
        <v>5693</v>
      </c>
      <c r="C756" s="8" t="s">
        <v>5918</v>
      </c>
      <c r="D756" s="10">
        <v>435</v>
      </c>
      <c r="E756" s="8" t="s">
        <v>7204</v>
      </c>
      <c r="F756" s="8" t="s">
        <v>7205</v>
      </c>
      <c r="G756" s="8" t="s">
        <v>4727</v>
      </c>
      <c r="H756" s="8" t="s">
        <v>7204</v>
      </c>
      <c r="I756" s="8"/>
      <c r="J756" s="15" t="s">
        <v>5695</v>
      </c>
      <c r="K756" s="8"/>
      <c r="L756" s="15" t="s">
        <v>1685</v>
      </c>
      <c r="M756" s="8" t="s">
        <v>5578</v>
      </c>
      <c r="N756" s="8"/>
      <c r="O756" s="8" t="s">
        <v>5574</v>
      </c>
      <c r="P756" s="11"/>
      <c r="Q756" s="8" t="s">
        <v>5696</v>
      </c>
      <c r="R756" s="8" t="s">
        <v>5919</v>
      </c>
      <c r="S756" s="8" t="s">
        <v>7206</v>
      </c>
    </row>
    <row r="757" spans="1:19" ht="107.1" customHeight="1" x14ac:dyDescent="0.25">
      <c r="A757" s="8" t="s">
        <v>7207</v>
      </c>
      <c r="B757" s="8" t="s">
        <v>5693</v>
      </c>
      <c r="C757" s="8" t="s">
        <v>5918</v>
      </c>
      <c r="D757" s="10">
        <v>436</v>
      </c>
      <c r="E757" s="8" t="s">
        <v>7208</v>
      </c>
      <c r="F757" s="8" t="s">
        <v>7209</v>
      </c>
      <c r="G757" s="8" t="s">
        <v>4727</v>
      </c>
      <c r="H757" s="8" t="s">
        <v>7208</v>
      </c>
      <c r="I757" s="8"/>
      <c r="J757" s="15" t="s">
        <v>5695</v>
      </c>
      <c r="K757" s="8"/>
      <c r="L757" s="15" t="s">
        <v>1685</v>
      </c>
      <c r="M757" s="8" t="s">
        <v>5578</v>
      </c>
      <c r="N757" s="8"/>
      <c r="O757" s="8" t="s">
        <v>5574</v>
      </c>
      <c r="P757" s="11"/>
      <c r="Q757" s="8" t="s">
        <v>5696</v>
      </c>
      <c r="R757" s="8" t="s">
        <v>5919</v>
      </c>
      <c r="S757" s="8" t="s">
        <v>7210</v>
      </c>
    </row>
    <row r="758" spans="1:19" ht="107.1" customHeight="1" x14ac:dyDescent="0.25">
      <c r="A758" s="8" t="s">
        <v>7211</v>
      </c>
      <c r="B758" s="8" t="s">
        <v>5693</v>
      </c>
      <c r="C758" s="8" t="s">
        <v>5918</v>
      </c>
      <c r="D758" s="10">
        <v>437</v>
      </c>
      <c r="E758" s="8" t="s">
        <v>7212</v>
      </c>
      <c r="F758" s="8" t="s">
        <v>7213</v>
      </c>
      <c r="G758" s="8" t="s">
        <v>4727</v>
      </c>
      <c r="H758" s="8" t="s">
        <v>7212</v>
      </c>
      <c r="I758" s="8"/>
      <c r="J758" s="15" t="s">
        <v>5695</v>
      </c>
      <c r="K758" s="8"/>
      <c r="L758" s="15" t="s">
        <v>1685</v>
      </c>
      <c r="M758" s="8" t="s">
        <v>5578</v>
      </c>
      <c r="N758" s="8"/>
      <c r="O758" s="8" t="s">
        <v>5574</v>
      </c>
      <c r="P758" s="11"/>
      <c r="Q758" s="8" t="s">
        <v>5696</v>
      </c>
      <c r="R758" s="8" t="s">
        <v>5919</v>
      </c>
      <c r="S758" s="8" t="s">
        <v>7214</v>
      </c>
    </row>
    <row r="759" spans="1:19" ht="107.1" customHeight="1" x14ac:dyDescent="0.25">
      <c r="A759" s="8" t="s">
        <v>7215</v>
      </c>
      <c r="B759" s="8" t="s">
        <v>5693</v>
      </c>
      <c r="C759" s="8" t="s">
        <v>5918</v>
      </c>
      <c r="D759" s="10">
        <v>438</v>
      </c>
      <c r="E759" s="8" t="s">
        <v>7216</v>
      </c>
      <c r="F759" s="8" t="s">
        <v>7217</v>
      </c>
      <c r="G759" s="8" t="s">
        <v>4727</v>
      </c>
      <c r="H759" s="8" t="s">
        <v>7216</v>
      </c>
      <c r="I759" s="8"/>
      <c r="J759" s="15" t="s">
        <v>5695</v>
      </c>
      <c r="K759" s="8"/>
      <c r="L759" s="15" t="s">
        <v>1685</v>
      </c>
      <c r="M759" s="8" t="s">
        <v>5578</v>
      </c>
      <c r="N759" s="8"/>
      <c r="O759" s="8" t="s">
        <v>5574</v>
      </c>
      <c r="P759" s="11"/>
      <c r="Q759" s="8" t="s">
        <v>5696</v>
      </c>
      <c r="R759" s="8" t="s">
        <v>5919</v>
      </c>
      <c r="S759" s="8" t="s">
        <v>7218</v>
      </c>
    </row>
    <row r="760" spans="1:19" ht="107.1" customHeight="1" x14ac:dyDescent="0.25">
      <c r="A760" s="8" t="s">
        <v>7219</v>
      </c>
      <c r="B760" s="8" t="s">
        <v>5693</v>
      </c>
      <c r="C760" s="8" t="s">
        <v>5918</v>
      </c>
      <c r="D760" s="10">
        <v>439</v>
      </c>
      <c r="E760" s="8" t="s">
        <v>7220</v>
      </c>
      <c r="F760" s="8" t="s">
        <v>7221</v>
      </c>
      <c r="G760" s="8" t="s">
        <v>4727</v>
      </c>
      <c r="H760" s="8" t="s">
        <v>7220</v>
      </c>
      <c r="I760" s="8"/>
      <c r="J760" s="15" t="s">
        <v>5695</v>
      </c>
      <c r="K760" s="8"/>
      <c r="L760" s="15" t="s">
        <v>1685</v>
      </c>
      <c r="M760" s="8" t="s">
        <v>5578</v>
      </c>
      <c r="N760" s="8"/>
      <c r="O760" s="8" t="s">
        <v>5574</v>
      </c>
      <c r="P760" s="11"/>
      <c r="Q760" s="8" t="s">
        <v>5696</v>
      </c>
      <c r="R760" s="8" t="s">
        <v>5919</v>
      </c>
      <c r="S760" s="8" t="s">
        <v>7222</v>
      </c>
    </row>
    <row r="761" spans="1:19" ht="107.1" customHeight="1" x14ac:dyDescent="0.25">
      <c r="A761" s="8" t="s">
        <v>7223</v>
      </c>
      <c r="B761" s="8" t="s">
        <v>5693</v>
      </c>
      <c r="C761" s="8" t="s">
        <v>5918</v>
      </c>
      <c r="D761" s="10">
        <v>440</v>
      </c>
      <c r="E761" s="8" t="s">
        <v>840</v>
      </c>
      <c r="F761" s="8" t="s">
        <v>7224</v>
      </c>
      <c r="G761" s="8" t="s">
        <v>4551</v>
      </c>
      <c r="H761" s="8" t="s">
        <v>840</v>
      </c>
      <c r="I761" s="8" t="s">
        <v>840</v>
      </c>
      <c r="J761" s="15" t="s">
        <v>5695</v>
      </c>
      <c r="K761" s="8"/>
      <c r="L761" s="15" t="s">
        <v>1685</v>
      </c>
      <c r="M761" s="8" t="s">
        <v>5578</v>
      </c>
      <c r="N761" s="8"/>
      <c r="O761" s="8" t="s">
        <v>5574</v>
      </c>
      <c r="P761" s="11"/>
      <c r="Q761" s="8" t="s">
        <v>5696</v>
      </c>
      <c r="R761" s="8" t="s">
        <v>5919</v>
      </c>
      <c r="S761" s="8" t="s">
        <v>7225</v>
      </c>
    </row>
    <row r="762" spans="1:19" ht="107.1" customHeight="1" x14ac:dyDescent="0.25">
      <c r="A762" s="8" t="s">
        <v>7226</v>
      </c>
      <c r="B762" s="8" t="s">
        <v>5693</v>
      </c>
      <c r="C762" s="8" t="s">
        <v>5918</v>
      </c>
      <c r="D762" s="10">
        <v>441</v>
      </c>
      <c r="E762" s="8" t="s">
        <v>7227</v>
      </c>
      <c r="F762" s="8" t="s">
        <v>7228</v>
      </c>
      <c r="G762" s="8" t="s">
        <v>4727</v>
      </c>
      <c r="H762" s="8" t="s">
        <v>7227</v>
      </c>
      <c r="I762" s="8"/>
      <c r="J762" s="15" t="s">
        <v>5695</v>
      </c>
      <c r="K762" s="8"/>
      <c r="L762" s="15" t="s">
        <v>1685</v>
      </c>
      <c r="M762" s="8" t="s">
        <v>5578</v>
      </c>
      <c r="N762" s="8"/>
      <c r="O762" s="8" t="s">
        <v>5574</v>
      </c>
      <c r="P762" s="11"/>
      <c r="Q762" s="8" t="s">
        <v>5696</v>
      </c>
      <c r="R762" s="8" t="s">
        <v>5919</v>
      </c>
      <c r="S762" s="8" t="s">
        <v>7229</v>
      </c>
    </row>
    <row r="763" spans="1:19" ht="107.1" customHeight="1" x14ac:dyDescent="0.25">
      <c r="A763" s="8" t="s">
        <v>7230</v>
      </c>
      <c r="B763" s="8" t="s">
        <v>5693</v>
      </c>
      <c r="C763" s="8" t="s">
        <v>5918</v>
      </c>
      <c r="D763" s="10">
        <v>442</v>
      </c>
      <c r="E763" s="8" t="s">
        <v>7231</v>
      </c>
      <c r="F763" s="8" t="s">
        <v>7232</v>
      </c>
      <c r="G763" s="8" t="s">
        <v>4727</v>
      </c>
      <c r="H763" s="8" t="s">
        <v>7231</v>
      </c>
      <c r="I763" s="8"/>
      <c r="J763" s="15" t="s">
        <v>5695</v>
      </c>
      <c r="K763" s="8"/>
      <c r="L763" s="15" t="s">
        <v>1685</v>
      </c>
      <c r="M763" s="8" t="s">
        <v>5578</v>
      </c>
      <c r="N763" s="8"/>
      <c r="O763" s="8" t="s">
        <v>5574</v>
      </c>
      <c r="P763" s="11"/>
      <c r="Q763" s="8" t="s">
        <v>5696</v>
      </c>
      <c r="R763" s="8" t="s">
        <v>5919</v>
      </c>
      <c r="S763" s="8" t="s">
        <v>7233</v>
      </c>
    </row>
    <row r="764" spans="1:19" ht="93" customHeight="1" x14ac:dyDescent="0.25">
      <c r="A764" s="8" t="s">
        <v>7234</v>
      </c>
      <c r="B764" s="8" t="s">
        <v>5693</v>
      </c>
      <c r="C764" s="8" t="s">
        <v>5918</v>
      </c>
      <c r="D764" s="10">
        <v>443</v>
      </c>
      <c r="E764" s="8" t="s">
        <v>7235</v>
      </c>
      <c r="F764" s="8" t="s">
        <v>7236</v>
      </c>
      <c r="G764" s="8" t="s">
        <v>4727</v>
      </c>
      <c r="H764" s="8" t="s">
        <v>7235</v>
      </c>
      <c r="I764" s="8"/>
      <c r="J764" s="15" t="s">
        <v>5695</v>
      </c>
      <c r="K764" s="8"/>
      <c r="L764" s="15" t="s">
        <v>1685</v>
      </c>
      <c r="M764" s="8" t="s">
        <v>5578</v>
      </c>
      <c r="N764" s="8"/>
      <c r="O764" s="8" t="s">
        <v>5574</v>
      </c>
      <c r="P764" s="11"/>
      <c r="Q764" s="8" t="s">
        <v>5696</v>
      </c>
      <c r="R764" s="8" t="s">
        <v>5919</v>
      </c>
      <c r="S764" s="8" t="s">
        <v>7237</v>
      </c>
    </row>
    <row r="765" spans="1:19" ht="107.1" customHeight="1" x14ac:dyDescent="0.25">
      <c r="A765" s="8" t="s">
        <v>7238</v>
      </c>
      <c r="B765" s="8" t="s">
        <v>5693</v>
      </c>
      <c r="C765" s="8" t="s">
        <v>5918</v>
      </c>
      <c r="D765" s="10">
        <v>444</v>
      </c>
      <c r="E765" s="8" t="s">
        <v>7239</v>
      </c>
      <c r="F765" s="8" t="s">
        <v>7240</v>
      </c>
      <c r="G765" s="8" t="s">
        <v>4727</v>
      </c>
      <c r="H765" s="8" t="s">
        <v>7239</v>
      </c>
      <c r="I765" s="8"/>
      <c r="J765" s="15" t="s">
        <v>5695</v>
      </c>
      <c r="K765" s="8"/>
      <c r="L765" s="15" t="s">
        <v>1685</v>
      </c>
      <c r="M765" s="8" t="s">
        <v>5578</v>
      </c>
      <c r="N765" s="8"/>
      <c r="O765" s="8" t="s">
        <v>5574</v>
      </c>
      <c r="P765" s="11"/>
      <c r="Q765" s="8" t="s">
        <v>5696</v>
      </c>
      <c r="R765" s="8" t="s">
        <v>5919</v>
      </c>
      <c r="S765" s="8" t="s">
        <v>7241</v>
      </c>
    </row>
    <row r="766" spans="1:19" ht="93" customHeight="1" x14ac:dyDescent="0.25">
      <c r="A766" s="8" t="s">
        <v>7242</v>
      </c>
      <c r="B766" s="8" t="s">
        <v>5693</v>
      </c>
      <c r="C766" s="8" t="s">
        <v>5918</v>
      </c>
      <c r="D766" s="10">
        <v>445</v>
      </c>
      <c r="E766" s="8" t="s">
        <v>7243</v>
      </c>
      <c r="F766" s="8" t="s">
        <v>7244</v>
      </c>
      <c r="G766" s="8" t="s">
        <v>4727</v>
      </c>
      <c r="H766" s="8" t="s">
        <v>7243</v>
      </c>
      <c r="I766" s="8"/>
      <c r="J766" s="15" t="s">
        <v>5695</v>
      </c>
      <c r="K766" s="8"/>
      <c r="L766" s="15" t="s">
        <v>1685</v>
      </c>
      <c r="M766" s="8" t="s">
        <v>5578</v>
      </c>
      <c r="N766" s="8"/>
      <c r="O766" s="8" t="s">
        <v>5574</v>
      </c>
      <c r="P766" s="11"/>
      <c r="Q766" s="8" t="s">
        <v>5696</v>
      </c>
      <c r="R766" s="8" t="s">
        <v>5919</v>
      </c>
      <c r="S766" s="8" t="s">
        <v>7245</v>
      </c>
    </row>
    <row r="767" spans="1:19" ht="107.1" customHeight="1" x14ac:dyDescent="0.25">
      <c r="A767" s="8" t="s">
        <v>7246</v>
      </c>
      <c r="B767" s="8" t="s">
        <v>5693</v>
      </c>
      <c r="C767" s="8" t="s">
        <v>5918</v>
      </c>
      <c r="D767" s="10">
        <v>446</v>
      </c>
      <c r="E767" s="8" t="s">
        <v>7247</v>
      </c>
      <c r="F767" s="8" t="s">
        <v>7248</v>
      </c>
      <c r="G767" s="8" t="s">
        <v>4727</v>
      </c>
      <c r="H767" s="8" t="s">
        <v>7247</v>
      </c>
      <c r="I767" s="8"/>
      <c r="J767" s="15" t="s">
        <v>5695</v>
      </c>
      <c r="K767" s="8"/>
      <c r="L767" s="15" t="s">
        <v>1685</v>
      </c>
      <c r="M767" s="8" t="s">
        <v>5578</v>
      </c>
      <c r="N767" s="8"/>
      <c r="O767" s="8" t="s">
        <v>5574</v>
      </c>
      <c r="P767" s="11"/>
      <c r="Q767" s="8" t="s">
        <v>5696</v>
      </c>
      <c r="R767" s="8" t="s">
        <v>5919</v>
      </c>
      <c r="S767" s="8" t="s">
        <v>7249</v>
      </c>
    </row>
    <row r="768" spans="1:19" ht="107.1" customHeight="1" x14ac:dyDescent="0.25">
      <c r="A768" s="8" t="s">
        <v>7250</v>
      </c>
      <c r="B768" s="8" t="s">
        <v>5693</v>
      </c>
      <c r="C768" s="8" t="s">
        <v>5918</v>
      </c>
      <c r="D768" s="10">
        <v>447</v>
      </c>
      <c r="E768" s="8" t="s">
        <v>7251</v>
      </c>
      <c r="F768" s="8" t="s">
        <v>7252</v>
      </c>
      <c r="G768" s="8" t="s">
        <v>4727</v>
      </c>
      <c r="H768" s="8" t="s">
        <v>7251</v>
      </c>
      <c r="I768" s="8"/>
      <c r="J768" s="15" t="s">
        <v>5695</v>
      </c>
      <c r="K768" s="8"/>
      <c r="L768" s="15" t="s">
        <v>1685</v>
      </c>
      <c r="M768" s="8" t="s">
        <v>5578</v>
      </c>
      <c r="N768" s="8"/>
      <c r="O768" s="8" t="s">
        <v>5574</v>
      </c>
      <c r="P768" s="11"/>
      <c r="Q768" s="8" t="s">
        <v>5696</v>
      </c>
      <c r="R768" s="8" t="s">
        <v>5919</v>
      </c>
      <c r="S768" s="8" t="s">
        <v>7253</v>
      </c>
    </row>
    <row r="769" spans="1:19" ht="107.1" customHeight="1" x14ac:dyDescent="0.25">
      <c r="A769" s="8" t="s">
        <v>7254</v>
      </c>
      <c r="B769" s="8" t="s">
        <v>5693</v>
      </c>
      <c r="C769" s="8" t="s">
        <v>5918</v>
      </c>
      <c r="D769" s="10">
        <v>448</v>
      </c>
      <c r="E769" s="8" t="s">
        <v>7255</v>
      </c>
      <c r="F769" s="8" t="s">
        <v>7256</v>
      </c>
      <c r="G769" s="8" t="s">
        <v>4727</v>
      </c>
      <c r="H769" s="8" t="s">
        <v>7255</v>
      </c>
      <c r="I769" s="8"/>
      <c r="J769" s="15" t="s">
        <v>5695</v>
      </c>
      <c r="K769" s="8"/>
      <c r="L769" s="15" t="s">
        <v>1685</v>
      </c>
      <c r="M769" s="8" t="s">
        <v>5578</v>
      </c>
      <c r="N769" s="8"/>
      <c r="O769" s="8" t="s">
        <v>5574</v>
      </c>
      <c r="P769" s="11"/>
      <c r="Q769" s="8" t="s">
        <v>5696</v>
      </c>
      <c r="R769" s="8" t="s">
        <v>5919</v>
      </c>
      <c r="S769" s="8" t="s">
        <v>7257</v>
      </c>
    </row>
    <row r="770" spans="1:19" ht="93" customHeight="1" x14ac:dyDescent="0.25">
      <c r="A770" s="8" t="s">
        <v>7258</v>
      </c>
      <c r="B770" s="8" t="s">
        <v>5693</v>
      </c>
      <c r="C770" s="8" t="s">
        <v>5918</v>
      </c>
      <c r="D770" s="10">
        <v>449</v>
      </c>
      <c r="E770" s="8" t="s">
        <v>7259</v>
      </c>
      <c r="F770" s="8" t="s">
        <v>7260</v>
      </c>
      <c r="G770" s="8" t="s">
        <v>4727</v>
      </c>
      <c r="H770" s="8" t="s">
        <v>7259</v>
      </c>
      <c r="I770" s="8"/>
      <c r="J770" s="15" t="s">
        <v>5695</v>
      </c>
      <c r="K770" s="8"/>
      <c r="L770" s="15" t="s">
        <v>1685</v>
      </c>
      <c r="M770" s="8" t="s">
        <v>5578</v>
      </c>
      <c r="N770" s="8"/>
      <c r="O770" s="8" t="s">
        <v>5574</v>
      </c>
      <c r="P770" s="11"/>
      <c r="Q770" s="8" t="s">
        <v>5696</v>
      </c>
      <c r="R770" s="8" t="s">
        <v>5919</v>
      </c>
      <c r="S770" s="8" t="s">
        <v>7261</v>
      </c>
    </row>
    <row r="771" spans="1:19" ht="107.1" customHeight="1" x14ac:dyDescent="0.25">
      <c r="A771" s="8" t="s">
        <v>7262</v>
      </c>
      <c r="B771" s="8" t="s">
        <v>5693</v>
      </c>
      <c r="C771" s="8" t="s">
        <v>5918</v>
      </c>
      <c r="D771" s="10">
        <v>450</v>
      </c>
      <c r="E771" s="8" t="s">
        <v>7263</v>
      </c>
      <c r="F771" s="8" t="s">
        <v>7264</v>
      </c>
      <c r="G771" s="8" t="s">
        <v>4727</v>
      </c>
      <c r="H771" s="8" t="s">
        <v>7263</v>
      </c>
      <c r="I771" s="8"/>
      <c r="J771" s="15" t="s">
        <v>5695</v>
      </c>
      <c r="K771" s="8"/>
      <c r="L771" s="15" t="s">
        <v>1685</v>
      </c>
      <c r="M771" s="8" t="s">
        <v>5578</v>
      </c>
      <c r="N771" s="8"/>
      <c r="O771" s="8" t="s">
        <v>5574</v>
      </c>
      <c r="P771" s="11"/>
      <c r="Q771" s="8" t="s">
        <v>5696</v>
      </c>
      <c r="R771" s="8" t="s">
        <v>5919</v>
      </c>
      <c r="S771" s="8" t="s">
        <v>7265</v>
      </c>
    </row>
    <row r="772" spans="1:19" ht="107.1" customHeight="1" x14ac:dyDescent="0.25">
      <c r="A772" s="8" t="s">
        <v>7266</v>
      </c>
      <c r="B772" s="8" t="s">
        <v>5693</v>
      </c>
      <c r="C772" s="8" t="s">
        <v>5918</v>
      </c>
      <c r="D772" s="10">
        <v>451</v>
      </c>
      <c r="E772" s="8" t="s">
        <v>7267</v>
      </c>
      <c r="F772" s="8" t="s">
        <v>7268</v>
      </c>
      <c r="G772" s="8" t="s">
        <v>4727</v>
      </c>
      <c r="H772" s="8" t="s">
        <v>7267</v>
      </c>
      <c r="I772" s="8"/>
      <c r="J772" s="15" t="s">
        <v>5695</v>
      </c>
      <c r="K772" s="8"/>
      <c r="L772" s="15" t="s">
        <v>1685</v>
      </c>
      <c r="M772" s="8" t="s">
        <v>5578</v>
      </c>
      <c r="N772" s="8"/>
      <c r="O772" s="8" t="s">
        <v>5574</v>
      </c>
      <c r="P772" s="11"/>
      <c r="Q772" s="8" t="s">
        <v>5696</v>
      </c>
      <c r="R772" s="8" t="s">
        <v>5919</v>
      </c>
      <c r="S772" s="8" t="s">
        <v>7269</v>
      </c>
    </row>
    <row r="773" spans="1:19" ht="107.1" customHeight="1" x14ac:dyDescent="0.25">
      <c r="A773" s="8" t="s">
        <v>7270</v>
      </c>
      <c r="B773" s="8" t="s">
        <v>5693</v>
      </c>
      <c r="C773" s="8" t="s">
        <v>5918</v>
      </c>
      <c r="D773" s="10">
        <v>452</v>
      </c>
      <c r="E773" s="8" t="s">
        <v>7271</v>
      </c>
      <c r="F773" s="8" t="s">
        <v>7272</v>
      </c>
      <c r="G773" s="8" t="s">
        <v>4727</v>
      </c>
      <c r="H773" s="8" t="s">
        <v>7271</v>
      </c>
      <c r="I773" s="8"/>
      <c r="J773" s="15" t="s">
        <v>5695</v>
      </c>
      <c r="K773" s="8"/>
      <c r="L773" s="15" t="s">
        <v>1685</v>
      </c>
      <c r="M773" s="8" t="s">
        <v>5578</v>
      </c>
      <c r="N773" s="8"/>
      <c r="O773" s="8" t="s">
        <v>5574</v>
      </c>
      <c r="P773" s="11"/>
      <c r="Q773" s="8" t="s">
        <v>5696</v>
      </c>
      <c r="R773" s="8" t="s">
        <v>5919</v>
      </c>
      <c r="S773" s="8" t="s">
        <v>7273</v>
      </c>
    </row>
    <row r="774" spans="1:19" ht="107.1" customHeight="1" x14ac:dyDescent="0.25">
      <c r="A774" s="8" t="s">
        <v>7274</v>
      </c>
      <c r="B774" s="8" t="s">
        <v>5693</v>
      </c>
      <c r="C774" s="8" t="s">
        <v>5918</v>
      </c>
      <c r="D774" s="10">
        <v>453</v>
      </c>
      <c r="E774" s="8" t="s">
        <v>483</v>
      </c>
      <c r="F774" s="8" t="s">
        <v>7275</v>
      </c>
      <c r="G774" s="8" t="s">
        <v>4551</v>
      </c>
      <c r="H774" s="8" t="s">
        <v>483</v>
      </c>
      <c r="I774" s="8" t="s">
        <v>483</v>
      </c>
      <c r="J774" s="15" t="s">
        <v>5695</v>
      </c>
      <c r="K774" s="8"/>
      <c r="L774" s="15" t="s">
        <v>1685</v>
      </c>
      <c r="M774" s="8" t="s">
        <v>5578</v>
      </c>
      <c r="N774" s="8"/>
      <c r="O774" s="8" t="s">
        <v>5574</v>
      </c>
      <c r="P774" s="11"/>
      <c r="Q774" s="8" t="s">
        <v>5696</v>
      </c>
      <c r="R774" s="8" t="s">
        <v>5919</v>
      </c>
      <c r="S774" s="8" t="s">
        <v>7276</v>
      </c>
    </row>
    <row r="775" spans="1:19" ht="107.1" customHeight="1" x14ac:dyDescent="0.25">
      <c r="A775" s="8" t="s">
        <v>7277</v>
      </c>
      <c r="B775" s="8" t="s">
        <v>5693</v>
      </c>
      <c r="C775" s="8" t="s">
        <v>5918</v>
      </c>
      <c r="D775" s="10">
        <v>454</v>
      </c>
      <c r="E775" s="8" t="s">
        <v>1037</v>
      </c>
      <c r="F775" s="8" t="s">
        <v>7278</v>
      </c>
      <c r="G775" s="8" t="s">
        <v>4551</v>
      </c>
      <c r="H775" s="8" t="s">
        <v>1037</v>
      </c>
      <c r="I775" s="8" t="s">
        <v>1037</v>
      </c>
      <c r="J775" s="15" t="s">
        <v>5695</v>
      </c>
      <c r="K775" s="8"/>
      <c r="L775" s="15" t="s">
        <v>1685</v>
      </c>
      <c r="M775" s="8" t="s">
        <v>5578</v>
      </c>
      <c r="N775" s="8"/>
      <c r="O775" s="8" t="s">
        <v>5574</v>
      </c>
      <c r="P775" s="11"/>
      <c r="Q775" s="8" t="s">
        <v>5696</v>
      </c>
      <c r="R775" s="8" t="s">
        <v>5919</v>
      </c>
      <c r="S775" s="8" t="s">
        <v>7279</v>
      </c>
    </row>
    <row r="776" spans="1:19" ht="107.1" customHeight="1" x14ac:dyDescent="0.25">
      <c r="A776" s="8" t="s">
        <v>7280</v>
      </c>
      <c r="B776" s="8" t="s">
        <v>5693</v>
      </c>
      <c r="C776" s="8" t="s">
        <v>5918</v>
      </c>
      <c r="D776" s="10">
        <v>455</v>
      </c>
      <c r="E776" s="8" t="s">
        <v>7281</v>
      </c>
      <c r="F776" s="8" t="s">
        <v>7282</v>
      </c>
      <c r="G776" s="8" t="s">
        <v>4727</v>
      </c>
      <c r="H776" s="8" t="s">
        <v>7281</v>
      </c>
      <c r="I776" s="8"/>
      <c r="J776" s="15" t="s">
        <v>5695</v>
      </c>
      <c r="K776" s="8"/>
      <c r="L776" s="15" t="s">
        <v>1685</v>
      </c>
      <c r="M776" s="8" t="s">
        <v>5578</v>
      </c>
      <c r="N776" s="8"/>
      <c r="O776" s="8" t="s">
        <v>5574</v>
      </c>
      <c r="P776" s="11"/>
      <c r="Q776" s="8" t="s">
        <v>5696</v>
      </c>
      <c r="R776" s="8" t="s">
        <v>5919</v>
      </c>
      <c r="S776" s="8" t="s">
        <v>7283</v>
      </c>
    </row>
    <row r="777" spans="1:19" ht="107.1" customHeight="1" x14ac:dyDescent="0.25">
      <c r="A777" s="8" t="s">
        <v>7284</v>
      </c>
      <c r="B777" s="8" t="s">
        <v>5693</v>
      </c>
      <c r="C777" s="8" t="s">
        <v>5918</v>
      </c>
      <c r="D777" s="10">
        <v>456</v>
      </c>
      <c r="E777" s="8" t="s">
        <v>7285</v>
      </c>
      <c r="F777" s="8" t="s">
        <v>7286</v>
      </c>
      <c r="G777" s="8" t="s">
        <v>4727</v>
      </c>
      <c r="H777" s="8" t="s">
        <v>7285</v>
      </c>
      <c r="I777" s="8"/>
      <c r="J777" s="15" t="s">
        <v>5695</v>
      </c>
      <c r="K777" s="8"/>
      <c r="L777" s="15" t="s">
        <v>1685</v>
      </c>
      <c r="M777" s="8" t="s">
        <v>5578</v>
      </c>
      <c r="N777" s="8"/>
      <c r="O777" s="8" t="s">
        <v>5574</v>
      </c>
      <c r="P777" s="11"/>
      <c r="Q777" s="8" t="s">
        <v>5696</v>
      </c>
      <c r="R777" s="8" t="s">
        <v>5919</v>
      </c>
      <c r="S777" s="8" t="s">
        <v>7287</v>
      </c>
    </row>
    <row r="778" spans="1:19" ht="107.1" customHeight="1" x14ac:dyDescent="0.25">
      <c r="A778" s="8" t="s">
        <v>7288</v>
      </c>
      <c r="B778" s="8" t="s">
        <v>5693</v>
      </c>
      <c r="C778" s="8" t="s">
        <v>5918</v>
      </c>
      <c r="D778" s="10">
        <v>457</v>
      </c>
      <c r="E778" s="8" t="s">
        <v>7289</v>
      </c>
      <c r="F778" s="8" t="s">
        <v>7290</v>
      </c>
      <c r="G778" s="8" t="s">
        <v>4727</v>
      </c>
      <c r="H778" s="8" t="s">
        <v>7289</v>
      </c>
      <c r="I778" s="8"/>
      <c r="J778" s="15" t="s">
        <v>5695</v>
      </c>
      <c r="K778" s="8"/>
      <c r="L778" s="15" t="s">
        <v>1685</v>
      </c>
      <c r="M778" s="8" t="s">
        <v>5578</v>
      </c>
      <c r="N778" s="8"/>
      <c r="O778" s="8" t="s">
        <v>5574</v>
      </c>
      <c r="P778" s="11"/>
      <c r="Q778" s="8" t="s">
        <v>5696</v>
      </c>
      <c r="R778" s="8" t="s">
        <v>5919</v>
      </c>
      <c r="S778" s="8" t="s">
        <v>7291</v>
      </c>
    </row>
    <row r="779" spans="1:19" ht="107.1" customHeight="1" x14ac:dyDescent="0.25">
      <c r="A779" s="8" t="s">
        <v>7292</v>
      </c>
      <c r="B779" s="8" t="s">
        <v>5693</v>
      </c>
      <c r="C779" s="8" t="s">
        <v>5918</v>
      </c>
      <c r="D779" s="10">
        <v>458</v>
      </c>
      <c r="E779" s="8" t="s">
        <v>7293</v>
      </c>
      <c r="F779" s="8" t="s">
        <v>7294</v>
      </c>
      <c r="G779" s="8" t="s">
        <v>4727</v>
      </c>
      <c r="H779" s="8" t="s">
        <v>7293</v>
      </c>
      <c r="I779" s="8"/>
      <c r="J779" s="15" t="s">
        <v>5695</v>
      </c>
      <c r="K779" s="8"/>
      <c r="L779" s="15" t="s">
        <v>1685</v>
      </c>
      <c r="M779" s="8" t="s">
        <v>5578</v>
      </c>
      <c r="N779" s="8"/>
      <c r="O779" s="8" t="s">
        <v>5574</v>
      </c>
      <c r="P779" s="11"/>
      <c r="Q779" s="8" t="s">
        <v>5696</v>
      </c>
      <c r="R779" s="8" t="s">
        <v>5919</v>
      </c>
      <c r="S779" s="8" t="s">
        <v>7295</v>
      </c>
    </row>
    <row r="780" spans="1:19" ht="107.1" customHeight="1" x14ac:dyDescent="0.25">
      <c r="A780" s="8" t="s">
        <v>7296</v>
      </c>
      <c r="B780" s="8" t="s">
        <v>5693</v>
      </c>
      <c r="C780" s="8" t="s">
        <v>5918</v>
      </c>
      <c r="D780" s="10">
        <v>459</v>
      </c>
      <c r="E780" s="8" t="s">
        <v>7297</v>
      </c>
      <c r="F780" s="8" t="s">
        <v>7298</v>
      </c>
      <c r="G780" s="8" t="s">
        <v>4727</v>
      </c>
      <c r="H780" s="8" t="s">
        <v>7297</v>
      </c>
      <c r="I780" s="8"/>
      <c r="J780" s="15" t="s">
        <v>5695</v>
      </c>
      <c r="K780" s="8"/>
      <c r="L780" s="15" t="s">
        <v>1685</v>
      </c>
      <c r="M780" s="8" t="s">
        <v>5578</v>
      </c>
      <c r="N780" s="8"/>
      <c r="O780" s="8" t="s">
        <v>5574</v>
      </c>
      <c r="P780" s="11"/>
      <c r="Q780" s="8" t="s">
        <v>5696</v>
      </c>
      <c r="R780" s="8" t="s">
        <v>5919</v>
      </c>
      <c r="S780" s="8" t="s">
        <v>7299</v>
      </c>
    </row>
    <row r="781" spans="1:19" ht="107.1" customHeight="1" x14ac:dyDescent="0.25">
      <c r="A781" s="8" t="s">
        <v>7300</v>
      </c>
      <c r="B781" s="8" t="s">
        <v>5693</v>
      </c>
      <c r="C781" s="8" t="s">
        <v>5918</v>
      </c>
      <c r="D781" s="10">
        <v>460</v>
      </c>
      <c r="E781" s="8" t="s">
        <v>7301</v>
      </c>
      <c r="F781" s="8" t="s">
        <v>7302</v>
      </c>
      <c r="G781" s="8" t="s">
        <v>4727</v>
      </c>
      <c r="H781" s="8" t="s">
        <v>7301</v>
      </c>
      <c r="I781" s="8"/>
      <c r="J781" s="15" t="s">
        <v>5695</v>
      </c>
      <c r="K781" s="8"/>
      <c r="L781" s="15" t="s">
        <v>1685</v>
      </c>
      <c r="M781" s="8" t="s">
        <v>5578</v>
      </c>
      <c r="N781" s="8"/>
      <c r="O781" s="8" t="s">
        <v>5574</v>
      </c>
      <c r="P781" s="11"/>
      <c r="Q781" s="8" t="s">
        <v>5696</v>
      </c>
      <c r="R781" s="8" t="s">
        <v>5919</v>
      </c>
      <c r="S781" s="8" t="s">
        <v>7303</v>
      </c>
    </row>
    <row r="782" spans="1:19" ht="107.1" customHeight="1" x14ac:dyDescent="0.25">
      <c r="A782" s="8" t="s">
        <v>7304</v>
      </c>
      <c r="B782" s="8" t="s">
        <v>5693</v>
      </c>
      <c r="C782" s="8" t="s">
        <v>5918</v>
      </c>
      <c r="D782" s="10">
        <v>461</v>
      </c>
      <c r="E782" s="8" t="s">
        <v>7305</v>
      </c>
      <c r="F782" s="8" t="s">
        <v>7306</v>
      </c>
      <c r="G782" s="8" t="s">
        <v>4727</v>
      </c>
      <c r="H782" s="8" t="s">
        <v>7305</v>
      </c>
      <c r="I782" s="8"/>
      <c r="J782" s="15" t="s">
        <v>5695</v>
      </c>
      <c r="K782" s="8"/>
      <c r="L782" s="15" t="s">
        <v>1685</v>
      </c>
      <c r="M782" s="8" t="s">
        <v>5578</v>
      </c>
      <c r="N782" s="8"/>
      <c r="O782" s="8" t="s">
        <v>5574</v>
      </c>
      <c r="P782" s="11"/>
      <c r="Q782" s="8" t="s">
        <v>5696</v>
      </c>
      <c r="R782" s="8" t="s">
        <v>5919</v>
      </c>
      <c r="S782" s="8" t="s">
        <v>7307</v>
      </c>
    </row>
    <row r="783" spans="1:19" ht="107.1" customHeight="1" x14ac:dyDescent="0.25">
      <c r="A783" s="8" t="s">
        <v>7308</v>
      </c>
      <c r="B783" s="8" t="s">
        <v>5693</v>
      </c>
      <c r="C783" s="8" t="s">
        <v>5918</v>
      </c>
      <c r="D783" s="10">
        <v>462</v>
      </c>
      <c r="E783" s="8" t="s">
        <v>7309</v>
      </c>
      <c r="F783" s="8" t="s">
        <v>7310</v>
      </c>
      <c r="G783" s="8" t="s">
        <v>4727</v>
      </c>
      <c r="H783" s="8" t="s">
        <v>7309</v>
      </c>
      <c r="I783" s="8"/>
      <c r="J783" s="15" t="s">
        <v>5695</v>
      </c>
      <c r="K783" s="8"/>
      <c r="L783" s="15" t="s">
        <v>1685</v>
      </c>
      <c r="M783" s="8" t="s">
        <v>5578</v>
      </c>
      <c r="N783" s="8"/>
      <c r="O783" s="8" t="s">
        <v>5574</v>
      </c>
      <c r="P783" s="11"/>
      <c r="Q783" s="8" t="s">
        <v>5696</v>
      </c>
      <c r="R783" s="8" t="s">
        <v>5919</v>
      </c>
      <c r="S783" s="8" t="s">
        <v>7311</v>
      </c>
    </row>
    <row r="784" spans="1:19" ht="107.1" customHeight="1" x14ac:dyDescent="0.25">
      <c r="A784" s="8" t="s">
        <v>7312</v>
      </c>
      <c r="B784" s="8" t="s">
        <v>5693</v>
      </c>
      <c r="C784" s="8" t="s">
        <v>5918</v>
      </c>
      <c r="D784" s="10">
        <v>463</v>
      </c>
      <c r="E784" s="8" t="s">
        <v>7313</v>
      </c>
      <c r="F784" s="8" t="s">
        <v>7314</v>
      </c>
      <c r="G784" s="8" t="s">
        <v>4727</v>
      </c>
      <c r="H784" s="8" t="s">
        <v>7313</v>
      </c>
      <c r="I784" s="8"/>
      <c r="J784" s="15" t="s">
        <v>5695</v>
      </c>
      <c r="K784" s="8"/>
      <c r="L784" s="15" t="s">
        <v>1685</v>
      </c>
      <c r="M784" s="8" t="s">
        <v>5578</v>
      </c>
      <c r="N784" s="8"/>
      <c r="O784" s="8" t="s">
        <v>5574</v>
      </c>
      <c r="P784" s="11"/>
      <c r="Q784" s="8" t="s">
        <v>5696</v>
      </c>
      <c r="R784" s="8" t="s">
        <v>5919</v>
      </c>
      <c r="S784" s="8" t="s">
        <v>7315</v>
      </c>
    </row>
    <row r="785" spans="1:19" ht="107.1" customHeight="1" x14ac:dyDescent="0.25">
      <c r="A785" s="8" t="s">
        <v>7316</v>
      </c>
      <c r="B785" s="8" t="s">
        <v>5693</v>
      </c>
      <c r="C785" s="8" t="s">
        <v>5918</v>
      </c>
      <c r="D785" s="10">
        <v>464</v>
      </c>
      <c r="E785" s="8" t="s">
        <v>7317</v>
      </c>
      <c r="F785" s="8" t="s">
        <v>7318</v>
      </c>
      <c r="G785" s="8" t="s">
        <v>4727</v>
      </c>
      <c r="H785" s="8" t="s">
        <v>7317</v>
      </c>
      <c r="I785" s="8"/>
      <c r="J785" s="15" t="s">
        <v>5695</v>
      </c>
      <c r="K785" s="8"/>
      <c r="L785" s="15" t="s">
        <v>1685</v>
      </c>
      <c r="M785" s="8" t="s">
        <v>5578</v>
      </c>
      <c r="N785" s="8"/>
      <c r="O785" s="8" t="s">
        <v>5574</v>
      </c>
      <c r="P785" s="11"/>
      <c r="Q785" s="8" t="s">
        <v>5696</v>
      </c>
      <c r="R785" s="8" t="s">
        <v>5919</v>
      </c>
      <c r="S785" s="8" t="s">
        <v>7319</v>
      </c>
    </row>
    <row r="786" spans="1:19" ht="107.1" customHeight="1" x14ac:dyDescent="0.25">
      <c r="A786" s="8" t="s">
        <v>7320</v>
      </c>
      <c r="B786" s="8" t="s">
        <v>5693</v>
      </c>
      <c r="C786" s="8" t="s">
        <v>5918</v>
      </c>
      <c r="D786" s="10">
        <v>465</v>
      </c>
      <c r="E786" s="8" t="s">
        <v>7321</v>
      </c>
      <c r="F786" s="8" t="s">
        <v>7322</v>
      </c>
      <c r="G786" s="8" t="s">
        <v>4727</v>
      </c>
      <c r="H786" s="8" t="s">
        <v>7321</v>
      </c>
      <c r="I786" s="8"/>
      <c r="J786" s="15" t="s">
        <v>5695</v>
      </c>
      <c r="K786" s="8"/>
      <c r="L786" s="15" t="s">
        <v>1685</v>
      </c>
      <c r="M786" s="8" t="s">
        <v>5578</v>
      </c>
      <c r="N786" s="8"/>
      <c r="O786" s="8" t="s">
        <v>5574</v>
      </c>
      <c r="P786" s="11"/>
      <c r="Q786" s="8" t="s">
        <v>5696</v>
      </c>
      <c r="R786" s="8" t="s">
        <v>5919</v>
      </c>
      <c r="S786" s="8" t="s">
        <v>7323</v>
      </c>
    </row>
    <row r="787" spans="1:19" ht="107.1" customHeight="1" x14ac:dyDescent="0.25">
      <c r="A787" s="8" t="s">
        <v>7324</v>
      </c>
      <c r="B787" s="8" t="s">
        <v>5693</v>
      </c>
      <c r="C787" s="8" t="s">
        <v>5918</v>
      </c>
      <c r="D787" s="10">
        <v>466</v>
      </c>
      <c r="E787" s="8" t="s">
        <v>7325</v>
      </c>
      <c r="F787" s="8" t="s">
        <v>7326</v>
      </c>
      <c r="G787" s="8" t="s">
        <v>4727</v>
      </c>
      <c r="H787" s="8" t="s">
        <v>7325</v>
      </c>
      <c r="I787" s="8"/>
      <c r="J787" s="15" t="s">
        <v>5695</v>
      </c>
      <c r="K787" s="8"/>
      <c r="L787" s="15" t="s">
        <v>1685</v>
      </c>
      <c r="M787" s="8" t="s">
        <v>5578</v>
      </c>
      <c r="N787" s="8"/>
      <c r="O787" s="8" t="s">
        <v>5574</v>
      </c>
      <c r="P787" s="11"/>
      <c r="Q787" s="8" t="s">
        <v>5696</v>
      </c>
      <c r="R787" s="8" t="s">
        <v>5919</v>
      </c>
      <c r="S787" s="8" t="s">
        <v>7327</v>
      </c>
    </row>
    <row r="788" spans="1:19" ht="107.1" customHeight="1" x14ac:dyDescent="0.25">
      <c r="A788" s="8" t="s">
        <v>7328</v>
      </c>
      <c r="B788" s="8" t="s">
        <v>5693</v>
      </c>
      <c r="C788" s="8" t="s">
        <v>5918</v>
      </c>
      <c r="D788" s="10">
        <v>467</v>
      </c>
      <c r="E788" s="8" t="s">
        <v>7329</v>
      </c>
      <c r="F788" s="8" t="s">
        <v>7330</v>
      </c>
      <c r="G788" s="8" t="s">
        <v>4727</v>
      </c>
      <c r="H788" s="8" t="s">
        <v>7329</v>
      </c>
      <c r="I788" s="8"/>
      <c r="J788" s="15" t="s">
        <v>5695</v>
      </c>
      <c r="K788" s="8"/>
      <c r="L788" s="15" t="s">
        <v>1685</v>
      </c>
      <c r="M788" s="8" t="s">
        <v>5578</v>
      </c>
      <c r="N788" s="8"/>
      <c r="O788" s="8" t="s">
        <v>5574</v>
      </c>
      <c r="P788" s="11"/>
      <c r="Q788" s="8" t="s">
        <v>5696</v>
      </c>
      <c r="R788" s="8" t="s">
        <v>5919</v>
      </c>
      <c r="S788" s="8" t="s">
        <v>7331</v>
      </c>
    </row>
    <row r="789" spans="1:19" ht="107.1" customHeight="1" x14ac:dyDescent="0.25">
      <c r="A789" s="8" t="s">
        <v>7332</v>
      </c>
      <c r="B789" s="8" t="s">
        <v>5693</v>
      </c>
      <c r="C789" s="8" t="s">
        <v>5918</v>
      </c>
      <c r="D789" s="10">
        <v>468</v>
      </c>
      <c r="E789" s="8" t="s">
        <v>7333</v>
      </c>
      <c r="F789" s="8" t="s">
        <v>7334</v>
      </c>
      <c r="G789" s="8" t="s">
        <v>4727</v>
      </c>
      <c r="H789" s="8" t="s">
        <v>7333</v>
      </c>
      <c r="I789" s="8"/>
      <c r="J789" s="15" t="s">
        <v>5695</v>
      </c>
      <c r="K789" s="8"/>
      <c r="L789" s="15" t="s">
        <v>1685</v>
      </c>
      <c r="M789" s="8" t="s">
        <v>5578</v>
      </c>
      <c r="N789" s="8"/>
      <c r="O789" s="8" t="s">
        <v>5574</v>
      </c>
      <c r="P789" s="11"/>
      <c r="Q789" s="8" t="s">
        <v>5696</v>
      </c>
      <c r="R789" s="8" t="s">
        <v>5919</v>
      </c>
      <c r="S789" s="8" t="s">
        <v>7335</v>
      </c>
    </row>
    <row r="790" spans="1:19" ht="107.1" customHeight="1" x14ac:dyDescent="0.25">
      <c r="A790" s="8" t="s">
        <v>7336</v>
      </c>
      <c r="B790" s="8" t="s">
        <v>5693</v>
      </c>
      <c r="C790" s="8" t="s">
        <v>5918</v>
      </c>
      <c r="D790" s="10">
        <v>469</v>
      </c>
      <c r="E790" s="8" t="s">
        <v>7337</v>
      </c>
      <c r="F790" s="8" t="s">
        <v>7338</v>
      </c>
      <c r="G790" s="8" t="s">
        <v>4727</v>
      </c>
      <c r="H790" s="8" t="s">
        <v>7337</v>
      </c>
      <c r="I790" s="8"/>
      <c r="J790" s="15" t="s">
        <v>5695</v>
      </c>
      <c r="K790" s="8"/>
      <c r="L790" s="15" t="s">
        <v>1685</v>
      </c>
      <c r="M790" s="8" t="s">
        <v>5578</v>
      </c>
      <c r="N790" s="8"/>
      <c r="O790" s="8" t="s">
        <v>5574</v>
      </c>
      <c r="P790" s="11"/>
      <c r="Q790" s="8" t="s">
        <v>5696</v>
      </c>
      <c r="R790" s="8" t="s">
        <v>5919</v>
      </c>
      <c r="S790" s="8" t="s">
        <v>7339</v>
      </c>
    </row>
    <row r="791" spans="1:19" ht="107.1" customHeight="1" x14ac:dyDescent="0.25">
      <c r="A791" s="8" t="s">
        <v>7340</v>
      </c>
      <c r="B791" s="8" t="s">
        <v>5693</v>
      </c>
      <c r="C791" s="8" t="s">
        <v>5918</v>
      </c>
      <c r="D791" s="10">
        <v>470</v>
      </c>
      <c r="E791" s="8" t="s">
        <v>7341</v>
      </c>
      <c r="F791" s="8" t="s">
        <v>7342</v>
      </c>
      <c r="G791" s="8" t="s">
        <v>4727</v>
      </c>
      <c r="H791" s="8" t="s">
        <v>7341</v>
      </c>
      <c r="I791" s="8"/>
      <c r="J791" s="15" t="s">
        <v>5695</v>
      </c>
      <c r="K791" s="8"/>
      <c r="L791" s="15" t="s">
        <v>1685</v>
      </c>
      <c r="M791" s="8" t="s">
        <v>5578</v>
      </c>
      <c r="N791" s="8"/>
      <c r="O791" s="8" t="s">
        <v>5574</v>
      </c>
      <c r="P791" s="11"/>
      <c r="Q791" s="8" t="s">
        <v>5696</v>
      </c>
      <c r="R791" s="8" t="s">
        <v>5919</v>
      </c>
      <c r="S791" s="8" t="s">
        <v>7343</v>
      </c>
    </row>
    <row r="792" spans="1:19" ht="93" customHeight="1" x14ac:dyDescent="0.25">
      <c r="A792" s="8" t="s">
        <v>7344</v>
      </c>
      <c r="B792" s="8" t="s">
        <v>5693</v>
      </c>
      <c r="C792" s="8" t="s">
        <v>5918</v>
      </c>
      <c r="D792" s="10">
        <v>471</v>
      </c>
      <c r="E792" s="8" t="s">
        <v>7345</v>
      </c>
      <c r="F792" s="8" t="s">
        <v>7346</v>
      </c>
      <c r="G792" s="8" t="s">
        <v>4727</v>
      </c>
      <c r="H792" s="8" t="s">
        <v>7345</v>
      </c>
      <c r="I792" s="8"/>
      <c r="J792" s="15" t="s">
        <v>5695</v>
      </c>
      <c r="K792" s="8"/>
      <c r="L792" s="15" t="s">
        <v>1685</v>
      </c>
      <c r="M792" s="8" t="s">
        <v>5578</v>
      </c>
      <c r="N792" s="8"/>
      <c r="O792" s="8" t="s">
        <v>5574</v>
      </c>
      <c r="P792" s="11"/>
      <c r="Q792" s="8" t="s">
        <v>5696</v>
      </c>
      <c r="R792" s="8" t="s">
        <v>5919</v>
      </c>
      <c r="S792" s="8" t="s">
        <v>7347</v>
      </c>
    </row>
    <row r="793" spans="1:19" ht="107.1" customHeight="1" x14ac:dyDescent="0.25">
      <c r="A793" s="8" t="s">
        <v>7348</v>
      </c>
      <c r="B793" s="8" t="s">
        <v>5693</v>
      </c>
      <c r="C793" s="8" t="s">
        <v>5918</v>
      </c>
      <c r="D793" s="10">
        <v>472</v>
      </c>
      <c r="E793" s="8" t="s">
        <v>7349</v>
      </c>
      <c r="F793" s="8" t="s">
        <v>7350</v>
      </c>
      <c r="G793" s="8" t="s">
        <v>4727</v>
      </c>
      <c r="H793" s="8" t="s">
        <v>7349</v>
      </c>
      <c r="I793" s="8"/>
      <c r="J793" s="15" t="s">
        <v>5695</v>
      </c>
      <c r="K793" s="8"/>
      <c r="L793" s="15" t="s">
        <v>1685</v>
      </c>
      <c r="M793" s="8" t="s">
        <v>5578</v>
      </c>
      <c r="N793" s="8"/>
      <c r="O793" s="8" t="s">
        <v>5574</v>
      </c>
      <c r="P793" s="11"/>
      <c r="Q793" s="8" t="s">
        <v>5696</v>
      </c>
      <c r="R793" s="8" t="s">
        <v>5919</v>
      </c>
      <c r="S793" s="8" t="s">
        <v>7351</v>
      </c>
    </row>
    <row r="794" spans="1:19" ht="107.1" customHeight="1" x14ac:dyDescent="0.25">
      <c r="A794" s="8" t="s">
        <v>7352</v>
      </c>
      <c r="B794" s="8" t="s">
        <v>5693</v>
      </c>
      <c r="C794" s="8" t="s">
        <v>5918</v>
      </c>
      <c r="D794" s="10">
        <v>473</v>
      </c>
      <c r="E794" s="8" t="s">
        <v>7353</v>
      </c>
      <c r="F794" s="8" t="s">
        <v>7354</v>
      </c>
      <c r="G794" s="8" t="s">
        <v>4727</v>
      </c>
      <c r="H794" s="8" t="s">
        <v>7353</v>
      </c>
      <c r="I794" s="8"/>
      <c r="J794" s="15" t="s">
        <v>5695</v>
      </c>
      <c r="K794" s="8"/>
      <c r="L794" s="15" t="s">
        <v>1685</v>
      </c>
      <c r="M794" s="8" t="s">
        <v>5578</v>
      </c>
      <c r="N794" s="8"/>
      <c r="O794" s="8" t="s">
        <v>5574</v>
      </c>
      <c r="P794" s="11"/>
      <c r="Q794" s="8" t="s">
        <v>5696</v>
      </c>
      <c r="R794" s="8" t="s">
        <v>5919</v>
      </c>
      <c r="S794" s="8" t="s">
        <v>7355</v>
      </c>
    </row>
    <row r="795" spans="1:19" ht="107.1" customHeight="1" x14ac:dyDescent="0.25">
      <c r="A795" s="8" t="s">
        <v>7356</v>
      </c>
      <c r="B795" s="8" t="s">
        <v>5693</v>
      </c>
      <c r="C795" s="8" t="s">
        <v>5918</v>
      </c>
      <c r="D795" s="10">
        <v>474</v>
      </c>
      <c r="E795" s="8" t="s">
        <v>7357</v>
      </c>
      <c r="F795" s="8" t="s">
        <v>7358</v>
      </c>
      <c r="G795" s="8" t="s">
        <v>4727</v>
      </c>
      <c r="H795" s="8" t="s">
        <v>7357</v>
      </c>
      <c r="I795" s="8"/>
      <c r="J795" s="15" t="s">
        <v>5695</v>
      </c>
      <c r="K795" s="8"/>
      <c r="L795" s="15" t="s">
        <v>1685</v>
      </c>
      <c r="M795" s="8" t="s">
        <v>5578</v>
      </c>
      <c r="N795" s="8"/>
      <c r="O795" s="8" t="s">
        <v>5574</v>
      </c>
      <c r="P795" s="11"/>
      <c r="Q795" s="8" t="s">
        <v>5696</v>
      </c>
      <c r="R795" s="8" t="s">
        <v>5919</v>
      </c>
      <c r="S795" s="8" t="s">
        <v>7359</v>
      </c>
    </row>
    <row r="796" spans="1:19" ht="93" customHeight="1" x14ac:dyDescent="0.25">
      <c r="A796" s="8" t="s">
        <v>7360</v>
      </c>
      <c r="B796" s="8" t="s">
        <v>5693</v>
      </c>
      <c r="C796" s="8" t="s">
        <v>5918</v>
      </c>
      <c r="D796" s="10">
        <v>475</v>
      </c>
      <c r="E796" s="8" t="s">
        <v>7361</v>
      </c>
      <c r="F796" s="8" t="s">
        <v>7362</v>
      </c>
      <c r="G796" s="8" t="s">
        <v>4727</v>
      </c>
      <c r="H796" s="8" t="s">
        <v>7361</v>
      </c>
      <c r="I796" s="8"/>
      <c r="J796" s="15" t="s">
        <v>5695</v>
      </c>
      <c r="K796" s="8"/>
      <c r="L796" s="15" t="s">
        <v>1685</v>
      </c>
      <c r="M796" s="8" t="s">
        <v>5578</v>
      </c>
      <c r="N796" s="8"/>
      <c r="O796" s="8" t="s">
        <v>5574</v>
      </c>
      <c r="P796" s="11"/>
      <c r="Q796" s="8" t="s">
        <v>5696</v>
      </c>
      <c r="R796" s="8" t="s">
        <v>5919</v>
      </c>
      <c r="S796" s="8" t="s">
        <v>7363</v>
      </c>
    </row>
    <row r="797" spans="1:19" ht="107.1" customHeight="1" x14ac:dyDescent="0.25">
      <c r="A797" s="8" t="s">
        <v>7364</v>
      </c>
      <c r="B797" s="8" t="s">
        <v>5693</v>
      </c>
      <c r="C797" s="8" t="s">
        <v>5918</v>
      </c>
      <c r="D797" s="10">
        <v>476</v>
      </c>
      <c r="E797" s="8" t="s">
        <v>7365</v>
      </c>
      <c r="F797" s="8" t="s">
        <v>7366</v>
      </c>
      <c r="G797" s="8" t="s">
        <v>4727</v>
      </c>
      <c r="H797" s="8" t="s">
        <v>7365</v>
      </c>
      <c r="I797" s="8"/>
      <c r="J797" s="15" t="s">
        <v>5695</v>
      </c>
      <c r="K797" s="8"/>
      <c r="L797" s="15" t="s">
        <v>1685</v>
      </c>
      <c r="M797" s="8" t="s">
        <v>5578</v>
      </c>
      <c r="N797" s="8"/>
      <c r="O797" s="8" t="s">
        <v>5574</v>
      </c>
      <c r="P797" s="11"/>
      <c r="Q797" s="8" t="s">
        <v>5696</v>
      </c>
      <c r="R797" s="8" t="s">
        <v>5919</v>
      </c>
      <c r="S797" s="8" t="s">
        <v>7367</v>
      </c>
    </row>
    <row r="798" spans="1:19" ht="93" customHeight="1" x14ac:dyDescent="0.25">
      <c r="A798" s="8" t="s">
        <v>7368</v>
      </c>
      <c r="B798" s="8" t="s">
        <v>5693</v>
      </c>
      <c r="C798" s="8" t="s">
        <v>5918</v>
      </c>
      <c r="D798" s="10">
        <v>477</v>
      </c>
      <c r="E798" s="8" t="s">
        <v>985</v>
      </c>
      <c r="F798" s="8" t="s">
        <v>7369</v>
      </c>
      <c r="G798" s="8" t="s">
        <v>4551</v>
      </c>
      <c r="H798" s="8" t="s">
        <v>985</v>
      </c>
      <c r="I798" s="8" t="s">
        <v>985</v>
      </c>
      <c r="J798" s="15" t="s">
        <v>5695</v>
      </c>
      <c r="K798" s="8"/>
      <c r="L798" s="15" t="s">
        <v>1685</v>
      </c>
      <c r="M798" s="8" t="s">
        <v>5578</v>
      </c>
      <c r="N798" s="8"/>
      <c r="O798" s="8" t="s">
        <v>5574</v>
      </c>
      <c r="P798" s="11"/>
      <c r="Q798" s="8" t="s">
        <v>5696</v>
      </c>
      <c r="R798" s="8" t="s">
        <v>5919</v>
      </c>
      <c r="S798" s="8" t="s">
        <v>7370</v>
      </c>
    </row>
    <row r="799" spans="1:19" ht="107.1" customHeight="1" x14ac:dyDescent="0.25">
      <c r="A799" s="8" t="s">
        <v>7371</v>
      </c>
      <c r="B799" s="8" t="s">
        <v>5693</v>
      </c>
      <c r="C799" s="8" t="s">
        <v>5918</v>
      </c>
      <c r="D799" s="10">
        <v>478</v>
      </c>
      <c r="E799" s="8" t="s">
        <v>7372</v>
      </c>
      <c r="F799" s="8" t="s">
        <v>7373</v>
      </c>
      <c r="G799" s="8" t="s">
        <v>4727</v>
      </c>
      <c r="H799" s="8" t="s">
        <v>7372</v>
      </c>
      <c r="I799" s="8"/>
      <c r="J799" s="15" t="s">
        <v>5695</v>
      </c>
      <c r="K799" s="8"/>
      <c r="L799" s="15" t="s">
        <v>1685</v>
      </c>
      <c r="M799" s="8" t="s">
        <v>5578</v>
      </c>
      <c r="N799" s="8"/>
      <c r="O799" s="8" t="s">
        <v>5574</v>
      </c>
      <c r="P799" s="11"/>
      <c r="Q799" s="8" t="s">
        <v>5696</v>
      </c>
      <c r="R799" s="8" t="s">
        <v>5919</v>
      </c>
      <c r="S799" s="8" t="s">
        <v>7374</v>
      </c>
    </row>
    <row r="800" spans="1:19" ht="107.1" customHeight="1" x14ac:dyDescent="0.25">
      <c r="A800" s="8" t="s">
        <v>7375</v>
      </c>
      <c r="B800" s="8" t="s">
        <v>5693</v>
      </c>
      <c r="C800" s="8" t="s">
        <v>5918</v>
      </c>
      <c r="D800" s="10">
        <v>479</v>
      </c>
      <c r="E800" s="8" t="s">
        <v>7376</v>
      </c>
      <c r="F800" s="8" t="s">
        <v>7377</v>
      </c>
      <c r="G800" s="8" t="s">
        <v>4727</v>
      </c>
      <c r="H800" s="8" t="s">
        <v>7376</v>
      </c>
      <c r="I800" s="8"/>
      <c r="J800" s="15" t="s">
        <v>5695</v>
      </c>
      <c r="K800" s="8"/>
      <c r="L800" s="15" t="s">
        <v>1685</v>
      </c>
      <c r="M800" s="8" t="s">
        <v>5578</v>
      </c>
      <c r="N800" s="8"/>
      <c r="O800" s="8" t="s">
        <v>5574</v>
      </c>
      <c r="P800" s="11"/>
      <c r="Q800" s="8" t="s">
        <v>5696</v>
      </c>
      <c r="R800" s="8" t="s">
        <v>5919</v>
      </c>
      <c r="S800" s="8" t="s">
        <v>7378</v>
      </c>
    </row>
    <row r="801" spans="1:19" ht="107.1" customHeight="1" x14ac:dyDescent="0.25">
      <c r="A801" s="8" t="s">
        <v>7379</v>
      </c>
      <c r="B801" s="8" t="s">
        <v>5693</v>
      </c>
      <c r="C801" s="8" t="s">
        <v>5918</v>
      </c>
      <c r="D801" s="10">
        <v>480</v>
      </c>
      <c r="E801" s="8" t="s">
        <v>7380</v>
      </c>
      <c r="F801" s="8" t="s">
        <v>7381</v>
      </c>
      <c r="G801" s="8" t="s">
        <v>4727</v>
      </c>
      <c r="H801" s="8" t="s">
        <v>7380</v>
      </c>
      <c r="I801" s="8"/>
      <c r="J801" s="15" t="s">
        <v>5695</v>
      </c>
      <c r="K801" s="8"/>
      <c r="L801" s="15" t="s">
        <v>1685</v>
      </c>
      <c r="M801" s="8" t="s">
        <v>5578</v>
      </c>
      <c r="N801" s="8"/>
      <c r="O801" s="8" t="s">
        <v>5574</v>
      </c>
      <c r="P801" s="11"/>
      <c r="Q801" s="8" t="s">
        <v>5696</v>
      </c>
      <c r="R801" s="8" t="s">
        <v>5919</v>
      </c>
      <c r="S801" s="8" t="s">
        <v>7382</v>
      </c>
    </row>
    <row r="802" spans="1:19" ht="107.1" customHeight="1" x14ac:dyDescent="0.25">
      <c r="A802" s="8" t="s">
        <v>7383</v>
      </c>
      <c r="B802" s="8" t="s">
        <v>5693</v>
      </c>
      <c r="C802" s="8" t="s">
        <v>5918</v>
      </c>
      <c r="D802" s="10">
        <v>481</v>
      </c>
      <c r="E802" s="8" t="s">
        <v>7384</v>
      </c>
      <c r="F802" s="8" t="s">
        <v>7385</v>
      </c>
      <c r="G802" s="8" t="s">
        <v>4727</v>
      </c>
      <c r="H802" s="8" t="s">
        <v>7384</v>
      </c>
      <c r="I802" s="8"/>
      <c r="J802" s="15" t="s">
        <v>5695</v>
      </c>
      <c r="K802" s="8"/>
      <c r="L802" s="15" t="s">
        <v>1685</v>
      </c>
      <c r="M802" s="8" t="s">
        <v>5578</v>
      </c>
      <c r="N802" s="8"/>
      <c r="O802" s="8" t="s">
        <v>5574</v>
      </c>
      <c r="P802" s="11"/>
      <c r="Q802" s="8" t="s">
        <v>5696</v>
      </c>
      <c r="R802" s="8" t="s">
        <v>5919</v>
      </c>
      <c r="S802" s="8" t="s">
        <v>7386</v>
      </c>
    </row>
    <row r="803" spans="1:19" ht="107.1" customHeight="1" x14ac:dyDescent="0.25">
      <c r="A803" s="8" t="s">
        <v>7387</v>
      </c>
      <c r="B803" s="8" t="s">
        <v>5693</v>
      </c>
      <c r="C803" s="8" t="s">
        <v>5918</v>
      </c>
      <c r="D803" s="10">
        <v>482</v>
      </c>
      <c r="E803" s="8" t="s">
        <v>7388</v>
      </c>
      <c r="F803" s="8" t="s">
        <v>7389</v>
      </c>
      <c r="G803" s="8" t="s">
        <v>4727</v>
      </c>
      <c r="H803" s="8" t="s">
        <v>7388</v>
      </c>
      <c r="I803" s="8"/>
      <c r="J803" s="15" t="s">
        <v>5695</v>
      </c>
      <c r="K803" s="8"/>
      <c r="L803" s="15" t="s">
        <v>1685</v>
      </c>
      <c r="M803" s="8" t="s">
        <v>5578</v>
      </c>
      <c r="N803" s="8"/>
      <c r="O803" s="8" t="s">
        <v>5574</v>
      </c>
      <c r="P803" s="11"/>
      <c r="Q803" s="8" t="s">
        <v>5696</v>
      </c>
      <c r="R803" s="8" t="s">
        <v>5919</v>
      </c>
      <c r="S803" s="8" t="s">
        <v>7390</v>
      </c>
    </row>
    <row r="804" spans="1:19" ht="107.1" customHeight="1" x14ac:dyDescent="0.25">
      <c r="A804" s="8" t="s">
        <v>7391</v>
      </c>
      <c r="B804" s="8" t="s">
        <v>5693</v>
      </c>
      <c r="C804" s="8" t="s">
        <v>5918</v>
      </c>
      <c r="D804" s="10">
        <v>483</v>
      </c>
      <c r="E804" s="8" t="s">
        <v>7392</v>
      </c>
      <c r="F804" s="8" t="s">
        <v>7393</v>
      </c>
      <c r="G804" s="8" t="s">
        <v>4727</v>
      </c>
      <c r="H804" s="8" t="s">
        <v>7392</v>
      </c>
      <c r="I804" s="8"/>
      <c r="J804" s="15" t="s">
        <v>5695</v>
      </c>
      <c r="K804" s="8"/>
      <c r="L804" s="15" t="s">
        <v>1685</v>
      </c>
      <c r="M804" s="8" t="s">
        <v>5578</v>
      </c>
      <c r="N804" s="8"/>
      <c r="O804" s="8" t="s">
        <v>5574</v>
      </c>
      <c r="P804" s="11"/>
      <c r="Q804" s="8" t="s">
        <v>5696</v>
      </c>
      <c r="R804" s="8" t="s">
        <v>5919</v>
      </c>
      <c r="S804" s="8" t="s">
        <v>7394</v>
      </c>
    </row>
    <row r="805" spans="1:19" ht="107.1" customHeight="1" x14ac:dyDescent="0.25">
      <c r="A805" s="8" t="s">
        <v>7395</v>
      </c>
      <c r="B805" s="8" t="s">
        <v>5693</v>
      </c>
      <c r="C805" s="8" t="s">
        <v>5918</v>
      </c>
      <c r="D805" s="10">
        <v>484</v>
      </c>
      <c r="E805" s="8" t="s">
        <v>7396</v>
      </c>
      <c r="F805" s="8" t="s">
        <v>7397</v>
      </c>
      <c r="G805" s="8" t="s">
        <v>4727</v>
      </c>
      <c r="H805" s="8" t="s">
        <v>7396</v>
      </c>
      <c r="I805" s="8"/>
      <c r="J805" s="15" t="s">
        <v>5695</v>
      </c>
      <c r="K805" s="8"/>
      <c r="L805" s="15" t="s">
        <v>1685</v>
      </c>
      <c r="M805" s="8" t="s">
        <v>5578</v>
      </c>
      <c r="N805" s="8"/>
      <c r="O805" s="8" t="s">
        <v>5574</v>
      </c>
      <c r="P805" s="11"/>
      <c r="Q805" s="8" t="s">
        <v>5696</v>
      </c>
      <c r="R805" s="8" t="s">
        <v>5919</v>
      </c>
      <c r="S805" s="8" t="s">
        <v>7398</v>
      </c>
    </row>
    <row r="806" spans="1:19" ht="107.1" customHeight="1" x14ac:dyDescent="0.25">
      <c r="A806" s="8" t="s">
        <v>7399</v>
      </c>
      <c r="B806" s="8" t="s">
        <v>5693</v>
      </c>
      <c r="C806" s="8" t="s">
        <v>5918</v>
      </c>
      <c r="D806" s="10">
        <v>485</v>
      </c>
      <c r="E806" s="8" t="s">
        <v>7400</v>
      </c>
      <c r="F806" s="8" t="s">
        <v>7401</v>
      </c>
      <c r="G806" s="8" t="s">
        <v>4727</v>
      </c>
      <c r="H806" s="8" t="s">
        <v>7400</v>
      </c>
      <c r="I806" s="8"/>
      <c r="J806" s="15" t="s">
        <v>5695</v>
      </c>
      <c r="K806" s="8"/>
      <c r="L806" s="15" t="s">
        <v>1685</v>
      </c>
      <c r="M806" s="8" t="s">
        <v>5578</v>
      </c>
      <c r="N806" s="8"/>
      <c r="O806" s="8" t="s">
        <v>5574</v>
      </c>
      <c r="P806" s="11"/>
      <c r="Q806" s="8" t="s">
        <v>5696</v>
      </c>
      <c r="R806" s="8" t="s">
        <v>5919</v>
      </c>
      <c r="S806" s="8" t="s">
        <v>7402</v>
      </c>
    </row>
    <row r="807" spans="1:19" ht="107.1" customHeight="1" x14ac:dyDescent="0.25">
      <c r="A807" s="8" t="s">
        <v>7403</v>
      </c>
      <c r="B807" s="8" t="s">
        <v>5693</v>
      </c>
      <c r="C807" s="8" t="s">
        <v>5918</v>
      </c>
      <c r="D807" s="10">
        <v>486</v>
      </c>
      <c r="E807" s="8" t="s">
        <v>7404</v>
      </c>
      <c r="F807" s="8" t="s">
        <v>7405</v>
      </c>
      <c r="G807" s="8" t="s">
        <v>4727</v>
      </c>
      <c r="H807" s="8" t="s">
        <v>7404</v>
      </c>
      <c r="I807" s="8"/>
      <c r="J807" s="15" t="s">
        <v>5695</v>
      </c>
      <c r="K807" s="8"/>
      <c r="L807" s="15" t="s">
        <v>1685</v>
      </c>
      <c r="M807" s="8" t="s">
        <v>5578</v>
      </c>
      <c r="N807" s="8"/>
      <c r="O807" s="8" t="s">
        <v>5574</v>
      </c>
      <c r="P807" s="11"/>
      <c r="Q807" s="8" t="s">
        <v>5696</v>
      </c>
      <c r="R807" s="8" t="s">
        <v>5919</v>
      </c>
      <c r="S807" s="8" t="s">
        <v>7406</v>
      </c>
    </row>
    <row r="808" spans="1:19" ht="107.1" customHeight="1" x14ac:dyDescent="0.25">
      <c r="A808" s="8" t="s">
        <v>7407</v>
      </c>
      <c r="B808" s="8" t="s">
        <v>5693</v>
      </c>
      <c r="C808" s="8" t="s">
        <v>5918</v>
      </c>
      <c r="D808" s="10">
        <v>487</v>
      </c>
      <c r="E808" s="8" t="s">
        <v>7408</v>
      </c>
      <c r="F808" s="8" t="s">
        <v>7409</v>
      </c>
      <c r="G808" s="8" t="s">
        <v>4727</v>
      </c>
      <c r="H808" s="8" t="s">
        <v>7408</v>
      </c>
      <c r="I808" s="8"/>
      <c r="J808" s="15" t="s">
        <v>5695</v>
      </c>
      <c r="K808" s="8"/>
      <c r="L808" s="15" t="s">
        <v>1685</v>
      </c>
      <c r="M808" s="8" t="s">
        <v>5578</v>
      </c>
      <c r="N808" s="8"/>
      <c r="O808" s="8" t="s">
        <v>5574</v>
      </c>
      <c r="P808" s="11"/>
      <c r="Q808" s="8" t="s">
        <v>5696</v>
      </c>
      <c r="R808" s="8" t="s">
        <v>5919</v>
      </c>
      <c r="S808" s="8" t="s">
        <v>7410</v>
      </c>
    </row>
    <row r="809" spans="1:19" ht="107.1" customHeight="1" x14ac:dyDescent="0.25">
      <c r="A809" s="8" t="s">
        <v>7411</v>
      </c>
      <c r="B809" s="8" t="s">
        <v>5693</v>
      </c>
      <c r="C809" s="8" t="s">
        <v>5918</v>
      </c>
      <c r="D809" s="10">
        <v>488</v>
      </c>
      <c r="E809" s="8" t="s">
        <v>7412</v>
      </c>
      <c r="F809" s="8" t="s">
        <v>7413</v>
      </c>
      <c r="G809" s="8" t="s">
        <v>4727</v>
      </c>
      <c r="H809" s="8" t="s">
        <v>7412</v>
      </c>
      <c r="I809" s="8"/>
      <c r="J809" s="15" t="s">
        <v>5695</v>
      </c>
      <c r="K809" s="8"/>
      <c r="L809" s="15" t="s">
        <v>1685</v>
      </c>
      <c r="M809" s="8" t="s">
        <v>5578</v>
      </c>
      <c r="N809" s="8"/>
      <c r="O809" s="8" t="s">
        <v>5574</v>
      </c>
      <c r="P809" s="11"/>
      <c r="Q809" s="8" t="s">
        <v>5696</v>
      </c>
      <c r="R809" s="8" t="s">
        <v>5919</v>
      </c>
      <c r="S809" s="8" t="s">
        <v>7414</v>
      </c>
    </row>
    <row r="810" spans="1:19" ht="107.1" customHeight="1" x14ac:dyDescent="0.25">
      <c r="A810" s="8" t="s">
        <v>7415</v>
      </c>
      <c r="B810" s="8" t="s">
        <v>5693</v>
      </c>
      <c r="C810" s="8" t="s">
        <v>5918</v>
      </c>
      <c r="D810" s="10">
        <v>489</v>
      </c>
      <c r="E810" s="8" t="s">
        <v>7416</v>
      </c>
      <c r="F810" s="8" t="s">
        <v>7417</v>
      </c>
      <c r="G810" s="8" t="s">
        <v>4727</v>
      </c>
      <c r="H810" s="8" t="s">
        <v>7416</v>
      </c>
      <c r="I810" s="8"/>
      <c r="J810" s="15" t="s">
        <v>5695</v>
      </c>
      <c r="K810" s="8"/>
      <c r="L810" s="15" t="s">
        <v>1685</v>
      </c>
      <c r="M810" s="8" t="s">
        <v>5578</v>
      </c>
      <c r="N810" s="8"/>
      <c r="O810" s="8" t="s">
        <v>5574</v>
      </c>
      <c r="P810" s="11"/>
      <c r="Q810" s="8" t="s">
        <v>5696</v>
      </c>
      <c r="R810" s="8" t="s">
        <v>5919</v>
      </c>
      <c r="S810" s="8" t="s">
        <v>7418</v>
      </c>
    </row>
    <row r="811" spans="1:19" ht="107.1" customHeight="1" x14ac:dyDescent="0.25">
      <c r="A811" s="8" t="s">
        <v>7419</v>
      </c>
      <c r="B811" s="8" t="s">
        <v>5693</v>
      </c>
      <c r="C811" s="8" t="s">
        <v>5918</v>
      </c>
      <c r="D811" s="10">
        <v>490</v>
      </c>
      <c r="E811" s="8" t="s">
        <v>7420</v>
      </c>
      <c r="F811" s="8" t="s">
        <v>7421</v>
      </c>
      <c r="G811" s="8" t="s">
        <v>4727</v>
      </c>
      <c r="H811" s="8" t="s">
        <v>7420</v>
      </c>
      <c r="I811" s="8"/>
      <c r="J811" s="15" t="s">
        <v>5695</v>
      </c>
      <c r="K811" s="8"/>
      <c r="L811" s="15" t="s">
        <v>1685</v>
      </c>
      <c r="M811" s="8" t="s">
        <v>5578</v>
      </c>
      <c r="N811" s="8"/>
      <c r="O811" s="8" t="s">
        <v>5574</v>
      </c>
      <c r="P811" s="11"/>
      <c r="Q811" s="8" t="s">
        <v>5696</v>
      </c>
      <c r="R811" s="8" t="s">
        <v>5919</v>
      </c>
      <c r="S811" s="8" t="s">
        <v>7422</v>
      </c>
    </row>
    <row r="812" spans="1:19" ht="107.1" customHeight="1" x14ac:dyDescent="0.25">
      <c r="A812" s="8" t="s">
        <v>7423</v>
      </c>
      <c r="B812" s="8" t="s">
        <v>5693</v>
      </c>
      <c r="C812" s="8" t="s">
        <v>5918</v>
      </c>
      <c r="D812" s="10">
        <v>491</v>
      </c>
      <c r="E812" s="8" t="s">
        <v>7424</v>
      </c>
      <c r="F812" s="8" t="s">
        <v>7425</v>
      </c>
      <c r="G812" s="8" t="s">
        <v>4727</v>
      </c>
      <c r="H812" s="8" t="s">
        <v>7424</v>
      </c>
      <c r="I812" s="8"/>
      <c r="J812" s="15" t="s">
        <v>5695</v>
      </c>
      <c r="K812" s="8"/>
      <c r="L812" s="15" t="s">
        <v>1685</v>
      </c>
      <c r="M812" s="8" t="s">
        <v>5578</v>
      </c>
      <c r="N812" s="8"/>
      <c r="O812" s="8" t="s">
        <v>5574</v>
      </c>
      <c r="P812" s="11"/>
      <c r="Q812" s="8" t="s">
        <v>5696</v>
      </c>
      <c r="R812" s="8" t="s">
        <v>5919</v>
      </c>
      <c r="S812" s="8" t="s">
        <v>7426</v>
      </c>
    </row>
    <row r="813" spans="1:19" ht="107.1" customHeight="1" x14ac:dyDescent="0.25">
      <c r="A813" s="8" t="s">
        <v>7427</v>
      </c>
      <c r="B813" s="8" t="s">
        <v>5693</v>
      </c>
      <c r="C813" s="8" t="s">
        <v>5918</v>
      </c>
      <c r="D813" s="10">
        <v>492</v>
      </c>
      <c r="E813" s="8" t="s">
        <v>7428</v>
      </c>
      <c r="F813" s="8" t="s">
        <v>7429</v>
      </c>
      <c r="G813" s="8" t="s">
        <v>4727</v>
      </c>
      <c r="H813" s="8" t="s">
        <v>7428</v>
      </c>
      <c r="I813" s="8"/>
      <c r="J813" s="15" t="s">
        <v>5695</v>
      </c>
      <c r="K813" s="8"/>
      <c r="L813" s="15" t="s">
        <v>1685</v>
      </c>
      <c r="M813" s="8" t="s">
        <v>5578</v>
      </c>
      <c r="N813" s="8"/>
      <c r="O813" s="8" t="s">
        <v>5574</v>
      </c>
      <c r="P813" s="11"/>
      <c r="Q813" s="8" t="s">
        <v>5696</v>
      </c>
      <c r="R813" s="8" t="s">
        <v>5919</v>
      </c>
      <c r="S813" s="8" t="s">
        <v>7430</v>
      </c>
    </row>
    <row r="814" spans="1:19" ht="107.1" customHeight="1" x14ac:dyDescent="0.25">
      <c r="A814" s="8" t="s">
        <v>7431</v>
      </c>
      <c r="B814" s="8" t="s">
        <v>5693</v>
      </c>
      <c r="C814" s="8" t="s">
        <v>5918</v>
      </c>
      <c r="D814" s="10">
        <v>493</v>
      </c>
      <c r="E814" s="8" t="s">
        <v>7432</v>
      </c>
      <c r="F814" s="8" t="s">
        <v>7433</v>
      </c>
      <c r="G814" s="8" t="s">
        <v>4727</v>
      </c>
      <c r="H814" s="8" t="s">
        <v>7432</v>
      </c>
      <c r="I814" s="8"/>
      <c r="J814" s="15" t="s">
        <v>5695</v>
      </c>
      <c r="K814" s="8"/>
      <c r="L814" s="15" t="s">
        <v>1685</v>
      </c>
      <c r="M814" s="8" t="s">
        <v>5578</v>
      </c>
      <c r="N814" s="8"/>
      <c r="O814" s="8" t="s">
        <v>5574</v>
      </c>
      <c r="P814" s="11"/>
      <c r="Q814" s="8" t="s">
        <v>5696</v>
      </c>
      <c r="R814" s="8" t="s">
        <v>5919</v>
      </c>
      <c r="S814" s="8" t="s">
        <v>7434</v>
      </c>
    </row>
    <row r="815" spans="1:19" ht="107.1" customHeight="1" x14ac:dyDescent="0.25">
      <c r="A815" s="8" t="s">
        <v>7435</v>
      </c>
      <c r="B815" s="8" t="s">
        <v>5693</v>
      </c>
      <c r="C815" s="8" t="s">
        <v>5918</v>
      </c>
      <c r="D815" s="10">
        <v>494</v>
      </c>
      <c r="E815" s="8" t="s">
        <v>7436</v>
      </c>
      <c r="F815" s="8" t="s">
        <v>7437</v>
      </c>
      <c r="G815" s="8" t="s">
        <v>4727</v>
      </c>
      <c r="H815" s="8" t="s">
        <v>7436</v>
      </c>
      <c r="I815" s="8"/>
      <c r="J815" s="15" t="s">
        <v>5695</v>
      </c>
      <c r="K815" s="8"/>
      <c r="L815" s="15" t="s">
        <v>1685</v>
      </c>
      <c r="M815" s="8" t="s">
        <v>5578</v>
      </c>
      <c r="N815" s="8"/>
      <c r="O815" s="8" t="s">
        <v>5574</v>
      </c>
      <c r="P815" s="11"/>
      <c r="Q815" s="8" t="s">
        <v>5696</v>
      </c>
      <c r="R815" s="8" t="s">
        <v>5919</v>
      </c>
      <c r="S815" s="8" t="s">
        <v>7438</v>
      </c>
    </row>
    <row r="816" spans="1:19" ht="93" customHeight="1" x14ac:dyDescent="0.25">
      <c r="A816" s="8" t="s">
        <v>7439</v>
      </c>
      <c r="B816" s="8" t="s">
        <v>5693</v>
      </c>
      <c r="C816" s="8" t="s">
        <v>5918</v>
      </c>
      <c r="D816" s="10">
        <v>495</v>
      </c>
      <c r="E816" s="8" t="s">
        <v>7440</v>
      </c>
      <c r="F816" s="8" t="s">
        <v>7441</v>
      </c>
      <c r="G816" s="8" t="s">
        <v>4727</v>
      </c>
      <c r="H816" s="8" t="s">
        <v>7440</v>
      </c>
      <c r="I816" s="8"/>
      <c r="J816" s="15" t="s">
        <v>5695</v>
      </c>
      <c r="K816" s="8"/>
      <c r="L816" s="15" t="s">
        <v>1685</v>
      </c>
      <c r="M816" s="8" t="s">
        <v>5578</v>
      </c>
      <c r="N816" s="8"/>
      <c r="O816" s="8" t="s">
        <v>5574</v>
      </c>
      <c r="P816" s="11"/>
      <c r="Q816" s="8" t="s">
        <v>5696</v>
      </c>
      <c r="R816" s="8" t="s">
        <v>5919</v>
      </c>
      <c r="S816" s="8" t="s">
        <v>7442</v>
      </c>
    </row>
    <row r="817" spans="1:19" ht="93" customHeight="1" x14ac:dyDescent="0.25">
      <c r="A817" s="8" t="s">
        <v>7443</v>
      </c>
      <c r="B817" s="8" t="s">
        <v>5693</v>
      </c>
      <c r="C817" s="8" t="s">
        <v>5918</v>
      </c>
      <c r="D817" s="10">
        <v>496</v>
      </c>
      <c r="E817" s="8" t="s">
        <v>7444</v>
      </c>
      <c r="F817" s="8" t="s">
        <v>7445</v>
      </c>
      <c r="G817" s="8" t="s">
        <v>4727</v>
      </c>
      <c r="H817" s="8" t="s">
        <v>7444</v>
      </c>
      <c r="I817" s="8"/>
      <c r="J817" s="15" t="s">
        <v>5695</v>
      </c>
      <c r="K817" s="8"/>
      <c r="L817" s="15" t="s">
        <v>1685</v>
      </c>
      <c r="M817" s="8" t="s">
        <v>5578</v>
      </c>
      <c r="N817" s="8"/>
      <c r="O817" s="8" t="s">
        <v>5574</v>
      </c>
      <c r="P817" s="11"/>
      <c r="Q817" s="8" t="s">
        <v>5696</v>
      </c>
      <c r="R817" s="8" t="s">
        <v>5919</v>
      </c>
      <c r="S817" s="8" t="s">
        <v>7446</v>
      </c>
    </row>
    <row r="818" spans="1:19" ht="107.1" customHeight="1" x14ac:dyDescent="0.25">
      <c r="A818" s="8" t="s">
        <v>7447</v>
      </c>
      <c r="B818" s="8" t="s">
        <v>5693</v>
      </c>
      <c r="C818" s="8" t="s">
        <v>5918</v>
      </c>
      <c r="D818" s="10">
        <v>497</v>
      </c>
      <c r="E818" s="8" t="s">
        <v>7448</v>
      </c>
      <c r="F818" s="8" t="s">
        <v>7449</v>
      </c>
      <c r="G818" s="8" t="s">
        <v>4727</v>
      </c>
      <c r="H818" s="8" t="s">
        <v>7448</v>
      </c>
      <c r="I818" s="8"/>
      <c r="J818" s="15" t="s">
        <v>5695</v>
      </c>
      <c r="K818" s="8"/>
      <c r="L818" s="15" t="s">
        <v>1685</v>
      </c>
      <c r="M818" s="8" t="s">
        <v>5578</v>
      </c>
      <c r="N818" s="8"/>
      <c r="O818" s="8" t="s">
        <v>5574</v>
      </c>
      <c r="P818" s="11"/>
      <c r="Q818" s="8" t="s">
        <v>5696</v>
      </c>
      <c r="R818" s="8" t="s">
        <v>5919</v>
      </c>
      <c r="S818" s="8" t="s">
        <v>7450</v>
      </c>
    </row>
    <row r="819" spans="1:19" ht="107.1" customHeight="1" x14ac:dyDescent="0.25">
      <c r="A819" s="8" t="s">
        <v>7451</v>
      </c>
      <c r="B819" s="8" t="s">
        <v>5693</v>
      </c>
      <c r="C819" s="8" t="s">
        <v>5918</v>
      </c>
      <c r="D819" s="10">
        <v>498</v>
      </c>
      <c r="E819" s="8" t="s">
        <v>7452</v>
      </c>
      <c r="F819" s="8" t="s">
        <v>7453</v>
      </c>
      <c r="G819" s="8" t="s">
        <v>4727</v>
      </c>
      <c r="H819" s="8" t="s">
        <v>7452</v>
      </c>
      <c r="I819" s="8"/>
      <c r="J819" s="15" t="s">
        <v>5695</v>
      </c>
      <c r="K819" s="8"/>
      <c r="L819" s="15" t="s">
        <v>1685</v>
      </c>
      <c r="M819" s="8" t="s">
        <v>5578</v>
      </c>
      <c r="N819" s="8"/>
      <c r="O819" s="8" t="s">
        <v>5574</v>
      </c>
      <c r="P819" s="11"/>
      <c r="Q819" s="8" t="s">
        <v>5696</v>
      </c>
      <c r="R819" s="8" t="s">
        <v>5919</v>
      </c>
      <c r="S819" s="8" t="s">
        <v>7454</v>
      </c>
    </row>
    <row r="820" spans="1:19" ht="93" customHeight="1" x14ac:dyDescent="0.25">
      <c r="A820" s="8" t="s">
        <v>7455</v>
      </c>
      <c r="B820" s="8" t="s">
        <v>5693</v>
      </c>
      <c r="C820" s="8" t="s">
        <v>5918</v>
      </c>
      <c r="D820" s="10">
        <v>499</v>
      </c>
      <c r="E820" s="8" t="s">
        <v>7456</v>
      </c>
      <c r="F820" s="8" t="s">
        <v>7457</v>
      </c>
      <c r="G820" s="8" t="s">
        <v>4727</v>
      </c>
      <c r="H820" s="8" t="s">
        <v>7456</v>
      </c>
      <c r="I820" s="8"/>
      <c r="J820" s="15" t="s">
        <v>5695</v>
      </c>
      <c r="K820" s="8"/>
      <c r="L820" s="15" t="s">
        <v>1685</v>
      </c>
      <c r="M820" s="8" t="s">
        <v>5578</v>
      </c>
      <c r="N820" s="8"/>
      <c r="O820" s="8" t="s">
        <v>5574</v>
      </c>
      <c r="P820" s="11"/>
      <c r="Q820" s="8" t="s">
        <v>5696</v>
      </c>
      <c r="R820" s="8" t="s">
        <v>5919</v>
      </c>
      <c r="S820" s="8" t="s">
        <v>7458</v>
      </c>
    </row>
    <row r="821" spans="1:19" ht="107.1" customHeight="1" x14ac:dyDescent="0.25">
      <c r="A821" s="8" t="s">
        <v>7459</v>
      </c>
      <c r="B821" s="8" t="s">
        <v>5693</v>
      </c>
      <c r="C821" s="8" t="s">
        <v>5918</v>
      </c>
      <c r="D821" s="10">
        <v>500</v>
      </c>
      <c r="E821" s="8" t="s">
        <v>7460</v>
      </c>
      <c r="F821" s="8" t="s">
        <v>7461</v>
      </c>
      <c r="G821" s="8" t="s">
        <v>4727</v>
      </c>
      <c r="H821" s="8" t="s">
        <v>7460</v>
      </c>
      <c r="I821" s="8"/>
      <c r="J821" s="15" t="s">
        <v>5695</v>
      </c>
      <c r="K821" s="8"/>
      <c r="L821" s="15" t="s">
        <v>1685</v>
      </c>
      <c r="M821" s="8" t="s">
        <v>5578</v>
      </c>
      <c r="N821" s="8"/>
      <c r="O821" s="8" t="s">
        <v>5574</v>
      </c>
      <c r="P821" s="11"/>
      <c r="Q821" s="8" t="s">
        <v>5696</v>
      </c>
      <c r="R821" s="8" t="s">
        <v>5919</v>
      </c>
      <c r="S821" s="8" t="s">
        <v>7462</v>
      </c>
    </row>
    <row r="822" spans="1:19" ht="107.1" customHeight="1" x14ac:dyDescent="0.25">
      <c r="A822" s="8" t="s">
        <v>7463</v>
      </c>
      <c r="B822" s="8" t="s">
        <v>5693</v>
      </c>
      <c r="C822" s="8" t="s">
        <v>5918</v>
      </c>
      <c r="D822" s="10">
        <v>501</v>
      </c>
      <c r="E822" s="8" t="s">
        <v>7464</v>
      </c>
      <c r="F822" s="8" t="s">
        <v>7465</v>
      </c>
      <c r="G822" s="8" t="s">
        <v>4727</v>
      </c>
      <c r="H822" s="8" t="s">
        <v>7464</v>
      </c>
      <c r="I822" s="8"/>
      <c r="J822" s="15" t="s">
        <v>5695</v>
      </c>
      <c r="K822" s="8"/>
      <c r="L822" s="15" t="s">
        <v>1685</v>
      </c>
      <c r="M822" s="8" t="s">
        <v>5578</v>
      </c>
      <c r="N822" s="8"/>
      <c r="O822" s="8" t="s">
        <v>5574</v>
      </c>
      <c r="P822" s="11"/>
      <c r="Q822" s="8" t="s">
        <v>5696</v>
      </c>
      <c r="R822" s="8" t="s">
        <v>5919</v>
      </c>
      <c r="S822" s="8" t="s">
        <v>7466</v>
      </c>
    </row>
    <row r="823" spans="1:19" ht="93" customHeight="1" x14ac:dyDescent="0.25">
      <c r="A823" s="8" t="s">
        <v>7467</v>
      </c>
      <c r="B823" s="8" t="s">
        <v>5693</v>
      </c>
      <c r="C823" s="8" t="s">
        <v>5918</v>
      </c>
      <c r="D823" s="10">
        <v>502</v>
      </c>
      <c r="E823" s="8" t="s">
        <v>7468</v>
      </c>
      <c r="F823" s="8" t="s">
        <v>7469</v>
      </c>
      <c r="G823" s="8" t="s">
        <v>4727</v>
      </c>
      <c r="H823" s="8" t="s">
        <v>7468</v>
      </c>
      <c r="I823" s="8"/>
      <c r="J823" s="15" t="s">
        <v>5695</v>
      </c>
      <c r="K823" s="8"/>
      <c r="L823" s="15" t="s">
        <v>1685</v>
      </c>
      <c r="M823" s="8" t="s">
        <v>5578</v>
      </c>
      <c r="N823" s="8"/>
      <c r="O823" s="8" t="s">
        <v>5574</v>
      </c>
      <c r="P823" s="11"/>
      <c r="Q823" s="8" t="s">
        <v>5696</v>
      </c>
      <c r="R823" s="8" t="s">
        <v>5919</v>
      </c>
      <c r="S823" s="8" t="s">
        <v>7470</v>
      </c>
    </row>
    <row r="824" spans="1:19" ht="107.1" customHeight="1" x14ac:dyDescent="0.25">
      <c r="A824" s="8" t="s">
        <v>7471</v>
      </c>
      <c r="B824" s="8" t="s">
        <v>5693</v>
      </c>
      <c r="C824" s="8" t="s">
        <v>5918</v>
      </c>
      <c r="D824" s="10">
        <v>503</v>
      </c>
      <c r="E824" s="8" t="s">
        <v>7472</v>
      </c>
      <c r="F824" s="8" t="s">
        <v>7473</v>
      </c>
      <c r="G824" s="8" t="s">
        <v>4727</v>
      </c>
      <c r="H824" s="8" t="s">
        <v>7472</v>
      </c>
      <c r="I824" s="8"/>
      <c r="J824" s="15" t="s">
        <v>5695</v>
      </c>
      <c r="K824" s="8"/>
      <c r="L824" s="15" t="s">
        <v>1685</v>
      </c>
      <c r="M824" s="8" t="s">
        <v>5578</v>
      </c>
      <c r="N824" s="8"/>
      <c r="O824" s="8" t="s">
        <v>5574</v>
      </c>
      <c r="P824" s="11"/>
      <c r="Q824" s="8" t="s">
        <v>5696</v>
      </c>
      <c r="R824" s="8" t="s">
        <v>5919</v>
      </c>
      <c r="S824" s="8" t="s">
        <v>7474</v>
      </c>
    </row>
    <row r="825" spans="1:19" ht="93" customHeight="1" x14ac:dyDescent="0.25">
      <c r="A825" s="8" t="s">
        <v>7475</v>
      </c>
      <c r="B825" s="8" t="s">
        <v>5693</v>
      </c>
      <c r="C825" s="8" t="s">
        <v>5918</v>
      </c>
      <c r="D825" s="10">
        <v>504</v>
      </c>
      <c r="E825" s="8" t="s">
        <v>7476</v>
      </c>
      <c r="F825" s="8" t="s">
        <v>7477</v>
      </c>
      <c r="G825" s="8" t="s">
        <v>4727</v>
      </c>
      <c r="H825" s="8" t="s">
        <v>7476</v>
      </c>
      <c r="I825" s="8"/>
      <c r="J825" s="15" t="s">
        <v>5695</v>
      </c>
      <c r="K825" s="8"/>
      <c r="L825" s="15" t="s">
        <v>1685</v>
      </c>
      <c r="M825" s="8" t="s">
        <v>5578</v>
      </c>
      <c r="N825" s="8"/>
      <c r="O825" s="8" t="s">
        <v>5574</v>
      </c>
      <c r="P825" s="11"/>
      <c r="Q825" s="8" t="s">
        <v>5696</v>
      </c>
      <c r="R825" s="8" t="s">
        <v>5919</v>
      </c>
      <c r="S825" s="8" t="s">
        <v>7478</v>
      </c>
    </row>
    <row r="826" spans="1:19" ht="107.1" customHeight="1" x14ac:dyDescent="0.25">
      <c r="A826" s="8" t="s">
        <v>7479</v>
      </c>
      <c r="B826" s="8" t="s">
        <v>5693</v>
      </c>
      <c r="C826" s="8" t="s">
        <v>5918</v>
      </c>
      <c r="D826" s="10">
        <v>505</v>
      </c>
      <c r="E826" s="8" t="s">
        <v>7480</v>
      </c>
      <c r="F826" s="8" t="s">
        <v>7481</v>
      </c>
      <c r="G826" s="8" t="s">
        <v>4727</v>
      </c>
      <c r="H826" s="8" t="s">
        <v>7480</v>
      </c>
      <c r="I826" s="8"/>
      <c r="J826" s="15" t="s">
        <v>5695</v>
      </c>
      <c r="K826" s="8"/>
      <c r="L826" s="15" t="s">
        <v>1685</v>
      </c>
      <c r="M826" s="8" t="s">
        <v>5578</v>
      </c>
      <c r="N826" s="8"/>
      <c r="O826" s="8" t="s">
        <v>5574</v>
      </c>
      <c r="P826" s="11"/>
      <c r="Q826" s="8" t="s">
        <v>5696</v>
      </c>
      <c r="R826" s="8" t="s">
        <v>5919</v>
      </c>
      <c r="S826" s="8" t="s">
        <v>7482</v>
      </c>
    </row>
    <row r="827" spans="1:19" ht="107.1" customHeight="1" x14ac:dyDescent="0.25">
      <c r="A827" s="8" t="s">
        <v>7483</v>
      </c>
      <c r="B827" s="8" t="s">
        <v>5693</v>
      </c>
      <c r="C827" s="8" t="s">
        <v>5918</v>
      </c>
      <c r="D827" s="10">
        <v>506</v>
      </c>
      <c r="E827" s="8" t="s">
        <v>7484</v>
      </c>
      <c r="F827" s="8" t="s">
        <v>7485</v>
      </c>
      <c r="G827" s="8" t="s">
        <v>4727</v>
      </c>
      <c r="H827" s="8" t="s">
        <v>7484</v>
      </c>
      <c r="I827" s="8"/>
      <c r="J827" s="15" t="s">
        <v>5695</v>
      </c>
      <c r="K827" s="8"/>
      <c r="L827" s="15" t="s">
        <v>1685</v>
      </c>
      <c r="M827" s="8" t="s">
        <v>5578</v>
      </c>
      <c r="N827" s="8"/>
      <c r="O827" s="8" t="s">
        <v>5574</v>
      </c>
      <c r="P827" s="11"/>
      <c r="Q827" s="8" t="s">
        <v>5696</v>
      </c>
      <c r="R827" s="8" t="s">
        <v>5919</v>
      </c>
      <c r="S827" s="8" t="s">
        <v>7486</v>
      </c>
    </row>
    <row r="828" spans="1:19" ht="107.1" customHeight="1" x14ac:dyDescent="0.25">
      <c r="A828" s="8" t="s">
        <v>7487</v>
      </c>
      <c r="B828" s="8" t="s">
        <v>5693</v>
      </c>
      <c r="C828" s="8" t="s">
        <v>5918</v>
      </c>
      <c r="D828" s="10">
        <v>507</v>
      </c>
      <c r="E828" s="8" t="s">
        <v>7488</v>
      </c>
      <c r="F828" s="8" t="s">
        <v>7489</v>
      </c>
      <c r="G828" s="8" t="s">
        <v>4727</v>
      </c>
      <c r="H828" s="8" t="s">
        <v>7488</v>
      </c>
      <c r="I828" s="8"/>
      <c r="J828" s="15" t="s">
        <v>5695</v>
      </c>
      <c r="K828" s="8"/>
      <c r="L828" s="15" t="s">
        <v>1685</v>
      </c>
      <c r="M828" s="8" t="s">
        <v>5578</v>
      </c>
      <c r="N828" s="8"/>
      <c r="O828" s="8" t="s">
        <v>5574</v>
      </c>
      <c r="P828" s="11"/>
      <c r="Q828" s="8" t="s">
        <v>5696</v>
      </c>
      <c r="R828" s="8" t="s">
        <v>5919</v>
      </c>
      <c r="S828" s="8" t="s">
        <v>7490</v>
      </c>
    </row>
    <row r="829" spans="1:19" ht="107.1" customHeight="1" x14ac:dyDescent="0.25">
      <c r="A829" s="8" t="s">
        <v>7491</v>
      </c>
      <c r="B829" s="8" t="s">
        <v>5693</v>
      </c>
      <c r="C829" s="8" t="s">
        <v>5918</v>
      </c>
      <c r="D829" s="10">
        <v>508</v>
      </c>
      <c r="E829" s="8" t="s">
        <v>7492</v>
      </c>
      <c r="F829" s="8" t="s">
        <v>7493</v>
      </c>
      <c r="G829" s="8" t="s">
        <v>4727</v>
      </c>
      <c r="H829" s="8" t="s">
        <v>7492</v>
      </c>
      <c r="I829" s="8"/>
      <c r="J829" s="8"/>
      <c r="K829" s="8"/>
      <c r="L829" s="15" t="s">
        <v>1685</v>
      </c>
      <c r="M829" s="8" t="s">
        <v>5578</v>
      </c>
      <c r="N829" s="8"/>
      <c r="O829" s="8" t="s">
        <v>5574</v>
      </c>
      <c r="P829" s="11" t="s">
        <v>3567</v>
      </c>
      <c r="Q829" s="8" t="s">
        <v>5768</v>
      </c>
      <c r="R829" s="8" t="s">
        <v>5919</v>
      </c>
      <c r="S829" s="8" t="s">
        <v>7494</v>
      </c>
    </row>
    <row r="830" spans="1:19" ht="107.1" customHeight="1" x14ac:dyDescent="0.25">
      <c r="A830" s="8" t="s">
        <v>7495</v>
      </c>
      <c r="B830" s="8" t="s">
        <v>5693</v>
      </c>
      <c r="C830" s="8" t="s">
        <v>5918</v>
      </c>
      <c r="D830" s="10">
        <v>509</v>
      </c>
      <c r="E830" s="8" t="s">
        <v>7496</v>
      </c>
      <c r="F830" s="8" t="s">
        <v>7497</v>
      </c>
      <c r="G830" s="8" t="s">
        <v>4727</v>
      </c>
      <c r="H830" s="8" t="s">
        <v>7496</v>
      </c>
      <c r="I830" s="8"/>
      <c r="J830" s="8"/>
      <c r="K830" s="8"/>
      <c r="L830" s="15" t="s">
        <v>1685</v>
      </c>
      <c r="M830" s="8" t="s">
        <v>5578</v>
      </c>
      <c r="N830" s="8"/>
      <c r="O830" s="8" t="s">
        <v>5574</v>
      </c>
      <c r="P830" s="11" t="s">
        <v>3567</v>
      </c>
      <c r="Q830" s="8" t="s">
        <v>5768</v>
      </c>
      <c r="R830" s="8" t="s">
        <v>5919</v>
      </c>
      <c r="S830" s="8" t="s">
        <v>7498</v>
      </c>
    </row>
    <row r="831" spans="1:19" ht="107.1" customHeight="1" x14ac:dyDescent="0.25">
      <c r="A831" s="8" t="s">
        <v>7499</v>
      </c>
      <c r="B831" s="8" t="s">
        <v>5693</v>
      </c>
      <c r="C831" s="8" t="s">
        <v>5918</v>
      </c>
      <c r="D831" s="10">
        <v>510</v>
      </c>
      <c r="E831" s="8" t="s">
        <v>7500</v>
      </c>
      <c r="F831" s="8" t="s">
        <v>7501</v>
      </c>
      <c r="G831" s="8" t="s">
        <v>4727</v>
      </c>
      <c r="H831" s="8" t="s">
        <v>7500</v>
      </c>
      <c r="I831" s="8"/>
      <c r="J831" s="8"/>
      <c r="K831" s="8"/>
      <c r="L831" s="15" t="s">
        <v>1685</v>
      </c>
      <c r="M831" s="8" t="s">
        <v>5578</v>
      </c>
      <c r="N831" s="8"/>
      <c r="O831" s="8" t="s">
        <v>5574</v>
      </c>
      <c r="P831" s="11" t="s">
        <v>3567</v>
      </c>
      <c r="Q831" s="8" t="s">
        <v>5768</v>
      </c>
      <c r="R831" s="8" t="s">
        <v>5919</v>
      </c>
      <c r="S831" s="8" t="s">
        <v>7502</v>
      </c>
    </row>
    <row r="832" spans="1:19" ht="107.1" customHeight="1" x14ac:dyDescent="0.25">
      <c r="A832" s="8" t="s">
        <v>7503</v>
      </c>
      <c r="B832" s="8" t="s">
        <v>5693</v>
      </c>
      <c r="C832" s="8" t="s">
        <v>5918</v>
      </c>
      <c r="D832" s="10">
        <v>511</v>
      </c>
      <c r="E832" s="8" t="s">
        <v>7504</v>
      </c>
      <c r="F832" s="8" t="s">
        <v>7505</v>
      </c>
      <c r="G832" s="8" t="s">
        <v>4727</v>
      </c>
      <c r="H832" s="8" t="s">
        <v>7504</v>
      </c>
      <c r="I832" s="8"/>
      <c r="J832" s="15" t="s">
        <v>5695</v>
      </c>
      <c r="K832" s="8"/>
      <c r="L832" s="15" t="s">
        <v>1685</v>
      </c>
      <c r="M832" s="8" t="s">
        <v>5578</v>
      </c>
      <c r="N832" s="8"/>
      <c r="O832" s="8" t="s">
        <v>5574</v>
      </c>
      <c r="P832" s="11"/>
      <c r="Q832" s="8" t="s">
        <v>5696</v>
      </c>
      <c r="R832" s="8" t="s">
        <v>5919</v>
      </c>
      <c r="S832" s="8" t="s">
        <v>7506</v>
      </c>
    </row>
    <row r="833" spans="1:19" ht="107.1" customHeight="1" x14ac:dyDescent="0.25">
      <c r="A833" s="8" t="s">
        <v>7507</v>
      </c>
      <c r="B833" s="8" t="s">
        <v>5693</v>
      </c>
      <c r="C833" s="8" t="s">
        <v>5918</v>
      </c>
      <c r="D833" s="10">
        <v>512</v>
      </c>
      <c r="E833" s="8" t="s">
        <v>7508</v>
      </c>
      <c r="F833" s="8" t="s">
        <v>7509</v>
      </c>
      <c r="G833" s="8" t="s">
        <v>4727</v>
      </c>
      <c r="H833" s="8" t="s">
        <v>7508</v>
      </c>
      <c r="I833" s="8"/>
      <c r="J833" s="15" t="s">
        <v>5695</v>
      </c>
      <c r="K833" s="8"/>
      <c r="L833" s="15" t="s">
        <v>1685</v>
      </c>
      <c r="M833" s="8" t="s">
        <v>5578</v>
      </c>
      <c r="N833" s="8"/>
      <c r="O833" s="8" t="s">
        <v>5574</v>
      </c>
      <c r="P833" s="11"/>
      <c r="Q833" s="8" t="s">
        <v>5696</v>
      </c>
      <c r="R833" s="8" t="s">
        <v>5919</v>
      </c>
      <c r="S833" s="8" t="s">
        <v>7510</v>
      </c>
    </row>
    <row r="834" spans="1:19" ht="93" customHeight="1" x14ac:dyDescent="0.25">
      <c r="A834" s="8" t="s">
        <v>7511</v>
      </c>
      <c r="B834" s="8" t="s">
        <v>5693</v>
      </c>
      <c r="C834" s="8" t="s">
        <v>5918</v>
      </c>
      <c r="D834" s="10">
        <v>513</v>
      </c>
      <c r="E834" s="8" t="s">
        <v>7512</v>
      </c>
      <c r="F834" s="8" t="s">
        <v>7513</v>
      </c>
      <c r="G834" s="8" t="s">
        <v>4727</v>
      </c>
      <c r="H834" s="8" t="s">
        <v>7512</v>
      </c>
      <c r="I834" s="8"/>
      <c r="J834" s="15" t="s">
        <v>5695</v>
      </c>
      <c r="K834" s="8"/>
      <c r="L834" s="15" t="s">
        <v>1685</v>
      </c>
      <c r="M834" s="8" t="s">
        <v>5578</v>
      </c>
      <c r="N834" s="8"/>
      <c r="O834" s="8" t="s">
        <v>5574</v>
      </c>
      <c r="P834" s="11"/>
      <c r="Q834" s="8" t="s">
        <v>5696</v>
      </c>
      <c r="R834" s="8" t="s">
        <v>5919</v>
      </c>
      <c r="S834" s="8" t="s">
        <v>7514</v>
      </c>
    </row>
    <row r="835" spans="1:19" ht="107.1" customHeight="1" x14ac:dyDescent="0.25">
      <c r="A835" s="8" t="s">
        <v>7515</v>
      </c>
      <c r="B835" s="8" t="s">
        <v>5693</v>
      </c>
      <c r="C835" s="8" t="s">
        <v>5918</v>
      </c>
      <c r="D835" s="10">
        <v>514</v>
      </c>
      <c r="E835" s="8" t="s">
        <v>7516</v>
      </c>
      <c r="F835" s="8" t="s">
        <v>7517</v>
      </c>
      <c r="G835" s="8" t="s">
        <v>4727</v>
      </c>
      <c r="H835" s="8" t="s">
        <v>7516</v>
      </c>
      <c r="I835" s="8"/>
      <c r="J835" s="15" t="s">
        <v>5695</v>
      </c>
      <c r="K835" s="8"/>
      <c r="L835" s="15" t="s">
        <v>1685</v>
      </c>
      <c r="M835" s="8" t="s">
        <v>5578</v>
      </c>
      <c r="N835" s="8"/>
      <c r="O835" s="8" t="s">
        <v>5574</v>
      </c>
      <c r="P835" s="11"/>
      <c r="Q835" s="8" t="s">
        <v>5696</v>
      </c>
      <c r="R835" s="8" t="s">
        <v>5919</v>
      </c>
      <c r="S835" s="8" t="s">
        <v>7518</v>
      </c>
    </row>
    <row r="836" spans="1:19" ht="107.1" customHeight="1" x14ac:dyDescent="0.25">
      <c r="A836" s="8" t="s">
        <v>7519</v>
      </c>
      <c r="B836" s="8" t="s">
        <v>5693</v>
      </c>
      <c r="C836" s="8" t="s">
        <v>5918</v>
      </c>
      <c r="D836" s="10">
        <v>515</v>
      </c>
      <c r="E836" s="8" t="s">
        <v>7520</v>
      </c>
      <c r="F836" s="8" t="s">
        <v>7521</v>
      </c>
      <c r="G836" s="8" t="s">
        <v>4727</v>
      </c>
      <c r="H836" s="8" t="s">
        <v>7520</v>
      </c>
      <c r="I836" s="8"/>
      <c r="J836" s="15" t="s">
        <v>5695</v>
      </c>
      <c r="K836" s="8"/>
      <c r="L836" s="15" t="s">
        <v>1685</v>
      </c>
      <c r="M836" s="8" t="s">
        <v>5578</v>
      </c>
      <c r="N836" s="8"/>
      <c r="O836" s="8" t="s">
        <v>5574</v>
      </c>
      <c r="P836" s="11"/>
      <c r="Q836" s="8" t="s">
        <v>5696</v>
      </c>
      <c r="R836" s="8" t="s">
        <v>5919</v>
      </c>
      <c r="S836" s="8" t="s">
        <v>7522</v>
      </c>
    </row>
    <row r="837" spans="1:19" ht="93" customHeight="1" x14ac:dyDescent="0.25">
      <c r="A837" s="8" t="s">
        <v>7523</v>
      </c>
      <c r="B837" s="8" t="s">
        <v>5693</v>
      </c>
      <c r="C837" s="8" t="s">
        <v>5918</v>
      </c>
      <c r="D837" s="10">
        <v>516</v>
      </c>
      <c r="E837" s="8" t="s">
        <v>7524</v>
      </c>
      <c r="F837" s="8" t="s">
        <v>7525</v>
      </c>
      <c r="G837" s="8" t="s">
        <v>4727</v>
      </c>
      <c r="H837" s="8" t="s">
        <v>7524</v>
      </c>
      <c r="I837" s="8"/>
      <c r="J837" s="15" t="s">
        <v>5695</v>
      </c>
      <c r="K837" s="8"/>
      <c r="L837" s="15" t="s">
        <v>1685</v>
      </c>
      <c r="M837" s="8" t="s">
        <v>5578</v>
      </c>
      <c r="N837" s="8"/>
      <c r="O837" s="8" t="s">
        <v>5574</v>
      </c>
      <c r="P837" s="11"/>
      <c r="Q837" s="8" t="s">
        <v>5696</v>
      </c>
      <c r="R837" s="8" t="s">
        <v>5919</v>
      </c>
      <c r="S837" s="8" t="s">
        <v>7526</v>
      </c>
    </row>
    <row r="838" spans="1:19" ht="93" customHeight="1" x14ac:dyDescent="0.25">
      <c r="A838" s="8" t="s">
        <v>7527</v>
      </c>
      <c r="B838" s="8" t="s">
        <v>5693</v>
      </c>
      <c r="C838" s="8" t="s">
        <v>5918</v>
      </c>
      <c r="D838" s="10">
        <v>517</v>
      </c>
      <c r="E838" s="8" t="s">
        <v>7528</v>
      </c>
      <c r="F838" s="8" t="s">
        <v>7529</v>
      </c>
      <c r="G838" s="8" t="s">
        <v>4727</v>
      </c>
      <c r="H838" s="8" t="s">
        <v>7528</v>
      </c>
      <c r="I838" s="8"/>
      <c r="J838" s="15" t="s">
        <v>5695</v>
      </c>
      <c r="K838" s="8"/>
      <c r="L838" s="15" t="s">
        <v>1685</v>
      </c>
      <c r="M838" s="8" t="s">
        <v>5578</v>
      </c>
      <c r="N838" s="8"/>
      <c r="O838" s="8" t="s">
        <v>5574</v>
      </c>
      <c r="P838" s="11"/>
      <c r="Q838" s="8" t="s">
        <v>5696</v>
      </c>
      <c r="R838" s="8" t="s">
        <v>5919</v>
      </c>
      <c r="S838" s="8" t="s">
        <v>7530</v>
      </c>
    </row>
    <row r="839" spans="1:19" ht="107.1" customHeight="1" x14ac:dyDescent="0.25">
      <c r="A839" s="8" t="s">
        <v>7531</v>
      </c>
      <c r="B839" s="8" t="s">
        <v>5693</v>
      </c>
      <c r="C839" s="8" t="s">
        <v>5918</v>
      </c>
      <c r="D839" s="10">
        <v>518</v>
      </c>
      <c r="E839" s="8" t="s">
        <v>7532</v>
      </c>
      <c r="F839" s="8" t="s">
        <v>7533</v>
      </c>
      <c r="G839" s="8" t="s">
        <v>4727</v>
      </c>
      <c r="H839" s="8" t="s">
        <v>7532</v>
      </c>
      <c r="I839" s="8"/>
      <c r="J839" s="15" t="s">
        <v>5695</v>
      </c>
      <c r="K839" s="8"/>
      <c r="L839" s="15" t="s">
        <v>1685</v>
      </c>
      <c r="M839" s="8" t="s">
        <v>5578</v>
      </c>
      <c r="N839" s="8"/>
      <c r="O839" s="8" t="s">
        <v>5574</v>
      </c>
      <c r="P839" s="11"/>
      <c r="Q839" s="8" t="s">
        <v>5696</v>
      </c>
      <c r="R839" s="8" t="s">
        <v>5919</v>
      </c>
      <c r="S839" s="8" t="s">
        <v>7534</v>
      </c>
    </row>
    <row r="840" spans="1:19" ht="107.1" customHeight="1" x14ac:dyDescent="0.25">
      <c r="A840" s="8" t="s">
        <v>7535</v>
      </c>
      <c r="B840" s="8" t="s">
        <v>5693</v>
      </c>
      <c r="C840" s="8" t="s">
        <v>5918</v>
      </c>
      <c r="D840" s="10">
        <v>519</v>
      </c>
      <c r="E840" s="8" t="s">
        <v>7536</v>
      </c>
      <c r="F840" s="8" t="s">
        <v>7537</v>
      </c>
      <c r="G840" s="8" t="s">
        <v>4727</v>
      </c>
      <c r="H840" s="8" t="s">
        <v>7536</v>
      </c>
      <c r="I840" s="8"/>
      <c r="J840" s="15" t="s">
        <v>5695</v>
      </c>
      <c r="K840" s="8"/>
      <c r="L840" s="15" t="s">
        <v>1685</v>
      </c>
      <c r="M840" s="8" t="s">
        <v>5578</v>
      </c>
      <c r="N840" s="8"/>
      <c r="O840" s="8" t="s">
        <v>5574</v>
      </c>
      <c r="P840" s="11"/>
      <c r="Q840" s="8" t="s">
        <v>5696</v>
      </c>
      <c r="R840" s="8" t="s">
        <v>5919</v>
      </c>
      <c r="S840" s="8" t="s">
        <v>7538</v>
      </c>
    </row>
    <row r="841" spans="1:19" ht="107.1" customHeight="1" x14ac:dyDescent="0.25">
      <c r="A841" s="8" t="s">
        <v>7539</v>
      </c>
      <c r="B841" s="8" t="s">
        <v>5693</v>
      </c>
      <c r="C841" s="8" t="s">
        <v>5918</v>
      </c>
      <c r="D841" s="10">
        <v>520</v>
      </c>
      <c r="E841" s="8" t="s">
        <v>7540</v>
      </c>
      <c r="F841" s="8" t="s">
        <v>7541</v>
      </c>
      <c r="G841" s="8" t="s">
        <v>4727</v>
      </c>
      <c r="H841" s="8" t="s">
        <v>7540</v>
      </c>
      <c r="I841" s="8"/>
      <c r="J841" s="15" t="s">
        <v>5695</v>
      </c>
      <c r="K841" s="8"/>
      <c r="L841" s="15" t="s">
        <v>1685</v>
      </c>
      <c r="M841" s="8" t="s">
        <v>5578</v>
      </c>
      <c r="N841" s="8"/>
      <c r="O841" s="8" t="s">
        <v>5574</v>
      </c>
      <c r="P841" s="11"/>
      <c r="Q841" s="8" t="s">
        <v>5696</v>
      </c>
      <c r="R841" s="8" t="s">
        <v>5919</v>
      </c>
      <c r="S841" s="8" t="s">
        <v>7542</v>
      </c>
    </row>
    <row r="842" spans="1:19" ht="107.1" customHeight="1" x14ac:dyDescent="0.25">
      <c r="A842" s="8" t="s">
        <v>7543</v>
      </c>
      <c r="B842" s="8" t="s">
        <v>5693</v>
      </c>
      <c r="C842" s="8" t="s">
        <v>5918</v>
      </c>
      <c r="D842" s="10">
        <v>521</v>
      </c>
      <c r="E842" s="8" t="s">
        <v>7544</v>
      </c>
      <c r="F842" s="8" t="s">
        <v>7545</v>
      </c>
      <c r="G842" s="8" t="s">
        <v>4727</v>
      </c>
      <c r="H842" s="8" t="s">
        <v>7544</v>
      </c>
      <c r="I842" s="8"/>
      <c r="J842" s="15" t="s">
        <v>5695</v>
      </c>
      <c r="K842" s="8"/>
      <c r="L842" s="15" t="s">
        <v>1685</v>
      </c>
      <c r="M842" s="8" t="s">
        <v>5578</v>
      </c>
      <c r="N842" s="8"/>
      <c r="O842" s="8" t="s">
        <v>5574</v>
      </c>
      <c r="P842" s="11"/>
      <c r="Q842" s="8" t="s">
        <v>5696</v>
      </c>
      <c r="R842" s="8" t="s">
        <v>5919</v>
      </c>
      <c r="S842" s="8" t="s">
        <v>7546</v>
      </c>
    </row>
    <row r="843" spans="1:19" ht="107.1" customHeight="1" x14ac:dyDescent="0.25">
      <c r="A843" s="8" t="s">
        <v>7547</v>
      </c>
      <c r="B843" s="8" t="s">
        <v>5693</v>
      </c>
      <c r="C843" s="8" t="s">
        <v>5918</v>
      </c>
      <c r="D843" s="10">
        <v>522</v>
      </c>
      <c r="E843" s="8" t="s">
        <v>7548</v>
      </c>
      <c r="F843" s="8" t="s">
        <v>7549</v>
      </c>
      <c r="G843" s="8" t="s">
        <v>4727</v>
      </c>
      <c r="H843" s="8" t="s">
        <v>7548</v>
      </c>
      <c r="I843" s="8"/>
      <c r="J843" s="15" t="s">
        <v>5695</v>
      </c>
      <c r="K843" s="8"/>
      <c r="L843" s="15" t="s">
        <v>1685</v>
      </c>
      <c r="M843" s="8" t="s">
        <v>5578</v>
      </c>
      <c r="N843" s="8"/>
      <c r="O843" s="8" t="s">
        <v>5574</v>
      </c>
      <c r="P843" s="11"/>
      <c r="Q843" s="8" t="s">
        <v>5696</v>
      </c>
      <c r="R843" s="8" t="s">
        <v>5919</v>
      </c>
      <c r="S843" s="8" t="s">
        <v>7550</v>
      </c>
    </row>
    <row r="844" spans="1:19" ht="107.1" customHeight="1" x14ac:dyDescent="0.25">
      <c r="A844" s="8" t="s">
        <v>7551</v>
      </c>
      <c r="B844" s="8" t="s">
        <v>5693</v>
      </c>
      <c r="C844" s="8" t="s">
        <v>5918</v>
      </c>
      <c r="D844" s="10">
        <v>523</v>
      </c>
      <c r="E844" s="8" t="s">
        <v>7552</v>
      </c>
      <c r="F844" s="8" t="s">
        <v>7553</v>
      </c>
      <c r="G844" s="8" t="s">
        <v>4727</v>
      </c>
      <c r="H844" s="8" t="s">
        <v>7552</v>
      </c>
      <c r="I844" s="8"/>
      <c r="J844" s="15" t="s">
        <v>5695</v>
      </c>
      <c r="K844" s="8"/>
      <c r="L844" s="15" t="s">
        <v>1685</v>
      </c>
      <c r="M844" s="8" t="s">
        <v>5578</v>
      </c>
      <c r="N844" s="8"/>
      <c r="O844" s="8" t="s">
        <v>5574</v>
      </c>
      <c r="P844" s="11"/>
      <c r="Q844" s="8" t="s">
        <v>5696</v>
      </c>
      <c r="R844" s="8" t="s">
        <v>5919</v>
      </c>
      <c r="S844" s="8" t="s">
        <v>7554</v>
      </c>
    </row>
    <row r="845" spans="1:19" ht="107.1" customHeight="1" x14ac:dyDescent="0.25">
      <c r="A845" s="8" t="s">
        <v>7555</v>
      </c>
      <c r="B845" s="8" t="s">
        <v>5693</v>
      </c>
      <c r="C845" s="8" t="s">
        <v>5918</v>
      </c>
      <c r="D845" s="10">
        <v>524</v>
      </c>
      <c r="E845" s="8" t="s">
        <v>7556</v>
      </c>
      <c r="F845" s="8" t="s">
        <v>7557</v>
      </c>
      <c r="G845" s="8" t="s">
        <v>4727</v>
      </c>
      <c r="H845" s="8" t="s">
        <v>7556</v>
      </c>
      <c r="I845" s="8"/>
      <c r="J845" s="15" t="s">
        <v>5695</v>
      </c>
      <c r="K845" s="8"/>
      <c r="L845" s="15" t="s">
        <v>1685</v>
      </c>
      <c r="M845" s="8" t="s">
        <v>5578</v>
      </c>
      <c r="N845" s="8"/>
      <c r="O845" s="8" t="s">
        <v>5574</v>
      </c>
      <c r="P845" s="11"/>
      <c r="Q845" s="8" t="s">
        <v>5696</v>
      </c>
      <c r="R845" s="8" t="s">
        <v>5919</v>
      </c>
      <c r="S845" s="8" t="s">
        <v>7558</v>
      </c>
    </row>
    <row r="846" spans="1:19" ht="107.1" customHeight="1" x14ac:dyDescent="0.25">
      <c r="A846" s="8" t="s">
        <v>7559</v>
      </c>
      <c r="B846" s="8" t="s">
        <v>5693</v>
      </c>
      <c r="C846" s="8" t="s">
        <v>5918</v>
      </c>
      <c r="D846" s="10">
        <v>525</v>
      </c>
      <c r="E846" s="8" t="s">
        <v>7560</v>
      </c>
      <c r="F846" s="8" t="s">
        <v>7561</v>
      </c>
      <c r="G846" s="8" t="s">
        <v>4727</v>
      </c>
      <c r="H846" s="8" t="s">
        <v>7560</v>
      </c>
      <c r="I846" s="8"/>
      <c r="J846" s="15" t="s">
        <v>5695</v>
      </c>
      <c r="K846" s="8"/>
      <c r="L846" s="15" t="s">
        <v>1685</v>
      </c>
      <c r="M846" s="8" t="s">
        <v>5578</v>
      </c>
      <c r="N846" s="8"/>
      <c r="O846" s="8" t="s">
        <v>5574</v>
      </c>
      <c r="P846" s="11"/>
      <c r="Q846" s="8" t="s">
        <v>5696</v>
      </c>
      <c r="R846" s="8" t="s">
        <v>5919</v>
      </c>
      <c r="S846" s="8" t="s">
        <v>7562</v>
      </c>
    </row>
    <row r="847" spans="1:19" ht="107.1" customHeight="1" x14ac:dyDescent="0.25">
      <c r="A847" s="8" t="s">
        <v>7563</v>
      </c>
      <c r="B847" s="8" t="s">
        <v>5693</v>
      </c>
      <c r="C847" s="8" t="s">
        <v>5918</v>
      </c>
      <c r="D847" s="10">
        <v>526</v>
      </c>
      <c r="E847" s="8" t="s">
        <v>7564</v>
      </c>
      <c r="F847" s="8" t="s">
        <v>7565</v>
      </c>
      <c r="G847" s="8" t="s">
        <v>4727</v>
      </c>
      <c r="H847" s="8" t="s">
        <v>7564</v>
      </c>
      <c r="I847" s="8"/>
      <c r="J847" s="15" t="s">
        <v>5695</v>
      </c>
      <c r="K847" s="8"/>
      <c r="L847" s="15" t="s">
        <v>1685</v>
      </c>
      <c r="M847" s="8" t="s">
        <v>5578</v>
      </c>
      <c r="N847" s="8"/>
      <c r="O847" s="8" t="s">
        <v>5574</v>
      </c>
      <c r="P847" s="11"/>
      <c r="Q847" s="8" t="s">
        <v>5696</v>
      </c>
      <c r="R847" s="8" t="s">
        <v>5919</v>
      </c>
      <c r="S847" s="8" t="s">
        <v>7566</v>
      </c>
    </row>
    <row r="848" spans="1:19" ht="107.1" customHeight="1" x14ac:dyDescent="0.25">
      <c r="A848" s="8" t="s">
        <v>7567</v>
      </c>
      <c r="B848" s="8" t="s">
        <v>5693</v>
      </c>
      <c r="C848" s="8" t="s">
        <v>5918</v>
      </c>
      <c r="D848" s="10">
        <v>527</v>
      </c>
      <c r="E848" s="8" t="s">
        <v>7568</v>
      </c>
      <c r="F848" s="8" t="s">
        <v>7569</v>
      </c>
      <c r="G848" s="8" t="s">
        <v>4727</v>
      </c>
      <c r="H848" s="8" t="s">
        <v>7568</v>
      </c>
      <c r="I848" s="8"/>
      <c r="J848" s="15" t="s">
        <v>5695</v>
      </c>
      <c r="K848" s="8"/>
      <c r="L848" s="15" t="s">
        <v>1685</v>
      </c>
      <c r="M848" s="8" t="s">
        <v>5578</v>
      </c>
      <c r="N848" s="8"/>
      <c r="O848" s="8" t="s">
        <v>5574</v>
      </c>
      <c r="P848" s="11"/>
      <c r="Q848" s="8" t="s">
        <v>5696</v>
      </c>
      <c r="R848" s="8" t="s">
        <v>5919</v>
      </c>
      <c r="S848" s="8" t="s">
        <v>7570</v>
      </c>
    </row>
    <row r="849" spans="1:19" ht="107.1" customHeight="1" x14ac:dyDescent="0.25">
      <c r="A849" s="8" t="s">
        <v>7571</v>
      </c>
      <c r="B849" s="8" t="s">
        <v>5693</v>
      </c>
      <c r="C849" s="8" t="s">
        <v>5918</v>
      </c>
      <c r="D849" s="10">
        <v>528</v>
      </c>
      <c r="E849" s="8" t="s">
        <v>7572</v>
      </c>
      <c r="F849" s="8" t="s">
        <v>7573</v>
      </c>
      <c r="G849" s="8" t="s">
        <v>4727</v>
      </c>
      <c r="H849" s="8" t="s">
        <v>7572</v>
      </c>
      <c r="I849" s="8"/>
      <c r="J849" s="15" t="s">
        <v>5695</v>
      </c>
      <c r="K849" s="8"/>
      <c r="L849" s="15" t="s">
        <v>1685</v>
      </c>
      <c r="M849" s="8" t="s">
        <v>5578</v>
      </c>
      <c r="N849" s="8"/>
      <c r="O849" s="8" t="s">
        <v>5574</v>
      </c>
      <c r="P849" s="11"/>
      <c r="Q849" s="8" t="s">
        <v>5696</v>
      </c>
      <c r="R849" s="8" t="s">
        <v>5919</v>
      </c>
      <c r="S849" s="8" t="s">
        <v>7574</v>
      </c>
    </row>
    <row r="850" spans="1:19" ht="93" customHeight="1" x14ac:dyDescent="0.25">
      <c r="A850" s="8" t="s">
        <v>7575</v>
      </c>
      <c r="B850" s="8" t="s">
        <v>5693</v>
      </c>
      <c r="C850" s="8" t="s">
        <v>5918</v>
      </c>
      <c r="D850" s="10">
        <v>529</v>
      </c>
      <c r="E850" s="8" t="s">
        <v>7576</v>
      </c>
      <c r="F850" s="8" t="s">
        <v>7577</v>
      </c>
      <c r="G850" s="8" t="s">
        <v>4727</v>
      </c>
      <c r="H850" s="8" t="s">
        <v>7576</v>
      </c>
      <c r="I850" s="8"/>
      <c r="J850" s="15" t="s">
        <v>5695</v>
      </c>
      <c r="K850" s="8"/>
      <c r="L850" s="15" t="s">
        <v>1685</v>
      </c>
      <c r="M850" s="8" t="s">
        <v>5578</v>
      </c>
      <c r="N850" s="8"/>
      <c r="O850" s="8" t="s">
        <v>5574</v>
      </c>
      <c r="P850" s="11"/>
      <c r="Q850" s="8" t="s">
        <v>5696</v>
      </c>
      <c r="R850" s="8" t="s">
        <v>5919</v>
      </c>
      <c r="S850" s="8" t="s">
        <v>7578</v>
      </c>
    </row>
    <row r="851" spans="1:19" ht="107.1" customHeight="1" x14ac:dyDescent="0.25">
      <c r="A851" s="8" t="s">
        <v>7579</v>
      </c>
      <c r="B851" s="8" t="s">
        <v>5693</v>
      </c>
      <c r="C851" s="8" t="s">
        <v>5918</v>
      </c>
      <c r="D851" s="10">
        <v>530</v>
      </c>
      <c r="E851" s="8" t="s">
        <v>7580</v>
      </c>
      <c r="F851" s="8" t="s">
        <v>7581</v>
      </c>
      <c r="G851" s="8" t="s">
        <v>4727</v>
      </c>
      <c r="H851" s="8" t="s">
        <v>7580</v>
      </c>
      <c r="I851" s="8"/>
      <c r="J851" s="15" t="s">
        <v>5695</v>
      </c>
      <c r="K851" s="8"/>
      <c r="L851" s="15" t="s">
        <v>1685</v>
      </c>
      <c r="M851" s="8" t="s">
        <v>5578</v>
      </c>
      <c r="N851" s="8"/>
      <c r="O851" s="8" t="s">
        <v>5574</v>
      </c>
      <c r="P851" s="11"/>
      <c r="Q851" s="8" t="s">
        <v>5696</v>
      </c>
      <c r="R851" s="8" t="s">
        <v>5919</v>
      </c>
      <c r="S851" s="8" t="s">
        <v>7582</v>
      </c>
    </row>
    <row r="852" spans="1:19" ht="107.1" customHeight="1" x14ac:dyDescent="0.25">
      <c r="A852" s="8" t="s">
        <v>7583</v>
      </c>
      <c r="B852" s="8" t="s">
        <v>5693</v>
      </c>
      <c r="C852" s="8" t="s">
        <v>5918</v>
      </c>
      <c r="D852" s="10">
        <v>531</v>
      </c>
      <c r="E852" s="8" t="s">
        <v>7584</v>
      </c>
      <c r="F852" s="8" t="s">
        <v>7585</v>
      </c>
      <c r="G852" s="8" t="s">
        <v>4727</v>
      </c>
      <c r="H852" s="8" t="s">
        <v>7584</v>
      </c>
      <c r="I852" s="8"/>
      <c r="J852" s="15" t="s">
        <v>5695</v>
      </c>
      <c r="K852" s="8"/>
      <c r="L852" s="15" t="s">
        <v>1685</v>
      </c>
      <c r="M852" s="8" t="s">
        <v>5578</v>
      </c>
      <c r="N852" s="8"/>
      <c r="O852" s="8" t="s">
        <v>5574</v>
      </c>
      <c r="P852" s="11"/>
      <c r="Q852" s="8" t="s">
        <v>5696</v>
      </c>
      <c r="R852" s="8" t="s">
        <v>5919</v>
      </c>
      <c r="S852" s="8" t="s">
        <v>7586</v>
      </c>
    </row>
    <row r="853" spans="1:19" ht="107.1" customHeight="1" x14ac:dyDescent="0.25">
      <c r="A853" s="8" t="s">
        <v>7587</v>
      </c>
      <c r="B853" s="8" t="s">
        <v>5693</v>
      </c>
      <c r="C853" s="8" t="s">
        <v>5918</v>
      </c>
      <c r="D853" s="10">
        <v>532</v>
      </c>
      <c r="E853" s="8" t="s">
        <v>7588</v>
      </c>
      <c r="F853" s="8" t="s">
        <v>7589</v>
      </c>
      <c r="G853" s="8" t="s">
        <v>4727</v>
      </c>
      <c r="H853" s="8" t="s">
        <v>7588</v>
      </c>
      <c r="I853" s="8"/>
      <c r="J853" s="15" t="s">
        <v>5695</v>
      </c>
      <c r="K853" s="8"/>
      <c r="L853" s="15" t="s">
        <v>1685</v>
      </c>
      <c r="M853" s="8" t="s">
        <v>5578</v>
      </c>
      <c r="N853" s="8"/>
      <c r="O853" s="8" t="s">
        <v>5574</v>
      </c>
      <c r="P853" s="11"/>
      <c r="Q853" s="8" t="s">
        <v>5696</v>
      </c>
      <c r="R853" s="8" t="s">
        <v>5919</v>
      </c>
      <c r="S853" s="8" t="s">
        <v>7590</v>
      </c>
    </row>
    <row r="854" spans="1:19" ht="93" customHeight="1" x14ac:dyDescent="0.25">
      <c r="A854" s="8" t="s">
        <v>7591</v>
      </c>
      <c r="B854" s="8" t="s">
        <v>5693</v>
      </c>
      <c r="C854" s="8" t="s">
        <v>5918</v>
      </c>
      <c r="D854" s="10">
        <v>533</v>
      </c>
      <c r="E854" s="8" t="s">
        <v>7592</v>
      </c>
      <c r="F854" s="8" t="s">
        <v>7593</v>
      </c>
      <c r="G854" s="8" t="s">
        <v>4727</v>
      </c>
      <c r="H854" s="8" t="s">
        <v>7592</v>
      </c>
      <c r="I854" s="8"/>
      <c r="J854" s="15" t="s">
        <v>5695</v>
      </c>
      <c r="K854" s="8"/>
      <c r="L854" s="15" t="s">
        <v>1685</v>
      </c>
      <c r="M854" s="8" t="s">
        <v>5578</v>
      </c>
      <c r="N854" s="8"/>
      <c r="O854" s="8" t="s">
        <v>5574</v>
      </c>
      <c r="P854" s="11"/>
      <c r="Q854" s="8" t="s">
        <v>5696</v>
      </c>
      <c r="R854" s="8" t="s">
        <v>5919</v>
      </c>
      <c r="S854" s="8" t="s">
        <v>7594</v>
      </c>
    </row>
    <row r="855" spans="1:19" ht="107.1" customHeight="1" x14ac:dyDescent="0.25">
      <c r="A855" s="8" t="s">
        <v>7595</v>
      </c>
      <c r="B855" s="8" t="s">
        <v>5693</v>
      </c>
      <c r="C855" s="8" t="s">
        <v>5918</v>
      </c>
      <c r="D855" s="10">
        <v>534</v>
      </c>
      <c r="E855" s="8" t="s">
        <v>7596</v>
      </c>
      <c r="F855" s="8" t="s">
        <v>7597</v>
      </c>
      <c r="G855" s="8" t="s">
        <v>4727</v>
      </c>
      <c r="H855" s="8" t="s">
        <v>7596</v>
      </c>
      <c r="I855" s="8"/>
      <c r="J855" s="15" t="s">
        <v>5695</v>
      </c>
      <c r="K855" s="8"/>
      <c r="L855" s="15" t="s">
        <v>1685</v>
      </c>
      <c r="M855" s="8" t="s">
        <v>5578</v>
      </c>
      <c r="N855" s="8"/>
      <c r="O855" s="8" t="s">
        <v>5574</v>
      </c>
      <c r="P855" s="11"/>
      <c r="Q855" s="8" t="s">
        <v>5696</v>
      </c>
      <c r="R855" s="8" t="s">
        <v>5919</v>
      </c>
      <c r="S855" s="8" t="s">
        <v>7598</v>
      </c>
    </row>
    <row r="856" spans="1:19" ht="107.1" customHeight="1" x14ac:dyDescent="0.25">
      <c r="A856" s="8" t="s">
        <v>7599</v>
      </c>
      <c r="B856" s="8" t="s">
        <v>5693</v>
      </c>
      <c r="C856" s="8" t="s">
        <v>5918</v>
      </c>
      <c r="D856" s="10">
        <v>535</v>
      </c>
      <c r="E856" s="8" t="s">
        <v>7600</v>
      </c>
      <c r="F856" s="8" t="s">
        <v>7601</v>
      </c>
      <c r="G856" s="8" t="s">
        <v>4727</v>
      </c>
      <c r="H856" s="8" t="s">
        <v>7600</v>
      </c>
      <c r="I856" s="8"/>
      <c r="J856" s="15" t="s">
        <v>5695</v>
      </c>
      <c r="K856" s="8"/>
      <c r="L856" s="15" t="s">
        <v>1685</v>
      </c>
      <c r="M856" s="8" t="s">
        <v>5578</v>
      </c>
      <c r="N856" s="8"/>
      <c r="O856" s="8" t="s">
        <v>5574</v>
      </c>
      <c r="P856" s="11"/>
      <c r="Q856" s="8" t="s">
        <v>5696</v>
      </c>
      <c r="R856" s="8" t="s">
        <v>5919</v>
      </c>
      <c r="S856" s="8" t="s">
        <v>7602</v>
      </c>
    </row>
    <row r="857" spans="1:19" ht="107.1" customHeight="1" x14ac:dyDescent="0.25">
      <c r="A857" s="8" t="s">
        <v>7603</v>
      </c>
      <c r="B857" s="8" t="s">
        <v>5693</v>
      </c>
      <c r="C857" s="8" t="s">
        <v>5918</v>
      </c>
      <c r="D857" s="10">
        <v>536</v>
      </c>
      <c r="E857" s="8" t="s">
        <v>7604</v>
      </c>
      <c r="F857" s="8" t="s">
        <v>7605</v>
      </c>
      <c r="G857" s="8" t="s">
        <v>4727</v>
      </c>
      <c r="H857" s="8" t="s">
        <v>7604</v>
      </c>
      <c r="I857" s="8"/>
      <c r="J857" s="15" t="s">
        <v>5695</v>
      </c>
      <c r="K857" s="8"/>
      <c r="L857" s="15" t="s">
        <v>1685</v>
      </c>
      <c r="M857" s="8" t="s">
        <v>5578</v>
      </c>
      <c r="N857" s="8"/>
      <c r="O857" s="8" t="s">
        <v>5574</v>
      </c>
      <c r="P857" s="11"/>
      <c r="Q857" s="8" t="s">
        <v>5696</v>
      </c>
      <c r="R857" s="8" t="s">
        <v>5919</v>
      </c>
      <c r="S857" s="8" t="s">
        <v>7606</v>
      </c>
    </row>
    <row r="858" spans="1:19" ht="107.1" customHeight="1" x14ac:dyDescent="0.25">
      <c r="A858" s="8" t="s">
        <v>7607</v>
      </c>
      <c r="B858" s="8" t="s">
        <v>5693</v>
      </c>
      <c r="C858" s="8" t="s">
        <v>5918</v>
      </c>
      <c r="D858" s="10">
        <v>537</v>
      </c>
      <c r="E858" s="8" t="s">
        <v>7608</v>
      </c>
      <c r="F858" s="8" t="s">
        <v>7609</v>
      </c>
      <c r="G858" s="8" t="s">
        <v>4727</v>
      </c>
      <c r="H858" s="8" t="s">
        <v>7608</v>
      </c>
      <c r="I858" s="8"/>
      <c r="J858" s="15" t="s">
        <v>5695</v>
      </c>
      <c r="K858" s="8"/>
      <c r="L858" s="15" t="s">
        <v>1685</v>
      </c>
      <c r="M858" s="8" t="s">
        <v>5578</v>
      </c>
      <c r="N858" s="8"/>
      <c r="O858" s="8" t="s">
        <v>5574</v>
      </c>
      <c r="P858" s="11"/>
      <c r="Q858" s="8" t="s">
        <v>5696</v>
      </c>
      <c r="R858" s="8" t="s">
        <v>5919</v>
      </c>
      <c r="S858" s="8" t="s">
        <v>7610</v>
      </c>
    </row>
    <row r="859" spans="1:19" ht="107.1" customHeight="1" x14ac:dyDescent="0.25">
      <c r="A859" s="8" t="s">
        <v>7611</v>
      </c>
      <c r="B859" s="8" t="s">
        <v>5693</v>
      </c>
      <c r="C859" s="8" t="s">
        <v>5918</v>
      </c>
      <c r="D859" s="10">
        <v>538</v>
      </c>
      <c r="E859" s="8" t="s">
        <v>7612</v>
      </c>
      <c r="F859" s="8" t="s">
        <v>7613</v>
      </c>
      <c r="G859" s="8" t="s">
        <v>4727</v>
      </c>
      <c r="H859" s="8" t="s">
        <v>7612</v>
      </c>
      <c r="I859" s="8"/>
      <c r="J859" s="15" t="s">
        <v>5695</v>
      </c>
      <c r="K859" s="8"/>
      <c r="L859" s="15" t="s">
        <v>1685</v>
      </c>
      <c r="M859" s="8" t="s">
        <v>5578</v>
      </c>
      <c r="N859" s="8"/>
      <c r="O859" s="8" t="s">
        <v>5574</v>
      </c>
      <c r="P859" s="11"/>
      <c r="Q859" s="8" t="s">
        <v>5696</v>
      </c>
      <c r="R859" s="8" t="s">
        <v>5919</v>
      </c>
      <c r="S859" s="8" t="s">
        <v>7614</v>
      </c>
    </row>
    <row r="860" spans="1:19" ht="107.1" customHeight="1" x14ac:dyDescent="0.25">
      <c r="A860" s="8" t="s">
        <v>7615</v>
      </c>
      <c r="B860" s="8" t="s">
        <v>5693</v>
      </c>
      <c r="C860" s="8" t="s">
        <v>5918</v>
      </c>
      <c r="D860" s="10">
        <v>539</v>
      </c>
      <c r="E860" s="8" t="s">
        <v>7616</v>
      </c>
      <c r="F860" s="8" t="s">
        <v>7617</v>
      </c>
      <c r="G860" s="8" t="s">
        <v>4727</v>
      </c>
      <c r="H860" s="8" t="s">
        <v>7616</v>
      </c>
      <c r="I860" s="8"/>
      <c r="J860" s="15" t="s">
        <v>5695</v>
      </c>
      <c r="K860" s="8"/>
      <c r="L860" s="15" t="s">
        <v>1685</v>
      </c>
      <c r="M860" s="8" t="s">
        <v>5578</v>
      </c>
      <c r="N860" s="8"/>
      <c r="O860" s="8" t="s">
        <v>5574</v>
      </c>
      <c r="P860" s="11"/>
      <c r="Q860" s="8" t="s">
        <v>5696</v>
      </c>
      <c r="R860" s="8" t="s">
        <v>5919</v>
      </c>
      <c r="S860" s="8" t="s">
        <v>7618</v>
      </c>
    </row>
    <row r="861" spans="1:19" ht="93" customHeight="1" x14ac:dyDescent="0.25">
      <c r="A861" s="8" t="s">
        <v>7619</v>
      </c>
      <c r="B861" s="8" t="s">
        <v>5693</v>
      </c>
      <c r="C861" s="8" t="s">
        <v>5918</v>
      </c>
      <c r="D861" s="10">
        <v>540</v>
      </c>
      <c r="E861" s="8" t="s">
        <v>7620</v>
      </c>
      <c r="F861" s="8" t="s">
        <v>7621</v>
      </c>
      <c r="G861" s="8" t="s">
        <v>4727</v>
      </c>
      <c r="H861" s="8" t="s">
        <v>7620</v>
      </c>
      <c r="I861" s="8"/>
      <c r="J861" s="15" t="s">
        <v>5695</v>
      </c>
      <c r="K861" s="8"/>
      <c r="L861" s="15" t="s">
        <v>1685</v>
      </c>
      <c r="M861" s="8" t="s">
        <v>5578</v>
      </c>
      <c r="N861" s="8"/>
      <c r="O861" s="8" t="s">
        <v>5574</v>
      </c>
      <c r="P861" s="11"/>
      <c r="Q861" s="8" t="s">
        <v>5696</v>
      </c>
      <c r="R861" s="8" t="s">
        <v>5919</v>
      </c>
      <c r="S861" s="8" t="s">
        <v>7622</v>
      </c>
    </row>
    <row r="862" spans="1:19" ht="107.1" customHeight="1" x14ac:dyDescent="0.25">
      <c r="A862" s="8" t="s">
        <v>7623</v>
      </c>
      <c r="B862" s="8" t="s">
        <v>5693</v>
      </c>
      <c r="C862" s="8" t="s">
        <v>5918</v>
      </c>
      <c r="D862" s="10">
        <v>541</v>
      </c>
      <c r="E862" s="8" t="s">
        <v>7624</v>
      </c>
      <c r="F862" s="8" t="s">
        <v>7625</v>
      </c>
      <c r="G862" s="8" t="s">
        <v>4727</v>
      </c>
      <c r="H862" s="8" t="s">
        <v>7624</v>
      </c>
      <c r="I862" s="8"/>
      <c r="J862" s="15" t="s">
        <v>5695</v>
      </c>
      <c r="K862" s="8"/>
      <c r="L862" s="15" t="s">
        <v>1685</v>
      </c>
      <c r="M862" s="8" t="s">
        <v>5578</v>
      </c>
      <c r="N862" s="8"/>
      <c r="O862" s="8" t="s">
        <v>5574</v>
      </c>
      <c r="P862" s="11"/>
      <c r="Q862" s="8" t="s">
        <v>5696</v>
      </c>
      <c r="R862" s="8" t="s">
        <v>5919</v>
      </c>
      <c r="S862" s="8" t="s">
        <v>7626</v>
      </c>
    </row>
    <row r="863" spans="1:19" ht="107.1" customHeight="1" x14ac:dyDescent="0.25">
      <c r="A863" s="8" t="s">
        <v>7627</v>
      </c>
      <c r="B863" s="8" t="s">
        <v>5693</v>
      </c>
      <c r="C863" s="8" t="s">
        <v>5918</v>
      </c>
      <c r="D863" s="10">
        <v>542</v>
      </c>
      <c r="E863" s="8" t="s">
        <v>7628</v>
      </c>
      <c r="F863" s="8" t="s">
        <v>7629</v>
      </c>
      <c r="G863" s="8" t="s">
        <v>4727</v>
      </c>
      <c r="H863" s="8" t="s">
        <v>7628</v>
      </c>
      <c r="I863" s="8"/>
      <c r="J863" s="15" t="s">
        <v>5695</v>
      </c>
      <c r="K863" s="8"/>
      <c r="L863" s="15" t="s">
        <v>1685</v>
      </c>
      <c r="M863" s="8" t="s">
        <v>5578</v>
      </c>
      <c r="N863" s="8"/>
      <c r="O863" s="8" t="s">
        <v>5574</v>
      </c>
      <c r="P863" s="11"/>
      <c r="Q863" s="8" t="s">
        <v>5696</v>
      </c>
      <c r="R863" s="8" t="s">
        <v>5919</v>
      </c>
      <c r="S863" s="8" t="s">
        <v>7630</v>
      </c>
    </row>
    <row r="864" spans="1:19" ht="107.1" customHeight="1" x14ac:dyDescent="0.25">
      <c r="A864" s="8" t="s">
        <v>7631</v>
      </c>
      <c r="B864" s="8" t="s">
        <v>5693</v>
      </c>
      <c r="C864" s="8" t="s">
        <v>5918</v>
      </c>
      <c r="D864" s="10">
        <v>543</v>
      </c>
      <c r="E864" s="8" t="s">
        <v>7632</v>
      </c>
      <c r="F864" s="8" t="s">
        <v>7633</v>
      </c>
      <c r="G864" s="8" t="s">
        <v>4727</v>
      </c>
      <c r="H864" s="8" t="s">
        <v>7632</v>
      </c>
      <c r="I864" s="8"/>
      <c r="J864" s="15" t="s">
        <v>5695</v>
      </c>
      <c r="K864" s="8"/>
      <c r="L864" s="15" t="s">
        <v>1685</v>
      </c>
      <c r="M864" s="8" t="s">
        <v>5578</v>
      </c>
      <c r="N864" s="8"/>
      <c r="O864" s="8" t="s">
        <v>5574</v>
      </c>
      <c r="P864" s="11"/>
      <c r="Q864" s="8" t="s">
        <v>5696</v>
      </c>
      <c r="R864" s="8" t="s">
        <v>5919</v>
      </c>
      <c r="S864" s="8" t="s">
        <v>7634</v>
      </c>
    </row>
    <row r="865" spans="1:19" ht="107.1" customHeight="1" x14ac:dyDescent="0.25">
      <c r="A865" s="8" t="s">
        <v>7635</v>
      </c>
      <c r="B865" s="8" t="s">
        <v>5693</v>
      </c>
      <c r="C865" s="8" t="s">
        <v>5918</v>
      </c>
      <c r="D865" s="10">
        <v>544</v>
      </c>
      <c r="E865" s="8" t="s">
        <v>389</v>
      </c>
      <c r="F865" s="8" t="s">
        <v>7636</v>
      </c>
      <c r="G865" s="8" t="s">
        <v>4551</v>
      </c>
      <c r="H865" s="8" t="s">
        <v>389</v>
      </c>
      <c r="I865" s="8" t="s">
        <v>389</v>
      </c>
      <c r="J865" s="15" t="s">
        <v>5695</v>
      </c>
      <c r="K865" s="8"/>
      <c r="L865" s="15" t="s">
        <v>1685</v>
      </c>
      <c r="M865" s="8" t="s">
        <v>5578</v>
      </c>
      <c r="N865" s="8"/>
      <c r="O865" s="8" t="s">
        <v>5574</v>
      </c>
      <c r="P865" s="11"/>
      <c r="Q865" s="8" t="s">
        <v>5696</v>
      </c>
      <c r="R865" s="8" t="s">
        <v>5919</v>
      </c>
      <c r="S865" s="8" t="s">
        <v>7637</v>
      </c>
    </row>
    <row r="866" spans="1:19" ht="107.1" customHeight="1" x14ac:dyDescent="0.25">
      <c r="A866" s="8" t="s">
        <v>7638</v>
      </c>
      <c r="B866" s="8" t="s">
        <v>5693</v>
      </c>
      <c r="C866" s="8" t="s">
        <v>5918</v>
      </c>
      <c r="D866" s="10">
        <v>545</v>
      </c>
      <c r="E866" s="8" t="s">
        <v>7639</v>
      </c>
      <c r="F866" s="8" t="s">
        <v>7640</v>
      </c>
      <c r="G866" s="8" t="s">
        <v>4727</v>
      </c>
      <c r="H866" s="8" t="s">
        <v>7639</v>
      </c>
      <c r="I866" s="8"/>
      <c r="J866" s="15" t="s">
        <v>5695</v>
      </c>
      <c r="K866" s="8"/>
      <c r="L866" s="15" t="s">
        <v>1685</v>
      </c>
      <c r="M866" s="8" t="s">
        <v>5578</v>
      </c>
      <c r="N866" s="8"/>
      <c r="O866" s="8" t="s">
        <v>5574</v>
      </c>
      <c r="P866" s="11"/>
      <c r="Q866" s="8" t="s">
        <v>5696</v>
      </c>
      <c r="R866" s="8" t="s">
        <v>5919</v>
      </c>
      <c r="S866" s="8" t="s">
        <v>7641</v>
      </c>
    </row>
    <row r="867" spans="1:19" ht="107.1" customHeight="1" x14ac:dyDescent="0.25">
      <c r="A867" s="8" t="s">
        <v>7642</v>
      </c>
      <c r="B867" s="8" t="s">
        <v>5693</v>
      </c>
      <c r="C867" s="8" t="s">
        <v>5918</v>
      </c>
      <c r="D867" s="10">
        <v>546</v>
      </c>
      <c r="E867" s="8" t="s">
        <v>7643</v>
      </c>
      <c r="F867" s="8" t="s">
        <v>7644</v>
      </c>
      <c r="G867" s="8" t="s">
        <v>4727</v>
      </c>
      <c r="H867" s="8" t="s">
        <v>7643</v>
      </c>
      <c r="I867" s="8"/>
      <c r="J867" s="15" t="s">
        <v>5695</v>
      </c>
      <c r="K867" s="8"/>
      <c r="L867" s="15" t="s">
        <v>1685</v>
      </c>
      <c r="M867" s="8" t="s">
        <v>5578</v>
      </c>
      <c r="N867" s="8"/>
      <c r="O867" s="8" t="s">
        <v>5574</v>
      </c>
      <c r="P867" s="11"/>
      <c r="Q867" s="8" t="s">
        <v>5696</v>
      </c>
      <c r="R867" s="8" t="s">
        <v>5919</v>
      </c>
      <c r="S867" s="8" t="s">
        <v>7645</v>
      </c>
    </row>
    <row r="868" spans="1:19" ht="107.1" customHeight="1" x14ac:dyDescent="0.25">
      <c r="A868" s="8" t="s">
        <v>7646</v>
      </c>
      <c r="B868" s="8" t="s">
        <v>5693</v>
      </c>
      <c r="C868" s="8" t="s">
        <v>5918</v>
      </c>
      <c r="D868" s="10">
        <v>547</v>
      </c>
      <c r="E868" s="8" t="s">
        <v>7647</v>
      </c>
      <c r="F868" s="8" t="s">
        <v>7648</v>
      </c>
      <c r="G868" s="8" t="s">
        <v>4727</v>
      </c>
      <c r="H868" s="8" t="s">
        <v>7647</v>
      </c>
      <c r="I868" s="8"/>
      <c r="J868" s="15" t="s">
        <v>5695</v>
      </c>
      <c r="K868" s="8"/>
      <c r="L868" s="15" t="s">
        <v>1685</v>
      </c>
      <c r="M868" s="8" t="s">
        <v>5578</v>
      </c>
      <c r="N868" s="8"/>
      <c r="O868" s="8" t="s">
        <v>5574</v>
      </c>
      <c r="P868" s="11"/>
      <c r="Q868" s="8" t="s">
        <v>5696</v>
      </c>
      <c r="R868" s="8" t="s">
        <v>5919</v>
      </c>
      <c r="S868" s="8" t="s">
        <v>7649</v>
      </c>
    </row>
    <row r="869" spans="1:19" ht="107.1" customHeight="1" x14ac:dyDescent="0.25">
      <c r="A869" s="8" t="s">
        <v>7650</v>
      </c>
      <c r="B869" s="8" t="s">
        <v>5693</v>
      </c>
      <c r="C869" s="8" t="s">
        <v>5918</v>
      </c>
      <c r="D869" s="10">
        <v>548</v>
      </c>
      <c r="E869" s="8" t="s">
        <v>7651</v>
      </c>
      <c r="F869" s="8" t="s">
        <v>7652</v>
      </c>
      <c r="G869" s="8" t="s">
        <v>4727</v>
      </c>
      <c r="H869" s="8" t="s">
        <v>7651</v>
      </c>
      <c r="I869" s="8"/>
      <c r="J869" s="15" t="s">
        <v>5695</v>
      </c>
      <c r="K869" s="8"/>
      <c r="L869" s="15" t="s">
        <v>1685</v>
      </c>
      <c r="M869" s="8" t="s">
        <v>5578</v>
      </c>
      <c r="N869" s="8"/>
      <c r="O869" s="8" t="s">
        <v>5574</v>
      </c>
      <c r="P869" s="11"/>
      <c r="Q869" s="8" t="s">
        <v>5696</v>
      </c>
      <c r="R869" s="8" t="s">
        <v>5919</v>
      </c>
      <c r="S869" s="8" t="s">
        <v>7653</v>
      </c>
    </row>
    <row r="870" spans="1:19" ht="107.1" customHeight="1" x14ac:dyDescent="0.25">
      <c r="A870" s="8" t="s">
        <v>7654</v>
      </c>
      <c r="B870" s="8" t="s">
        <v>5693</v>
      </c>
      <c r="C870" s="8" t="s">
        <v>5918</v>
      </c>
      <c r="D870" s="10">
        <v>549</v>
      </c>
      <c r="E870" s="8" t="s">
        <v>7655</v>
      </c>
      <c r="F870" s="8" t="s">
        <v>7656</v>
      </c>
      <c r="G870" s="8" t="s">
        <v>4727</v>
      </c>
      <c r="H870" s="8" t="s">
        <v>7655</v>
      </c>
      <c r="I870" s="8"/>
      <c r="J870" s="15" t="s">
        <v>5695</v>
      </c>
      <c r="K870" s="8"/>
      <c r="L870" s="15" t="s">
        <v>1685</v>
      </c>
      <c r="M870" s="8" t="s">
        <v>5578</v>
      </c>
      <c r="N870" s="8"/>
      <c r="O870" s="8" t="s">
        <v>5574</v>
      </c>
      <c r="P870" s="11"/>
      <c r="Q870" s="8" t="s">
        <v>5696</v>
      </c>
      <c r="R870" s="8" t="s">
        <v>5919</v>
      </c>
      <c r="S870" s="8" t="s">
        <v>7657</v>
      </c>
    </row>
    <row r="871" spans="1:19" ht="107.1" customHeight="1" x14ac:dyDescent="0.25">
      <c r="A871" s="8" t="s">
        <v>7658</v>
      </c>
      <c r="B871" s="8" t="s">
        <v>5693</v>
      </c>
      <c r="C871" s="8" t="s">
        <v>5918</v>
      </c>
      <c r="D871" s="10">
        <v>550</v>
      </c>
      <c r="E871" s="8" t="s">
        <v>7659</v>
      </c>
      <c r="F871" s="8" t="s">
        <v>7660</v>
      </c>
      <c r="G871" s="8" t="s">
        <v>4727</v>
      </c>
      <c r="H871" s="8" t="s">
        <v>7659</v>
      </c>
      <c r="I871" s="8"/>
      <c r="J871" s="15" t="s">
        <v>5695</v>
      </c>
      <c r="K871" s="8"/>
      <c r="L871" s="15" t="s">
        <v>1685</v>
      </c>
      <c r="M871" s="8" t="s">
        <v>5578</v>
      </c>
      <c r="N871" s="8"/>
      <c r="O871" s="8" t="s">
        <v>5574</v>
      </c>
      <c r="P871" s="11"/>
      <c r="Q871" s="8" t="s">
        <v>5696</v>
      </c>
      <c r="R871" s="8" t="s">
        <v>5919</v>
      </c>
      <c r="S871" s="8" t="s">
        <v>7661</v>
      </c>
    </row>
    <row r="872" spans="1:19" ht="107.1" customHeight="1" x14ac:dyDescent="0.25">
      <c r="A872" s="8" t="s">
        <v>7662</v>
      </c>
      <c r="B872" s="8" t="s">
        <v>5693</v>
      </c>
      <c r="C872" s="8" t="s">
        <v>5918</v>
      </c>
      <c r="D872" s="10">
        <v>551</v>
      </c>
      <c r="E872" s="8" t="s">
        <v>7663</v>
      </c>
      <c r="F872" s="8" t="s">
        <v>7664</v>
      </c>
      <c r="G872" s="8" t="s">
        <v>4727</v>
      </c>
      <c r="H872" s="8" t="s">
        <v>7663</v>
      </c>
      <c r="I872" s="8"/>
      <c r="J872" s="15" t="s">
        <v>5695</v>
      </c>
      <c r="K872" s="8"/>
      <c r="L872" s="15" t="s">
        <v>1685</v>
      </c>
      <c r="M872" s="8" t="s">
        <v>5578</v>
      </c>
      <c r="N872" s="8"/>
      <c r="O872" s="8" t="s">
        <v>5574</v>
      </c>
      <c r="P872" s="11"/>
      <c r="Q872" s="8" t="s">
        <v>5696</v>
      </c>
      <c r="R872" s="8" t="s">
        <v>5919</v>
      </c>
      <c r="S872" s="8" t="s">
        <v>7665</v>
      </c>
    </row>
    <row r="873" spans="1:19" ht="93" customHeight="1" x14ac:dyDescent="0.25">
      <c r="A873" s="8" t="s">
        <v>7666</v>
      </c>
      <c r="B873" s="8" t="s">
        <v>5693</v>
      </c>
      <c r="C873" s="8" t="s">
        <v>5918</v>
      </c>
      <c r="D873" s="10">
        <v>552</v>
      </c>
      <c r="E873" s="8" t="s">
        <v>7667</v>
      </c>
      <c r="F873" s="8" t="s">
        <v>7668</v>
      </c>
      <c r="G873" s="8" t="s">
        <v>4727</v>
      </c>
      <c r="H873" s="8" t="s">
        <v>7667</v>
      </c>
      <c r="I873" s="8"/>
      <c r="J873" s="15" t="s">
        <v>5695</v>
      </c>
      <c r="K873" s="8"/>
      <c r="L873" s="15" t="s">
        <v>1685</v>
      </c>
      <c r="M873" s="8" t="s">
        <v>5578</v>
      </c>
      <c r="N873" s="8"/>
      <c r="O873" s="8" t="s">
        <v>5574</v>
      </c>
      <c r="P873" s="11"/>
      <c r="Q873" s="8" t="s">
        <v>5696</v>
      </c>
      <c r="R873" s="8" t="s">
        <v>5919</v>
      </c>
      <c r="S873" s="8" t="s">
        <v>7669</v>
      </c>
    </row>
    <row r="874" spans="1:19" ht="107.1" customHeight="1" x14ac:dyDescent="0.25">
      <c r="A874" s="8" t="s">
        <v>7670</v>
      </c>
      <c r="B874" s="8" t="s">
        <v>5693</v>
      </c>
      <c r="C874" s="8" t="s">
        <v>5918</v>
      </c>
      <c r="D874" s="10">
        <v>553</v>
      </c>
      <c r="E874" s="8" t="s">
        <v>7671</v>
      </c>
      <c r="F874" s="8" t="s">
        <v>7672</v>
      </c>
      <c r="G874" s="8" t="s">
        <v>4727</v>
      </c>
      <c r="H874" s="8" t="s">
        <v>7671</v>
      </c>
      <c r="I874" s="8"/>
      <c r="J874" s="15" t="s">
        <v>5695</v>
      </c>
      <c r="K874" s="8"/>
      <c r="L874" s="15" t="s">
        <v>1685</v>
      </c>
      <c r="M874" s="8" t="s">
        <v>5578</v>
      </c>
      <c r="N874" s="8"/>
      <c r="O874" s="8" t="s">
        <v>5574</v>
      </c>
      <c r="P874" s="11"/>
      <c r="Q874" s="8" t="s">
        <v>5696</v>
      </c>
      <c r="R874" s="8" t="s">
        <v>5919</v>
      </c>
      <c r="S874" s="8" t="s">
        <v>7673</v>
      </c>
    </row>
    <row r="875" spans="1:19" ht="107.1" customHeight="1" x14ac:dyDescent="0.25">
      <c r="A875" s="8" t="s">
        <v>7674</v>
      </c>
      <c r="B875" s="8" t="s">
        <v>5693</v>
      </c>
      <c r="C875" s="8" t="s">
        <v>5918</v>
      </c>
      <c r="D875" s="10">
        <v>554</v>
      </c>
      <c r="E875" s="8" t="s">
        <v>7675</v>
      </c>
      <c r="F875" s="8" t="s">
        <v>7676</v>
      </c>
      <c r="G875" s="8" t="s">
        <v>4727</v>
      </c>
      <c r="H875" s="8" t="s">
        <v>7675</v>
      </c>
      <c r="I875" s="8"/>
      <c r="J875" s="15" t="s">
        <v>5695</v>
      </c>
      <c r="K875" s="8"/>
      <c r="L875" s="15" t="s">
        <v>1685</v>
      </c>
      <c r="M875" s="8" t="s">
        <v>5578</v>
      </c>
      <c r="N875" s="8"/>
      <c r="O875" s="8" t="s">
        <v>5574</v>
      </c>
      <c r="P875" s="11"/>
      <c r="Q875" s="8" t="s">
        <v>5696</v>
      </c>
      <c r="R875" s="8" t="s">
        <v>5919</v>
      </c>
      <c r="S875" s="8" t="s">
        <v>7677</v>
      </c>
    </row>
    <row r="876" spans="1:19" ht="107.1" customHeight="1" x14ac:dyDescent="0.25">
      <c r="A876" s="8" t="s">
        <v>7678</v>
      </c>
      <c r="B876" s="8" t="s">
        <v>5693</v>
      </c>
      <c r="C876" s="8" t="s">
        <v>5918</v>
      </c>
      <c r="D876" s="10">
        <v>555</v>
      </c>
      <c r="E876" s="8" t="s">
        <v>7679</v>
      </c>
      <c r="F876" s="8" t="s">
        <v>7680</v>
      </c>
      <c r="G876" s="8" t="s">
        <v>4727</v>
      </c>
      <c r="H876" s="8" t="s">
        <v>7679</v>
      </c>
      <c r="I876" s="8"/>
      <c r="J876" s="15" t="s">
        <v>5695</v>
      </c>
      <c r="K876" s="8"/>
      <c r="L876" s="15" t="s">
        <v>1685</v>
      </c>
      <c r="M876" s="8" t="s">
        <v>5578</v>
      </c>
      <c r="N876" s="8"/>
      <c r="O876" s="8" t="s">
        <v>5574</v>
      </c>
      <c r="P876" s="11"/>
      <c r="Q876" s="8" t="s">
        <v>5696</v>
      </c>
      <c r="R876" s="8" t="s">
        <v>5919</v>
      </c>
      <c r="S876" s="8" t="s">
        <v>7681</v>
      </c>
    </row>
    <row r="877" spans="1:19" ht="107.1" customHeight="1" x14ac:dyDescent="0.25">
      <c r="A877" s="8" t="s">
        <v>7682</v>
      </c>
      <c r="B877" s="8" t="s">
        <v>5693</v>
      </c>
      <c r="C877" s="8" t="s">
        <v>5918</v>
      </c>
      <c r="D877" s="10">
        <v>556</v>
      </c>
      <c r="E877" s="8" t="s">
        <v>650</v>
      </c>
      <c r="F877" s="8" t="s">
        <v>652</v>
      </c>
      <c r="G877" s="8" t="s">
        <v>4727</v>
      </c>
      <c r="H877" s="8" t="s">
        <v>650</v>
      </c>
      <c r="I877" s="8"/>
      <c r="J877" s="15" t="s">
        <v>5695</v>
      </c>
      <c r="K877" s="8"/>
      <c r="L877" s="15" t="s">
        <v>1685</v>
      </c>
      <c r="M877" s="8" t="s">
        <v>5578</v>
      </c>
      <c r="N877" s="8"/>
      <c r="O877" s="8" t="s">
        <v>5574</v>
      </c>
      <c r="P877" s="11"/>
      <c r="Q877" s="8" t="s">
        <v>5696</v>
      </c>
      <c r="R877" s="8" t="s">
        <v>5919</v>
      </c>
      <c r="S877" s="8" t="s">
        <v>7683</v>
      </c>
    </row>
    <row r="878" spans="1:19" ht="107.1" customHeight="1" x14ac:dyDescent="0.25">
      <c r="A878" s="8" t="s">
        <v>7684</v>
      </c>
      <c r="B878" s="8" t="s">
        <v>5693</v>
      </c>
      <c r="C878" s="8" t="s">
        <v>5918</v>
      </c>
      <c r="D878" s="10">
        <v>557</v>
      </c>
      <c r="E878" s="8" t="s">
        <v>7685</v>
      </c>
      <c r="F878" s="8" t="s">
        <v>7686</v>
      </c>
      <c r="G878" s="8" t="s">
        <v>4727</v>
      </c>
      <c r="H878" s="8" t="s">
        <v>7685</v>
      </c>
      <c r="I878" s="8"/>
      <c r="J878" s="15" t="s">
        <v>5695</v>
      </c>
      <c r="K878" s="8"/>
      <c r="L878" s="15" t="s">
        <v>1685</v>
      </c>
      <c r="M878" s="8" t="s">
        <v>5578</v>
      </c>
      <c r="N878" s="8"/>
      <c r="O878" s="8" t="s">
        <v>5574</v>
      </c>
      <c r="P878" s="11"/>
      <c r="Q878" s="8" t="s">
        <v>5696</v>
      </c>
      <c r="R878" s="8" t="s">
        <v>5919</v>
      </c>
      <c r="S878" s="8" t="s">
        <v>7687</v>
      </c>
    </row>
    <row r="879" spans="1:19" ht="107.1" customHeight="1" x14ac:dyDescent="0.25">
      <c r="A879" s="8" t="s">
        <v>7688</v>
      </c>
      <c r="B879" s="8" t="s">
        <v>5693</v>
      </c>
      <c r="C879" s="8" t="s">
        <v>5918</v>
      </c>
      <c r="D879" s="10">
        <v>558</v>
      </c>
      <c r="E879" s="8" t="s">
        <v>7689</v>
      </c>
      <c r="F879" s="8" t="s">
        <v>7690</v>
      </c>
      <c r="G879" s="8" t="s">
        <v>4551</v>
      </c>
      <c r="H879" s="8" t="s">
        <v>452</v>
      </c>
      <c r="I879" s="8" t="s">
        <v>452</v>
      </c>
      <c r="J879" s="15" t="s">
        <v>5695</v>
      </c>
      <c r="K879" s="8"/>
      <c r="L879" s="15" t="s">
        <v>1685</v>
      </c>
      <c r="M879" s="8" t="s">
        <v>5578</v>
      </c>
      <c r="N879" s="8"/>
      <c r="O879" s="8" t="s">
        <v>5574</v>
      </c>
      <c r="P879" s="11"/>
      <c r="Q879" s="8" t="s">
        <v>5696</v>
      </c>
      <c r="R879" s="8" t="s">
        <v>5919</v>
      </c>
      <c r="S879" s="8" t="s">
        <v>7691</v>
      </c>
    </row>
    <row r="880" spans="1:19" ht="93" customHeight="1" x14ac:dyDescent="0.25">
      <c r="A880" s="8" t="s">
        <v>7692</v>
      </c>
      <c r="B880" s="8" t="s">
        <v>5693</v>
      </c>
      <c r="C880" s="8" t="s">
        <v>5918</v>
      </c>
      <c r="D880" s="10">
        <v>559</v>
      </c>
      <c r="E880" s="8" t="s">
        <v>7693</v>
      </c>
      <c r="F880" s="8" t="s">
        <v>7694</v>
      </c>
      <c r="G880" s="8" t="s">
        <v>4727</v>
      </c>
      <c r="H880" s="8" t="s">
        <v>7693</v>
      </c>
      <c r="I880" s="8"/>
      <c r="J880" s="15" t="s">
        <v>5695</v>
      </c>
      <c r="K880" s="8"/>
      <c r="L880" s="15" t="s">
        <v>1685</v>
      </c>
      <c r="M880" s="8" t="s">
        <v>5578</v>
      </c>
      <c r="N880" s="8"/>
      <c r="O880" s="8" t="s">
        <v>5574</v>
      </c>
      <c r="P880" s="11"/>
      <c r="Q880" s="8" t="s">
        <v>5696</v>
      </c>
      <c r="R880" s="8" t="s">
        <v>5919</v>
      </c>
      <c r="S880" s="8" t="s">
        <v>7695</v>
      </c>
    </row>
    <row r="881" spans="1:19" ht="107.1" customHeight="1" x14ac:dyDescent="0.25">
      <c r="A881" s="8" t="s">
        <v>7696</v>
      </c>
      <c r="B881" s="8" t="s">
        <v>5693</v>
      </c>
      <c r="C881" s="8" t="s">
        <v>5918</v>
      </c>
      <c r="D881" s="10">
        <v>560</v>
      </c>
      <c r="E881" s="8" t="s">
        <v>7697</v>
      </c>
      <c r="F881" s="8" t="s">
        <v>7698</v>
      </c>
      <c r="G881" s="8" t="s">
        <v>4727</v>
      </c>
      <c r="H881" s="8" t="s">
        <v>7697</v>
      </c>
      <c r="I881" s="8"/>
      <c r="J881" s="15" t="s">
        <v>5695</v>
      </c>
      <c r="K881" s="8"/>
      <c r="L881" s="15" t="s">
        <v>1685</v>
      </c>
      <c r="M881" s="8" t="s">
        <v>5578</v>
      </c>
      <c r="N881" s="8"/>
      <c r="O881" s="8" t="s">
        <v>5574</v>
      </c>
      <c r="P881" s="11"/>
      <c r="Q881" s="8" t="s">
        <v>5696</v>
      </c>
      <c r="R881" s="8" t="s">
        <v>5919</v>
      </c>
      <c r="S881" s="8" t="s">
        <v>7699</v>
      </c>
    </row>
    <row r="882" spans="1:19" ht="107.1" customHeight="1" x14ac:dyDescent="0.25">
      <c r="A882" s="8" t="s">
        <v>7700</v>
      </c>
      <c r="B882" s="8" t="s">
        <v>5693</v>
      </c>
      <c r="C882" s="8" t="s">
        <v>5918</v>
      </c>
      <c r="D882" s="10">
        <v>561</v>
      </c>
      <c r="E882" s="8" t="s">
        <v>7701</v>
      </c>
      <c r="F882" s="8" t="s">
        <v>7702</v>
      </c>
      <c r="G882" s="8" t="s">
        <v>4727</v>
      </c>
      <c r="H882" s="8" t="s">
        <v>7701</v>
      </c>
      <c r="I882" s="8"/>
      <c r="J882" s="15" t="s">
        <v>5695</v>
      </c>
      <c r="K882" s="8"/>
      <c r="L882" s="15" t="s">
        <v>1685</v>
      </c>
      <c r="M882" s="8" t="s">
        <v>5578</v>
      </c>
      <c r="N882" s="8"/>
      <c r="O882" s="8" t="s">
        <v>5574</v>
      </c>
      <c r="P882" s="11"/>
      <c r="Q882" s="8" t="s">
        <v>5696</v>
      </c>
      <c r="R882" s="8" t="s">
        <v>5919</v>
      </c>
      <c r="S882" s="8" t="s">
        <v>7703</v>
      </c>
    </row>
    <row r="883" spans="1:19" ht="93" customHeight="1" x14ac:dyDescent="0.25">
      <c r="A883" s="8" t="s">
        <v>7704</v>
      </c>
      <c r="B883" s="8" t="s">
        <v>5693</v>
      </c>
      <c r="C883" s="8" t="s">
        <v>5918</v>
      </c>
      <c r="D883" s="10">
        <v>562</v>
      </c>
      <c r="E883" s="8" t="s">
        <v>7705</v>
      </c>
      <c r="F883" s="8" t="s">
        <v>7706</v>
      </c>
      <c r="G883" s="8" t="s">
        <v>4727</v>
      </c>
      <c r="H883" s="8" t="s">
        <v>7705</v>
      </c>
      <c r="I883" s="8"/>
      <c r="J883" s="15" t="s">
        <v>5695</v>
      </c>
      <c r="K883" s="8"/>
      <c r="L883" s="15" t="s">
        <v>1685</v>
      </c>
      <c r="M883" s="8" t="s">
        <v>5578</v>
      </c>
      <c r="N883" s="8"/>
      <c r="O883" s="8" t="s">
        <v>5574</v>
      </c>
      <c r="P883" s="11"/>
      <c r="Q883" s="8" t="s">
        <v>5696</v>
      </c>
      <c r="R883" s="8" t="s">
        <v>5919</v>
      </c>
      <c r="S883" s="8" t="s">
        <v>7707</v>
      </c>
    </row>
    <row r="884" spans="1:19" ht="107.1" customHeight="1" x14ac:dyDescent="0.25">
      <c r="A884" s="8" t="s">
        <v>7708</v>
      </c>
      <c r="B884" s="8" t="s">
        <v>5693</v>
      </c>
      <c r="C884" s="8" t="s">
        <v>5918</v>
      </c>
      <c r="D884" s="10">
        <v>563</v>
      </c>
      <c r="E884" s="8" t="s">
        <v>7709</v>
      </c>
      <c r="F884" s="8" t="s">
        <v>7710</v>
      </c>
      <c r="G884" s="8" t="s">
        <v>4727</v>
      </c>
      <c r="H884" s="8" t="s">
        <v>7709</v>
      </c>
      <c r="I884" s="8"/>
      <c r="J884" s="15" t="s">
        <v>5695</v>
      </c>
      <c r="K884" s="8"/>
      <c r="L884" s="15" t="s">
        <v>1685</v>
      </c>
      <c r="M884" s="8" t="s">
        <v>5578</v>
      </c>
      <c r="N884" s="8"/>
      <c r="O884" s="8" t="s">
        <v>5574</v>
      </c>
      <c r="P884" s="11"/>
      <c r="Q884" s="8" t="s">
        <v>5696</v>
      </c>
      <c r="R884" s="8" t="s">
        <v>5919</v>
      </c>
      <c r="S884" s="8" t="s">
        <v>7711</v>
      </c>
    </row>
    <row r="885" spans="1:19" ht="107.1" customHeight="1" x14ac:dyDescent="0.25">
      <c r="A885" s="8" t="s">
        <v>7712</v>
      </c>
      <c r="B885" s="8" t="s">
        <v>5693</v>
      </c>
      <c r="C885" s="8" t="s">
        <v>5918</v>
      </c>
      <c r="D885" s="10">
        <v>564</v>
      </c>
      <c r="E885" s="8" t="s">
        <v>7713</v>
      </c>
      <c r="F885" s="8" t="s">
        <v>7714</v>
      </c>
      <c r="G885" s="8" t="s">
        <v>4727</v>
      </c>
      <c r="H885" s="8" t="s">
        <v>7713</v>
      </c>
      <c r="I885" s="8"/>
      <c r="J885" s="15" t="s">
        <v>5695</v>
      </c>
      <c r="K885" s="8"/>
      <c r="L885" s="15" t="s">
        <v>1685</v>
      </c>
      <c r="M885" s="8" t="s">
        <v>5578</v>
      </c>
      <c r="N885" s="8"/>
      <c r="O885" s="8" t="s">
        <v>5574</v>
      </c>
      <c r="P885" s="11"/>
      <c r="Q885" s="8" t="s">
        <v>5696</v>
      </c>
      <c r="R885" s="8" t="s">
        <v>5919</v>
      </c>
      <c r="S885" s="8" t="s">
        <v>7715</v>
      </c>
    </row>
    <row r="886" spans="1:19" ht="107.1" customHeight="1" x14ac:dyDescent="0.25">
      <c r="A886" s="8" t="s">
        <v>7716</v>
      </c>
      <c r="B886" s="8" t="s">
        <v>5693</v>
      </c>
      <c r="C886" s="8" t="s">
        <v>5918</v>
      </c>
      <c r="D886" s="10">
        <v>565</v>
      </c>
      <c r="E886" s="8" t="s">
        <v>7717</v>
      </c>
      <c r="F886" s="8" t="s">
        <v>7718</v>
      </c>
      <c r="G886" s="8" t="s">
        <v>4727</v>
      </c>
      <c r="H886" s="8" t="s">
        <v>7717</v>
      </c>
      <c r="I886" s="8"/>
      <c r="J886" s="15" t="s">
        <v>5695</v>
      </c>
      <c r="K886" s="8"/>
      <c r="L886" s="15" t="s">
        <v>1685</v>
      </c>
      <c r="M886" s="8" t="s">
        <v>5578</v>
      </c>
      <c r="N886" s="8"/>
      <c r="O886" s="8" t="s">
        <v>5574</v>
      </c>
      <c r="P886" s="11"/>
      <c r="Q886" s="8" t="s">
        <v>5696</v>
      </c>
      <c r="R886" s="8" t="s">
        <v>5919</v>
      </c>
      <c r="S886" s="8" t="s">
        <v>7719</v>
      </c>
    </row>
    <row r="887" spans="1:19" ht="107.1" customHeight="1" x14ac:dyDescent="0.25">
      <c r="A887" s="8" t="s">
        <v>7720</v>
      </c>
      <c r="B887" s="8" t="s">
        <v>5693</v>
      </c>
      <c r="C887" s="8" t="s">
        <v>5918</v>
      </c>
      <c r="D887" s="10">
        <v>566</v>
      </c>
      <c r="E887" s="8" t="s">
        <v>7721</v>
      </c>
      <c r="F887" s="8" t="s">
        <v>7722</v>
      </c>
      <c r="G887" s="8" t="s">
        <v>4727</v>
      </c>
      <c r="H887" s="8" t="s">
        <v>7721</v>
      </c>
      <c r="I887" s="8"/>
      <c r="J887" s="15" t="s">
        <v>5695</v>
      </c>
      <c r="K887" s="8"/>
      <c r="L887" s="15" t="s">
        <v>1685</v>
      </c>
      <c r="M887" s="8" t="s">
        <v>5578</v>
      </c>
      <c r="N887" s="8"/>
      <c r="O887" s="8" t="s">
        <v>5574</v>
      </c>
      <c r="P887" s="11"/>
      <c r="Q887" s="8" t="s">
        <v>5696</v>
      </c>
      <c r="R887" s="8" t="s">
        <v>5919</v>
      </c>
      <c r="S887" s="8" t="s">
        <v>7723</v>
      </c>
    </row>
    <row r="888" spans="1:19" ht="107.1" customHeight="1" x14ac:dyDescent="0.25">
      <c r="A888" s="8" t="s">
        <v>7724</v>
      </c>
      <c r="B888" s="8" t="s">
        <v>5693</v>
      </c>
      <c r="C888" s="8" t="s">
        <v>5918</v>
      </c>
      <c r="D888" s="10">
        <v>567</v>
      </c>
      <c r="E888" s="8" t="s">
        <v>7725</v>
      </c>
      <c r="F888" s="8" t="s">
        <v>7726</v>
      </c>
      <c r="G888" s="8" t="s">
        <v>4727</v>
      </c>
      <c r="H888" s="8" t="s">
        <v>7725</v>
      </c>
      <c r="I888" s="8"/>
      <c r="J888" s="15" t="s">
        <v>5695</v>
      </c>
      <c r="K888" s="8"/>
      <c r="L888" s="15" t="s">
        <v>1685</v>
      </c>
      <c r="M888" s="8" t="s">
        <v>5578</v>
      </c>
      <c r="N888" s="8"/>
      <c r="O888" s="8" t="s">
        <v>5574</v>
      </c>
      <c r="P888" s="11"/>
      <c r="Q888" s="8" t="s">
        <v>5696</v>
      </c>
      <c r="R888" s="8" t="s">
        <v>5919</v>
      </c>
      <c r="S888" s="8" t="s">
        <v>7727</v>
      </c>
    </row>
    <row r="889" spans="1:19" ht="107.1" customHeight="1" x14ac:dyDescent="0.25">
      <c r="A889" s="8" t="s">
        <v>7728</v>
      </c>
      <c r="B889" s="8" t="s">
        <v>5693</v>
      </c>
      <c r="C889" s="8" t="s">
        <v>5918</v>
      </c>
      <c r="D889" s="10">
        <v>568</v>
      </c>
      <c r="E889" s="8" t="s">
        <v>7729</v>
      </c>
      <c r="F889" s="8" t="s">
        <v>7730</v>
      </c>
      <c r="G889" s="8" t="s">
        <v>4727</v>
      </c>
      <c r="H889" s="8" t="s">
        <v>7729</v>
      </c>
      <c r="I889" s="8"/>
      <c r="J889" s="15" t="s">
        <v>5695</v>
      </c>
      <c r="K889" s="8"/>
      <c r="L889" s="15" t="s">
        <v>1685</v>
      </c>
      <c r="M889" s="8" t="s">
        <v>5578</v>
      </c>
      <c r="N889" s="8"/>
      <c r="O889" s="8" t="s">
        <v>5574</v>
      </c>
      <c r="P889" s="11"/>
      <c r="Q889" s="8" t="s">
        <v>5696</v>
      </c>
      <c r="R889" s="8" t="s">
        <v>5919</v>
      </c>
      <c r="S889" s="8" t="s">
        <v>7731</v>
      </c>
    </row>
    <row r="890" spans="1:19" ht="107.1" customHeight="1" x14ac:dyDescent="0.25">
      <c r="A890" s="8" t="s">
        <v>7732</v>
      </c>
      <c r="B890" s="8" t="s">
        <v>5693</v>
      </c>
      <c r="C890" s="8" t="s">
        <v>5918</v>
      </c>
      <c r="D890" s="10">
        <v>569</v>
      </c>
      <c r="E890" s="8" t="s">
        <v>7733</v>
      </c>
      <c r="F890" s="8" t="s">
        <v>7734</v>
      </c>
      <c r="G890" s="8" t="s">
        <v>4727</v>
      </c>
      <c r="H890" s="8" t="s">
        <v>7733</v>
      </c>
      <c r="I890" s="8"/>
      <c r="J890" s="15" t="s">
        <v>5695</v>
      </c>
      <c r="K890" s="8"/>
      <c r="L890" s="15" t="s">
        <v>1685</v>
      </c>
      <c r="M890" s="8" t="s">
        <v>5578</v>
      </c>
      <c r="N890" s="8"/>
      <c r="O890" s="8" t="s">
        <v>5574</v>
      </c>
      <c r="P890" s="11"/>
      <c r="Q890" s="8" t="s">
        <v>5696</v>
      </c>
      <c r="R890" s="8" t="s">
        <v>5919</v>
      </c>
      <c r="S890" s="8" t="s">
        <v>7735</v>
      </c>
    </row>
    <row r="891" spans="1:19" ht="107.1" customHeight="1" x14ac:dyDescent="0.25">
      <c r="A891" s="8" t="s">
        <v>7736</v>
      </c>
      <c r="B891" s="8" t="s">
        <v>5693</v>
      </c>
      <c r="C891" s="8" t="s">
        <v>5918</v>
      </c>
      <c r="D891" s="10">
        <v>570</v>
      </c>
      <c r="E891" s="8" t="s">
        <v>7737</v>
      </c>
      <c r="F891" s="8" t="s">
        <v>7738</v>
      </c>
      <c r="G891" s="8" t="s">
        <v>4727</v>
      </c>
      <c r="H891" s="8" t="s">
        <v>7737</v>
      </c>
      <c r="I891" s="8"/>
      <c r="J891" s="15" t="s">
        <v>5695</v>
      </c>
      <c r="K891" s="8"/>
      <c r="L891" s="15" t="s">
        <v>1685</v>
      </c>
      <c r="M891" s="8" t="s">
        <v>5578</v>
      </c>
      <c r="N891" s="8"/>
      <c r="O891" s="8" t="s">
        <v>5574</v>
      </c>
      <c r="P891" s="11"/>
      <c r="Q891" s="8" t="s">
        <v>5696</v>
      </c>
      <c r="R891" s="8" t="s">
        <v>5919</v>
      </c>
      <c r="S891" s="8" t="s">
        <v>7739</v>
      </c>
    </row>
    <row r="892" spans="1:19" ht="93" customHeight="1" x14ac:dyDescent="0.25">
      <c r="A892" s="8" t="s">
        <v>7740</v>
      </c>
      <c r="B892" s="8" t="s">
        <v>5693</v>
      </c>
      <c r="C892" s="8" t="s">
        <v>5918</v>
      </c>
      <c r="D892" s="10">
        <v>571</v>
      </c>
      <c r="E892" s="8" t="s">
        <v>7741</v>
      </c>
      <c r="F892" s="8" t="s">
        <v>7742</v>
      </c>
      <c r="G892" s="8" t="s">
        <v>4727</v>
      </c>
      <c r="H892" s="8" t="s">
        <v>7741</v>
      </c>
      <c r="I892" s="8"/>
      <c r="J892" s="15" t="s">
        <v>5695</v>
      </c>
      <c r="K892" s="8"/>
      <c r="L892" s="15" t="s">
        <v>1685</v>
      </c>
      <c r="M892" s="8" t="s">
        <v>5578</v>
      </c>
      <c r="N892" s="8"/>
      <c r="O892" s="8" t="s">
        <v>5574</v>
      </c>
      <c r="P892" s="11"/>
      <c r="Q892" s="8" t="s">
        <v>5696</v>
      </c>
      <c r="R892" s="8" t="s">
        <v>5919</v>
      </c>
      <c r="S892" s="8" t="s">
        <v>7743</v>
      </c>
    </row>
    <row r="893" spans="1:19" ht="107.1" customHeight="1" x14ac:dyDescent="0.25">
      <c r="A893" s="8" t="s">
        <v>7744</v>
      </c>
      <c r="B893" s="8" t="s">
        <v>5693</v>
      </c>
      <c r="C893" s="8" t="s">
        <v>5918</v>
      </c>
      <c r="D893" s="10">
        <v>572</v>
      </c>
      <c r="E893" s="8" t="s">
        <v>7745</v>
      </c>
      <c r="F893" s="8" t="s">
        <v>7746</v>
      </c>
      <c r="G893" s="8" t="s">
        <v>4727</v>
      </c>
      <c r="H893" s="8" t="s">
        <v>7745</v>
      </c>
      <c r="I893" s="8"/>
      <c r="J893" s="15" t="s">
        <v>5695</v>
      </c>
      <c r="K893" s="8"/>
      <c r="L893" s="15" t="s">
        <v>1685</v>
      </c>
      <c r="M893" s="8" t="s">
        <v>5578</v>
      </c>
      <c r="N893" s="8"/>
      <c r="O893" s="8" t="s">
        <v>5574</v>
      </c>
      <c r="P893" s="11"/>
      <c r="Q893" s="8" t="s">
        <v>5696</v>
      </c>
      <c r="R893" s="8" t="s">
        <v>5919</v>
      </c>
      <c r="S893" s="8" t="s">
        <v>7747</v>
      </c>
    </row>
    <row r="894" spans="1:19" ht="93" customHeight="1" x14ac:dyDescent="0.25">
      <c r="A894" s="8" t="s">
        <v>7748</v>
      </c>
      <c r="B894" s="8" t="s">
        <v>5693</v>
      </c>
      <c r="C894" s="8" t="s">
        <v>5918</v>
      </c>
      <c r="D894" s="10">
        <v>573</v>
      </c>
      <c r="E894" s="8" t="s">
        <v>7749</v>
      </c>
      <c r="F894" s="8" t="s">
        <v>7750</v>
      </c>
      <c r="G894" s="8" t="s">
        <v>4727</v>
      </c>
      <c r="H894" s="8" t="s">
        <v>7749</v>
      </c>
      <c r="I894" s="8"/>
      <c r="J894" s="15" t="s">
        <v>5695</v>
      </c>
      <c r="K894" s="8"/>
      <c r="L894" s="15" t="s">
        <v>1685</v>
      </c>
      <c r="M894" s="8" t="s">
        <v>5578</v>
      </c>
      <c r="N894" s="8"/>
      <c r="O894" s="8" t="s">
        <v>5574</v>
      </c>
      <c r="P894" s="11"/>
      <c r="Q894" s="8" t="s">
        <v>5696</v>
      </c>
      <c r="R894" s="8" t="s">
        <v>5919</v>
      </c>
      <c r="S894" s="8" t="s">
        <v>7751</v>
      </c>
    </row>
    <row r="895" spans="1:19" ht="107.1" customHeight="1" x14ac:dyDescent="0.25">
      <c r="A895" s="8" t="s">
        <v>7752</v>
      </c>
      <c r="B895" s="8" t="s">
        <v>5693</v>
      </c>
      <c r="C895" s="8" t="s">
        <v>5918</v>
      </c>
      <c r="D895" s="10">
        <v>574</v>
      </c>
      <c r="E895" s="8" t="s">
        <v>7753</v>
      </c>
      <c r="F895" s="8" t="s">
        <v>7754</v>
      </c>
      <c r="G895" s="8" t="s">
        <v>4727</v>
      </c>
      <c r="H895" s="8" t="s">
        <v>7753</v>
      </c>
      <c r="I895" s="8"/>
      <c r="J895" s="15" t="s">
        <v>5695</v>
      </c>
      <c r="K895" s="8"/>
      <c r="L895" s="15" t="s">
        <v>1685</v>
      </c>
      <c r="M895" s="8" t="s">
        <v>5578</v>
      </c>
      <c r="N895" s="8"/>
      <c r="O895" s="8" t="s">
        <v>5574</v>
      </c>
      <c r="P895" s="11"/>
      <c r="Q895" s="8" t="s">
        <v>5696</v>
      </c>
      <c r="R895" s="8" t="s">
        <v>5919</v>
      </c>
      <c r="S895" s="8" t="s">
        <v>7755</v>
      </c>
    </row>
    <row r="896" spans="1:19" ht="107.1" customHeight="1" x14ac:dyDescent="0.25">
      <c r="A896" s="8" t="s">
        <v>7756</v>
      </c>
      <c r="B896" s="8" t="s">
        <v>5693</v>
      </c>
      <c r="C896" s="8" t="s">
        <v>5918</v>
      </c>
      <c r="D896" s="10">
        <v>575</v>
      </c>
      <c r="E896" s="8" t="s">
        <v>7757</v>
      </c>
      <c r="F896" s="8" t="s">
        <v>7758</v>
      </c>
      <c r="G896" s="8" t="s">
        <v>4727</v>
      </c>
      <c r="H896" s="8" t="s">
        <v>7757</v>
      </c>
      <c r="I896" s="8"/>
      <c r="J896" s="15" t="s">
        <v>5695</v>
      </c>
      <c r="K896" s="8"/>
      <c r="L896" s="15" t="s">
        <v>1685</v>
      </c>
      <c r="M896" s="8" t="s">
        <v>5578</v>
      </c>
      <c r="N896" s="8"/>
      <c r="O896" s="8" t="s">
        <v>5574</v>
      </c>
      <c r="P896" s="11"/>
      <c r="Q896" s="8" t="s">
        <v>5696</v>
      </c>
      <c r="R896" s="8" t="s">
        <v>5919</v>
      </c>
      <c r="S896" s="8" t="s">
        <v>7759</v>
      </c>
    </row>
    <row r="897" spans="1:19" ht="93" customHeight="1" x14ac:dyDescent="0.25">
      <c r="A897" s="8" t="s">
        <v>7760</v>
      </c>
      <c r="B897" s="8" t="s">
        <v>5693</v>
      </c>
      <c r="C897" s="8" t="s">
        <v>5918</v>
      </c>
      <c r="D897" s="10">
        <v>576</v>
      </c>
      <c r="E897" s="8" t="s">
        <v>7761</v>
      </c>
      <c r="F897" s="8" t="s">
        <v>7762</v>
      </c>
      <c r="G897" s="8" t="s">
        <v>4727</v>
      </c>
      <c r="H897" s="8" t="s">
        <v>7761</v>
      </c>
      <c r="I897" s="8"/>
      <c r="J897" s="15" t="s">
        <v>5695</v>
      </c>
      <c r="K897" s="8"/>
      <c r="L897" s="15" t="s">
        <v>1685</v>
      </c>
      <c r="M897" s="8" t="s">
        <v>5578</v>
      </c>
      <c r="N897" s="8"/>
      <c r="O897" s="8" t="s">
        <v>5574</v>
      </c>
      <c r="P897" s="11"/>
      <c r="Q897" s="8" t="s">
        <v>5696</v>
      </c>
      <c r="R897" s="8" t="s">
        <v>5919</v>
      </c>
      <c r="S897" s="8" t="s">
        <v>7763</v>
      </c>
    </row>
    <row r="898" spans="1:19" ht="93" customHeight="1" x14ac:dyDescent="0.25">
      <c r="A898" s="8" t="s">
        <v>7764</v>
      </c>
      <c r="B898" s="8" t="s">
        <v>5693</v>
      </c>
      <c r="C898" s="8" t="s">
        <v>5918</v>
      </c>
      <c r="D898" s="10">
        <v>577</v>
      </c>
      <c r="E898" s="8" t="s">
        <v>7765</v>
      </c>
      <c r="F898" s="8" t="s">
        <v>7766</v>
      </c>
      <c r="G898" s="8" t="s">
        <v>4727</v>
      </c>
      <c r="H898" s="8" t="s">
        <v>7765</v>
      </c>
      <c r="I898" s="8"/>
      <c r="J898" s="15" t="s">
        <v>5695</v>
      </c>
      <c r="K898" s="8"/>
      <c r="L898" s="15" t="s">
        <v>1685</v>
      </c>
      <c r="M898" s="8" t="s">
        <v>5578</v>
      </c>
      <c r="N898" s="8"/>
      <c r="O898" s="8" t="s">
        <v>5574</v>
      </c>
      <c r="P898" s="11"/>
      <c r="Q898" s="8" t="s">
        <v>5696</v>
      </c>
      <c r="R898" s="8" t="s">
        <v>5919</v>
      </c>
      <c r="S898" s="8" t="s">
        <v>7767</v>
      </c>
    </row>
    <row r="899" spans="1:19" ht="107.1" customHeight="1" x14ac:dyDescent="0.25">
      <c r="A899" s="8" t="s">
        <v>7768</v>
      </c>
      <c r="B899" s="8" t="s">
        <v>5693</v>
      </c>
      <c r="C899" s="8" t="s">
        <v>5918</v>
      </c>
      <c r="D899" s="10">
        <v>578</v>
      </c>
      <c r="E899" s="8" t="s">
        <v>7769</v>
      </c>
      <c r="F899" s="8" t="s">
        <v>7770</v>
      </c>
      <c r="G899" s="8" t="s">
        <v>4727</v>
      </c>
      <c r="H899" s="8" t="s">
        <v>7769</v>
      </c>
      <c r="I899" s="8"/>
      <c r="J899" s="15" t="s">
        <v>5695</v>
      </c>
      <c r="K899" s="8"/>
      <c r="L899" s="15" t="s">
        <v>1685</v>
      </c>
      <c r="M899" s="8" t="s">
        <v>5578</v>
      </c>
      <c r="N899" s="8"/>
      <c r="O899" s="8" t="s">
        <v>5574</v>
      </c>
      <c r="P899" s="11"/>
      <c r="Q899" s="8" t="s">
        <v>5696</v>
      </c>
      <c r="R899" s="8" t="s">
        <v>5919</v>
      </c>
      <c r="S899" s="8" t="s">
        <v>7771</v>
      </c>
    </row>
    <row r="900" spans="1:19" ht="107.1" customHeight="1" x14ac:dyDescent="0.25">
      <c r="A900" s="8" t="s">
        <v>7772</v>
      </c>
      <c r="B900" s="8" t="s">
        <v>5693</v>
      </c>
      <c r="C900" s="8" t="s">
        <v>5918</v>
      </c>
      <c r="D900" s="10">
        <v>579</v>
      </c>
      <c r="E900" s="8" t="s">
        <v>7773</v>
      </c>
      <c r="F900" s="8" t="s">
        <v>7774</v>
      </c>
      <c r="G900" s="8" t="s">
        <v>4727</v>
      </c>
      <c r="H900" s="8" t="s">
        <v>7773</v>
      </c>
      <c r="I900" s="8"/>
      <c r="J900" s="15" t="s">
        <v>5695</v>
      </c>
      <c r="K900" s="8"/>
      <c r="L900" s="15" t="s">
        <v>1685</v>
      </c>
      <c r="M900" s="8" t="s">
        <v>5578</v>
      </c>
      <c r="N900" s="8"/>
      <c r="O900" s="8" t="s">
        <v>5574</v>
      </c>
      <c r="P900" s="11"/>
      <c r="Q900" s="8" t="s">
        <v>5696</v>
      </c>
      <c r="R900" s="8" t="s">
        <v>5919</v>
      </c>
      <c r="S900" s="8" t="s">
        <v>7775</v>
      </c>
    </row>
    <row r="901" spans="1:19" ht="107.1" customHeight="1" x14ac:dyDescent="0.25">
      <c r="A901" s="8" t="s">
        <v>7776</v>
      </c>
      <c r="B901" s="8" t="s">
        <v>5693</v>
      </c>
      <c r="C901" s="8" t="s">
        <v>5918</v>
      </c>
      <c r="D901" s="10">
        <v>580</v>
      </c>
      <c r="E901" s="8" t="s">
        <v>7777</v>
      </c>
      <c r="F901" s="8" t="s">
        <v>7778</v>
      </c>
      <c r="G901" s="8" t="s">
        <v>4727</v>
      </c>
      <c r="H901" s="8" t="s">
        <v>7777</v>
      </c>
      <c r="I901" s="8"/>
      <c r="J901" s="15" t="s">
        <v>5695</v>
      </c>
      <c r="K901" s="8"/>
      <c r="L901" s="15" t="s">
        <v>1685</v>
      </c>
      <c r="M901" s="8" t="s">
        <v>5578</v>
      </c>
      <c r="N901" s="8"/>
      <c r="O901" s="8" t="s">
        <v>5574</v>
      </c>
      <c r="P901" s="11"/>
      <c r="Q901" s="8" t="s">
        <v>5696</v>
      </c>
      <c r="R901" s="8" t="s">
        <v>5919</v>
      </c>
      <c r="S901" s="8" t="s">
        <v>7779</v>
      </c>
    </row>
    <row r="902" spans="1:19" ht="107.1" customHeight="1" x14ac:dyDescent="0.25">
      <c r="A902" s="8" t="s">
        <v>7780</v>
      </c>
      <c r="B902" s="8" t="s">
        <v>5693</v>
      </c>
      <c r="C902" s="8" t="s">
        <v>5918</v>
      </c>
      <c r="D902" s="10">
        <v>581</v>
      </c>
      <c r="E902" s="8" t="s">
        <v>7781</v>
      </c>
      <c r="F902" s="8" t="s">
        <v>7782</v>
      </c>
      <c r="G902" s="8" t="s">
        <v>4727</v>
      </c>
      <c r="H902" s="8" t="s">
        <v>7781</v>
      </c>
      <c r="I902" s="8"/>
      <c r="J902" s="15" t="s">
        <v>5695</v>
      </c>
      <c r="K902" s="8"/>
      <c r="L902" s="15" t="s">
        <v>1685</v>
      </c>
      <c r="M902" s="8" t="s">
        <v>5578</v>
      </c>
      <c r="N902" s="8"/>
      <c r="O902" s="8" t="s">
        <v>5574</v>
      </c>
      <c r="P902" s="11"/>
      <c r="Q902" s="8" t="s">
        <v>5696</v>
      </c>
      <c r="R902" s="8" t="s">
        <v>5919</v>
      </c>
      <c r="S902" s="8" t="s">
        <v>7783</v>
      </c>
    </row>
    <row r="903" spans="1:19" ht="107.1" customHeight="1" x14ac:dyDescent="0.25">
      <c r="A903" s="8" t="s">
        <v>7784</v>
      </c>
      <c r="B903" s="8" t="s">
        <v>5693</v>
      </c>
      <c r="C903" s="8" t="s">
        <v>5918</v>
      </c>
      <c r="D903" s="10">
        <v>582</v>
      </c>
      <c r="E903" s="8" t="s">
        <v>7785</v>
      </c>
      <c r="F903" s="8" t="s">
        <v>7786</v>
      </c>
      <c r="G903" s="8" t="s">
        <v>4727</v>
      </c>
      <c r="H903" s="8" t="s">
        <v>7785</v>
      </c>
      <c r="I903" s="8"/>
      <c r="J903" s="15" t="s">
        <v>5695</v>
      </c>
      <c r="K903" s="8"/>
      <c r="L903" s="15" t="s">
        <v>1685</v>
      </c>
      <c r="M903" s="8" t="s">
        <v>5578</v>
      </c>
      <c r="N903" s="8"/>
      <c r="O903" s="8" t="s">
        <v>5574</v>
      </c>
      <c r="P903" s="11"/>
      <c r="Q903" s="8" t="s">
        <v>5696</v>
      </c>
      <c r="R903" s="8" t="s">
        <v>5919</v>
      </c>
      <c r="S903" s="8" t="s">
        <v>7787</v>
      </c>
    </row>
    <row r="904" spans="1:19" ht="93" customHeight="1" x14ac:dyDescent="0.25">
      <c r="A904" s="8" t="s">
        <v>7788</v>
      </c>
      <c r="B904" s="8" t="s">
        <v>5693</v>
      </c>
      <c r="C904" s="8" t="s">
        <v>5918</v>
      </c>
      <c r="D904" s="10">
        <v>583</v>
      </c>
      <c r="E904" s="8" t="s">
        <v>7789</v>
      </c>
      <c r="F904" s="8" t="s">
        <v>7790</v>
      </c>
      <c r="G904" s="8" t="s">
        <v>4727</v>
      </c>
      <c r="H904" s="8" t="s">
        <v>7789</v>
      </c>
      <c r="I904" s="8"/>
      <c r="J904" s="15" t="s">
        <v>5695</v>
      </c>
      <c r="K904" s="8"/>
      <c r="L904" s="15" t="s">
        <v>1685</v>
      </c>
      <c r="M904" s="8" t="s">
        <v>5578</v>
      </c>
      <c r="N904" s="8"/>
      <c r="O904" s="8" t="s">
        <v>5574</v>
      </c>
      <c r="P904" s="11"/>
      <c r="Q904" s="8" t="s">
        <v>5696</v>
      </c>
      <c r="R904" s="8" t="s">
        <v>5919</v>
      </c>
      <c r="S904" s="8" t="s">
        <v>7791</v>
      </c>
    </row>
    <row r="905" spans="1:19" ht="93" customHeight="1" x14ac:dyDescent="0.25">
      <c r="A905" s="8" t="s">
        <v>7792</v>
      </c>
      <c r="B905" s="8" t="s">
        <v>5693</v>
      </c>
      <c r="C905" s="8" t="s">
        <v>5918</v>
      </c>
      <c r="D905" s="10">
        <v>584</v>
      </c>
      <c r="E905" s="8" t="s">
        <v>7793</v>
      </c>
      <c r="F905" s="8" t="s">
        <v>7794</v>
      </c>
      <c r="G905" s="8" t="s">
        <v>4727</v>
      </c>
      <c r="H905" s="8" t="s">
        <v>7793</v>
      </c>
      <c r="I905" s="8"/>
      <c r="J905" s="15" t="s">
        <v>5695</v>
      </c>
      <c r="K905" s="8"/>
      <c r="L905" s="15" t="s">
        <v>1685</v>
      </c>
      <c r="M905" s="8" t="s">
        <v>5578</v>
      </c>
      <c r="N905" s="8"/>
      <c r="O905" s="8" t="s">
        <v>5574</v>
      </c>
      <c r="P905" s="11"/>
      <c r="Q905" s="8" t="s">
        <v>5696</v>
      </c>
      <c r="R905" s="8" t="s">
        <v>5919</v>
      </c>
      <c r="S905" s="8" t="s">
        <v>7795</v>
      </c>
    </row>
    <row r="906" spans="1:19" ht="107.1" customHeight="1" x14ac:dyDescent="0.25">
      <c r="A906" s="8" t="s">
        <v>7796</v>
      </c>
      <c r="B906" s="8" t="s">
        <v>5693</v>
      </c>
      <c r="C906" s="8" t="s">
        <v>5918</v>
      </c>
      <c r="D906" s="10">
        <v>585</v>
      </c>
      <c r="E906" s="8" t="s">
        <v>7797</v>
      </c>
      <c r="F906" s="8" t="s">
        <v>7798</v>
      </c>
      <c r="G906" s="8" t="s">
        <v>4727</v>
      </c>
      <c r="H906" s="8" t="s">
        <v>7797</v>
      </c>
      <c r="I906" s="8"/>
      <c r="J906" s="15" t="s">
        <v>5695</v>
      </c>
      <c r="K906" s="8"/>
      <c r="L906" s="15" t="s">
        <v>1685</v>
      </c>
      <c r="M906" s="8" t="s">
        <v>5578</v>
      </c>
      <c r="N906" s="8"/>
      <c r="O906" s="8" t="s">
        <v>5574</v>
      </c>
      <c r="P906" s="11"/>
      <c r="Q906" s="8" t="s">
        <v>5696</v>
      </c>
      <c r="R906" s="8" t="s">
        <v>5919</v>
      </c>
      <c r="S906" s="8" t="s">
        <v>7799</v>
      </c>
    </row>
    <row r="907" spans="1:19" ht="107.1" customHeight="1" x14ac:dyDescent="0.25">
      <c r="A907" s="8" t="s">
        <v>7800</v>
      </c>
      <c r="B907" s="8" t="s">
        <v>5693</v>
      </c>
      <c r="C907" s="8" t="s">
        <v>5918</v>
      </c>
      <c r="D907" s="10">
        <v>586</v>
      </c>
      <c r="E907" s="8" t="s">
        <v>7801</v>
      </c>
      <c r="F907" s="8" t="s">
        <v>7802</v>
      </c>
      <c r="G907" s="8" t="s">
        <v>4727</v>
      </c>
      <c r="H907" s="8" t="s">
        <v>7801</v>
      </c>
      <c r="I907" s="8"/>
      <c r="J907" s="15" t="s">
        <v>5695</v>
      </c>
      <c r="K907" s="8"/>
      <c r="L907" s="15" t="s">
        <v>1685</v>
      </c>
      <c r="M907" s="8" t="s">
        <v>5578</v>
      </c>
      <c r="N907" s="8"/>
      <c r="O907" s="8" t="s">
        <v>5574</v>
      </c>
      <c r="P907" s="11"/>
      <c r="Q907" s="8" t="s">
        <v>5696</v>
      </c>
      <c r="R907" s="8" t="s">
        <v>5919</v>
      </c>
      <c r="S907" s="8" t="s">
        <v>7803</v>
      </c>
    </row>
    <row r="908" spans="1:19" ht="107.1" customHeight="1" x14ac:dyDescent="0.25">
      <c r="A908" s="8" t="s">
        <v>7804</v>
      </c>
      <c r="B908" s="8" t="s">
        <v>5693</v>
      </c>
      <c r="C908" s="8" t="s">
        <v>5918</v>
      </c>
      <c r="D908" s="10">
        <v>587</v>
      </c>
      <c r="E908" s="8" t="s">
        <v>7805</v>
      </c>
      <c r="F908" s="8" t="s">
        <v>7806</v>
      </c>
      <c r="G908" s="8" t="s">
        <v>4727</v>
      </c>
      <c r="H908" s="8" t="s">
        <v>7805</v>
      </c>
      <c r="I908" s="8"/>
      <c r="J908" s="15" t="s">
        <v>5695</v>
      </c>
      <c r="K908" s="8"/>
      <c r="L908" s="15" t="s">
        <v>1685</v>
      </c>
      <c r="M908" s="8" t="s">
        <v>5578</v>
      </c>
      <c r="N908" s="8"/>
      <c r="O908" s="8" t="s">
        <v>5574</v>
      </c>
      <c r="P908" s="11"/>
      <c r="Q908" s="8" t="s">
        <v>5696</v>
      </c>
      <c r="R908" s="8" t="s">
        <v>5919</v>
      </c>
      <c r="S908" s="8" t="s">
        <v>7807</v>
      </c>
    </row>
    <row r="909" spans="1:19" ht="107.1" customHeight="1" x14ac:dyDescent="0.25">
      <c r="A909" s="8" t="s">
        <v>7808</v>
      </c>
      <c r="B909" s="8" t="s">
        <v>5693</v>
      </c>
      <c r="C909" s="8" t="s">
        <v>5918</v>
      </c>
      <c r="D909" s="10">
        <v>588</v>
      </c>
      <c r="E909" s="8" t="s">
        <v>7809</v>
      </c>
      <c r="F909" s="8" t="s">
        <v>7810</v>
      </c>
      <c r="G909" s="8" t="s">
        <v>4727</v>
      </c>
      <c r="H909" s="8" t="s">
        <v>7809</v>
      </c>
      <c r="I909" s="8"/>
      <c r="J909" s="15" t="s">
        <v>5695</v>
      </c>
      <c r="K909" s="8"/>
      <c r="L909" s="15" t="s">
        <v>1685</v>
      </c>
      <c r="M909" s="8" t="s">
        <v>5578</v>
      </c>
      <c r="N909" s="8"/>
      <c r="O909" s="8" t="s">
        <v>5574</v>
      </c>
      <c r="P909" s="11"/>
      <c r="Q909" s="8" t="s">
        <v>5696</v>
      </c>
      <c r="R909" s="8" t="s">
        <v>5919</v>
      </c>
      <c r="S909" s="8" t="s">
        <v>7811</v>
      </c>
    </row>
    <row r="910" spans="1:19" ht="107.1" customHeight="1" x14ac:dyDescent="0.25">
      <c r="A910" s="8" t="s">
        <v>7812</v>
      </c>
      <c r="B910" s="8" t="s">
        <v>5693</v>
      </c>
      <c r="C910" s="8" t="s">
        <v>5918</v>
      </c>
      <c r="D910" s="10">
        <v>589</v>
      </c>
      <c r="E910" s="8" t="s">
        <v>7813</v>
      </c>
      <c r="F910" s="8" t="s">
        <v>7814</v>
      </c>
      <c r="G910" s="8" t="s">
        <v>4727</v>
      </c>
      <c r="H910" s="8" t="s">
        <v>7813</v>
      </c>
      <c r="I910" s="8"/>
      <c r="J910" s="15" t="s">
        <v>5695</v>
      </c>
      <c r="K910" s="8"/>
      <c r="L910" s="15" t="s">
        <v>1685</v>
      </c>
      <c r="M910" s="8" t="s">
        <v>5578</v>
      </c>
      <c r="N910" s="8"/>
      <c r="O910" s="8" t="s">
        <v>5574</v>
      </c>
      <c r="P910" s="11"/>
      <c r="Q910" s="8" t="s">
        <v>5696</v>
      </c>
      <c r="R910" s="8" t="s">
        <v>5919</v>
      </c>
      <c r="S910" s="8" t="s">
        <v>7815</v>
      </c>
    </row>
    <row r="911" spans="1:19" ht="93" customHeight="1" x14ac:dyDescent="0.25">
      <c r="A911" s="8" t="s">
        <v>7816</v>
      </c>
      <c r="B911" s="8" t="s">
        <v>5693</v>
      </c>
      <c r="C911" s="8" t="s">
        <v>5918</v>
      </c>
      <c r="D911" s="10">
        <v>590</v>
      </c>
      <c r="E911" s="8" t="s">
        <v>7817</v>
      </c>
      <c r="F911" s="8" t="s">
        <v>7818</v>
      </c>
      <c r="G911" s="8" t="s">
        <v>4727</v>
      </c>
      <c r="H911" s="8" t="s">
        <v>7817</v>
      </c>
      <c r="I911" s="8"/>
      <c r="J911" s="15" t="s">
        <v>5695</v>
      </c>
      <c r="K911" s="8"/>
      <c r="L911" s="15" t="s">
        <v>1685</v>
      </c>
      <c r="M911" s="8" t="s">
        <v>5578</v>
      </c>
      <c r="N911" s="8"/>
      <c r="O911" s="8" t="s">
        <v>5574</v>
      </c>
      <c r="P911" s="11"/>
      <c r="Q911" s="8" t="s">
        <v>5696</v>
      </c>
      <c r="R911" s="8" t="s">
        <v>5919</v>
      </c>
      <c r="S911" s="8" t="s">
        <v>7819</v>
      </c>
    </row>
    <row r="912" spans="1:19" ht="107.1" customHeight="1" x14ac:dyDescent="0.25">
      <c r="A912" s="8" t="s">
        <v>7820</v>
      </c>
      <c r="B912" s="8" t="s">
        <v>5693</v>
      </c>
      <c r="C912" s="8" t="s">
        <v>5918</v>
      </c>
      <c r="D912" s="10">
        <v>591</v>
      </c>
      <c r="E912" s="8" t="s">
        <v>7821</v>
      </c>
      <c r="F912" s="8" t="s">
        <v>7822</v>
      </c>
      <c r="G912" s="8" t="s">
        <v>4727</v>
      </c>
      <c r="H912" s="8" t="s">
        <v>7821</v>
      </c>
      <c r="I912" s="8"/>
      <c r="J912" s="15" t="s">
        <v>5695</v>
      </c>
      <c r="K912" s="8"/>
      <c r="L912" s="15" t="s">
        <v>1685</v>
      </c>
      <c r="M912" s="8" t="s">
        <v>5578</v>
      </c>
      <c r="N912" s="8"/>
      <c r="O912" s="8" t="s">
        <v>5574</v>
      </c>
      <c r="P912" s="11"/>
      <c r="Q912" s="8" t="s">
        <v>5696</v>
      </c>
      <c r="R912" s="8" t="s">
        <v>5919</v>
      </c>
      <c r="S912" s="8" t="s">
        <v>7823</v>
      </c>
    </row>
    <row r="913" spans="1:19" ht="107.1" customHeight="1" x14ac:dyDescent="0.25">
      <c r="A913" s="8" t="s">
        <v>7824</v>
      </c>
      <c r="B913" s="8" t="s">
        <v>5693</v>
      </c>
      <c r="C913" s="8" t="s">
        <v>5918</v>
      </c>
      <c r="D913" s="10">
        <v>592</v>
      </c>
      <c r="E913" s="8" t="s">
        <v>7825</v>
      </c>
      <c r="F913" s="8" t="s">
        <v>7826</v>
      </c>
      <c r="G913" s="8" t="s">
        <v>4727</v>
      </c>
      <c r="H913" s="8" t="s">
        <v>7825</v>
      </c>
      <c r="I913" s="8"/>
      <c r="J913" s="15" t="s">
        <v>5695</v>
      </c>
      <c r="K913" s="8"/>
      <c r="L913" s="15" t="s">
        <v>1685</v>
      </c>
      <c r="M913" s="8" t="s">
        <v>5578</v>
      </c>
      <c r="N913" s="8"/>
      <c r="O913" s="8" t="s">
        <v>5574</v>
      </c>
      <c r="P913" s="11"/>
      <c r="Q913" s="8" t="s">
        <v>5696</v>
      </c>
      <c r="R913" s="8" t="s">
        <v>5919</v>
      </c>
      <c r="S913" s="8" t="s">
        <v>7827</v>
      </c>
    </row>
    <row r="914" spans="1:19" ht="107.1" customHeight="1" x14ac:dyDescent="0.25">
      <c r="A914" s="8" t="s">
        <v>7828</v>
      </c>
      <c r="B914" s="8" t="s">
        <v>5693</v>
      </c>
      <c r="C914" s="8" t="s">
        <v>5918</v>
      </c>
      <c r="D914" s="10">
        <v>593</v>
      </c>
      <c r="E914" s="8" t="s">
        <v>7829</v>
      </c>
      <c r="F914" s="8" t="s">
        <v>7830</v>
      </c>
      <c r="G914" s="8" t="s">
        <v>4727</v>
      </c>
      <c r="H914" s="8" t="s">
        <v>7829</v>
      </c>
      <c r="I914" s="8"/>
      <c r="J914" s="15" t="s">
        <v>5695</v>
      </c>
      <c r="K914" s="8"/>
      <c r="L914" s="15" t="s">
        <v>1685</v>
      </c>
      <c r="M914" s="8" t="s">
        <v>5578</v>
      </c>
      <c r="N914" s="8"/>
      <c r="O914" s="8" t="s">
        <v>5574</v>
      </c>
      <c r="P914" s="11"/>
      <c r="Q914" s="8" t="s">
        <v>5696</v>
      </c>
      <c r="R914" s="8" t="s">
        <v>5919</v>
      </c>
      <c r="S914" s="8" t="s">
        <v>7831</v>
      </c>
    </row>
    <row r="915" spans="1:19" ht="107.1" customHeight="1" x14ac:dyDescent="0.25">
      <c r="A915" s="8" t="s">
        <v>7832</v>
      </c>
      <c r="B915" s="8" t="s">
        <v>5693</v>
      </c>
      <c r="C915" s="8" t="s">
        <v>5918</v>
      </c>
      <c r="D915" s="10">
        <v>594</v>
      </c>
      <c r="E915" s="8" t="s">
        <v>7833</v>
      </c>
      <c r="F915" s="8" t="s">
        <v>7834</v>
      </c>
      <c r="G915" s="8" t="s">
        <v>4727</v>
      </c>
      <c r="H915" s="8" t="s">
        <v>7833</v>
      </c>
      <c r="I915" s="8"/>
      <c r="J915" s="15" t="s">
        <v>5695</v>
      </c>
      <c r="K915" s="8"/>
      <c r="L915" s="15" t="s">
        <v>1685</v>
      </c>
      <c r="M915" s="8" t="s">
        <v>5578</v>
      </c>
      <c r="N915" s="8"/>
      <c r="O915" s="8" t="s">
        <v>5574</v>
      </c>
      <c r="P915" s="11"/>
      <c r="Q915" s="8" t="s">
        <v>5696</v>
      </c>
      <c r="R915" s="8" t="s">
        <v>5919</v>
      </c>
      <c r="S915" s="8" t="s">
        <v>7835</v>
      </c>
    </row>
    <row r="916" spans="1:19" ht="107.1" customHeight="1" x14ac:dyDescent="0.25">
      <c r="A916" s="8" t="s">
        <v>7836</v>
      </c>
      <c r="B916" s="8" t="s">
        <v>5693</v>
      </c>
      <c r="C916" s="8" t="s">
        <v>5918</v>
      </c>
      <c r="D916" s="10">
        <v>595</v>
      </c>
      <c r="E916" s="8" t="s">
        <v>7837</v>
      </c>
      <c r="F916" s="8" t="s">
        <v>7838</v>
      </c>
      <c r="G916" s="8" t="s">
        <v>4727</v>
      </c>
      <c r="H916" s="8" t="s">
        <v>7837</v>
      </c>
      <c r="I916" s="8"/>
      <c r="J916" s="15" t="s">
        <v>5695</v>
      </c>
      <c r="K916" s="8"/>
      <c r="L916" s="15" t="s">
        <v>1685</v>
      </c>
      <c r="M916" s="8" t="s">
        <v>5578</v>
      </c>
      <c r="N916" s="8"/>
      <c r="O916" s="8" t="s">
        <v>5574</v>
      </c>
      <c r="P916" s="11"/>
      <c r="Q916" s="8" t="s">
        <v>5696</v>
      </c>
      <c r="R916" s="8" t="s">
        <v>5919</v>
      </c>
      <c r="S916" s="8" t="s">
        <v>7839</v>
      </c>
    </row>
    <row r="917" spans="1:19" ht="93" customHeight="1" x14ac:dyDescent="0.25">
      <c r="A917" s="8" t="s">
        <v>7840</v>
      </c>
      <c r="B917" s="8" t="s">
        <v>5693</v>
      </c>
      <c r="C917" s="8" t="s">
        <v>5918</v>
      </c>
      <c r="D917" s="10">
        <v>596</v>
      </c>
      <c r="E917" s="8" t="s">
        <v>7841</v>
      </c>
      <c r="F917" s="8" t="s">
        <v>7842</v>
      </c>
      <c r="G917" s="8" t="s">
        <v>4727</v>
      </c>
      <c r="H917" s="8" t="s">
        <v>7841</v>
      </c>
      <c r="I917" s="8"/>
      <c r="J917" s="15" t="s">
        <v>5695</v>
      </c>
      <c r="K917" s="8"/>
      <c r="L917" s="15" t="s">
        <v>1685</v>
      </c>
      <c r="M917" s="8" t="s">
        <v>5578</v>
      </c>
      <c r="N917" s="8"/>
      <c r="O917" s="8" t="s">
        <v>5574</v>
      </c>
      <c r="P917" s="11"/>
      <c r="Q917" s="8" t="s">
        <v>5696</v>
      </c>
      <c r="R917" s="8" t="s">
        <v>5919</v>
      </c>
      <c r="S917" s="8" t="s">
        <v>7843</v>
      </c>
    </row>
    <row r="918" spans="1:19" ht="107.1" customHeight="1" x14ac:dyDescent="0.25">
      <c r="A918" s="8" t="s">
        <v>7844</v>
      </c>
      <c r="B918" s="8" t="s">
        <v>5693</v>
      </c>
      <c r="C918" s="8" t="s">
        <v>5918</v>
      </c>
      <c r="D918" s="10">
        <v>597</v>
      </c>
      <c r="E918" s="8" t="s">
        <v>7845</v>
      </c>
      <c r="F918" s="8" t="s">
        <v>7846</v>
      </c>
      <c r="G918" s="8" t="s">
        <v>4727</v>
      </c>
      <c r="H918" s="8" t="s">
        <v>7845</v>
      </c>
      <c r="I918" s="8"/>
      <c r="J918" s="15" t="s">
        <v>5695</v>
      </c>
      <c r="K918" s="8"/>
      <c r="L918" s="15" t="s">
        <v>1685</v>
      </c>
      <c r="M918" s="8" t="s">
        <v>5578</v>
      </c>
      <c r="N918" s="8"/>
      <c r="O918" s="8" t="s">
        <v>5574</v>
      </c>
      <c r="P918" s="11"/>
      <c r="Q918" s="8" t="s">
        <v>5696</v>
      </c>
      <c r="R918" s="8" t="s">
        <v>5919</v>
      </c>
      <c r="S918" s="8" t="s">
        <v>7847</v>
      </c>
    </row>
    <row r="919" spans="1:19" ht="107.1" customHeight="1" x14ac:dyDescent="0.25">
      <c r="A919" s="8" t="s">
        <v>7848</v>
      </c>
      <c r="B919" s="8" t="s">
        <v>5693</v>
      </c>
      <c r="C919" s="8" t="s">
        <v>5918</v>
      </c>
      <c r="D919" s="10">
        <v>598</v>
      </c>
      <c r="E919" s="8" t="s">
        <v>7849</v>
      </c>
      <c r="F919" s="8" t="s">
        <v>7850</v>
      </c>
      <c r="G919" s="8" t="s">
        <v>4727</v>
      </c>
      <c r="H919" s="8" t="s">
        <v>7849</v>
      </c>
      <c r="I919" s="8"/>
      <c r="J919" s="15" t="s">
        <v>5695</v>
      </c>
      <c r="K919" s="8"/>
      <c r="L919" s="15" t="s">
        <v>1685</v>
      </c>
      <c r="M919" s="8" t="s">
        <v>5578</v>
      </c>
      <c r="N919" s="8"/>
      <c r="O919" s="8" t="s">
        <v>5574</v>
      </c>
      <c r="P919" s="11"/>
      <c r="Q919" s="8" t="s">
        <v>5696</v>
      </c>
      <c r="R919" s="8" t="s">
        <v>5919</v>
      </c>
      <c r="S919" s="8" t="s">
        <v>7851</v>
      </c>
    </row>
    <row r="920" spans="1:19" ht="107.1" customHeight="1" x14ac:dyDescent="0.25">
      <c r="A920" s="8" t="s">
        <v>7852</v>
      </c>
      <c r="B920" s="8" t="s">
        <v>5693</v>
      </c>
      <c r="C920" s="8" t="s">
        <v>5918</v>
      </c>
      <c r="D920" s="10">
        <v>599</v>
      </c>
      <c r="E920" s="8" t="s">
        <v>7853</v>
      </c>
      <c r="F920" s="8" t="s">
        <v>7854</v>
      </c>
      <c r="G920" s="8" t="s">
        <v>4727</v>
      </c>
      <c r="H920" s="8" t="s">
        <v>7853</v>
      </c>
      <c r="I920" s="8"/>
      <c r="J920" s="15" t="s">
        <v>5695</v>
      </c>
      <c r="K920" s="8"/>
      <c r="L920" s="15" t="s">
        <v>1685</v>
      </c>
      <c r="M920" s="8" t="s">
        <v>5578</v>
      </c>
      <c r="N920" s="8"/>
      <c r="O920" s="8" t="s">
        <v>5574</v>
      </c>
      <c r="P920" s="11"/>
      <c r="Q920" s="8" t="s">
        <v>5696</v>
      </c>
      <c r="R920" s="8" t="s">
        <v>5919</v>
      </c>
      <c r="S920" s="8" t="s">
        <v>7855</v>
      </c>
    </row>
    <row r="921" spans="1:19" ht="107.1" customHeight="1" x14ac:dyDescent="0.25">
      <c r="A921" s="8" t="s">
        <v>7856</v>
      </c>
      <c r="B921" s="8" t="s">
        <v>5693</v>
      </c>
      <c r="C921" s="8" t="s">
        <v>5918</v>
      </c>
      <c r="D921" s="10">
        <v>600</v>
      </c>
      <c r="E921" s="8" t="s">
        <v>7857</v>
      </c>
      <c r="F921" s="8" t="s">
        <v>7858</v>
      </c>
      <c r="G921" s="8" t="s">
        <v>4727</v>
      </c>
      <c r="H921" s="8" t="s">
        <v>7857</v>
      </c>
      <c r="I921" s="8"/>
      <c r="J921" s="15" t="s">
        <v>5695</v>
      </c>
      <c r="K921" s="8"/>
      <c r="L921" s="15" t="s">
        <v>1685</v>
      </c>
      <c r="M921" s="8" t="s">
        <v>5578</v>
      </c>
      <c r="N921" s="8"/>
      <c r="O921" s="8" t="s">
        <v>5574</v>
      </c>
      <c r="P921" s="11"/>
      <c r="Q921" s="8" t="s">
        <v>5696</v>
      </c>
      <c r="R921" s="8" t="s">
        <v>5919</v>
      </c>
      <c r="S921" s="8" t="s">
        <v>7859</v>
      </c>
    </row>
    <row r="922" spans="1:19" ht="107.1" customHeight="1" x14ac:dyDescent="0.25">
      <c r="A922" s="8" t="s">
        <v>7860</v>
      </c>
      <c r="B922" s="8" t="s">
        <v>5693</v>
      </c>
      <c r="C922" s="8" t="s">
        <v>5918</v>
      </c>
      <c r="D922" s="10">
        <v>601</v>
      </c>
      <c r="E922" s="8" t="s">
        <v>7861</v>
      </c>
      <c r="F922" s="8" t="s">
        <v>7862</v>
      </c>
      <c r="G922" s="8" t="s">
        <v>4727</v>
      </c>
      <c r="H922" s="8" t="s">
        <v>7861</v>
      </c>
      <c r="I922" s="8"/>
      <c r="J922" s="15" t="s">
        <v>5695</v>
      </c>
      <c r="K922" s="8"/>
      <c r="L922" s="15" t="s">
        <v>1685</v>
      </c>
      <c r="M922" s="8" t="s">
        <v>5578</v>
      </c>
      <c r="N922" s="8"/>
      <c r="O922" s="8" t="s">
        <v>5574</v>
      </c>
      <c r="P922" s="11"/>
      <c r="Q922" s="8" t="s">
        <v>5696</v>
      </c>
      <c r="R922" s="8" t="s">
        <v>5919</v>
      </c>
      <c r="S922" s="8" t="s">
        <v>7863</v>
      </c>
    </row>
    <row r="923" spans="1:19" ht="107.1" customHeight="1" x14ac:dyDescent="0.25">
      <c r="A923" s="8" t="s">
        <v>7864</v>
      </c>
      <c r="B923" s="8" t="s">
        <v>5693</v>
      </c>
      <c r="C923" s="8" t="s">
        <v>5918</v>
      </c>
      <c r="D923" s="10">
        <v>602</v>
      </c>
      <c r="E923" s="8" t="s">
        <v>7865</v>
      </c>
      <c r="F923" s="8" t="s">
        <v>7866</v>
      </c>
      <c r="G923" s="8" t="s">
        <v>4727</v>
      </c>
      <c r="H923" s="8" t="s">
        <v>7865</v>
      </c>
      <c r="I923" s="8"/>
      <c r="J923" s="15" t="s">
        <v>5695</v>
      </c>
      <c r="K923" s="8"/>
      <c r="L923" s="15" t="s">
        <v>1685</v>
      </c>
      <c r="M923" s="8" t="s">
        <v>5578</v>
      </c>
      <c r="N923" s="8"/>
      <c r="O923" s="8" t="s">
        <v>5574</v>
      </c>
      <c r="P923" s="11"/>
      <c r="Q923" s="8" t="s">
        <v>5696</v>
      </c>
      <c r="R923" s="8" t="s">
        <v>5919</v>
      </c>
      <c r="S923" s="8" t="s">
        <v>7867</v>
      </c>
    </row>
    <row r="924" spans="1:19" ht="107.1" customHeight="1" x14ac:dyDescent="0.25">
      <c r="A924" s="8" t="s">
        <v>7868</v>
      </c>
      <c r="B924" s="8" t="s">
        <v>5693</v>
      </c>
      <c r="C924" s="8" t="s">
        <v>5918</v>
      </c>
      <c r="D924" s="10">
        <v>603</v>
      </c>
      <c r="E924" s="8" t="s">
        <v>7869</v>
      </c>
      <c r="F924" s="8" t="s">
        <v>7870</v>
      </c>
      <c r="G924" s="8" t="s">
        <v>4727</v>
      </c>
      <c r="H924" s="8" t="s">
        <v>7869</v>
      </c>
      <c r="I924" s="8"/>
      <c r="J924" s="15" t="s">
        <v>5695</v>
      </c>
      <c r="K924" s="8"/>
      <c r="L924" s="15" t="s">
        <v>1685</v>
      </c>
      <c r="M924" s="8" t="s">
        <v>5578</v>
      </c>
      <c r="N924" s="8"/>
      <c r="O924" s="8" t="s">
        <v>5574</v>
      </c>
      <c r="P924" s="11"/>
      <c r="Q924" s="8" t="s">
        <v>5696</v>
      </c>
      <c r="R924" s="8" t="s">
        <v>5919</v>
      </c>
      <c r="S924" s="8" t="s">
        <v>7871</v>
      </c>
    </row>
    <row r="925" spans="1:19" ht="107.1" customHeight="1" x14ac:dyDescent="0.25">
      <c r="A925" s="8" t="s">
        <v>7872</v>
      </c>
      <c r="B925" s="8" t="s">
        <v>5693</v>
      </c>
      <c r="C925" s="8" t="s">
        <v>5918</v>
      </c>
      <c r="D925" s="10">
        <v>604</v>
      </c>
      <c r="E925" s="8" t="s">
        <v>7873</v>
      </c>
      <c r="F925" s="8" t="s">
        <v>7874</v>
      </c>
      <c r="G925" s="8" t="s">
        <v>4727</v>
      </c>
      <c r="H925" s="8" t="s">
        <v>7873</v>
      </c>
      <c r="I925" s="8"/>
      <c r="J925" s="15" t="s">
        <v>5695</v>
      </c>
      <c r="K925" s="8"/>
      <c r="L925" s="15" t="s">
        <v>1685</v>
      </c>
      <c r="M925" s="8" t="s">
        <v>5578</v>
      </c>
      <c r="N925" s="8"/>
      <c r="O925" s="8" t="s">
        <v>5574</v>
      </c>
      <c r="P925" s="11"/>
      <c r="Q925" s="8" t="s">
        <v>5696</v>
      </c>
      <c r="R925" s="8" t="s">
        <v>5919</v>
      </c>
      <c r="S925" s="8" t="s">
        <v>7875</v>
      </c>
    </row>
    <row r="926" spans="1:19" ht="93" customHeight="1" x14ac:dyDescent="0.25">
      <c r="A926" s="8" t="s">
        <v>7876</v>
      </c>
      <c r="B926" s="8" t="s">
        <v>5693</v>
      </c>
      <c r="C926" s="8" t="s">
        <v>5918</v>
      </c>
      <c r="D926" s="10">
        <v>605</v>
      </c>
      <c r="E926" s="8" t="s">
        <v>7877</v>
      </c>
      <c r="F926" s="8" t="s">
        <v>7878</v>
      </c>
      <c r="G926" s="8" t="s">
        <v>4727</v>
      </c>
      <c r="H926" s="8" t="s">
        <v>7877</v>
      </c>
      <c r="I926" s="8"/>
      <c r="J926" s="15" t="s">
        <v>5695</v>
      </c>
      <c r="K926" s="8"/>
      <c r="L926" s="15" t="s">
        <v>1685</v>
      </c>
      <c r="M926" s="8" t="s">
        <v>5578</v>
      </c>
      <c r="N926" s="8"/>
      <c r="O926" s="8" t="s">
        <v>5574</v>
      </c>
      <c r="P926" s="11"/>
      <c r="Q926" s="8" t="s">
        <v>5696</v>
      </c>
      <c r="R926" s="8" t="s">
        <v>5919</v>
      </c>
      <c r="S926" s="8" t="s">
        <v>7879</v>
      </c>
    </row>
    <row r="927" spans="1:19" ht="107.1" customHeight="1" x14ac:dyDescent="0.25">
      <c r="A927" s="8" t="s">
        <v>7880</v>
      </c>
      <c r="B927" s="8" t="s">
        <v>5693</v>
      </c>
      <c r="C927" s="8" t="s">
        <v>5918</v>
      </c>
      <c r="D927" s="10">
        <v>606</v>
      </c>
      <c r="E927" s="8" t="s">
        <v>7881</v>
      </c>
      <c r="F927" s="8" t="s">
        <v>7882</v>
      </c>
      <c r="G927" s="8" t="s">
        <v>4727</v>
      </c>
      <c r="H927" s="8" t="s">
        <v>7881</v>
      </c>
      <c r="I927" s="8"/>
      <c r="J927" s="15" t="s">
        <v>5695</v>
      </c>
      <c r="K927" s="8"/>
      <c r="L927" s="15" t="s">
        <v>1685</v>
      </c>
      <c r="M927" s="8" t="s">
        <v>5578</v>
      </c>
      <c r="N927" s="8"/>
      <c r="O927" s="8" t="s">
        <v>5574</v>
      </c>
      <c r="P927" s="11"/>
      <c r="Q927" s="8" t="s">
        <v>5696</v>
      </c>
      <c r="R927" s="8" t="s">
        <v>5919</v>
      </c>
      <c r="S927" s="8" t="s">
        <v>7883</v>
      </c>
    </row>
    <row r="928" spans="1:19" ht="107.1" customHeight="1" x14ac:dyDescent="0.25">
      <c r="A928" s="8" t="s">
        <v>7884</v>
      </c>
      <c r="B928" s="8" t="s">
        <v>5693</v>
      </c>
      <c r="C928" s="8" t="s">
        <v>5918</v>
      </c>
      <c r="D928" s="10">
        <v>607</v>
      </c>
      <c r="E928" s="8" t="s">
        <v>7885</v>
      </c>
      <c r="F928" s="8" t="s">
        <v>7886</v>
      </c>
      <c r="G928" s="8" t="s">
        <v>4727</v>
      </c>
      <c r="H928" s="8" t="s">
        <v>7885</v>
      </c>
      <c r="I928" s="8"/>
      <c r="J928" s="15" t="s">
        <v>5695</v>
      </c>
      <c r="K928" s="8"/>
      <c r="L928" s="15" t="s">
        <v>1685</v>
      </c>
      <c r="M928" s="8" t="s">
        <v>5578</v>
      </c>
      <c r="N928" s="8"/>
      <c r="O928" s="8" t="s">
        <v>5574</v>
      </c>
      <c r="P928" s="11"/>
      <c r="Q928" s="8" t="s">
        <v>5696</v>
      </c>
      <c r="R928" s="8" t="s">
        <v>5919</v>
      </c>
      <c r="S928" s="8" t="s">
        <v>7887</v>
      </c>
    </row>
    <row r="929" spans="1:19" ht="107.1" customHeight="1" x14ac:dyDescent="0.25">
      <c r="A929" s="8" t="s">
        <v>7888</v>
      </c>
      <c r="B929" s="8" t="s">
        <v>5693</v>
      </c>
      <c r="C929" s="8" t="s">
        <v>5918</v>
      </c>
      <c r="D929" s="10">
        <v>608</v>
      </c>
      <c r="E929" s="8" t="s">
        <v>7889</v>
      </c>
      <c r="F929" s="8" t="s">
        <v>7890</v>
      </c>
      <c r="G929" s="8" t="s">
        <v>4727</v>
      </c>
      <c r="H929" s="8" t="s">
        <v>7889</v>
      </c>
      <c r="I929" s="8"/>
      <c r="J929" s="15" t="s">
        <v>5695</v>
      </c>
      <c r="K929" s="8"/>
      <c r="L929" s="15" t="s">
        <v>1685</v>
      </c>
      <c r="M929" s="8" t="s">
        <v>5578</v>
      </c>
      <c r="N929" s="8"/>
      <c r="O929" s="8" t="s">
        <v>5574</v>
      </c>
      <c r="P929" s="11"/>
      <c r="Q929" s="8" t="s">
        <v>5696</v>
      </c>
      <c r="R929" s="8" t="s">
        <v>5919</v>
      </c>
      <c r="S929" s="8" t="s">
        <v>7891</v>
      </c>
    </row>
    <row r="930" spans="1:19" ht="93" customHeight="1" x14ac:dyDescent="0.25">
      <c r="A930" s="8" t="s">
        <v>7892</v>
      </c>
      <c r="B930" s="8" t="s">
        <v>5693</v>
      </c>
      <c r="C930" s="8" t="s">
        <v>5918</v>
      </c>
      <c r="D930" s="10">
        <v>609</v>
      </c>
      <c r="E930" s="8" t="s">
        <v>7893</v>
      </c>
      <c r="F930" s="8" t="s">
        <v>7894</v>
      </c>
      <c r="G930" s="8" t="s">
        <v>4727</v>
      </c>
      <c r="H930" s="8" t="s">
        <v>7893</v>
      </c>
      <c r="I930" s="8"/>
      <c r="J930" s="15" t="s">
        <v>5695</v>
      </c>
      <c r="K930" s="8"/>
      <c r="L930" s="15" t="s">
        <v>1685</v>
      </c>
      <c r="M930" s="8" t="s">
        <v>5578</v>
      </c>
      <c r="N930" s="8"/>
      <c r="O930" s="8" t="s">
        <v>5574</v>
      </c>
      <c r="P930" s="11"/>
      <c r="Q930" s="8" t="s">
        <v>5696</v>
      </c>
      <c r="R930" s="8" t="s">
        <v>5919</v>
      </c>
      <c r="S930" s="8" t="s">
        <v>7895</v>
      </c>
    </row>
    <row r="931" spans="1:19" ht="93" customHeight="1" x14ac:dyDescent="0.25">
      <c r="A931" s="8" t="s">
        <v>7896</v>
      </c>
      <c r="B931" s="8" t="s">
        <v>5693</v>
      </c>
      <c r="C931" s="8" t="s">
        <v>5918</v>
      </c>
      <c r="D931" s="10">
        <v>610</v>
      </c>
      <c r="E931" s="8" t="s">
        <v>7897</v>
      </c>
      <c r="F931" s="8" t="s">
        <v>7898</v>
      </c>
      <c r="G931" s="8" t="s">
        <v>4727</v>
      </c>
      <c r="H931" s="8" t="s">
        <v>7897</v>
      </c>
      <c r="I931" s="8"/>
      <c r="J931" s="15" t="s">
        <v>5695</v>
      </c>
      <c r="K931" s="8"/>
      <c r="L931" s="15" t="s">
        <v>1685</v>
      </c>
      <c r="M931" s="8" t="s">
        <v>5578</v>
      </c>
      <c r="N931" s="8"/>
      <c r="O931" s="8" t="s">
        <v>5574</v>
      </c>
      <c r="P931" s="11"/>
      <c r="Q931" s="8" t="s">
        <v>5696</v>
      </c>
      <c r="R931" s="8" t="s">
        <v>5919</v>
      </c>
      <c r="S931" s="8" t="s">
        <v>7899</v>
      </c>
    </row>
    <row r="932" spans="1:19" ht="107.1" customHeight="1" x14ac:dyDescent="0.25">
      <c r="A932" s="8" t="s">
        <v>7900</v>
      </c>
      <c r="B932" s="8" t="s">
        <v>5693</v>
      </c>
      <c r="C932" s="8" t="s">
        <v>5918</v>
      </c>
      <c r="D932" s="10">
        <v>611</v>
      </c>
      <c r="E932" s="8" t="s">
        <v>7901</v>
      </c>
      <c r="F932" s="8" t="s">
        <v>7902</v>
      </c>
      <c r="G932" s="8" t="s">
        <v>4727</v>
      </c>
      <c r="H932" s="8" t="s">
        <v>7901</v>
      </c>
      <c r="I932" s="8"/>
      <c r="J932" s="15" t="s">
        <v>5695</v>
      </c>
      <c r="K932" s="8"/>
      <c r="L932" s="15" t="s">
        <v>1685</v>
      </c>
      <c r="M932" s="8" t="s">
        <v>5578</v>
      </c>
      <c r="N932" s="8"/>
      <c r="O932" s="8" t="s">
        <v>5574</v>
      </c>
      <c r="P932" s="11"/>
      <c r="Q932" s="8" t="s">
        <v>5696</v>
      </c>
      <c r="R932" s="8" t="s">
        <v>5919</v>
      </c>
      <c r="S932" s="8" t="s">
        <v>7903</v>
      </c>
    </row>
    <row r="933" spans="1:19" ht="107.1" customHeight="1" x14ac:dyDescent="0.25">
      <c r="A933" s="8" t="s">
        <v>7904</v>
      </c>
      <c r="B933" s="8" t="s">
        <v>5693</v>
      </c>
      <c r="C933" s="8" t="s">
        <v>5918</v>
      </c>
      <c r="D933" s="10">
        <v>612</v>
      </c>
      <c r="E933" s="8" t="s">
        <v>7905</v>
      </c>
      <c r="F933" s="8" t="s">
        <v>7906</v>
      </c>
      <c r="G933" s="8" t="s">
        <v>4727</v>
      </c>
      <c r="H933" s="8" t="s">
        <v>7905</v>
      </c>
      <c r="I933" s="8"/>
      <c r="J933" s="15" t="s">
        <v>5695</v>
      </c>
      <c r="K933" s="8"/>
      <c r="L933" s="15" t="s">
        <v>1685</v>
      </c>
      <c r="M933" s="8" t="s">
        <v>5578</v>
      </c>
      <c r="N933" s="8"/>
      <c r="O933" s="8" t="s">
        <v>5574</v>
      </c>
      <c r="P933" s="11"/>
      <c r="Q933" s="8" t="s">
        <v>5696</v>
      </c>
      <c r="R933" s="8" t="s">
        <v>5919</v>
      </c>
      <c r="S933" s="8" t="s">
        <v>7907</v>
      </c>
    </row>
    <row r="934" spans="1:19" ht="107.1" customHeight="1" x14ac:dyDescent="0.25">
      <c r="A934" s="8" t="s">
        <v>7908</v>
      </c>
      <c r="B934" s="8" t="s">
        <v>5693</v>
      </c>
      <c r="C934" s="8" t="s">
        <v>5918</v>
      </c>
      <c r="D934" s="10">
        <v>613</v>
      </c>
      <c r="E934" s="8" t="s">
        <v>7909</v>
      </c>
      <c r="F934" s="8" t="s">
        <v>7910</v>
      </c>
      <c r="G934" s="8" t="s">
        <v>4727</v>
      </c>
      <c r="H934" s="8" t="s">
        <v>7909</v>
      </c>
      <c r="I934" s="8"/>
      <c r="J934" s="15" t="s">
        <v>5695</v>
      </c>
      <c r="K934" s="8"/>
      <c r="L934" s="15" t="s">
        <v>1685</v>
      </c>
      <c r="M934" s="8" t="s">
        <v>5578</v>
      </c>
      <c r="N934" s="8"/>
      <c r="O934" s="8" t="s">
        <v>5574</v>
      </c>
      <c r="P934" s="11"/>
      <c r="Q934" s="8" t="s">
        <v>5696</v>
      </c>
      <c r="R934" s="8" t="s">
        <v>5919</v>
      </c>
      <c r="S934" s="8" t="s">
        <v>7911</v>
      </c>
    </row>
    <row r="935" spans="1:19" ht="107.1" customHeight="1" x14ac:dyDescent="0.25">
      <c r="A935" s="8" t="s">
        <v>7912</v>
      </c>
      <c r="B935" s="8" t="s">
        <v>5693</v>
      </c>
      <c r="C935" s="8" t="s">
        <v>5918</v>
      </c>
      <c r="D935" s="10">
        <v>614</v>
      </c>
      <c r="E935" s="8" t="s">
        <v>7913</v>
      </c>
      <c r="F935" s="8" t="s">
        <v>7914</v>
      </c>
      <c r="G935" s="8" t="s">
        <v>4727</v>
      </c>
      <c r="H935" s="8" t="s">
        <v>7913</v>
      </c>
      <c r="I935" s="8"/>
      <c r="J935" s="15" t="s">
        <v>5695</v>
      </c>
      <c r="K935" s="8"/>
      <c r="L935" s="15" t="s">
        <v>1685</v>
      </c>
      <c r="M935" s="8" t="s">
        <v>5578</v>
      </c>
      <c r="N935" s="8"/>
      <c r="O935" s="8" t="s">
        <v>5574</v>
      </c>
      <c r="P935" s="11"/>
      <c r="Q935" s="8" t="s">
        <v>5696</v>
      </c>
      <c r="R935" s="8" t="s">
        <v>5919</v>
      </c>
      <c r="S935" s="8" t="s">
        <v>7915</v>
      </c>
    </row>
    <row r="936" spans="1:19" ht="107.1" customHeight="1" x14ac:dyDescent="0.25">
      <c r="A936" s="8" t="s">
        <v>7916</v>
      </c>
      <c r="B936" s="8" t="s">
        <v>5693</v>
      </c>
      <c r="C936" s="8" t="s">
        <v>5918</v>
      </c>
      <c r="D936" s="10">
        <v>615</v>
      </c>
      <c r="E936" s="8" t="s">
        <v>7917</v>
      </c>
      <c r="F936" s="8" t="s">
        <v>7918</v>
      </c>
      <c r="G936" s="8" t="s">
        <v>4727</v>
      </c>
      <c r="H936" s="8" t="s">
        <v>7917</v>
      </c>
      <c r="I936" s="8"/>
      <c r="J936" s="15" t="s">
        <v>5695</v>
      </c>
      <c r="K936" s="8"/>
      <c r="L936" s="15" t="s">
        <v>1685</v>
      </c>
      <c r="M936" s="8" t="s">
        <v>5578</v>
      </c>
      <c r="N936" s="8"/>
      <c r="O936" s="8" t="s">
        <v>5574</v>
      </c>
      <c r="P936" s="11"/>
      <c r="Q936" s="8" t="s">
        <v>5696</v>
      </c>
      <c r="R936" s="8" t="s">
        <v>5919</v>
      </c>
      <c r="S936" s="8" t="s">
        <v>7919</v>
      </c>
    </row>
    <row r="937" spans="1:19" ht="107.1" customHeight="1" x14ac:dyDescent="0.25">
      <c r="A937" s="8" t="s">
        <v>7920</v>
      </c>
      <c r="B937" s="8" t="s">
        <v>5693</v>
      </c>
      <c r="C937" s="8" t="s">
        <v>5918</v>
      </c>
      <c r="D937" s="10">
        <v>616</v>
      </c>
      <c r="E937" s="8" t="s">
        <v>7921</v>
      </c>
      <c r="F937" s="8" t="s">
        <v>7922</v>
      </c>
      <c r="G937" s="8" t="s">
        <v>4727</v>
      </c>
      <c r="H937" s="8" t="s">
        <v>7921</v>
      </c>
      <c r="I937" s="8"/>
      <c r="J937" s="15" t="s">
        <v>5695</v>
      </c>
      <c r="K937" s="8"/>
      <c r="L937" s="15" t="s">
        <v>1685</v>
      </c>
      <c r="M937" s="8" t="s">
        <v>5578</v>
      </c>
      <c r="N937" s="8"/>
      <c r="O937" s="8" t="s">
        <v>5574</v>
      </c>
      <c r="P937" s="11"/>
      <c r="Q937" s="8" t="s">
        <v>5696</v>
      </c>
      <c r="R937" s="8" t="s">
        <v>5919</v>
      </c>
      <c r="S937" s="8" t="s">
        <v>7923</v>
      </c>
    </row>
    <row r="938" spans="1:19" ht="107.1" customHeight="1" x14ac:dyDescent="0.25">
      <c r="A938" s="8" t="s">
        <v>7924</v>
      </c>
      <c r="B938" s="8" t="s">
        <v>5693</v>
      </c>
      <c r="C938" s="8" t="s">
        <v>5918</v>
      </c>
      <c r="D938" s="10">
        <v>617</v>
      </c>
      <c r="E938" s="8" t="s">
        <v>7925</v>
      </c>
      <c r="F938" s="8" t="s">
        <v>7926</v>
      </c>
      <c r="G938" s="8" t="s">
        <v>4727</v>
      </c>
      <c r="H938" s="8" t="s">
        <v>7925</v>
      </c>
      <c r="I938" s="8"/>
      <c r="J938" s="15" t="s">
        <v>5695</v>
      </c>
      <c r="K938" s="8"/>
      <c r="L938" s="15" t="s">
        <v>1685</v>
      </c>
      <c r="M938" s="8" t="s">
        <v>5578</v>
      </c>
      <c r="N938" s="8"/>
      <c r="O938" s="8" t="s">
        <v>5574</v>
      </c>
      <c r="P938" s="11"/>
      <c r="Q938" s="8" t="s">
        <v>5696</v>
      </c>
      <c r="R938" s="8" t="s">
        <v>5919</v>
      </c>
      <c r="S938" s="8" t="s">
        <v>7927</v>
      </c>
    </row>
    <row r="939" spans="1:19" ht="107.1" customHeight="1" x14ac:dyDescent="0.25">
      <c r="A939" s="8" t="s">
        <v>7928</v>
      </c>
      <c r="B939" s="8" t="s">
        <v>5693</v>
      </c>
      <c r="C939" s="8" t="s">
        <v>5918</v>
      </c>
      <c r="D939" s="10">
        <v>618</v>
      </c>
      <c r="E939" s="8" t="s">
        <v>7929</v>
      </c>
      <c r="F939" s="8" t="s">
        <v>7930</v>
      </c>
      <c r="G939" s="8" t="s">
        <v>4727</v>
      </c>
      <c r="H939" s="8" t="s">
        <v>7929</v>
      </c>
      <c r="I939" s="8"/>
      <c r="J939" s="15" t="s">
        <v>5695</v>
      </c>
      <c r="K939" s="8"/>
      <c r="L939" s="15" t="s">
        <v>1685</v>
      </c>
      <c r="M939" s="8" t="s">
        <v>5578</v>
      </c>
      <c r="N939" s="8"/>
      <c r="O939" s="8" t="s">
        <v>5574</v>
      </c>
      <c r="P939" s="11"/>
      <c r="Q939" s="8" t="s">
        <v>5696</v>
      </c>
      <c r="R939" s="8" t="s">
        <v>5919</v>
      </c>
      <c r="S939" s="8" t="s">
        <v>7931</v>
      </c>
    </row>
    <row r="940" spans="1:19" ht="93" customHeight="1" x14ac:dyDescent="0.25">
      <c r="A940" s="8" t="s">
        <v>7932</v>
      </c>
      <c r="B940" s="8" t="s">
        <v>5693</v>
      </c>
      <c r="C940" s="8" t="s">
        <v>5918</v>
      </c>
      <c r="D940" s="10">
        <v>619</v>
      </c>
      <c r="E940" s="8" t="s">
        <v>7933</v>
      </c>
      <c r="F940" s="8" t="s">
        <v>7934</v>
      </c>
      <c r="G940" s="8" t="s">
        <v>4727</v>
      </c>
      <c r="H940" s="8" t="s">
        <v>7933</v>
      </c>
      <c r="I940" s="8"/>
      <c r="J940" s="15" t="s">
        <v>5695</v>
      </c>
      <c r="K940" s="8"/>
      <c r="L940" s="15" t="s">
        <v>1685</v>
      </c>
      <c r="M940" s="8" t="s">
        <v>5578</v>
      </c>
      <c r="N940" s="8"/>
      <c r="O940" s="8" t="s">
        <v>5574</v>
      </c>
      <c r="P940" s="11"/>
      <c r="Q940" s="8" t="s">
        <v>5696</v>
      </c>
      <c r="R940" s="8" t="s">
        <v>5919</v>
      </c>
      <c r="S940" s="8" t="s">
        <v>7935</v>
      </c>
    </row>
    <row r="941" spans="1:19" ht="107.1" customHeight="1" x14ac:dyDescent="0.25">
      <c r="A941" s="8" t="s">
        <v>7936</v>
      </c>
      <c r="B941" s="8" t="s">
        <v>5693</v>
      </c>
      <c r="C941" s="8" t="s">
        <v>5918</v>
      </c>
      <c r="D941" s="10">
        <v>620</v>
      </c>
      <c r="E941" s="8" t="s">
        <v>7937</v>
      </c>
      <c r="F941" s="8" t="s">
        <v>7938</v>
      </c>
      <c r="G941" s="8" t="s">
        <v>4727</v>
      </c>
      <c r="H941" s="8" t="s">
        <v>7937</v>
      </c>
      <c r="I941" s="8"/>
      <c r="J941" s="15" t="s">
        <v>5695</v>
      </c>
      <c r="K941" s="8"/>
      <c r="L941" s="15" t="s">
        <v>1685</v>
      </c>
      <c r="M941" s="8" t="s">
        <v>5578</v>
      </c>
      <c r="N941" s="8"/>
      <c r="O941" s="8" t="s">
        <v>5574</v>
      </c>
      <c r="P941" s="11"/>
      <c r="Q941" s="8" t="s">
        <v>5696</v>
      </c>
      <c r="R941" s="8" t="s">
        <v>5919</v>
      </c>
      <c r="S941" s="8" t="s">
        <v>7939</v>
      </c>
    </row>
    <row r="942" spans="1:19" ht="93" customHeight="1" x14ac:dyDescent="0.25">
      <c r="A942" s="8" t="s">
        <v>7940</v>
      </c>
      <c r="B942" s="8" t="s">
        <v>5693</v>
      </c>
      <c r="C942" s="8" t="s">
        <v>5918</v>
      </c>
      <c r="D942" s="10">
        <v>621</v>
      </c>
      <c r="E942" s="8" t="s">
        <v>7941</v>
      </c>
      <c r="F942" s="8" t="s">
        <v>7942</v>
      </c>
      <c r="G942" s="8" t="s">
        <v>4727</v>
      </c>
      <c r="H942" s="8" t="s">
        <v>7941</v>
      </c>
      <c r="I942" s="8"/>
      <c r="J942" s="15" t="s">
        <v>5695</v>
      </c>
      <c r="K942" s="8"/>
      <c r="L942" s="15" t="s">
        <v>1685</v>
      </c>
      <c r="M942" s="8" t="s">
        <v>5578</v>
      </c>
      <c r="N942" s="8"/>
      <c r="O942" s="8" t="s">
        <v>5574</v>
      </c>
      <c r="P942" s="11"/>
      <c r="Q942" s="8" t="s">
        <v>5696</v>
      </c>
      <c r="R942" s="8" t="s">
        <v>5919</v>
      </c>
      <c r="S942" s="8" t="s">
        <v>7943</v>
      </c>
    </row>
    <row r="943" spans="1:19" ht="107.1" customHeight="1" x14ac:dyDescent="0.25">
      <c r="A943" s="8" t="s">
        <v>7944</v>
      </c>
      <c r="B943" s="8" t="s">
        <v>5693</v>
      </c>
      <c r="C943" s="8" t="s">
        <v>5918</v>
      </c>
      <c r="D943" s="10">
        <v>622</v>
      </c>
      <c r="E943" s="8" t="s">
        <v>7945</v>
      </c>
      <c r="F943" s="8" t="s">
        <v>7946</v>
      </c>
      <c r="G943" s="8" t="s">
        <v>4727</v>
      </c>
      <c r="H943" s="8" t="s">
        <v>7945</v>
      </c>
      <c r="I943" s="8"/>
      <c r="J943" s="15" t="s">
        <v>5695</v>
      </c>
      <c r="K943" s="8"/>
      <c r="L943" s="15" t="s">
        <v>1685</v>
      </c>
      <c r="M943" s="8" t="s">
        <v>5578</v>
      </c>
      <c r="N943" s="8"/>
      <c r="O943" s="8" t="s">
        <v>5574</v>
      </c>
      <c r="P943" s="11"/>
      <c r="Q943" s="8" t="s">
        <v>5696</v>
      </c>
      <c r="R943" s="8" t="s">
        <v>5919</v>
      </c>
      <c r="S943" s="8" t="s">
        <v>7947</v>
      </c>
    </row>
    <row r="944" spans="1:19" ht="93" customHeight="1" x14ac:dyDescent="0.25">
      <c r="A944" s="8" t="s">
        <v>7948</v>
      </c>
      <c r="B944" s="8" t="s">
        <v>5693</v>
      </c>
      <c r="C944" s="8" t="s">
        <v>5918</v>
      </c>
      <c r="D944" s="10">
        <v>623</v>
      </c>
      <c r="E944" s="8" t="s">
        <v>7949</v>
      </c>
      <c r="F944" s="8" t="s">
        <v>7950</v>
      </c>
      <c r="G944" s="8" t="s">
        <v>4727</v>
      </c>
      <c r="H944" s="8" t="s">
        <v>7949</v>
      </c>
      <c r="I944" s="8"/>
      <c r="J944" s="15" t="s">
        <v>5695</v>
      </c>
      <c r="K944" s="8"/>
      <c r="L944" s="15" t="s">
        <v>1685</v>
      </c>
      <c r="M944" s="8" t="s">
        <v>5578</v>
      </c>
      <c r="N944" s="8"/>
      <c r="O944" s="8" t="s">
        <v>5574</v>
      </c>
      <c r="P944" s="11"/>
      <c r="Q944" s="8" t="s">
        <v>5696</v>
      </c>
      <c r="R944" s="8" t="s">
        <v>5919</v>
      </c>
      <c r="S944" s="8" t="s">
        <v>7951</v>
      </c>
    </row>
    <row r="945" spans="1:19" ht="93" customHeight="1" x14ac:dyDescent="0.25">
      <c r="A945" s="8" t="s">
        <v>7952</v>
      </c>
      <c r="B945" s="8" t="s">
        <v>5693</v>
      </c>
      <c r="C945" s="8" t="s">
        <v>5918</v>
      </c>
      <c r="D945" s="10">
        <v>624</v>
      </c>
      <c r="E945" s="8" t="s">
        <v>7953</v>
      </c>
      <c r="F945" s="8" t="s">
        <v>7954</v>
      </c>
      <c r="G945" s="8" t="s">
        <v>4727</v>
      </c>
      <c r="H945" s="8" t="s">
        <v>7953</v>
      </c>
      <c r="I945" s="8"/>
      <c r="J945" s="15" t="s">
        <v>5695</v>
      </c>
      <c r="K945" s="8"/>
      <c r="L945" s="15" t="s">
        <v>1685</v>
      </c>
      <c r="M945" s="8" t="s">
        <v>5578</v>
      </c>
      <c r="N945" s="8"/>
      <c r="O945" s="8" t="s">
        <v>5574</v>
      </c>
      <c r="P945" s="11"/>
      <c r="Q945" s="8" t="s">
        <v>5696</v>
      </c>
      <c r="R945" s="8" t="s">
        <v>5919</v>
      </c>
      <c r="S945" s="8" t="s">
        <v>7955</v>
      </c>
    </row>
    <row r="946" spans="1:19" ht="107.1" customHeight="1" x14ac:dyDescent="0.25">
      <c r="A946" s="8" t="s">
        <v>7956</v>
      </c>
      <c r="B946" s="8" t="s">
        <v>5693</v>
      </c>
      <c r="C946" s="8" t="s">
        <v>5918</v>
      </c>
      <c r="D946" s="10">
        <v>625</v>
      </c>
      <c r="E946" s="8" t="s">
        <v>7957</v>
      </c>
      <c r="F946" s="8" t="s">
        <v>7958</v>
      </c>
      <c r="G946" s="8" t="s">
        <v>4727</v>
      </c>
      <c r="H946" s="8" t="s">
        <v>7957</v>
      </c>
      <c r="I946" s="8"/>
      <c r="J946" s="15" t="s">
        <v>5695</v>
      </c>
      <c r="K946" s="8"/>
      <c r="L946" s="15" t="s">
        <v>1685</v>
      </c>
      <c r="M946" s="8" t="s">
        <v>5578</v>
      </c>
      <c r="N946" s="8"/>
      <c r="O946" s="8" t="s">
        <v>5574</v>
      </c>
      <c r="P946" s="11"/>
      <c r="Q946" s="8" t="s">
        <v>5696</v>
      </c>
      <c r="R946" s="8" t="s">
        <v>5919</v>
      </c>
      <c r="S946" s="8" t="s">
        <v>7959</v>
      </c>
    </row>
    <row r="947" spans="1:19" ht="107.1" customHeight="1" x14ac:dyDescent="0.25">
      <c r="A947" s="8" t="s">
        <v>7960</v>
      </c>
      <c r="B947" s="8" t="s">
        <v>5693</v>
      </c>
      <c r="C947" s="8" t="s">
        <v>5918</v>
      </c>
      <c r="D947" s="10">
        <v>626</v>
      </c>
      <c r="E947" s="8" t="s">
        <v>7961</v>
      </c>
      <c r="F947" s="8" t="s">
        <v>7962</v>
      </c>
      <c r="G947" s="8" t="s">
        <v>4727</v>
      </c>
      <c r="H947" s="8" t="s">
        <v>7961</v>
      </c>
      <c r="I947" s="8"/>
      <c r="J947" s="15" t="s">
        <v>5695</v>
      </c>
      <c r="K947" s="8"/>
      <c r="L947" s="15" t="s">
        <v>1685</v>
      </c>
      <c r="M947" s="8" t="s">
        <v>5578</v>
      </c>
      <c r="N947" s="8"/>
      <c r="O947" s="8" t="s">
        <v>5574</v>
      </c>
      <c r="P947" s="11"/>
      <c r="Q947" s="8" t="s">
        <v>5696</v>
      </c>
      <c r="R947" s="8" t="s">
        <v>5919</v>
      </c>
      <c r="S947" s="8" t="s">
        <v>7963</v>
      </c>
    </row>
    <row r="948" spans="1:19" ht="107.1" customHeight="1" x14ac:dyDescent="0.25">
      <c r="A948" s="8" t="s">
        <v>7964</v>
      </c>
      <c r="B948" s="8" t="s">
        <v>5693</v>
      </c>
      <c r="C948" s="8" t="s">
        <v>5918</v>
      </c>
      <c r="D948" s="10">
        <v>627</v>
      </c>
      <c r="E948" s="8" t="s">
        <v>7965</v>
      </c>
      <c r="F948" s="8" t="s">
        <v>7966</v>
      </c>
      <c r="G948" s="8" t="s">
        <v>4727</v>
      </c>
      <c r="H948" s="8" t="s">
        <v>7965</v>
      </c>
      <c r="I948" s="8"/>
      <c r="J948" s="15" t="s">
        <v>5695</v>
      </c>
      <c r="K948" s="8"/>
      <c r="L948" s="15" t="s">
        <v>1685</v>
      </c>
      <c r="M948" s="8" t="s">
        <v>5578</v>
      </c>
      <c r="N948" s="8"/>
      <c r="O948" s="8" t="s">
        <v>5574</v>
      </c>
      <c r="P948" s="11"/>
      <c r="Q948" s="8" t="s">
        <v>5696</v>
      </c>
      <c r="R948" s="8" t="s">
        <v>5919</v>
      </c>
      <c r="S948" s="8" t="s">
        <v>7967</v>
      </c>
    </row>
    <row r="949" spans="1:19" ht="107.1" customHeight="1" x14ac:dyDescent="0.25">
      <c r="A949" s="8" t="s">
        <v>7968</v>
      </c>
      <c r="B949" s="8" t="s">
        <v>5693</v>
      </c>
      <c r="C949" s="8" t="s">
        <v>5918</v>
      </c>
      <c r="D949" s="10">
        <v>628</v>
      </c>
      <c r="E949" s="8" t="s">
        <v>7969</v>
      </c>
      <c r="F949" s="8" t="s">
        <v>7970</v>
      </c>
      <c r="G949" s="8" t="s">
        <v>4727</v>
      </c>
      <c r="H949" s="8" t="s">
        <v>7969</v>
      </c>
      <c r="I949" s="8"/>
      <c r="J949" s="15" t="s">
        <v>5695</v>
      </c>
      <c r="K949" s="8"/>
      <c r="L949" s="15" t="s">
        <v>1685</v>
      </c>
      <c r="M949" s="8" t="s">
        <v>5578</v>
      </c>
      <c r="N949" s="8"/>
      <c r="O949" s="8" t="s">
        <v>5574</v>
      </c>
      <c r="P949" s="11"/>
      <c r="Q949" s="8" t="s">
        <v>5696</v>
      </c>
      <c r="R949" s="8" t="s">
        <v>5919</v>
      </c>
      <c r="S949" s="8" t="s">
        <v>7971</v>
      </c>
    </row>
    <row r="950" spans="1:19" ht="107.1" customHeight="1" x14ac:dyDescent="0.25">
      <c r="A950" s="8" t="s">
        <v>7972</v>
      </c>
      <c r="B950" s="8" t="s">
        <v>5693</v>
      </c>
      <c r="C950" s="8" t="s">
        <v>5918</v>
      </c>
      <c r="D950" s="10">
        <v>629</v>
      </c>
      <c r="E950" s="8" t="s">
        <v>7973</v>
      </c>
      <c r="F950" s="8" t="s">
        <v>7974</v>
      </c>
      <c r="G950" s="8" t="s">
        <v>4727</v>
      </c>
      <c r="H950" s="8" t="s">
        <v>7973</v>
      </c>
      <c r="I950" s="8"/>
      <c r="J950" s="15" t="s">
        <v>5695</v>
      </c>
      <c r="K950" s="8"/>
      <c r="L950" s="15" t="s">
        <v>1685</v>
      </c>
      <c r="M950" s="8" t="s">
        <v>5578</v>
      </c>
      <c r="N950" s="8"/>
      <c r="O950" s="8" t="s">
        <v>5574</v>
      </c>
      <c r="P950" s="11"/>
      <c r="Q950" s="8" t="s">
        <v>5696</v>
      </c>
      <c r="R950" s="8" t="s">
        <v>5919</v>
      </c>
      <c r="S950" s="8" t="s">
        <v>7975</v>
      </c>
    </row>
    <row r="951" spans="1:19" ht="107.1" customHeight="1" x14ac:dyDescent="0.25">
      <c r="A951" s="8" t="s">
        <v>7976</v>
      </c>
      <c r="B951" s="8" t="s">
        <v>5693</v>
      </c>
      <c r="C951" s="8" t="s">
        <v>5918</v>
      </c>
      <c r="D951" s="10">
        <v>630</v>
      </c>
      <c r="E951" s="8" t="s">
        <v>7977</v>
      </c>
      <c r="F951" s="8" t="s">
        <v>7978</v>
      </c>
      <c r="G951" s="8" t="s">
        <v>4727</v>
      </c>
      <c r="H951" s="8" t="s">
        <v>7977</v>
      </c>
      <c r="I951" s="8"/>
      <c r="J951" s="15" t="s">
        <v>5695</v>
      </c>
      <c r="K951" s="8"/>
      <c r="L951" s="15" t="s">
        <v>1685</v>
      </c>
      <c r="M951" s="8" t="s">
        <v>5578</v>
      </c>
      <c r="N951" s="8"/>
      <c r="O951" s="8" t="s">
        <v>5574</v>
      </c>
      <c r="P951" s="11"/>
      <c r="Q951" s="8" t="s">
        <v>5696</v>
      </c>
      <c r="R951" s="8" t="s">
        <v>5919</v>
      </c>
      <c r="S951" s="8" t="s">
        <v>7979</v>
      </c>
    </row>
    <row r="952" spans="1:19" ht="107.1" customHeight="1" x14ac:dyDescent="0.25">
      <c r="A952" s="8" t="s">
        <v>7980</v>
      </c>
      <c r="B952" s="8" t="s">
        <v>5693</v>
      </c>
      <c r="C952" s="8" t="s">
        <v>5918</v>
      </c>
      <c r="D952" s="10">
        <v>631</v>
      </c>
      <c r="E952" s="8" t="s">
        <v>7981</v>
      </c>
      <c r="F952" s="8" t="s">
        <v>7982</v>
      </c>
      <c r="G952" s="8" t="s">
        <v>4727</v>
      </c>
      <c r="H952" s="8" t="s">
        <v>7981</v>
      </c>
      <c r="I952" s="8"/>
      <c r="J952" s="15" t="s">
        <v>5695</v>
      </c>
      <c r="K952" s="8"/>
      <c r="L952" s="15" t="s">
        <v>1685</v>
      </c>
      <c r="M952" s="8" t="s">
        <v>5578</v>
      </c>
      <c r="N952" s="8"/>
      <c r="O952" s="8" t="s">
        <v>5574</v>
      </c>
      <c r="P952" s="11"/>
      <c r="Q952" s="8" t="s">
        <v>5696</v>
      </c>
      <c r="R952" s="8" t="s">
        <v>5919</v>
      </c>
      <c r="S952" s="8" t="s">
        <v>7983</v>
      </c>
    </row>
    <row r="953" spans="1:19" ht="107.1" customHeight="1" x14ac:dyDescent="0.25">
      <c r="A953" s="8" t="s">
        <v>7984</v>
      </c>
      <c r="B953" s="8" t="s">
        <v>5693</v>
      </c>
      <c r="C953" s="8" t="s">
        <v>5918</v>
      </c>
      <c r="D953" s="10">
        <v>632</v>
      </c>
      <c r="E953" s="8" t="s">
        <v>7985</v>
      </c>
      <c r="F953" s="8" t="s">
        <v>7986</v>
      </c>
      <c r="G953" s="8" t="s">
        <v>4727</v>
      </c>
      <c r="H953" s="8" t="s">
        <v>7985</v>
      </c>
      <c r="I953" s="8"/>
      <c r="J953" s="15" t="s">
        <v>5695</v>
      </c>
      <c r="K953" s="8"/>
      <c r="L953" s="15" t="s">
        <v>1685</v>
      </c>
      <c r="M953" s="8" t="s">
        <v>5578</v>
      </c>
      <c r="N953" s="8"/>
      <c r="O953" s="8" t="s">
        <v>5574</v>
      </c>
      <c r="P953" s="11"/>
      <c r="Q953" s="8" t="s">
        <v>5696</v>
      </c>
      <c r="R953" s="8" t="s">
        <v>5919</v>
      </c>
      <c r="S953" s="8" t="s">
        <v>7987</v>
      </c>
    </row>
    <row r="954" spans="1:19" ht="107.1" customHeight="1" x14ac:dyDescent="0.25">
      <c r="A954" s="8" t="s">
        <v>7988</v>
      </c>
      <c r="B954" s="8" t="s">
        <v>5693</v>
      </c>
      <c r="C954" s="8" t="s">
        <v>5918</v>
      </c>
      <c r="D954" s="10">
        <v>633</v>
      </c>
      <c r="E954" s="8" t="s">
        <v>7989</v>
      </c>
      <c r="F954" s="8" t="s">
        <v>7990</v>
      </c>
      <c r="G954" s="8" t="s">
        <v>4727</v>
      </c>
      <c r="H954" s="8" t="s">
        <v>7989</v>
      </c>
      <c r="I954" s="8"/>
      <c r="J954" s="15" t="s">
        <v>5695</v>
      </c>
      <c r="K954" s="8"/>
      <c r="L954" s="15" t="s">
        <v>1685</v>
      </c>
      <c r="M954" s="8" t="s">
        <v>5578</v>
      </c>
      <c r="N954" s="8"/>
      <c r="O954" s="8" t="s">
        <v>5574</v>
      </c>
      <c r="P954" s="11"/>
      <c r="Q954" s="8" t="s">
        <v>5696</v>
      </c>
      <c r="R954" s="8" t="s">
        <v>5919</v>
      </c>
      <c r="S954" s="8" t="s">
        <v>7991</v>
      </c>
    </row>
    <row r="955" spans="1:19" ht="93" customHeight="1" x14ac:dyDescent="0.25">
      <c r="A955" s="8" t="s">
        <v>7992</v>
      </c>
      <c r="B955" s="8" t="s">
        <v>5693</v>
      </c>
      <c r="C955" s="8" t="s">
        <v>5918</v>
      </c>
      <c r="D955" s="10">
        <v>634</v>
      </c>
      <c r="E955" s="8" t="s">
        <v>7993</v>
      </c>
      <c r="F955" s="8" t="s">
        <v>7994</v>
      </c>
      <c r="G955" s="8" t="s">
        <v>4727</v>
      </c>
      <c r="H955" s="8" t="s">
        <v>7993</v>
      </c>
      <c r="I955" s="8"/>
      <c r="J955" s="15" t="s">
        <v>5695</v>
      </c>
      <c r="K955" s="8"/>
      <c r="L955" s="15" t="s">
        <v>1685</v>
      </c>
      <c r="M955" s="8" t="s">
        <v>5578</v>
      </c>
      <c r="N955" s="8"/>
      <c r="O955" s="8" t="s">
        <v>5574</v>
      </c>
      <c r="P955" s="11"/>
      <c r="Q955" s="8" t="s">
        <v>5696</v>
      </c>
      <c r="R955" s="8" t="s">
        <v>5919</v>
      </c>
      <c r="S955" s="8" t="s">
        <v>7995</v>
      </c>
    </row>
    <row r="956" spans="1:19" ht="107.1" customHeight="1" x14ac:dyDescent="0.25">
      <c r="A956" s="8" t="s">
        <v>7996</v>
      </c>
      <c r="B956" s="8" t="s">
        <v>5693</v>
      </c>
      <c r="C956" s="8" t="s">
        <v>5918</v>
      </c>
      <c r="D956" s="10">
        <v>635</v>
      </c>
      <c r="E956" s="8" t="s">
        <v>7997</v>
      </c>
      <c r="F956" s="8" t="s">
        <v>7998</v>
      </c>
      <c r="G956" s="8" t="s">
        <v>4727</v>
      </c>
      <c r="H956" s="8" t="s">
        <v>7997</v>
      </c>
      <c r="I956" s="8"/>
      <c r="J956" s="15" t="s">
        <v>5695</v>
      </c>
      <c r="K956" s="8"/>
      <c r="L956" s="15" t="s">
        <v>1685</v>
      </c>
      <c r="M956" s="8" t="s">
        <v>5578</v>
      </c>
      <c r="N956" s="8"/>
      <c r="O956" s="8" t="s">
        <v>5574</v>
      </c>
      <c r="P956" s="11"/>
      <c r="Q956" s="8" t="s">
        <v>5696</v>
      </c>
      <c r="R956" s="8" t="s">
        <v>5919</v>
      </c>
      <c r="S956" s="8" t="s">
        <v>7999</v>
      </c>
    </row>
    <row r="957" spans="1:19" ht="107.1" customHeight="1" x14ac:dyDescent="0.25">
      <c r="A957" s="8" t="s">
        <v>8000</v>
      </c>
      <c r="B957" s="8" t="s">
        <v>5693</v>
      </c>
      <c r="C957" s="8" t="s">
        <v>5918</v>
      </c>
      <c r="D957" s="10">
        <v>636</v>
      </c>
      <c r="E957" s="8" t="s">
        <v>8001</v>
      </c>
      <c r="F957" s="8" t="s">
        <v>8002</v>
      </c>
      <c r="G957" s="8" t="s">
        <v>4727</v>
      </c>
      <c r="H957" s="8" t="s">
        <v>8001</v>
      </c>
      <c r="I957" s="8"/>
      <c r="J957" s="15" t="s">
        <v>5695</v>
      </c>
      <c r="K957" s="8"/>
      <c r="L957" s="15" t="s">
        <v>1685</v>
      </c>
      <c r="M957" s="8" t="s">
        <v>5578</v>
      </c>
      <c r="N957" s="8"/>
      <c r="O957" s="8" t="s">
        <v>5574</v>
      </c>
      <c r="P957" s="11"/>
      <c r="Q957" s="8" t="s">
        <v>5696</v>
      </c>
      <c r="R957" s="8" t="s">
        <v>5919</v>
      </c>
      <c r="S957" s="8" t="s">
        <v>8003</v>
      </c>
    </row>
    <row r="958" spans="1:19" ht="107.1" customHeight="1" x14ac:dyDescent="0.25">
      <c r="A958" s="8" t="s">
        <v>8004</v>
      </c>
      <c r="B958" s="8" t="s">
        <v>5693</v>
      </c>
      <c r="C958" s="8" t="s">
        <v>5918</v>
      </c>
      <c r="D958" s="10">
        <v>637</v>
      </c>
      <c r="E958" s="8" t="s">
        <v>8005</v>
      </c>
      <c r="F958" s="8" t="s">
        <v>8006</v>
      </c>
      <c r="G958" s="8" t="s">
        <v>4727</v>
      </c>
      <c r="H958" s="8" t="s">
        <v>8005</v>
      </c>
      <c r="I958" s="8"/>
      <c r="J958" s="15" t="s">
        <v>5695</v>
      </c>
      <c r="K958" s="8"/>
      <c r="L958" s="15" t="s">
        <v>1685</v>
      </c>
      <c r="M958" s="8" t="s">
        <v>5578</v>
      </c>
      <c r="N958" s="8"/>
      <c r="O958" s="8" t="s">
        <v>5574</v>
      </c>
      <c r="P958" s="11"/>
      <c r="Q958" s="8" t="s">
        <v>5696</v>
      </c>
      <c r="R958" s="8" t="s">
        <v>5919</v>
      </c>
      <c r="S958" s="8" t="s">
        <v>8007</v>
      </c>
    </row>
    <row r="959" spans="1:19" ht="107.1" customHeight="1" x14ac:dyDescent="0.25">
      <c r="A959" s="8" t="s">
        <v>8008</v>
      </c>
      <c r="B959" s="8" t="s">
        <v>5693</v>
      </c>
      <c r="C959" s="8" t="s">
        <v>5918</v>
      </c>
      <c r="D959" s="10">
        <v>638</v>
      </c>
      <c r="E959" s="8" t="s">
        <v>8009</v>
      </c>
      <c r="F959" s="8" t="s">
        <v>8010</v>
      </c>
      <c r="G959" s="8" t="s">
        <v>4727</v>
      </c>
      <c r="H959" s="8" t="s">
        <v>8009</v>
      </c>
      <c r="I959" s="8"/>
      <c r="J959" s="15" t="s">
        <v>5695</v>
      </c>
      <c r="K959" s="8"/>
      <c r="L959" s="15" t="s">
        <v>1685</v>
      </c>
      <c r="M959" s="8" t="s">
        <v>5578</v>
      </c>
      <c r="N959" s="8"/>
      <c r="O959" s="8" t="s">
        <v>5574</v>
      </c>
      <c r="P959" s="11"/>
      <c r="Q959" s="8" t="s">
        <v>5696</v>
      </c>
      <c r="R959" s="8" t="s">
        <v>5919</v>
      </c>
      <c r="S959" s="8" t="s">
        <v>8011</v>
      </c>
    </row>
    <row r="960" spans="1:19" ht="107.1" customHeight="1" x14ac:dyDescent="0.25">
      <c r="A960" s="8" t="s">
        <v>8012</v>
      </c>
      <c r="B960" s="8" t="s">
        <v>5693</v>
      </c>
      <c r="C960" s="8" t="s">
        <v>5918</v>
      </c>
      <c r="D960" s="10">
        <v>639</v>
      </c>
      <c r="E960" s="8" t="s">
        <v>8013</v>
      </c>
      <c r="F960" s="8" t="s">
        <v>8014</v>
      </c>
      <c r="G960" s="8" t="s">
        <v>4727</v>
      </c>
      <c r="H960" s="8" t="s">
        <v>8013</v>
      </c>
      <c r="I960" s="8"/>
      <c r="J960" s="15" t="s">
        <v>5695</v>
      </c>
      <c r="K960" s="8"/>
      <c r="L960" s="15" t="s">
        <v>1685</v>
      </c>
      <c r="M960" s="8" t="s">
        <v>5578</v>
      </c>
      <c r="N960" s="8"/>
      <c r="O960" s="8" t="s">
        <v>5574</v>
      </c>
      <c r="P960" s="11"/>
      <c r="Q960" s="8" t="s">
        <v>5696</v>
      </c>
      <c r="R960" s="8" t="s">
        <v>5919</v>
      </c>
      <c r="S960" s="8" t="s">
        <v>8015</v>
      </c>
    </row>
    <row r="961" spans="1:19" ht="107.1" customHeight="1" x14ac:dyDescent="0.25">
      <c r="A961" s="8" t="s">
        <v>8016</v>
      </c>
      <c r="B961" s="8" t="s">
        <v>5693</v>
      </c>
      <c r="C961" s="8" t="s">
        <v>5918</v>
      </c>
      <c r="D961" s="10">
        <v>640</v>
      </c>
      <c r="E961" s="8" t="s">
        <v>8017</v>
      </c>
      <c r="F961" s="8" t="s">
        <v>8018</v>
      </c>
      <c r="G961" s="8" t="s">
        <v>4727</v>
      </c>
      <c r="H961" s="8" t="s">
        <v>8017</v>
      </c>
      <c r="I961" s="8"/>
      <c r="J961" s="15" t="s">
        <v>5695</v>
      </c>
      <c r="K961" s="8"/>
      <c r="L961" s="15" t="s">
        <v>1685</v>
      </c>
      <c r="M961" s="8" t="s">
        <v>5578</v>
      </c>
      <c r="N961" s="8"/>
      <c r="O961" s="8" t="s">
        <v>5574</v>
      </c>
      <c r="P961" s="11"/>
      <c r="Q961" s="8" t="s">
        <v>5696</v>
      </c>
      <c r="R961" s="8" t="s">
        <v>5919</v>
      </c>
      <c r="S961" s="8" t="s">
        <v>8019</v>
      </c>
    </row>
    <row r="962" spans="1:19" ht="93" customHeight="1" x14ac:dyDescent="0.25">
      <c r="A962" s="8" t="s">
        <v>8020</v>
      </c>
      <c r="B962" s="8" t="s">
        <v>5693</v>
      </c>
      <c r="C962" s="8" t="s">
        <v>5918</v>
      </c>
      <c r="D962" s="10">
        <v>641</v>
      </c>
      <c r="E962" s="8" t="s">
        <v>8021</v>
      </c>
      <c r="F962" s="8" t="s">
        <v>8022</v>
      </c>
      <c r="G962" s="8" t="s">
        <v>4727</v>
      </c>
      <c r="H962" s="8" t="s">
        <v>8021</v>
      </c>
      <c r="I962" s="8"/>
      <c r="J962" s="15" t="s">
        <v>5695</v>
      </c>
      <c r="K962" s="8"/>
      <c r="L962" s="15" t="s">
        <v>1685</v>
      </c>
      <c r="M962" s="8" t="s">
        <v>5578</v>
      </c>
      <c r="N962" s="8"/>
      <c r="O962" s="8" t="s">
        <v>5574</v>
      </c>
      <c r="P962" s="11"/>
      <c r="Q962" s="8" t="s">
        <v>5696</v>
      </c>
      <c r="R962" s="8" t="s">
        <v>5919</v>
      </c>
      <c r="S962" s="8" t="s">
        <v>8023</v>
      </c>
    </row>
    <row r="963" spans="1:19" ht="93" customHeight="1" x14ac:dyDescent="0.25">
      <c r="A963" s="8" t="s">
        <v>8024</v>
      </c>
      <c r="B963" s="8" t="s">
        <v>5693</v>
      </c>
      <c r="C963" s="8" t="s">
        <v>5918</v>
      </c>
      <c r="D963" s="10">
        <v>642</v>
      </c>
      <c r="E963" s="8" t="s">
        <v>8025</v>
      </c>
      <c r="F963" s="8" t="s">
        <v>8026</v>
      </c>
      <c r="G963" s="8" t="s">
        <v>4727</v>
      </c>
      <c r="H963" s="8" t="s">
        <v>8025</v>
      </c>
      <c r="I963" s="8"/>
      <c r="J963" s="15" t="s">
        <v>5695</v>
      </c>
      <c r="K963" s="8"/>
      <c r="L963" s="15" t="s">
        <v>1685</v>
      </c>
      <c r="M963" s="8" t="s">
        <v>5578</v>
      </c>
      <c r="N963" s="8"/>
      <c r="O963" s="8" t="s">
        <v>5574</v>
      </c>
      <c r="P963" s="11"/>
      <c r="Q963" s="8" t="s">
        <v>5696</v>
      </c>
      <c r="R963" s="8" t="s">
        <v>5919</v>
      </c>
      <c r="S963" s="8" t="s">
        <v>8027</v>
      </c>
    </row>
    <row r="964" spans="1:19" ht="107.1" customHeight="1" x14ac:dyDescent="0.25">
      <c r="A964" s="8" t="s">
        <v>8028</v>
      </c>
      <c r="B964" s="8" t="s">
        <v>5693</v>
      </c>
      <c r="C964" s="8" t="s">
        <v>5918</v>
      </c>
      <c r="D964" s="10">
        <v>643</v>
      </c>
      <c r="E964" s="8" t="s">
        <v>8029</v>
      </c>
      <c r="F964" s="8" t="s">
        <v>8030</v>
      </c>
      <c r="G964" s="8" t="s">
        <v>4727</v>
      </c>
      <c r="H964" s="8" t="s">
        <v>8029</v>
      </c>
      <c r="I964" s="8"/>
      <c r="J964" s="15" t="s">
        <v>5695</v>
      </c>
      <c r="K964" s="8"/>
      <c r="L964" s="15" t="s">
        <v>1685</v>
      </c>
      <c r="M964" s="8" t="s">
        <v>5578</v>
      </c>
      <c r="N964" s="8"/>
      <c r="O964" s="8" t="s">
        <v>5574</v>
      </c>
      <c r="P964" s="11"/>
      <c r="Q964" s="8" t="s">
        <v>5696</v>
      </c>
      <c r="R964" s="8" t="s">
        <v>5919</v>
      </c>
      <c r="S964" s="8" t="s">
        <v>8031</v>
      </c>
    </row>
    <row r="965" spans="1:19" ht="107.1" customHeight="1" x14ac:dyDescent="0.25">
      <c r="A965" s="8" t="s">
        <v>8032</v>
      </c>
      <c r="B965" s="8" t="s">
        <v>5693</v>
      </c>
      <c r="C965" s="8" t="s">
        <v>5918</v>
      </c>
      <c r="D965" s="10">
        <v>644</v>
      </c>
      <c r="E965" s="8" t="s">
        <v>8033</v>
      </c>
      <c r="F965" s="8" t="s">
        <v>8034</v>
      </c>
      <c r="G965" s="8" t="s">
        <v>4727</v>
      </c>
      <c r="H965" s="8" t="s">
        <v>8033</v>
      </c>
      <c r="I965" s="8"/>
      <c r="J965" s="15" t="s">
        <v>5695</v>
      </c>
      <c r="K965" s="8"/>
      <c r="L965" s="15" t="s">
        <v>1685</v>
      </c>
      <c r="M965" s="8" t="s">
        <v>5578</v>
      </c>
      <c r="N965" s="8"/>
      <c r="O965" s="8" t="s">
        <v>5574</v>
      </c>
      <c r="P965" s="11"/>
      <c r="Q965" s="8" t="s">
        <v>5696</v>
      </c>
      <c r="R965" s="8" t="s">
        <v>5919</v>
      </c>
      <c r="S965" s="8" t="s">
        <v>8035</v>
      </c>
    </row>
    <row r="966" spans="1:19" ht="107.1" customHeight="1" x14ac:dyDescent="0.25">
      <c r="A966" s="8" t="s">
        <v>8036</v>
      </c>
      <c r="B966" s="8" t="s">
        <v>5693</v>
      </c>
      <c r="C966" s="8" t="s">
        <v>5918</v>
      </c>
      <c r="D966" s="10">
        <v>645</v>
      </c>
      <c r="E966" s="8" t="s">
        <v>8037</v>
      </c>
      <c r="F966" s="8" t="s">
        <v>8038</v>
      </c>
      <c r="G966" s="8" t="s">
        <v>4727</v>
      </c>
      <c r="H966" s="8" t="s">
        <v>8037</v>
      </c>
      <c r="I966" s="8"/>
      <c r="J966" s="15" t="s">
        <v>5695</v>
      </c>
      <c r="K966" s="8"/>
      <c r="L966" s="15" t="s">
        <v>1685</v>
      </c>
      <c r="M966" s="8" t="s">
        <v>5578</v>
      </c>
      <c r="N966" s="8"/>
      <c r="O966" s="8" t="s">
        <v>5574</v>
      </c>
      <c r="P966" s="11"/>
      <c r="Q966" s="8" t="s">
        <v>5696</v>
      </c>
      <c r="R966" s="8" t="s">
        <v>5919</v>
      </c>
      <c r="S966" s="8" t="s">
        <v>8039</v>
      </c>
    </row>
    <row r="967" spans="1:19" ht="107.1" customHeight="1" x14ac:dyDescent="0.25">
      <c r="A967" s="8" t="s">
        <v>8040</v>
      </c>
      <c r="B967" s="8" t="s">
        <v>5693</v>
      </c>
      <c r="C967" s="8" t="s">
        <v>5918</v>
      </c>
      <c r="D967" s="10">
        <v>646</v>
      </c>
      <c r="E967" s="8" t="s">
        <v>8041</v>
      </c>
      <c r="F967" s="8" t="s">
        <v>8042</v>
      </c>
      <c r="G967" s="8" t="s">
        <v>4727</v>
      </c>
      <c r="H967" s="8" t="s">
        <v>8041</v>
      </c>
      <c r="I967" s="8"/>
      <c r="J967" s="15" t="s">
        <v>5695</v>
      </c>
      <c r="K967" s="8"/>
      <c r="L967" s="15" t="s">
        <v>1685</v>
      </c>
      <c r="M967" s="8" t="s">
        <v>5578</v>
      </c>
      <c r="N967" s="8"/>
      <c r="O967" s="8" t="s">
        <v>5574</v>
      </c>
      <c r="P967" s="11"/>
      <c r="Q967" s="8" t="s">
        <v>5696</v>
      </c>
      <c r="R967" s="8" t="s">
        <v>5919</v>
      </c>
      <c r="S967" s="8" t="s">
        <v>8043</v>
      </c>
    </row>
    <row r="968" spans="1:19" ht="93" customHeight="1" x14ac:dyDescent="0.25">
      <c r="A968" s="8" t="s">
        <v>8044</v>
      </c>
      <c r="B968" s="8" t="s">
        <v>5693</v>
      </c>
      <c r="C968" s="8" t="s">
        <v>5918</v>
      </c>
      <c r="D968" s="10">
        <v>647</v>
      </c>
      <c r="E968" s="8" t="s">
        <v>8045</v>
      </c>
      <c r="F968" s="8" t="s">
        <v>8046</v>
      </c>
      <c r="G968" s="8" t="s">
        <v>4727</v>
      </c>
      <c r="H968" s="8" t="s">
        <v>8045</v>
      </c>
      <c r="I968" s="8"/>
      <c r="J968" s="15" t="s">
        <v>5695</v>
      </c>
      <c r="K968" s="8"/>
      <c r="L968" s="15" t="s">
        <v>1685</v>
      </c>
      <c r="M968" s="8" t="s">
        <v>5578</v>
      </c>
      <c r="N968" s="8"/>
      <c r="O968" s="8" t="s">
        <v>5574</v>
      </c>
      <c r="P968" s="11"/>
      <c r="Q968" s="8" t="s">
        <v>5696</v>
      </c>
      <c r="R968" s="8" t="s">
        <v>5919</v>
      </c>
      <c r="S968" s="8" t="s">
        <v>8047</v>
      </c>
    </row>
    <row r="969" spans="1:19" ht="93" customHeight="1" x14ac:dyDescent="0.25">
      <c r="A969" s="8" t="s">
        <v>8048</v>
      </c>
      <c r="B969" s="8" t="s">
        <v>5693</v>
      </c>
      <c r="C969" s="8" t="s">
        <v>5918</v>
      </c>
      <c r="D969" s="10">
        <v>648</v>
      </c>
      <c r="E969" s="8" t="s">
        <v>8049</v>
      </c>
      <c r="F969" s="8" t="s">
        <v>8050</v>
      </c>
      <c r="G969" s="8" t="s">
        <v>4727</v>
      </c>
      <c r="H969" s="8" t="s">
        <v>8049</v>
      </c>
      <c r="I969" s="8"/>
      <c r="J969" s="15" t="s">
        <v>5695</v>
      </c>
      <c r="K969" s="8"/>
      <c r="L969" s="15" t="s">
        <v>1685</v>
      </c>
      <c r="M969" s="8" t="s">
        <v>5578</v>
      </c>
      <c r="N969" s="8"/>
      <c r="O969" s="8" t="s">
        <v>5574</v>
      </c>
      <c r="P969" s="11"/>
      <c r="Q969" s="8" t="s">
        <v>5696</v>
      </c>
      <c r="R969" s="8" t="s">
        <v>5919</v>
      </c>
      <c r="S969" s="8" t="s">
        <v>8051</v>
      </c>
    </row>
    <row r="970" spans="1:19" ht="93" customHeight="1" x14ac:dyDescent="0.25">
      <c r="A970" s="8" t="s">
        <v>8052</v>
      </c>
      <c r="B970" s="8" t="s">
        <v>5693</v>
      </c>
      <c r="C970" s="8" t="s">
        <v>5918</v>
      </c>
      <c r="D970" s="10">
        <v>649</v>
      </c>
      <c r="E970" s="8" t="s">
        <v>8053</v>
      </c>
      <c r="F970" s="8" t="s">
        <v>8054</v>
      </c>
      <c r="G970" s="8" t="s">
        <v>4727</v>
      </c>
      <c r="H970" s="8" t="s">
        <v>8053</v>
      </c>
      <c r="I970" s="8"/>
      <c r="J970" s="15" t="s">
        <v>5695</v>
      </c>
      <c r="K970" s="8"/>
      <c r="L970" s="15" t="s">
        <v>1685</v>
      </c>
      <c r="M970" s="8" t="s">
        <v>5578</v>
      </c>
      <c r="N970" s="8"/>
      <c r="O970" s="8" t="s">
        <v>5574</v>
      </c>
      <c r="P970" s="11"/>
      <c r="Q970" s="8" t="s">
        <v>5696</v>
      </c>
      <c r="R970" s="8" t="s">
        <v>5919</v>
      </c>
      <c r="S970" s="8" t="s">
        <v>8055</v>
      </c>
    </row>
    <row r="971" spans="1:19" ht="93" customHeight="1" x14ac:dyDescent="0.25">
      <c r="A971" s="8" t="s">
        <v>8056</v>
      </c>
      <c r="B971" s="8" t="s">
        <v>5693</v>
      </c>
      <c r="C971" s="8" t="s">
        <v>5918</v>
      </c>
      <c r="D971" s="10">
        <v>650</v>
      </c>
      <c r="E971" s="8" t="s">
        <v>8057</v>
      </c>
      <c r="F971" s="8" t="s">
        <v>8058</v>
      </c>
      <c r="G971" s="8" t="s">
        <v>4727</v>
      </c>
      <c r="H971" s="8" t="s">
        <v>8057</v>
      </c>
      <c r="I971" s="8"/>
      <c r="J971" s="15" t="s">
        <v>5695</v>
      </c>
      <c r="K971" s="8"/>
      <c r="L971" s="15" t="s">
        <v>1685</v>
      </c>
      <c r="M971" s="8" t="s">
        <v>5578</v>
      </c>
      <c r="N971" s="8"/>
      <c r="O971" s="8" t="s">
        <v>5574</v>
      </c>
      <c r="P971" s="11"/>
      <c r="Q971" s="8" t="s">
        <v>5696</v>
      </c>
      <c r="R971" s="8" t="s">
        <v>5919</v>
      </c>
      <c r="S971" s="8" t="s">
        <v>8059</v>
      </c>
    </row>
    <row r="972" spans="1:19" ht="107.1" customHeight="1" x14ac:dyDescent="0.25">
      <c r="A972" s="8" t="s">
        <v>8060</v>
      </c>
      <c r="B972" s="8" t="s">
        <v>5693</v>
      </c>
      <c r="C972" s="8" t="s">
        <v>5918</v>
      </c>
      <c r="D972" s="10">
        <v>651</v>
      </c>
      <c r="E972" s="8" t="s">
        <v>8061</v>
      </c>
      <c r="F972" s="8" t="s">
        <v>8062</v>
      </c>
      <c r="G972" s="8" t="s">
        <v>4727</v>
      </c>
      <c r="H972" s="8" t="s">
        <v>8061</v>
      </c>
      <c r="I972" s="8"/>
      <c r="J972" s="15" t="s">
        <v>5695</v>
      </c>
      <c r="K972" s="8"/>
      <c r="L972" s="15" t="s">
        <v>1685</v>
      </c>
      <c r="M972" s="8" t="s">
        <v>5578</v>
      </c>
      <c r="N972" s="8"/>
      <c r="O972" s="8" t="s">
        <v>5574</v>
      </c>
      <c r="P972" s="11"/>
      <c r="Q972" s="8" t="s">
        <v>5696</v>
      </c>
      <c r="R972" s="8" t="s">
        <v>5919</v>
      </c>
      <c r="S972" s="8" t="s">
        <v>8063</v>
      </c>
    </row>
    <row r="973" spans="1:19" ht="93" customHeight="1" x14ac:dyDescent="0.25">
      <c r="A973" s="8" t="s">
        <v>8064</v>
      </c>
      <c r="B973" s="8" t="s">
        <v>5693</v>
      </c>
      <c r="C973" s="8" t="s">
        <v>5918</v>
      </c>
      <c r="D973" s="10">
        <v>652</v>
      </c>
      <c r="E973" s="8" t="s">
        <v>8065</v>
      </c>
      <c r="F973" s="8" t="s">
        <v>8066</v>
      </c>
      <c r="G973" s="8" t="s">
        <v>4727</v>
      </c>
      <c r="H973" s="8" t="s">
        <v>8065</v>
      </c>
      <c r="I973" s="8"/>
      <c r="J973" s="15" t="s">
        <v>5695</v>
      </c>
      <c r="K973" s="8"/>
      <c r="L973" s="15" t="s">
        <v>1685</v>
      </c>
      <c r="M973" s="8" t="s">
        <v>5578</v>
      </c>
      <c r="N973" s="8"/>
      <c r="O973" s="8" t="s">
        <v>5574</v>
      </c>
      <c r="P973" s="11"/>
      <c r="Q973" s="8" t="s">
        <v>5696</v>
      </c>
      <c r="R973" s="8" t="s">
        <v>5919</v>
      </c>
      <c r="S973" s="8" t="s">
        <v>8067</v>
      </c>
    </row>
    <row r="974" spans="1:19" ht="107.1" customHeight="1" x14ac:dyDescent="0.25">
      <c r="A974" s="8" t="s">
        <v>8068</v>
      </c>
      <c r="B974" s="8" t="s">
        <v>5693</v>
      </c>
      <c r="C974" s="8" t="s">
        <v>5918</v>
      </c>
      <c r="D974" s="10">
        <v>653</v>
      </c>
      <c r="E974" s="8" t="s">
        <v>8069</v>
      </c>
      <c r="F974" s="8" t="s">
        <v>8070</v>
      </c>
      <c r="G974" s="8" t="s">
        <v>4727</v>
      </c>
      <c r="H974" s="8" t="s">
        <v>8069</v>
      </c>
      <c r="I974" s="8"/>
      <c r="J974" s="15" t="s">
        <v>5695</v>
      </c>
      <c r="K974" s="8"/>
      <c r="L974" s="15" t="s">
        <v>1685</v>
      </c>
      <c r="M974" s="8" t="s">
        <v>5578</v>
      </c>
      <c r="N974" s="8"/>
      <c r="O974" s="8" t="s">
        <v>5574</v>
      </c>
      <c r="P974" s="11"/>
      <c r="Q974" s="8" t="s">
        <v>5696</v>
      </c>
      <c r="R974" s="8" t="s">
        <v>5919</v>
      </c>
      <c r="S974" s="8" t="s">
        <v>8071</v>
      </c>
    </row>
    <row r="975" spans="1:19" ht="107.1" customHeight="1" x14ac:dyDescent="0.25">
      <c r="A975" s="8" t="s">
        <v>8072</v>
      </c>
      <c r="B975" s="8" t="s">
        <v>5693</v>
      </c>
      <c r="C975" s="8" t="s">
        <v>5918</v>
      </c>
      <c r="D975" s="10">
        <v>654</v>
      </c>
      <c r="E975" s="8" t="s">
        <v>8073</v>
      </c>
      <c r="F975" s="8" t="s">
        <v>8074</v>
      </c>
      <c r="G975" s="8" t="s">
        <v>4727</v>
      </c>
      <c r="H975" s="8" t="s">
        <v>8073</v>
      </c>
      <c r="I975" s="8"/>
      <c r="J975" s="15" t="s">
        <v>5695</v>
      </c>
      <c r="K975" s="8"/>
      <c r="L975" s="15" t="s">
        <v>1685</v>
      </c>
      <c r="M975" s="8" t="s">
        <v>5578</v>
      </c>
      <c r="N975" s="8"/>
      <c r="O975" s="8" t="s">
        <v>5574</v>
      </c>
      <c r="P975" s="11"/>
      <c r="Q975" s="8" t="s">
        <v>5696</v>
      </c>
      <c r="R975" s="8" t="s">
        <v>5919</v>
      </c>
      <c r="S975" s="8" t="s">
        <v>8075</v>
      </c>
    </row>
    <row r="976" spans="1:19" ht="107.1" customHeight="1" x14ac:dyDescent="0.25">
      <c r="A976" s="8" t="s">
        <v>8076</v>
      </c>
      <c r="B976" s="8" t="s">
        <v>5693</v>
      </c>
      <c r="C976" s="8" t="s">
        <v>5918</v>
      </c>
      <c r="D976" s="10">
        <v>655</v>
      </c>
      <c r="E976" s="8" t="s">
        <v>8077</v>
      </c>
      <c r="F976" s="8" t="s">
        <v>8078</v>
      </c>
      <c r="G976" s="8" t="s">
        <v>4727</v>
      </c>
      <c r="H976" s="8" t="s">
        <v>8077</v>
      </c>
      <c r="I976" s="8"/>
      <c r="J976" s="15" t="s">
        <v>5695</v>
      </c>
      <c r="K976" s="8"/>
      <c r="L976" s="15" t="s">
        <v>1685</v>
      </c>
      <c r="M976" s="8" t="s">
        <v>5578</v>
      </c>
      <c r="N976" s="8"/>
      <c r="O976" s="8" t="s">
        <v>5574</v>
      </c>
      <c r="P976" s="11"/>
      <c r="Q976" s="8" t="s">
        <v>5696</v>
      </c>
      <c r="R976" s="8" t="s">
        <v>5919</v>
      </c>
      <c r="S976" s="8" t="s">
        <v>8079</v>
      </c>
    </row>
    <row r="977" spans="1:19" ht="93" customHeight="1" x14ac:dyDescent="0.25">
      <c r="A977" s="8" t="s">
        <v>8080</v>
      </c>
      <c r="B977" s="8" t="s">
        <v>5693</v>
      </c>
      <c r="C977" s="8" t="s">
        <v>5918</v>
      </c>
      <c r="D977" s="10">
        <v>656</v>
      </c>
      <c r="E977" s="8" t="s">
        <v>8081</v>
      </c>
      <c r="F977" s="8" t="s">
        <v>8082</v>
      </c>
      <c r="G977" s="8" t="s">
        <v>4727</v>
      </c>
      <c r="H977" s="8" t="s">
        <v>8081</v>
      </c>
      <c r="I977" s="8"/>
      <c r="J977" s="15" t="s">
        <v>5695</v>
      </c>
      <c r="K977" s="8"/>
      <c r="L977" s="15" t="s">
        <v>1685</v>
      </c>
      <c r="M977" s="8" t="s">
        <v>5578</v>
      </c>
      <c r="N977" s="8"/>
      <c r="O977" s="8" t="s">
        <v>5574</v>
      </c>
      <c r="P977" s="11"/>
      <c r="Q977" s="8" t="s">
        <v>5696</v>
      </c>
      <c r="R977" s="8" t="s">
        <v>5919</v>
      </c>
      <c r="S977" s="8" t="s">
        <v>8083</v>
      </c>
    </row>
    <row r="978" spans="1:19" ht="107.1" customHeight="1" x14ac:dyDescent="0.25">
      <c r="A978" s="8" t="s">
        <v>8084</v>
      </c>
      <c r="B978" s="8" t="s">
        <v>5693</v>
      </c>
      <c r="C978" s="8" t="s">
        <v>5918</v>
      </c>
      <c r="D978" s="10">
        <v>657</v>
      </c>
      <c r="E978" s="8" t="s">
        <v>8085</v>
      </c>
      <c r="F978" s="8" t="s">
        <v>8086</v>
      </c>
      <c r="G978" s="8" t="s">
        <v>4727</v>
      </c>
      <c r="H978" s="8" t="s">
        <v>8085</v>
      </c>
      <c r="I978" s="8"/>
      <c r="J978" s="15" t="s">
        <v>5695</v>
      </c>
      <c r="K978" s="8"/>
      <c r="L978" s="15" t="s">
        <v>1685</v>
      </c>
      <c r="M978" s="8" t="s">
        <v>5578</v>
      </c>
      <c r="N978" s="8"/>
      <c r="O978" s="8" t="s">
        <v>5574</v>
      </c>
      <c r="P978" s="11"/>
      <c r="Q978" s="8" t="s">
        <v>5696</v>
      </c>
      <c r="R978" s="8" t="s">
        <v>5919</v>
      </c>
      <c r="S978" s="8" t="s">
        <v>8087</v>
      </c>
    </row>
    <row r="979" spans="1:19" ht="93" customHeight="1" x14ac:dyDescent="0.25">
      <c r="A979" s="8" t="s">
        <v>8088</v>
      </c>
      <c r="B979" s="8" t="s">
        <v>5693</v>
      </c>
      <c r="C979" s="8" t="s">
        <v>5918</v>
      </c>
      <c r="D979" s="10">
        <v>658</v>
      </c>
      <c r="E979" s="8" t="s">
        <v>8089</v>
      </c>
      <c r="F979" s="8" t="s">
        <v>8090</v>
      </c>
      <c r="G979" s="8" t="s">
        <v>4727</v>
      </c>
      <c r="H979" s="8" t="s">
        <v>8089</v>
      </c>
      <c r="I979" s="8"/>
      <c r="J979" s="15" t="s">
        <v>5695</v>
      </c>
      <c r="K979" s="8"/>
      <c r="L979" s="15" t="s">
        <v>1685</v>
      </c>
      <c r="M979" s="8" t="s">
        <v>5578</v>
      </c>
      <c r="N979" s="8"/>
      <c r="O979" s="8" t="s">
        <v>5574</v>
      </c>
      <c r="P979" s="11"/>
      <c r="Q979" s="8" t="s">
        <v>5696</v>
      </c>
      <c r="R979" s="8" t="s">
        <v>5919</v>
      </c>
      <c r="S979" s="8" t="s">
        <v>8091</v>
      </c>
    </row>
    <row r="980" spans="1:19" ht="107.1" customHeight="1" x14ac:dyDescent="0.25">
      <c r="A980" s="8" t="s">
        <v>8092</v>
      </c>
      <c r="B980" s="8" t="s">
        <v>5693</v>
      </c>
      <c r="C980" s="8" t="s">
        <v>5918</v>
      </c>
      <c r="D980" s="10">
        <v>659</v>
      </c>
      <c r="E980" s="8" t="s">
        <v>8093</v>
      </c>
      <c r="F980" s="8" t="s">
        <v>8094</v>
      </c>
      <c r="G980" s="8" t="s">
        <v>4727</v>
      </c>
      <c r="H980" s="8" t="s">
        <v>8093</v>
      </c>
      <c r="I980" s="8"/>
      <c r="J980" s="15" t="s">
        <v>5695</v>
      </c>
      <c r="K980" s="8"/>
      <c r="L980" s="15" t="s">
        <v>1685</v>
      </c>
      <c r="M980" s="8" t="s">
        <v>5578</v>
      </c>
      <c r="N980" s="8"/>
      <c r="O980" s="8" t="s">
        <v>5574</v>
      </c>
      <c r="P980" s="11"/>
      <c r="Q980" s="8" t="s">
        <v>5696</v>
      </c>
      <c r="R980" s="8" t="s">
        <v>5919</v>
      </c>
      <c r="S980" s="8" t="s">
        <v>8095</v>
      </c>
    </row>
    <row r="981" spans="1:19" ht="107.1" customHeight="1" x14ac:dyDescent="0.25">
      <c r="A981" s="8" t="s">
        <v>8096</v>
      </c>
      <c r="B981" s="8" t="s">
        <v>5693</v>
      </c>
      <c r="C981" s="8" t="s">
        <v>5918</v>
      </c>
      <c r="D981" s="10">
        <v>660</v>
      </c>
      <c r="E981" s="8" t="s">
        <v>8097</v>
      </c>
      <c r="F981" s="8" t="s">
        <v>8098</v>
      </c>
      <c r="G981" s="8" t="s">
        <v>4727</v>
      </c>
      <c r="H981" s="8" t="s">
        <v>8097</v>
      </c>
      <c r="I981" s="8"/>
      <c r="J981" s="15" t="s">
        <v>5695</v>
      </c>
      <c r="K981" s="8"/>
      <c r="L981" s="15" t="s">
        <v>1685</v>
      </c>
      <c r="M981" s="8" t="s">
        <v>5578</v>
      </c>
      <c r="N981" s="8"/>
      <c r="O981" s="8" t="s">
        <v>5574</v>
      </c>
      <c r="P981" s="11"/>
      <c r="Q981" s="8" t="s">
        <v>5696</v>
      </c>
      <c r="R981" s="8" t="s">
        <v>5919</v>
      </c>
      <c r="S981" s="8" t="s">
        <v>8099</v>
      </c>
    </row>
    <row r="982" spans="1:19" ht="107.1" customHeight="1" x14ac:dyDescent="0.25">
      <c r="A982" s="8" t="s">
        <v>8100</v>
      </c>
      <c r="B982" s="8" t="s">
        <v>5693</v>
      </c>
      <c r="C982" s="8" t="s">
        <v>5918</v>
      </c>
      <c r="D982" s="10">
        <v>661</v>
      </c>
      <c r="E982" s="8" t="s">
        <v>8101</v>
      </c>
      <c r="F982" s="8" t="s">
        <v>8102</v>
      </c>
      <c r="G982" s="8" t="s">
        <v>4727</v>
      </c>
      <c r="H982" s="8" t="s">
        <v>8101</v>
      </c>
      <c r="I982" s="8"/>
      <c r="J982" s="15" t="s">
        <v>5695</v>
      </c>
      <c r="K982" s="8"/>
      <c r="L982" s="15" t="s">
        <v>1685</v>
      </c>
      <c r="M982" s="8" t="s">
        <v>5578</v>
      </c>
      <c r="N982" s="8"/>
      <c r="O982" s="8" t="s">
        <v>5574</v>
      </c>
      <c r="P982" s="11"/>
      <c r="Q982" s="8" t="s">
        <v>5696</v>
      </c>
      <c r="R982" s="8" t="s">
        <v>5919</v>
      </c>
      <c r="S982" s="8" t="s">
        <v>8103</v>
      </c>
    </row>
    <row r="983" spans="1:19" ht="107.1" customHeight="1" x14ac:dyDescent="0.25">
      <c r="A983" s="8" t="s">
        <v>8104</v>
      </c>
      <c r="B983" s="8" t="s">
        <v>5693</v>
      </c>
      <c r="C983" s="8" t="s">
        <v>5918</v>
      </c>
      <c r="D983" s="10">
        <v>662</v>
      </c>
      <c r="E983" s="8" t="s">
        <v>8105</v>
      </c>
      <c r="F983" s="8" t="s">
        <v>8106</v>
      </c>
      <c r="G983" s="8" t="s">
        <v>4727</v>
      </c>
      <c r="H983" s="8" t="s">
        <v>8105</v>
      </c>
      <c r="I983" s="8"/>
      <c r="J983" s="15" t="s">
        <v>5695</v>
      </c>
      <c r="K983" s="8"/>
      <c r="L983" s="15" t="s">
        <v>1685</v>
      </c>
      <c r="M983" s="8" t="s">
        <v>5578</v>
      </c>
      <c r="N983" s="8"/>
      <c r="O983" s="8" t="s">
        <v>5574</v>
      </c>
      <c r="P983" s="11"/>
      <c r="Q983" s="8" t="s">
        <v>5696</v>
      </c>
      <c r="R983" s="8" t="s">
        <v>5919</v>
      </c>
      <c r="S983" s="8" t="s">
        <v>8107</v>
      </c>
    </row>
    <row r="984" spans="1:19" ht="107.1" customHeight="1" x14ac:dyDescent="0.25">
      <c r="A984" s="8" t="s">
        <v>8108</v>
      </c>
      <c r="B984" s="8" t="s">
        <v>5693</v>
      </c>
      <c r="C984" s="8" t="s">
        <v>5918</v>
      </c>
      <c r="D984" s="10">
        <v>663</v>
      </c>
      <c r="E984" s="8" t="s">
        <v>8109</v>
      </c>
      <c r="F984" s="8" t="s">
        <v>8110</v>
      </c>
      <c r="G984" s="8" t="s">
        <v>4727</v>
      </c>
      <c r="H984" s="8" t="s">
        <v>8109</v>
      </c>
      <c r="I984" s="8"/>
      <c r="J984" s="15" t="s">
        <v>5695</v>
      </c>
      <c r="K984" s="8"/>
      <c r="L984" s="15" t="s">
        <v>1685</v>
      </c>
      <c r="M984" s="8" t="s">
        <v>5578</v>
      </c>
      <c r="N984" s="8"/>
      <c r="O984" s="8" t="s">
        <v>5574</v>
      </c>
      <c r="P984" s="11"/>
      <c r="Q984" s="8" t="s">
        <v>5696</v>
      </c>
      <c r="R984" s="8" t="s">
        <v>5919</v>
      </c>
      <c r="S984" s="8" t="s">
        <v>8111</v>
      </c>
    </row>
    <row r="985" spans="1:19" ht="107.1" customHeight="1" x14ac:dyDescent="0.25">
      <c r="A985" s="8" t="s">
        <v>8112</v>
      </c>
      <c r="B985" s="8" t="s">
        <v>5693</v>
      </c>
      <c r="C985" s="8" t="s">
        <v>5918</v>
      </c>
      <c r="D985" s="10">
        <v>664</v>
      </c>
      <c r="E985" s="8" t="s">
        <v>8113</v>
      </c>
      <c r="F985" s="8" t="s">
        <v>8114</v>
      </c>
      <c r="G985" s="8" t="s">
        <v>4727</v>
      </c>
      <c r="H985" s="8" t="s">
        <v>8113</v>
      </c>
      <c r="I985" s="8"/>
      <c r="J985" s="15" t="s">
        <v>5695</v>
      </c>
      <c r="K985" s="8"/>
      <c r="L985" s="15" t="s">
        <v>1685</v>
      </c>
      <c r="M985" s="8" t="s">
        <v>5578</v>
      </c>
      <c r="N985" s="8"/>
      <c r="O985" s="8" t="s">
        <v>5574</v>
      </c>
      <c r="P985" s="11"/>
      <c r="Q985" s="8" t="s">
        <v>5696</v>
      </c>
      <c r="R985" s="8" t="s">
        <v>5919</v>
      </c>
      <c r="S985" s="8" t="s">
        <v>8115</v>
      </c>
    </row>
    <row r="986" spans="1:19" ht="107.1" customHeight="1" x14ac:dyDescent="0.25">
      <c r="A986" s="8" t="s">
        <v>8116</v>
      </c>
      <c r="B986" s="8" t="s">
        <v>5693</v>
      </c>
      <c r="C986" s="8" t="s">
        <v>5918</v>
      </c>
      <c r="D986" s="10">
        <v>665</v>
      </c>
      <c r="E986" s="8" t="s">
        <v>8117</v>
      </c>
      <c r="F986" s="8" t="s">
        <v>8118</v>
      </c>
      <c r="G986" s="8" t="s">
        <v>4727</v>
      </c>
      <c r="H986" s="8" t="s">
        <v>8117</v>
      </c>
      <c r="I986" s="8"/>
      <c r="J986" s="15" t="s">
        <v>5695</v>
      </c>
      <c r="K986" s="8"/>
      <c r="L986" s="15" t="s">
        <v>1685</v>
      </c>
      <c r="M986" s="8" t="s">
        <v>5578</v>
      </c>
      <c r="N986" s="8"/>
      <c r="O986" s="8" t="s">
        <v>5574</v>
      </c>
      <c r="P986" s="11"/>
      <c r="Q986" s="8" t="s">
        <v>5696</v>
      </c>
      <c r="R986" s="8" t="s">
        <v>5919</v>
      </c>
      <c r="S986" s="8" t="s">
        <v>8119</v>
      </c>
    </row>
    <row r="987" spans="1:19" ht="93" customHeight="1" x14ac:dyDescent="0.25">
      <c r="A987" s="8" t="s">
        <v>8120</v>
      </c>
      <c r="B987" s="8" t="s">
        <v>5693</v>
      </c>
      <c r="C987" s="8" t="s">
        <v>5918</v>
      </c>
      <c r="D987" s="10">
        <v>666</v>
      </c>
      <c r="E987" s="8" t="s">
        <v>8121</v>
      </c>
      <c r="F987" s="8" t="s">
        <v>8122</v>
      </c>
      <c r="G987" s="8" t="s">
        <v>4727</v>
      </c>
      <c r="H987" s="8" t="s">
        <v>8121</v>
      </c>
      <c r="I987" s="8"/>
      <c r="J987" s="15" t="s">
        <v>5695</v>
      </c>
      <c r="K987" s="8"/>
      <c r="L987" s="15" t="s">
        <v>1685</v>
      </c>
      <c r="M987" s="8" t="s">
        <v>5578</v>
      </c>
      <c r="N987" s="8"/>
      <c r="O987" s="8" t="s">
        <v>5574</v>
      </c>
      <c r="P987" s="11"/>
      <c r="Q987" s="8" t="s">
        <v>5696</v>
      </c>
      <c r="R987" s="8" t="s">
        <v>5919</v>
      </c>
      <c r="S987" s="8" t="s">
        <v>8123</v>
      </c>
    </row>
    <row r="988" spans="1:19" ht="93" customHeight="1" x14ac:dyDescent="0.25">
      <c r="A988" s="8" t="s">
        <v>8124</v>
      </c>
      <c r="B988" s="8" t="s">
        <v>5693</v>
      </c>
      <c r="C988" s="8" t="s">
        <v>5918</v>
      </c>
      <c r="D988" s="10">
        <v>667</v>
      </c>
      <c r="E988" s="8" t="s">
        <v>8125</v>
      </c>
      <c r="F988" s="8" t="s">
        <v>8126</v>
      </c>
      <c r="G988" s="8" t="s">
        <v>4727</v>
      </c>
      <c r="H988" s="8" t="s">
        <v>8125</v>
      </c>
      <c r="I988" s="8"/>
      <c r="J988" s="15" t="s">
        <v>5695</v>
      </c>
      <c r="K988" s="8"/>
      <c r="L988" s="15" t="s">
        <v>1685</v>
      </c>
      <c r="M988" s="8" t="s">
        <v>5578</v>
      </c>
      <c r="N988" s="8"/>
      <c r="O988" s="8" t="s">
        <v>5574</v>
      </c>
      <c r="P988" s="11"/>
      <c r="Q988" s="8" t="s">
        <v>5696</v>
      </c>
      <c r="R988" s="8" t="s">
        <v>5919</v>
      </c>
      <c r="S988" s="8" t="s">
        <v>8127</v>
      </c>
    </row>
    <row r="989" spans="1:19" ht="107.1" customHeight="1" x14ac:dyDescent="0.25">
      <c r="A989" s="8" t="s">
        <v>8128</v>
      </c>
      <c r="B989" s="8" t="s">
        <v>5693</v>
      </c>
      <c r="C989" s="8" t="s">
        <v>5918</v>
      </c>
      <c r="D989" s="10">
        <v>668</v>
      </c>
      <c r="E989" s="8" t="s">
        <v>8129</v>
      </c>
      <c r="F989" s="8" t="s">
        <v>8130</v>
      </c>
      <c r="G989" s="8" t="s">
        <v>4727</v>
      </c>
      <c r="H989" s="8" t="s">
        <v>8129</v>
      </c>
      <c r="I989" s="8"/>
      <c r="J989" s="15" t="s">
        <v>5695</v>
      </c>
      <c r="K989" s="8"/>
      <c r="L989" s="15" t="s">
        <v>1685</v>
      </c>
      <c r="M989" s="8" t="s">
        <v>5578</v>
      </c>
      <c r="N989" s="8"/>
      <c r="O989" s="8" t="s">
        <v>5574</v>
      </c>
      <c r="P989" s="11"/>
      <c r="Q989" s="8" t="s">
        <v>5696</v>
      </c>
      <c r="R989" s="8" t="s">
        <v>5919</v>
      </c>
      <c r="S989" s="8" t="s">
        <v>8131</v>
      </c>
    </row>
    <row r="990" spans="1:19" ht="107.1" customHeight="1" x14ac:dyDescent="0.25">
      <c r="A990" s="8" t="s">
        <v>8132</v>
      </c>
      <c r="B990" s="8" t="s">
        <v>5693</v>
      </c>
      <c r="C990" s="8" t="s">
        <v>5918</v>
      </c>
      <c r="D990" s="10">
        <v>669</v>
      </c>
      <c r="E990" s="8" t="s">
        <v>8133</v>
      </c>
      <c r="F990" s="8" t="s">
        <v>8134</v>
      </c>
      <c r="G990" s="8" t="s">
        <v>4727</v>
      </c>
      <c r="H990" s="8" t="s">
        <v>8133</v>
      </c>
      <c r="I990" s="8"/>
      <c r="J990" s="15" t="s">
        <v>5695</v>
      </c>
      <c r="K990" s="8"/>
      <c r="L990" s="15" t="s">
        <v>1685</v>
      </c>
      <c r="M990" s="8" t="s">
        <v>5578</v>
      </c>
      <c r="N990" s="8"/>
      <c r="O990" s="8" t="s">
        <v>5574</v>
      </c>
      <c r="P990" s="11"/>
      <c r="Q990" s="8" t="s">
        <v>5696</v>
      </c>
      <c r="R990" s="8" t="s">
        <v>5919</v>
      </c>
      <c r="S990" s="8" t="s">
        <v>8135</v>
      </c>
    </row>
    <row r="991" spans="1:19" ht="93" customHeight="1" x14ac:dyDescent="0.25">
      <c r="A991" s="8" t="s">
        <v>8136</v>
      </c>
      <c r="B991" s="8" t="s">
        <v>5693</v>
      </c>
      <c r="C991" s="8" t="s">
        <v>5918</v>
      </c>
      <c r="D991" s="10">
        <v>670</v>
      </c>
      <c r="E991" s="8" t="s">
        <v>8137</v>
      </c>
      <c r="F991" s="8" t="s">
        <v>8138</v>
      </c>
      <c r="G991" s="8" t="s">
        <v>4727</v>
      </c>
      <c r="H991" s="8" t="s">
        <v>8137</v>
      </c>
      <c r="I991" s="8"/>
      <c r="J991" s="15" t="s">
        <v>5695</v>
      </c>
      <c r="K991" s="8"/>
      <c r="L991" s="15" t="s">
        <v>1685</v>
      </c>
      <c r="M991" s="8" t="s">
        <v>5578</v>
      </c>
      <c r="N991" s="8"/>
      <c r="O991" s="8" t="s">
        <v>5574</v>
      </c>
      <c r="P991" s="11"/>
      <c r="Q991" s="8" t="s">
        <v>5696</v>
      </c>
      <c r="R991" s="8" t="s">
        <v>5919</v>
      </c>
      <c r="S991" s="8" t="s">
        <v>8139</v>
      </c>
    </row>
    <row r="992" spans="1:19" ht="107.1" customHeight="1" x14ac:dyDescent="0.25">
      <c r="A992" s="8" t="s">
        <v>8140</v>
      </c>
      <c r="B992" s="8" t="s">
        <v>5693</v>
      </c>
      <c r="C992" s="8" t="s">
        <v>5918</v>
      </c>
      <c r="D992" s="10">
        <v>671</v>
      </c>
      <c r="E992" s="8" t="s">
        <v>8141</v>
      </c>
      <c r="F992" s="8" t="s">
        <v>8142</v>
      </c>
      <c r="G992" s="8" t="s">
        <v>4727</v>
      </c>
      <c r="H992" s="8" t="s">
        <v>8141</v>
      </c>
      <c r="I992" s="8"/>
      <c r="J992" s="15" t="s">
        <v>5695</v>
      </c>
      <c r="K992" s="8"/>
      <c r="L992" s="15" t="s">
        <v>1685</v>
      </c>
      <c r="M992" s="8" t="s">
        <v>5578</v>
      </c>
      <c r="N992" s="8"/>
      <c r="O992" s="8" t="s">
        <v>5574</v>
      </c>
      <c r="P992" s="11"/>
      <c r="Q992" s="8" t="s">
        <v>5696</v>
      </c>
      <c r="R992" s="8" t="s">
        <v>5919</v>
      </c>
      <c r="S992" s="8" t="s">
        <v>8143</v>
      </c>
    </row>
    <row r="993" spans="1:19" ht="93" customHeight="1" x14ac:dyDescent="0.25">
      <c r="A993" s="8" t="s">
        <v>8144</v>
      </c>
      <c r="B993" s="8" t="s">
        <v>5693</v>
      </c>
      <c r="C993" s="8" t="s">
        <v>5918</v>
      </c>
      <c r="D993" s="10">
        <v>672</v>
      </c>
      <c r="E993" s="8" t="s">
        <v>8145</v>
      </c>
      <c r="F993" s="8" t="s">
        <v>8146</v>
      </c>
      <c r="G993" s="8" t="s">
        <v>4727</v>
      </c>
      <c r="H993" s="8" t="s">
        <v>8145</v>
      </c>
      <c r="I993" s="8"/>
      <c r="J993" s="15" t="s">
        <v>5695</v>
      </c>
      <c r="K993" s="8"/>
      <c r="L993" s="15" t="s">
        <v>1685</v>
      </c>
      <c r="M993" s="8" t="s">
        <v>5578</v>
      </c>
      <c r="N993" s="8"/>
      <c r="O993" s="8" t="s">
        <v>5574</v>
      </c>
      <c r="P993" s="11"/>
      <c r="Q993" s="8" t="s">
        <v>5696</v>
      </c>
      <c r="R993" s="8" t="s">
        <v>5919</v>
      </c>
      <c r="S993" s="8" t="s">
        <v>8147</v>
      </c>
    </row>
    <row r="994" spans="1:19" ht="107.1" customHeight="1" x14ac:dyDescent="0.25">
      <c r="A994" s="8" t="s">
        <v>8148</v>
      </c>
      <c r="B994" s="8" t="s">
        <v>5693</v>
      </c>
      <c r="C994" s="8" t="s">
        <v>5918</v>
      </c>
      <c r="D994" s="10">
        <v>673</v>
      </c>
      <c r="E994" s="8" t="s">
        <v>8149</v>
      </c>
      <c r="F994" s="8" t="s">
        <v>8150</v>
      </c>
      <c r="G994" s="8" t="s">
        <v>4727</v>
      </c>
      <c r="H994" s="8" t="s">
        <v>8149</v>
      </c>
      <c r="I994" s="8"/>
      <c r="J994" s="15" t="s">
        <v>5695</v>
      </c>
      <c r="K994" s="8"/>
      <c r="L994" s="15" t="s">
        <v>1685</v>
      </c>
      <c r="M994" s="8" t="s">
        <v>5578</v>
      </c>
      <c r="N994" s="8"/>
      <c r="O994" s="8" t="s">
        <v>5574</v>
      </c>
      <c r="P994" s="11"/>
      <c r="Q994" s="8" t="s">
        <v>5696</v>
      </c>
      <c r="R994" s="8" t="s">
        <v>5919</v>
      </c>
      <c r="S994" s="8" t="s">
        <v>8151</v>
      </c>
    </row>
    <row r="995" spans="1:19" ht="107.1" customHeight="1" x14ac:dyDescent="0.25">
      <c r="A995" s="8" t="s">
        <v>8152</v>
      </c>
      <c r="B995" s="8" t="s">
        <v>5693</v>
      </c>
      <c r="C995" s="8" t="s">
        <v>5918</v>
      </c>
      <c r="D995" s="10">
        <v>674</v>
      </c>
      <c r="E995" s="8" t="s">
        <v>8153</v>
      </c>
      <c r="F995" s="8" t="s">
        <v>8154</v>
      </c>
      <c r="G995" s="8" t="s">
        <v>4727</v>
      </c>
      <c r="H995" s="8" t="s">
        <v>8153</v>
      </c>
      <c r="I995" s="8"/>
      <c r="J995" s="15" t="s">
        <v>5695</v>
      </c>
      <c r="K995" s="8"/>
      <c r="L995" s="15" t="s">
        <v>1685</v>
      </c>
      <c r="M995" s="8" t="s">
        <v>5578</v>
      </c>
      <c r="N995" s="8"/>
      <c r="O995" s="8" t="s">
        <v>5574</v>
      </c>
      <c r="P995" s="11"/>
      <c r="Q995" s="8" t="s">
        <v>5696</v>
      </c>
      <c r="R995" s="8" t="s">
        <v>5919</v>
      </c>
      <c r="S995" s="8" t="s">
        <v>8155</v>
      </c>
    </row>
    <row r="996" spans="1:19" ht="107.1" customHeight="1" x14ac:dyDescent="0.25">
      <c r="A996" s="8" t="s">
        <v>8156</v>
      </c>
      <c r="B996" s="8" t="s">
        <v>5693</v>
      </c>
      <c r="C996" s="8" t="s">
        <v>5918</v>
      </c>
      <c r="D996" s="10">
        <v>675</v>
      </c>
      <c r="E996" s="8" t="s">
        <v>8157</v>
      </c>
      <c r="F996" s="8" t="s">
        <v>8158</v>
      </c>
      <c r="G996" s="8" t="s">
        <v>4727</v>
      </c>
      <c r="H996" s="8" t="s">
        <v>8157</v>
      </c>
      <c r="I996" s="8"/>
      <c r="J996" s="15" t="s">
        <v>5695</v>
      </c>
      <c r="K996" s="8"/>
      <c r="L996" s="15" t="s">
        <v>1685</v>
      </c>
      <c r="M996" s="8" t="s">
        <v>5578</v>
      </c>
      <c r="N996" s="8"/>
      <c r="O996" s="8" t="s">
        <v>5574</v>
      </c>
      <c r="P996" s="11"/>
      <c r="Q996" s="8" t="s">
        <v>5696</v>
      </c>
      <c r="R996" s="8" t="s">
        <v>5919</v>
      </c>
      <c r="S996" s="8" t="s">
        <v>8159</v>
      </c>
    </row>
    <row r="997" spans="1:19" ht="107.1" customHeight="1" x14ac:dyDescent="0.25">
      <c r="A997" s="8" t="s">
        <v>8160</v>
      </c>
      <c r="B997" s="8" t="s">
        <v>5693</v>
      </c>
      <c r="C997" s="8" t="s">
        <v>5918</v>
      </c>
      <c r="D997" s="10">
        <v>676</v>
      </c>
      <c r="E997" s="8" t="s">
        <v>8161</v>
      </c>
      <c r="F997" s="8" t="s">
        <v>8162</v>
      </c>
      <c r="G997" s="8" t="s">
        <v>4727</v>
      </c>
      <c r="H997" s="8" t="s">
        <v>8161</v>
      </c>
      <c r="I997" s="8"/>
      <c r="J997" s="15" t="s">
        <v>5695</v>
      </c>
      <c r="K997" s="8"/>
      <c r="L997" s="15" t="s">
        <v>1685</v>
      </c>
      <c r="M997" s="8" t="s">
        <v>5578</v>
      </c>
      <c r="N997" s="8"/>
      <c r="O997" s="8" t="s">
        <v>5574</v>
      </c>
      <c r="P997" s="11"/>
      <c r="Q997" s="8" t="s">
        <v>5696</v>
      </c>
      <c r="R997" s="8" t="s">
        <v>5919</v>
      </c>
      <c r="S997" s="8" t="s">
        <v>8163</v>
      </c>
    </row>
    <row r="998" spans="1:19" ht="107.1" customHeight="1" x14ac:dyDescent="0.25">
      <c r="A998" s="8" t="s">
        <v>8164</v>
      </c>
      <c r="B998" s="8" t="s">
        <v>5693</v>
      </c>
      <c r="C998" s="8" t="s">
        <v>5918</v>
      </c>
      <c r="D998" s="10">
        <v>677</v>
      </c>
      <c r="E998" s="8" t="s">
        <v>8165</v>
      </c>
      <c r="F998" s="8" t="s">
        <v>8166</v>
      </c>
      <c r="G998" s="8" t="s">
        <v>4727</v>
      </c>
      <c r="H998" s="8" t="s">
        <v>8165</v>
      </c>
      <c r="I998" s="8"/>
      <c r="J998" s="15" t="s">
        <v>5695</v>
      </c>
      <c r="K998" s="8"/>
      <c r="L998" s="15" t="s">
        <v>1685</v>
      </c>
      <c r="M998" s="8" t="s">
        <v>5578</v>
      </c>
      <c r="N998" s="8"/>
      <c r="O998" s="8" t="s">
        <v>5574</v>
      </c>
      <c r="P998" s="11"/>
      <c r="Q998" s="8" t="s">
        <v>5696</v>
      </c>
      <c r="R998" s="8" t="s">
        <v>5919</v>
      </c>
      <c r="S998" s="8" t="s">
        <v>8167</v>
      </c>
    </row>
    <row r="999" spans="1:19" ht="107.1" customHeight="1" x14ac:dyDescent="0.25">
      <c r="A999" s="8" t="s">
        <v>8168</v>
      </c>
      <c r="B999" s="8" t="s">
        <v>5693</v>
      </c>
      <c r="C999" s="8" t="s">
        <v>5918</v>
      </c>
      <c r="D999" s="10">
        <v>678</v>
      </c>
      <c r="E999" s="8" t="s">
        <v>8169</v>
      </c>
      <c r="F999" s="8" t="s">
        <v>8170</v>
      </c>
      <c r="G999" s="8" t="s">
        <v>4727</v>
      </c>
      <c r="H999" s="8" t="s">
        <v>8169</v>
      </c>
      <c r="I999" s="8"/>
      <c r="J999" s="15" t="s">
        <v>5695</v>
      </c>
      <c r="K999" s="8"/>
      <c r="L999" s="15" t="s">
        <v>1685</v>
      </c>
      <c r="M999" s="8" t="s">
        <v>5578</v>
      </c>
      <c r="N999" s="8"/>
      <c r="O999" s="8" t="s">
        <v>5574</v>
      </c>
      <c r="P999" s="11"/>
      <c r="Q999" s="8" t="s">
        <v>5696</v>
      </c>
      <c r="R999" s="8" t="s">
        <v>5919</v>
      </c>
      <c r="S999" s="8" t="s">
        <v>8171</v>
      </c>
    </row>
    <row r="1000" spans="1:19" ht="107.1" customHeight="1" x14ac:dyDescent="0.25">
      <c r="A1000" s="8" t="s">
        <v>8172</v>
      </c>
      <c r="B1000" s="8" t="s">
        <v>5693</v>
      </c>
      <c r="C1000" s="8" t="s">
        <v>5918</v>
      </c>
      <c r="D1000" s="10">
        <v>679</v>
      </c>
      <c r="E1000" s="8" t="s">
        <v>8173</v>
      </c>
      <c r="F1000" s="8" t="s">
        <v>8174</v>
      </c>
      <c r="G1000" s="8" t="s">
        <v>4727</v>
      </c>
      <c r="H1000" s="8" t="s">
        <v>8173</v>
      </c>
      <c r="I1000" s="8"/>
      <c r="J1000" s="15" t="s">
        <v>5695</v>
      </c>
      <c r="K1000" s="8"/>
      <c r="L1000" s="15" t="s">
        <v>1685</v>
      </c>
      <c r="M1000" s="8" t="s">
        <v>5578</v>
      </c>
      <c r="N1000" s="8"/>
      <c r="O1000" s="8" t="s">
        <v>5574</v>
      </c>
      <c r="P1000" s="11"/>
      <c r="Q1000" s="8" t="s">
        <v>5696</v>
      </c>
      <c r="R1000" s="8" t="s">
        <v>5919</v>
      </c>
      <c r="S1000" s="8" t="s">
        <v>8175</v>
      </c>
    </row>
    <row r="1001" spans="1:19" ht="93" customHeight="1" x14ac:dyDescent="0.25">
      <c r="A1001" s="8" t="s">
        <v>8176</v>
      </c>
      <c r="B1001" s="8" t="s">
        <v>5693</v>
      </c>
      <c r="C1001" s="8" t="s">
        <v>5918</v>
      </c>
      <c r="D1001" s="10">
        <v>680</v>
      </c>
      <c r="E1001" s="8" t="s">
        <v>8177</v>
      </c>
      <c r="F1001" s="8" t="s">
        <v>8178</v>
      </c>
      <c r="G1001" s="8" t="s">
        <v>4727</v>
      </c>
      <c r="H1001" s="8" t="s">
        <v>8177</v>
      </c>
      <c r="I1001" s="8"/>
      <c r="J1001" s="15" t="s">
        <v>5695</v>
      </c>
      <c r="K1001" s="8"/>
      <c r="L1001" s="15" t="s">
        <v>1685</v>
      </c>
      <c r="M1001" s="8" t="s">
        <v>5578</v>
      </c>
      <c r="N1001" s="8"/>
      <c r="O1001" s="8" t="s">
        <v>5574</v>
      </c>
      <c r="P1001" s="11"/>
      <c r="Q1001" s="8" t="s">
        <v>5696</v>
      </c>
      <c r="R1001" s="8" t="s">
        <v>5919</v>
      </c>
      <c r="S1001" s="8" t="s">
        <v>8179</v>
      </c>
    </row>
    <row r="1002" spans="1:19" ht="107.1" customHeight="1" x14ac:dyDescent="0.25">
      <c r="A1002" s="8" t="s">
        <v>8180</v>
      </c>
      <c r="B1002" s="8" t="s">
        <v>5693</v>
      </c>
      <c r="C1002" s="8" t="s">
        <v>5918</v>
      </c>
      <c r="D1002" s="10">
        <v>681</v>
      </c>
      <c r="E1002" s="8" t="s">
        <v>8181</v>
      </c>
      <c r="F1002" s="8" t="s">
        <v>8182</v>
      </c>
      <c r="G1002" s="8" t="s">
        <v>4727</v>
      </c>
      <c r="H1002" s="8" t="s">
        <v>8181</v>
      </c>
      <c r="I1002" s="8"/>
      <c r="J1002" s="15" t="s">
        <v>5695</v>
      </c>
      <c r="K1002" s="8"/>
      <c r="L1002" s="15" t="s">
        <v>1685</v>
      </c>
      <c r="M1002" s="8" t="s">
        <v>5578</v>
      </c>
      <c r="N1002" s="8"/>
      <c r="O1002" s="8" t="s">
        <v>5574</v>
      </c>
      <c r="P1002" s="11"/>
      <c r="Q1002" s="8" t="s">
        <v>5696</v>
      </c>
      <c r="R1002" s="8" t="s">
        <v>5919</v>
      </c>
      <c r="S1002" s="8" t="s">
        <v>8183</v>
      </c>
    </row>
    <row r="1003" spans="1:19" ht="93" customHeight="1" x14ac:dyDescent="0.25">
      <c r="A1003" s="8" t="s">
        <v>8184</v>
      </c>
      <c r="B1003" s="8" t="s">
        <v>5693</v>
      </c>
      <c r="C1003" s="8" t="s">
        <v>5918</v>
      </c>
      <c r="D1003" s="10">
        <v>682</v>
      </c>
      <c r="E1003" s="8" t="s">
        <v>8185</v>
      </c>
      <c r="F1003" s="8" t="s">
        <v>8186</v>
      </c>
      <c r="G1003" s="8" t="s">
        <v>4727</v>
      </c>
      <c r="H1003" s="8" t="s">
        <v>8185</v>
      </c>
      <c r="I1003" s="8"/>
      <c r="J1003" s="15" t="s">
        <v>5695</v>
      </c>
      <c r="K1003" s="8"/>
      <c r="L1003" s="15" t="s">
        <v>1685</v>
      </c>
      <c r="M1003" s="8" t="s">
        <v>5578</v>
      </c>
      <c r="N1003" s="8"/>
      <c r="O1003" s="8" t="s">
        <v>5574</v>
      </c>
      <c r="P1003" s="11"/>
      <c r="Q1003" s="8" t="s">
        <v>5696</v>
      </c>
      <c r="R1003" s="8" t="s">
        <v>5919</v>
      </c>
      <c r="S1003" s="8" t="s">
        <v>8187</v>
      </c>
    </row>
    <row r="1004" spans="1:19" ht="93" customHeight="1" x14ac:dyDescent="0.25">
      <c r="A1004" s="8" t="s">
        <v>8188</v>
      </c>
      <c r="B1004" s="8" t="s">
        <v>5693</v>
      </c>
      <c r="C1004" s="8" t="s">
        <v>5918</v>
      </c>
      <c r="D1004" s="10">
        <v>683</v>
      </c>
      <c r="E1004" s="8" t="s">
        <v>8189</v>
      </c>
      <c r="F1004" s="8" t="s">
        <v>8190</v>
      </c>
      <c r="G1004" s="8" t="s">
        <v>4727</v>
      </c>
      <c r="H1004" s="8" t="s">
        <v>8189</v>
      </c>
      <c r="I1004" s="8"/>
      <c r="J1004" s="15" t="s">
        <v>5695</v>
      </c>
      <c r="K1004" s="8"/>
      <c r="L1004" s="15" t="s">
        <v>1685</v>
      </c>
      <c r="M1004" s="8" t="s">
        <v>5578</v>
      </c>
      <c r="N1004" s="8"/>
      <c r="O1004" s="8" t="s">
        <v>5574</v>
      </c>
      <c r="P1004" s="11"/>
      <c r="Q1004" s="8" t="s">
        <v>5696</v>
      </c>
      <c r="R1004" s="8" t="s">
        <v>5919</v>
      </c>
      <c r="S1004" s="8" t="s">
        <v>8191</v>
      </c>
    </row>
    <row r="1005" spans="1:19" ht="107.1" customHeight="1" x14ac:dyDescent="0.25">
      <c r="A1005" s="8" t="s">
        <v>8192</v>
      </c>
      <c r="B1005" s="8" t="s">
        <v>5693</v>
      </c>
      <c r="C1005" s="8" t="s">
        <v>5918</v>
      </c>
      <c r="D1005" s="10">
        <v>684</v>
      </c>
      <c r="E1005" s="8" t="s">
        <v>8193</v>
      </c>
      <c r="F1005" s="8" t="s">
        <v>8194</v>
      </c>
      <c r="G1005" s="8" t="s">
        <v>4727</v>
      </c>
      <c r="H1005" s="8" t="s">
        <v>8193</v>
      </c>
      <c r="I1005" s="8"/>
      <c r="J1005" s="15" t="s">
        <v>5695</v>
      </c>
      <c r="K1005" s="8"/>
      <c r="L1005" s="15" t="s">
        <v>1685</v>
      </c>
      <c r="M1005" s="8" t="s">
        <v>5578</v>
      </c>
      <c r="N1005" s="8"/>
      <c r="O1005" s="8" t="s">
        <v>5574</v>
      </c>
      <c r="P1005" s="11"/>
      <c r="Q1005" s="8" t="s">
        <v>5696</v>
      </c>
      <c r="R1005" s="8" t="s">
        <v>5919</v>
      </c>
      <c r="S1005" s="8" t="s">
        <v>8195</v>
      </c>
    </row>
    <row r="1006" spans="1:19" ht="93" customHeight="1" x14ac:dyDescent="0.25">
      <c r="A1006" s="8" t="s">
        <v>8196</v>
      </c>
      <c r="B1006" s="8" t="s">
        <v>5693</v>
      </c>
      <c r="C1006" s="8" t="s">
        <v>5918</v>
      </c>
      <c r="D1006" s="10">
        <v>685</v>
      </c>
      <c r="E1006" s="8" t="s">
        <v>8197</v>
      </c>
      <c r="F1006" s="8" t="s">
        <v>8198</v>
      </c>
      <c r="G1006" s="8" t="s">
        <v>4727</v>
      </c>
      <c r="H1006" s="8" t="s">
        <v>8197</v>
      </c>
      <c r="I1006" s="8"/>
      <c r="J1006" s="15" t="s">
        <v>5695</v>
      </c>
      <c r="K1006" s="8"/>
      <c r="L1006" s="15" t="s">
        <v>1685</v>
      </c>
      <c r="M1006" s="8" t="s">
        <v>5578</v>
      </c>
      <c r="N1006" s="8"/>
      <c r="O1006" s="8" t="s">
        <v>5574</v>
      </c>
      <c r="P1006" s="11"/>
      <c r="Q1006" s="8" t="s">
        <v>5696</v>
      </c>
      <c r="R1006" s="8" t="s">
        <v>5919</v>
      </c>
      <c r="S1006" s="8" t="s">
        <v>8199</v>
      </c>
    </row>
    <row r="1007" spans="1:19" ht="93" customHeight="1" x14ac:dyDescent="0.25">
      <c r="A1007" s="8" t="s">
        <v>8200</v>
      </c>
      <c r="B1007" s="8" t="s">
        <v>5693</v>
      </c>
      <c r="C1007" s="8" t="s">
        <v>5918</v>
      </c>
      <c r="D1007" s="10">
        <v>686</v>
      </c>
      <c r="E1007" s="8" t="s">
        <v>8201</v>
      </c>
      <c r="F1007" s="8" t="s">
        <v>8202</v>
      </c>
      <c r="G1007" s="8" t="s">
        <v>4727</v>
      </c>
      <c r="H1007" s="8" t="s">
        <v>8201</v>
      </c>
      <c r="I1007" s="8"/>
      <c r="J1007" s="15" t="s">
        <v>5695</v>
      </c>
      <c r="K1007" s="8"/>
      <c r="L1007" s="15" t="s">
        <v>1685</v>
      </c>
      <c r="M1007" s="8" t="s">
        <v>5578</v>
      </c>
      <c r="N1007" s="8"/>
      <c r="O1007" s="8" t="s">
        <v>5574</v>
      </c>
      <c r="P1007" s="11"/>
      <c r="Q1007" s="8" t="s">
        <v>5696</v>
      </c>
      <c r="R1007" s="8" t="s">
        <v>5919</v>
      </c>
      <c r="S1007" s="8" t="s">
        <v>8203</v>
      </c>
    </row>
    <row r="1008" spans="1:19" ht="107.1" customHeight="1" x14ac:dyDescent="0.25">
      <c r="A1008" s="8" t="s">
        <v>8204</v>
      </c>
      <c r="B1008" s="8" t="s">
        <v>5693</v>
      </c>
      <c r="C1008" s="8" t="s">
        <v>5918</v>
      </c>
      <c r="D1008" s="10">
        <v>687</v>
      </c>
      <c r="E1008" s="8" t="s">
        <v>8205</v>
      </c>
      <c r="F1008" s="8" t="s">
        <v>8206</v>
      </c>
      <c r="G1008" s="8" t="s">
        <v>4727</v>
      </c>
      <c r="H1008" s="8" t="s">
        <v>8205</v>
      </c>
      <c r="I1008" s="8"/>
      <c r="J1008" s="15" t="s">
        <v>5695</v>
      </c>
      <c r="K1008" s="8"/>
      <c r="L1008" s="15" t="s">
        <v>1685</v>
      </c>
      <c r="M1008" s="8" t="s">
        <v>5578</v>
      </c>
      <c r="N1008" s="8"/>
      <c r="O1008" s="8" t="s">
        <v>5574</v>
      </c>
      <c r="P1008" s="11"/>
      <c r="Q1008" s="8" t="s">
        <v>5696</v>
      </c>
      <c r="R1008" s="8" t="s">
        <v>5919</v>
      </c>
      <c r="S1008" s="8" t="s">
        <v>8207</v>
      </c>
    </row>
    <row r="1009" spans="1:19" ht="107.1" customHeight="1" x14ac:dyDescent="0.25">
      <c r="A1009" s="8" t="s">
        <v>8208</v>
      </c>
      <c r="B1009" s="8" t="s">
        <v>5693</v>
      </c>
      <c r="C1009" s="8" t="s">
        <v>5918</v>
      </c>
      <c r="D1009" s="10">
        <v>688</v>
      </c>
      <c r="E1009" s="8" t="s">
        <v>8209</v>
      </c>
      <c r="F1009" s="8" t="s">
        <v>8210</v>
      </c>
      <c r="G1009" s="8" t="s">
        <v>4727</v>
      </c>
      <c r="H1009" s="8" t="s">
        <v>8209</v>
      </c>
      <c r="I1009" s="8"/>
      <c r="J1009" s="15" t="s">
        <v>5695</v>
      </c>
      <c r="K1009" s="8"/>
      <c r="L1009" s="15" t="s">
        <v>1685</v>
      </c>
      <c r="M1009" s="8" t="s">
        <v>5578</v>
      </c>
      <c r="N1009" s="8"/>
      <c r="O1009" s="8" t="s">
        <v>5574</v>
      </c>
      <c r="P1009" s="11"/>
      <c r="Q1009" s="8" t="s">
        <v>5696</v>
      </c>
      <c r="R1009" s="8" t="s">
        <v>5919</v>
      </c>
      <c r="S1009" s="8" t="s">
        <v>8211</v>
      </c>
    </row>
    <row r="1010" spans="1:19" ht="107.1" customHeight="1" x14ac:dyDescent="0.25">
      <c r="A1010" s="8" t="s">
        <v>8212</v>
      </c>
      <c r="B1010" s="8" t="s">
        <v>5693</v>
      </c>
      <c r="C1010" s="8" t="s">
        <v>5918</v>
      </c>
      <c r="D1010" s="10">
        <v>689</v>
      </c>
      <c r="E1010" s="8" t="s">
        <v>8213</v>
      </c>
      <c r="F1010" s="8" t="s">
        <v>8214</v>
      </c>
      <c r="G1010" s="8" t="s">
        <v>4727</v>
      </c>
      <c r="H1010" s="8" t="s">
        <v>8213</v>
      </c>
      <c r="I1010" s="8"/>
      <c r="J1010" s="15" t="s">
        <v>5695</v>
      </c>
      <c r="K1010" s="8"/>
      <c r="L1010" s="15" t="s">
        <v>1685</v>
      </c>
      <c r="M1010" s="8" t="s">
        <v>5578</v>
      </c>
      <c r="N1010" s="8"/>
      <c r="O1010" s="8" t="s">
        <v>5574</v>
      </c>
      <c r="P1010" s="11"/>
      <c r="Q1010" s="8" t="s">
        <v>5696</v>
      </c>
      <c r="R1010" s="8" t="s">
        <v>5919</v>
      </c>
      <c r="S1010" s="8" t="s">
        <v>8215</v>
      </c>
    </row>
    <row r="1011" spans="1:19" ht="93" customHeight="1" x14ac:dyDescent="0.25">
      <c r="A1011" s="8" t="s">
        <v>8216</v>
      </c>
      <c r="B1011" s="8" t="s">
        <v>5693</v>
      </c>
      <c r="C1011" s="8" t="s">
        <v>5918</v>
      </c>
      <c r="D1011" s="10">
        <v>690</v>
      </c>
      <c r="E1011" s="8" t="s">
        <v>8217</v>
      </c>
      <c r="F1011" s="8" t="s">
        <v>8218</v>
      </c>
      <c r="G1011" s="8" t="s">
        <v>4727</v>
      </c>
      <c r="H1011" s="8" t="s">
        <v>8217</v>
      </c>
      <c r="I1011" s="8"/>
      <c r="J1011" s="15" t="s">
        <v>5695</v>
      </c>
      <c r="K1011" s="8"/>
      <c r="L1011" s="15" t="s">
        <v>1685</v>
      </c>
      <c r="M1011" s="8" t="s">
        <v>5578</v>
      </c>
      <c r="N1011" s="8"/>
      <c r="O1011" s="8" t="s">
        <v>5574</v>
      </c>
      <c r="P1011" s="11"/>
      <c r="Q1011" s="8" t="s">
        <v>5696</v>
      </c>
      <c r="R1011" s="8" t="s">
        <v>5919</v>
      </c>
      <c r="S1011" s="8" t="s">
        <v>8219</v>
      </c>
    </row>
    <row r="1012" spans="1:19" ht="107.1" customHeight="1" x14ac:dyDescent="0.25">
      <c r="A1012" s="8" t="s">
        <v>8220</v>
      </c>
      <c r="B1012" s="8" t="s">
        <v>5693</v>
      </c>
      <c r="C1012" s="8" t="s">
        <v>5918</v>
      </c>
      <c r="D1012" s="10">
        <v>691</v>
      </c>
      <c r="E1012" s="8" t="s">
        <v>8221</v>
      </c>
      <c r="F1012" s="8" t="s">
        <v>8222</v>
      </c>
      <c r="G1012" s="8" t="s">
        <v>4727</v>
      </c>
      <c r="H1012" s="8" t="s">
        <v>8221</v>
      </c>
      <c r="I1012" s="8"/>
      <c r="J1012" s="15" t="s">
        <v>5695</v>
      </c>
      <c r="K1012" s="8"/>
      <c r="L1012" s="15" t="s">
        <v>1685</v>
      </c>
      <c r="M1012" s="8" t="s">
        <v>5578</v>
      </c>
      <c r="N1012" s="8"/>
      <c r="O1012" s="8" t="s">
        <v>5574</v>
      </c>
      <c r="P1012" s="11"/>
      <c r="Q1012" s="8" t="s">
        <v>5696</v>
      </c>
      <c r="R1012" s="8" t="s">
        <v>5919</v>
      </c>
      <c r="S1012" s="8" t="s">
        <v>8223</v>
      </c>
    </row>
    <row r="1013" spans="1:19" ht="93" customHeight="1" x14ac:dyDescent="0.25">
      <c r="A1013" s="8" t="s">
        <v>8224</v>
      </c>
      <c r="B1013" s="8" t="s">
        <v>5693</v>
      </c>
      <c r="C1013" s="8" t="s">
        <v>5918</v>
      </c>
      <c r="D1013" s="10">
        <v>692</v>
      </c>
      <c r="E1013" s="8" t="s">
        <v>8225</v>
      </c>
      <c r="F1013" s="8" t="s">
        <v>8226</v>
      </c>
      <c r="G1013" s="8" t="s">
        <v>4727</v>
      </c>
      <c r="H1013" s="8" t="s">
        <v>8225</v>
      </c>
      <c r="I1013" s="8"/>
      <c r="J1013" s="15" t="s">
        <v>5695</v>
      </c>
      <c r="K1013" s="8"/>
      <c r="L1013" s="15" t="s">
        <v>1685</v>
      </c>
      <c r="M1013" s="8" t="s">
        <v>5578</v>
      </c>
      <c r="N1013" s="8"/>
      <c r="O1013" s="8" t="s">
        <v>5574</v>
      </c>
      <c r="P1013" s="11"/>
      <c r="Q1013" s="8" t="s">
        <v>5696</v>
      </c>
      <c r="R1013" s="8" t="s">
        <v>5919</v>
      </c>
      <c r="S1013" s="8" t="s">
        <v>8227</v>
      </c>
    </row>
    <row r="1014" spans="1:19" ht="107.1" customHeight="1" x14ac:dyDescent="0.25">
      <c r="A1014" s="8" t="s">
        <v>8228</v>
      </c>
      <c r="B1014" s="8" t="s">
        <v>5693</v>
      </c>
      <c r="C1014" s="8" t="s">
        <v>5918</v>
      </c>
      <c r="D1014" s="10">
        <v>693</v>
      </c>
      <c r="E1014" s="8" t="s">
        <v>8229</v>
      </c>
      <c r="F1014" s="8" t="s">
        <v>8230</v>
      </c>
      <c r="G1014" s="8" t="s">
        <v>4727</v>
      </c>
      <c r="H1014" s="8" t="s">
        <v>8229</v>
      </c>
      <c r="I1014" s="8"/>
      <c r="J1014" s="15" t="s">
        <v>5695</v>
      </c>
      <c r="K1014" s="8"/>
      <c r="L1014" s="15" t="s">
        <v>1685</v>
      </c>
      <c r="M1014" s="8" t="s">
        <v>5578</v>
      </c>
      <c r="N1014" s="8"/>
      <c r="O1014" s="8" t="s">
        <v>5574</v>
      </c>
      <c r="P1014" s="11"/>
      <c r="Q1014" s="8" t="s">
        <v>5696</v>
      </c>
      <c r="R1014" s="8" t="s">
        <v>5919</v>
      </c>
      <c r="S1014" s="8" t="s">
        <v>8231</v>
      </c>
    </row>
    <row r="1015" spans="1:19" ht="93" customHeight="1" x14ac:dyDescent="0.25">
      <c r="A1015" s="8" t="s">
        <v>8232</v>
      </c>
      <c r="B1015" s="8" t="s">
        <v>5693</v>
      </c>
      <c r="C1015" s="8" t="s">
        <v>5918</v>
      </c>
      <c r="D1015" s="10">
        <v>694</v>
      </c>
      <c r="E1015" s="8" t="s">
        <v>8233</v>
      </c>
      <c r="F1015" s="8" t="s">
        <v>8234</v>
      </c>
      <c r="G1015" s="8" t="s">
        <v>4727</v>
      </c>
      <c r="H1015" s="8" t="s">
        <v>8233</v>
      </c>
      <c r="I1015" s="8"/>
      <c r="J1015" s="15" t="s">
        <v>5695</v>
      </c>
      <c r="K1015" s="8"/>
      <c r="L1015" s="15" t="s">
        <v>1685</v>
      </c>
      <c r="M1015" s="8" t="s">
        <v>5578</v>
      </c>
      <c r="N1015" s="8"/>
      <c r="O1015" s="8" t="s">
        <v>5574</v>
      </c>
      <c r="P1015" s="11"/>
      <c r="Q1015" s="8" t="s">
        <v>5696</v>
      </c>
      <c r="R1015" s="8" t="s">
        <v>5919</v>
      </c>
      <c r="S1015" s="8" t="s">
        <v>8235</v>
      </c>
    </row>
    <row r="1016" spans="1:19" ht="107.1" customHeight="1" x14ac:dyDescent="0.25">
      <c r="A1016" s="8" t="s">
        <v>8236</v>
      </c>
      <c r="B1016" s="8" t="s">
        <v>5693</v>
      </c>
      <c r="C1016" s="8" t="s">
        <v>5918</v>
      </c>
      <c r="D1016" s="10">
        <v>695</v>
      </c>
      <c r="E1016" s="8" t="s">
        <v>8237</v>
      </c>
      <c r="F1016" s="8" t="s">
        <v>8238</v>
      </c>
      <c r="G1016" s="8" t="s">
        <v>4727</v>
      </c>
      <c r="H1016" s="8" t="s">
        <v>8237</v>
      </c>
      <c r="I1016" s="8"/>
      <c r="J1016" s="15" t="s">
        <v>5695</v>
      </c>
      <c r="K1016" s="8"/>
      <c r="L1016" s="15" t="s">
        <v>1685</v>
      </c>
      <c r="M1016" s="8" t="s">
        <v>5578</v>
      </c>
      <c r="N1016" s="8"/>
      <c r="O1016" s="8" t="s">
        <v>5574</v>
      </c>
      <c r="P1016" s="11"/>
      <c r="Q1016" s="8" t="s">
        <v>5696</v>
      </c>
      <c r="R1016" s="8" t="s">
        <v>5919</v>
      </c>
      <c r="S1016" s="8" t="s">
        <v>8239</v>
      </c>
    </row>
    <row r="1017" spans="1:19" ht="107.1" customHeight="1" x14ac:dyDescent="0.25">
      <c r="A1017" s="8" t="s">
        <v>8240</v>
      </c>
      <c r="B1017" s="8" t="s">
        <v>5693</v>
      </c>
      <c r="C1017" s="8" t="s">
        <v>5918</v>
      </c>
      <c r="D1017" s="10">
        <v>696</v>
      </c>
      <c r="E1017" s="8" t="s">
        <v>8241</v>
      </c>
      <c r="F1017" s="8" t="s">
        <v>8242</v>
      </c>
      <c r="G1017" s="8" t="s">
        <v>4727</v>
      </c>
      <c r="H1017" s="8" t="s">
        <v>8241</v>
      </c>
      <c r="I1017" s="8"/>
      <c r="J1017" s="15" t="s">
        <v>5695</v>
      </c>
      <c r="K1017" s="8"/>
      <c r="L1017" s="15" t="s">
        <v>1685</v>
      </c>
      <c r="M1017" s="8" t="s">
        <v>5578</v>
      </c>
      <c r="N1017" s="8"/>
      <c r="O1017" s="8" t="s">
        <v>5574</v>
      </c>
      <c r="P1017" s="11"/>
      <c r="Q1017" s="8" t="s">
        <v>5696</v>
      </c>
      <c r="R1017" s="8" t="s">
        <v>5919</v>
      </c>
      <c r="S1017" s="8" t="s">
        <v>8243</v>
      </c>
    </row>
    <row r="1018" spans="1:19" ht="93" customHeight="1" x14ac:dyDescent="0.25">
      <c r="A1018" s="8" t="s">
        <v>8244</v>
      </c>
      <c r="B1018" s="8" t="s">
        <v>5693</v>
      </c>
      <c r="C1018" s="8" t="s">
        <v>5918</v>
      </c>
      <c r="D1018" s="10">
        <v>697</v>
      </c>
      <c r="E1018" s="8" t="s">
        <v>8245</v>
      </c>
      <c r="F1018" s="8" t="s">
        <v>8246</v>
      </c>
      <c r="G1018" s="8" t="s">
        <v>4727</v>
      </c>
      <c r="H1018" s="8" t="s">
        <v>8245</v>
      </c>
      <c r="I1018" s="8"/>
      <c r="J1018" s="15" t="s">
        <v>5695</v>
      </c>
      <c r="K1018" s="8"/>
      <c r="L1018" s="15" t="s">
        <v>1685</v>
      </c>
      <c r="M1018" s="8" t="s">
        <v>5578</v>
      </c>
      <c r="N1018" s="8"/>
      <c r="O1018" s="8" t="s">
        <v>5574</v>
      </c>
      <c r="P1018" s="11"/>
      <c r="Q1018" s="8" t="s">
        <v>5696</v>
      </c>
      <c r="R1018" s="8" t="s">
        <v>5919</v>
      </c>
      <c r="S1018" s="8" t="s">
        <v>8247</v>
      </c>
    </row>
    <row r="1019" spans="1:19" ht="93" customHeight="1" x14ac:dyDescent="0.25">
      <c r="A1019" s="8" t="s">
        <v>8248</v>
      </c>
      <c r="B1019" s="8" t="s">
        <v>5693</v>
      </c>
      <c r="C1019" s="8" t="s">
        <v>5918</v>
      </c>
      <c r="D1019" s="10">
        <v>698</v>
      </c>
      <c r="E1019" s="8" t="s">
        <v>8249</v>
      </c>
      <c r="F1019" s="8" t="s">
        <v>8250</v>
      </c>
      <c r="G1019" s="8" t="s">
        <v>4727</v>
      </c>
      <c r="H1019" s="8" t="s">
        <v>8249</v>
      </c>
      <c r="I1019" s="8"/>
      <c r="J1019" s="15" t="s">
        <v>5695</v>
      </c>
      <c r="K1019" s="8"/>
      <c r="L1019" s="15" t="s">
        <v>1685</v>
      </c>
      <c r="M1019" s="8" t="s">
        <v>5578</v>
      </c>
      <c r="N1019" s="8"/>
      <c r="O1019" s="8" t="s">
        <v>5574</v>
      </c>
      <c r="P1019" s="11"/>
      <c r="Q1019" s="8" t="s">
        <v>5696</v>
      </c>
      <c r="R1019" s="8" t="s">
        <v>5919</v>
      </c>
      <c r="S1019" s="8" t="s">
        <v>8251</v>
      </c>
    </row>
    <row r="1020" spans="1:19" ht="107.1" customHeight="1" x14ac:dyDescent="0.25">
      <c r="A1020" s="8" t="s">
        <v>8252</v>
      </c>
      <c r="B1020" s="8" t="s">
        <v>5693</v>
      </c>
      <c r="C1020" s="8" t="s">
        <v>5918</v>
      </c>
      <c r="D1020" s="10">
        <v>699</v>
      </c>
      <c r="E1020" s="8" t="s">
        <v>8253</v>
      </c>
      <c r="F1020" s="8" t="s">
        <v>8254</v>
      </c>
      <c r="G1020" s="8" t="s">
        <v>4727</v>
      </c>
      <c r="H1020" s="8" t="s">
        <v>8253</v>
      </c>
      <c r="I1020" s="8"/>
      <c r="J1020" s="15" t="s">
        <v>5695</v>
      </c>
      <c r="K1020" s="8"/>
      <c r="L1020" s="15" t="s">
        <v>1685</v>
      </c>
      <c r="M1020" s="8" t="s">
        <v>5578</v>
      </c>
      <c r="N1020" s="8"/>
      <c r="O1020" s="8" t="s">
        <v>5574</v>
      </c>
      <c r="P1020" s="11"/>
      <c r="Q1020" s="8" t="s">
        <v>5696</v>
      </c>
      <c r="R1020" s="8" t="s">
        <v>5919</v>
      </c>
      <c r="S1020" s="8" t="s">
        <v>8255</v>
      </c>
    </row>
    <row r="1021" spans="1:19" ht="107.1" customHeight="1" x14ac:dyDescent="0.25">
      <c r="A1021" s="8" t="s">
        <v>8256</v>
      </c>
      <c r="B1021" s="8" t="s">
        <v>5693</v>
      </c>
      <c r="C1021" s="8" t="s">
        <v>5918</v>
      </c>
      <c r="D1021" s="10">
        <v>700</v>
      </c>
      <c r="E1021" s="8" t="s">
        <v>8257</v>
      </c>
      <c r="F1021" s="8" t="s">
        <v>8258</v>
      </c>
      <c r="G1021" s="8" t="s">
        <v>4727</v>
      </c>
      <c r="H1021" s="8" t="s">
        <v>8257</v>
      </c>
      <c r="I1021" s="8"/>
      <c r="J1021" s="15" t="s">
        <v>5695</v>
      </c>
      <c r="K1021" s="8"/>
      <c r="L1021" s="15" t="s">
        <v>1685</v>
      </c>
      <c r="M1021" s="8" t="s">
        <v>5578</v>
      </c>
      <c r="N1021" s="8"/>
      <c r="O1021" s="8" t="s">
        <v>5574</v>
      </c>
      <c r="P1021" s="11"/>
      <c r="Q1021" s="8" t="s">
        <v>5696</v>
      </c>
      <c r="R1021" s="8" t="s">
        <v>5919</v>
      </c>
      <c r="S1021" s="8" t="s">
        <v>8259</v>
      </c>
    </row>
    <row r="1022" spans="1:19" ht="107.1" customHeight="1" x14ac:dyDescent="0.25">
      <c r="A1022" s="8" t="s">
        <v>8260</v>
      </c>
      <c r="B1022" s="8" t="s">
        <v>5693</v>
      </c>
      <c r="C1022" s="8" t="s">
        <v>5918</v>
      </c>
      <c r="D1022" s="10">
        <v>701</v>
      </c>
      <c r="E1022" s="8" t="s">
        <v>8261</v>
      </c>
      <c r="F1022" s="8" t="s">
        <v>8262</v>
      </c>
      <c r="G1022" s="8" t="s">
        <v>4727</v>
      </c>
      <c r="H1022" s="8" t="s">
        <v>8261</v>
      </c>
      <c r="I1022" s="8"/>
      <c r="J1022" s="15" t="s">
        <v>5695</v>
      </c>
      <c r="K1022" s="8"/>
      <c r="L1022" s="15" t="s">
        <v>1685</v>
      </c>
      <c r="M1022" s="8" t="s">
        <v>5578</v>
      </c>
      <c r="N1022" s="8"/>
      <c r="O1022" s="8" t="s">
        <v>5574</v>
      </c>
      <c r="P1022" s="11"/>
      <c r="Q1022" s="8" t="s">
        <v>5696</v>
      </c>
      <c r="R1022" s="8" t="s">
        <v>5919</v>
      </c>
      <c r="S1022" s="8" t="s">
        <v>8263</v>
      </c>
    </row>
    <row r="1023" spans="1:19" ht="107.1" customHeight="1" x14ac:dyDescent="0.25">
      <c r="A1023" s="8" t="s">
        <v>8264</v>
      </c>
      <c r="B1023" s="8" t="s">
        <v>5693</v>
      </c>
      <c r="C1023" s="8" t="s">
        <v>5918</v>
      </c>
      <c r="D1023" s="10">
        <v>702</v>
      </c>
      <c r="E1023" s="8" t="s">
        <v>8265</v>
      </c>
      <c r="F1023" s="8" t="s">
        <v>8266</v>
      </c>
      <c r="G1023" s="8" t="s">
        <v>4727</v>
      </c>
      <c r="H1023" s="8" t="s">
        <v>8265</v>
      </c>
      <c r="I1023" s="8"/>
      <c r="J1023" s="15" t="s">
        <v>5695</v>
      </c>
      <c r="K1023" s="8"/>
      <c r="L1023" s="15" t="s">
        <v>1685</v>
      </c>
      <c r="M1023" s="8" t="s">
        <v>5578</v>
      </c>
      <c r="N1023" s="8"/>
      <c r="O1023" s="8" t="s">
        <v>5574</v>
      </c>
      <c r="P1023" s="11"/>
      <c r="Q1023" s="8" t="s">
        <v>5696</v>
      </c>
      <c r="R1023" s="8" t="s">
        <v>5919</v>
      </c>
      <c r="S1023" s="8" t="s">
        <v>8267</v>
      </c>
    </row>
    <row r="1024" spans="1:19" ht="107.1" customHeight="1" x14ac:dyDescent="0.25">
      <c r="A1024" s="8" t="s">
        <v>8268</v>
      </c>
      <c r="B1024" s="8" t="s">
        <v>5693</v>
      </c>
      <c r="C1024" s="8" t="s">
        <v>5918</v>
      </c>
      <c r="D1024" s="10">
        <v>703</v>
      </c>
      <c r="E1024" s="8" t="s">
        <v>8269</v>
      </c>
      <c r="F1024" s="8" t="s">
        <v>8270</v>
      </c>
      <c r="G1024" s="8" t="s">
        <v>4727</v>
      </c>
      <c r="H1024" s="8" t="s">
        <v>8269</v>
      </c>
      <c r="I1024" s="8"/>
      <c r="J1024" s="15" t="s">
        <v>5695</v>
      </c>
      <c r="K1024" s="8"/>
      <c r="L1024" s="15" t="s">
        <v>1685</v>
      </c>
      <c r="M1024" s="8" t="s">
        <v>5578</v>
      </c>
      <c r="N1024" s="8"/>
      <c r="O1024" s="8" t="s">
        <v>5574</v>
      </c>
      <c r="P1024" s="11"/>
      <c r="Q1024" s="8" t="s">
        <v>5696</v>
      </c>
      <c r="R1024" s="8" t="s">
        <v>5919</v>
      </c>
      <c r="S1024" s="8" t="s">
        <v>8271</v>
      </c>
    </row>
    <row r="1025" spans="1:19" ht="93" customHeight="1" x14ac:dyDescent="0.25">
      <c r="A1025" s="8" t="s">
        <v>8272</v>
      </c>
      <c r="B1025" s="8" t="s">
        <v>5693</v>
      </c>
      <c r="C1025" s="8" t="s">
        <v>5918</v>
      </c>
      <c r="D1025" s="10">
        <v>704</v>
      </c>
      <c r="E1025" s="8" t="s">
        <v>8273</v>
      </c>
      <c r="F1025" s="8" t="s">
        <v>8274</v>
      </c>
      <c r="G1025" s="8" t="s">
        <v>4727</v>
      </c>
      <c r="H1025" s="8" t="s">
        <v>8273</v>
      </c>
      <c r="I1025" s="8"/>
      <c r="J1025" s="15" t="s">
        <v>5695</v>
      </c>
      <c r="K1025" s="8"/>
      <c r="L1025" s="15" t="s">
        <v>1685</v>
      </c>
      <c r="M1025" s="8" t="s">
        <v>5578</v>
      </c>
      <c r="N1025" s="8"/>
      <c r="O1025" s="8" t="s">
        <v>5574</v>
      </c>
      <c r="P1025" s="11"/>
      <c r="Q1025" s="8" t="s">
        <v>5696</v>
      </c>
      <c r="R1025" s="8" t="s">
        <v>5919</v>
      </c>
      <c r="S1025" s="8" t="s">
        <v>8275</v>
      </c>
    </row>
    <row r="1026" spans="1:19" ht="107.1" customHeight="1" x14ac:dyDescent="0.25">
      <c r="A1026" s="8" t="s">
        <v>8276</v>
      </c>
      <c r="B1026" s="8" t="s">
        <v>5693</v>
      </c>
      <c r="C1026" s="8" t="s">
        <v>5918</v>
      </c>
      <c r="D1026" s="10">
        <v>705</v>
      </c>
      <c r="E1026" s="8" t="s">
        <v>8277</v>
      </c>
      <c r="F1026" s="8" t="s">
        <v>8278</v>
      </c>
      <c r="G1026" s="8" t="s">
        <v>4727</v>
      </c>
      <c r="H1026" s="8" t="s">
        <v>8277</v>
      </c>
      <c r="I1026" s="8"/>
      <c r="J1026" s="15" t="s">
        <v>5695</v>
      </c>
      <c r="K1026" s="8"/>
      <c r="L1026" s="15" t="s">
        <v>1685</v>
      </c>
      <c r="M1026" s="8" t="s">
        <v>5578</v>
      </c>
      <c r="N1026" s="8"/>
      <c r="O1026" s="8" t="s">
        <v>5574</v>
      </c>
      <c r="P1026" s="11"/>
      <c r="Q1026" s="8" t="s">
        <v>5696</v>
      </c>
      <c r="R1026" s="8" t="s">
        <v>5919</v>
      </c>
      <c r="S1026" s="8" t="s">
        <v>8279</v>
      </c>
    </row>
    <row r="1027" spans="1:19" ht="93" customHeight="1" x14ac:dyDescent="0.25">
      <c r="A1027" s="8" t="s">
        <v>8280</v>
      </c>
      <c r="B1027" s="8" t="s">
        <v>5693</v>
      </c>
      <c r="C1027" s="8" t="s">
        <v>5918</v>
      </c>
      <c r="D1027" s="10">
        <v>706</v>
      </c>
      <c r="E1027" s="8" t="s">
        <v>8281</v>
      </c>
      <c r="F1027" s="8" t="s">
        <v>8282</v>
      </c>
      <c r="G1027" s="8" t="s">
        <v>4727</v>
      </c>
      <c r="H1027" s="8" t="s">
        <v>8281</v>
      </c>
      <c r="I1027" s="8"/>
      <c r="J1027" s="15" t="s">
        <v>5695</v>
      </c>
      <c r="K1027" s="8"/>
      <c r="L1027" s="15" t="s">
        <v>1685</v>
      </c>
      <c r="M1027" s="8" t="s">
        <v>5578</v>
      </c>
      <c r="N1027" s="8"/>
      <c r="O1027" s="8" t="s">
        <v>5574</v>
      </c>
      <c r="P1027" s="11"/>
      <c r="Q1027" s="8" t="s">
        <v>5696</v>
      </c>
      <c r="R1027" s="8" t="s">
        <v>5919</v>
      </c>
      <c r="S1027" s="8" t="s">
        <v>8283</v>
      </c>
    </row>
    <row r="1028" spans="1:19" ht="107.1" customHeight="1" x14ac:dyDescent="0.25">
      <c r="A1028" s="8" t="s">
        <v>8284</v>
      </c>
      <c r="B1028" s="8" t="s">
        <v>5693</v>
      </c>
      <c r="C1028" s="8" t="s">
        <v>5918</v>
      </c>
      <c r="D1028" s="10">
        <v>707</v>
      </c>
      <c r="E1028" s="8" t="s">
        <v>8285</v>
      </c>
      <c r="F1028" s="8" t="s">
        <v>8286</v>
      </c>
      <c r="G1028" s="8" t="s">
        <v>4727</v>
      </c>
      <c r="H1028" s="8" t="s">
        <v>8285</v>
      </c>
      <c r="I1028" s="8"/>
      <c r="J1028" s="15" t="s">
        <v>5695</v>
      </c>
      <c r="K1028" s="8"/>
      <c r="L1028" s="15" t="s">
        <v>1685</v>
      </c>
      <c r="M1028" s="8" t="s">
        <v>5578</v>
      </c>
      <c r="N1028" s="8"/>
      <c r="O1028" s="8" t="s">
        <v>5574</v>
      </c>
      <c r="P1028" s="11"/>
      <c r="Q1028" s="8" t="s">
        <v>5696</v>
      </c>
      <c r="R1028" s="8" t="s">
        <v>5919</v>
      </c>
      <c r="S1028" s="8" t="s">
        <v>8287</v>
      </c>
    </row>
    <row r="1029" spans="1:19" ht="107.1" customHeight="1" x14ac:dyDescent="0.25">
      <c r="A1029" s="8" t="s">
        <v>8288</v>
      </c>
      <c r="B1029" s="8" t="s">
        <v>5693</v>
      </c>
      <c r="C1029" s="8" t="s">
        <v>5918</v>
      </c>
      <c r="D1029" s="10">
        <v>708</v>
      </c>
      <c r="E1029" s="8" t="s">
        <v>8289</v>
      </c>
      <c r="F1029" s="8" t="s">
        <v>8290</v>
      </c>
      <c r="G1029" s="8" t="s">
        <v>4727</v>
      </c>
      <c r="H1029" s="8" t="s">
        <v>8289</v>
      </c>
      <c r="I1029" s="8"/>
      <c r="J1029" s="15" t="s">
        <v>5695</v>
      </c>
      <c r="K1029" s="8"/>
      <c r="L1029" s="15" t="s">
        <v>1685</v>
      </c>
      <c r="M1029" s="8" t="s">
        <v>5578</v>
      </c>
      <c r="N1029" s="8"/>
      <c r="O1029" s="8" t="s">
        <v>5574</v>
      </c>
      <c r="P1029" s="11"/>
      <c r="Q1029" s="8" t="s">
        <v>5696</v>
      </c>
      <c r="R1029" s="8" t="s">
        <v>5919</v>
      </c>
      <c r="S1029" s="8" t="s">
        <v>8291</v>
      </c>
    </row>
    <row r="1030" spans="1:19" ht="93" customHeight="1" x14ac:dyDescent="0.25">
      <c r="A1030" s="8" t="s">
        <v>8292</v>
      </c>
      <c r="B1030" s="8" t="s">
        <v>5693</v>
      </c>
      <c r="C1030" s="8" t="s">
        <v>5918</v>
      </c>
      <c r="D1030" s="10">
        <v>709</v>
      </c>
      <c r="E1030" s="8" t="s">
        <v>8293</v>
      </c>
      <c r="F1030" s="8" t="s">
        <v>8294</v>
      </c>
      <c r="G1030" s="8" t="s">
        <v>4727</v>
      </c>
      <c r="H1030" s="8" t="s">
        <v>8293</v>
      </c>
      <c r="I1030" s="8"/>
      <c r="J1030" s="15" t="s">
        <v>5695</v>
      </c>
      <c r="K1030" s="8"/>
      <c r="L1030" s="15" t="s">
        <v>1685</v>
      </c>
      <c r="M1030" s="8" t="s">
        <v>5578</v>
      </c>
      <c r="N1030" s="8"/>
      <c r="O1030" s="8" t="s">
        <v>5574</v>
      </c>
      <c r="P1030" s="11"/>
      <c r="Q1030" s="8" t="s">
        <v>5696</v>
      </c>
      <c r="R1030" s="8" t="s">
        <v>5919</v>
      </c>
      <c r="S1030" s="8" t="s">
        <v>8295</v>
      </c>
    </row>
    <row r="1031" spans="1:19" ht="107.1" customHeight="1" x14ac:dyDescent="0.25">
      <c r="A1031" s="8" t="s">
        <v>8296</v>
      </c>
      <c r="B1031" s="8" t="s">
        <v>5693</v>
      </c>
      <c r="C1031" s="8" t="s">
        <v>5918</v>
      </c>
      <c r="D1031" s="10">
        <v>710</v>
      </c>
      <c r="E1031" s="8" t="s">
        <v>8297</v>
      </c>
      <c r="F1031" s="8" t="s">
        <v>8298</v>
      </c>
      <c r="G1031" s="8" t="s">
        <v>4727</v>
      </c>
      <c r="H1031" s="8" t="s">
        <v>8297</v>
      </c>
      <c r="I1031" s="8"/>
      <c r="J1031" s="15" t="s">
        <v>5695</v>
      </c>
      <c r="K1031" s="8"/>
      <c r="L1031" s="15" t="s">
        <v>1685</v>
      </c>
      <c r="M1031" s="8" t="s">
        <v>5578</v>
      </c>
      <c r="N1031" s="8"/>
      <c r="O1031" s="8" t="s">
        <v>5574</v>
      </c>
      <c r="P1031" s="11"/>
      <c r="Q1031" s="8" t="s">
        <v>5696</v>
      </c>
      <c r="R1031" s="8" t="s">
        <v>5919</v>
      </c>
      <c r="S1031" s="8" t="s">
        <v>8299</v>
      </c>
    </row>
    <row r="1032" spans="1:19" ht="93" customHeight="1" x14ac:dyDescent="0.25">
      <c r="A1032" s="8" t="s">
        <v>8300</v>
      </c>
      <c r="B1032" s="8" t="s">
        <v>5693</v>
      </c>
      <c r="C1032" s="8" t="s">
        <v>5918</v>
      </c>
      <c r="D1032" s="10">
        <v>711</v>
      </c>
      <c r="E1032" s="8" t="s">
        <v>8301</v>
      </c>
      <c r="F1032" s="8" t="s">
        <v>8302</v>
      </c>
      <c r="G1032" s="8" t="s">
        <v>4727</v>
      </c>
      <c r="H1032" s="8" t="s">
        <v>8301</v>
      </c>
      <c r="I1032" s="8"/>
      <c r="J1032" s="15" t="s">
        <v>5695</v>
      </c>
      <c r="K1032" s="8"/>
      <c r="L1032" s="15" t="s">
        <v>1685</v>
      </c>
      <c r="M1032" s="8" t="s">
        <v>5578</v>
      </c>
      <c r="N1032" s="8"/>
      <c r="O1032" s="8" t="s">
        <v>5574</v>
      </c>
      <c r="P1032" s="11"/>
      <c r="Q1032" s="8" t="s">
        <v>5696</v>
      </c>
      <c r="R1032" s="8" t="s">
        <v>5919</v>
      </c>
      <c r="S1032" s="8" t="s">
        <v>8303</v>
      </c>
    </row>
    <row r="1033" spans="1:19" ht="107.1" customHeight="1" x14ac:dyDescent="0.25">
      <c r="A1033" s="8" t="s">
        <v>8304</v>
      </c>
      <c r="B1033" s="8" t="s">
        <v>5693</v>
      </c>
      <c r="C1033" s="8" t="s">
        <v>5918</v>
      </c>
      <c r="D1033" s="10">
        <v>712</v>
      </c>
      <c r="E1033" s="8" t="s">
        <v>8305</v>
      </c>
      <c r="F1033" s="8" t="s">
        <v>8306</v>
      </c>
      <c r="G1033" s="8" t="s">
        <v>4727</v>
      </c>
      <c r="H1033" s="8" t="s">
        <v>8305</v>
      </c>
      <c r="I1033" s="8"/>
      <c r="J1033" s="15" t="s">
        <v>5695</v>
      </c>
      <c r="K1033" s="8"/>
      <c r="L1033" s="15" t="s">
        <v>1685</v>
      </c>
      <c r="M1033" s="8" t="s">
        <v>5578</v>
      </c>
      <c r="N1033" s="8"/>
      <c r="O1033" s="8" t="s">
        <v>5574</v>
      </c>
      <c r="P1033" s="11"/>
      <c r="Q1033" s="8" t="s">
        <v>5696</v>
      </c>
      <c r="R1033" s="8" t="s">
        <v>5919</v>
      </c>
      <c r="S1033" s="8" t="s">
        <v>8307</v>
      </c>
    </row>
    <row r="1034" spans="1:19" ht="93" customHeight="1" x14ac:dyDescent="0.25">
      <c r="A1034" s="8" t="s">
        <v>8308</v>
      </c>
      <c r="B1034" s="8" t="s">
        <v>5693</v>
      </c>
      <c r="C1034" s="8" t="s">
        <v>5918</v>
      </c>
      <c r="D1034" s="10">
        <v>713</v>
      </c>
      <c r="E1034" s="8" t="s">
        <v>8309</v>
      </c>
      <c r="F1034" s="8" t="s">
        <v>8310</v>
      </c>
      <c r="G1034" s="8" t="s">
        <v>4727</v>
      </c>
      <c r="H1034" s="8" t="s">
        <v>8309</v>
      </c>
      <c r="I1034" s="8"/>
      <c r="J1034" s="15" t="s">
        <v>5695</v>
      </c>
      <c r="K1034" s="8"/>
      <c r="L1034" s="15" t="s">
        <v>1685</v>
      </c>
      <c r="M1034" s="8" t="s">
        <v>5578</v>
      </c>
      <c r="N1034" s="8"/>
      <c r="O1034" s="8" t="s">
        <v>5574</v>
      </c>
      <c r="P1034" s="11"/>
      <c r="Q1034" s="8" t="s">
        <v>5696</v>
      </c>
      <c r="R1034" s="8" t="s">
        <v>5919</v>
      </c>
      <c r="S1034" s="8" t="s">
        <v>8311</v>
      </c>
    </row>
    <row r="1035" spans="1:19" ht="107.1" customHeight="1" x14ac:dyDescent="0.25">
      <c r="A1035" s="8" t="s">
        <v>8312</v>
      </c>
      <c r="B1035" s="8" t="s">
        <v>5693</v>
      </c>
      <c r="C1035" s="8" t="s">
        <v>5918</v>
      </c>
      <c r="D1035" s="10">
        <v>714</v>
      </c>
      <c r="E1035" s="8" t="s">
        <v>8313</v>
      </c>
      <c r="F1035" s="8" t="s">
        <v>8314</v>
      </c>
      <c r="G1035" s="8" t="s">
        <v>4727</v>
      </c>
      <c r="H1035" s="8" t="s">
        <v>8313</v>
      </c>
      <c r="I1035" s="8"/>
      <c r="J1035" s="15" t="s">
        <v>5695</v>
      </c>
      <c r="K1035" s="8"/>
      <c r="L1035" s="15" t="s">
        <v>1685</v>
      </c>
      <c r="M1035" s="8" t="s">
        <v>5578</v>
      </c>
      <c r="N1035" s="8"/>
      <c r="O1035" s="8" t="s">
        <v>5574</v>
      </c>
      <c r="P1035" s="11"/>
      <c r="Q1035" s="8" t="s">
        <v>5696</v>
      </c>
      <c r="R1035" s="8" t="s">
        <v>5919</v>
      </c>
      <c r="S1035" s="8" t="s">
        <v>8315</v>
      </c>
    </row>
    <row r="1036" spans="1:19" ht="107.1" customHeight="1" x14ac:dyDescent="0.25">
      <c r="A1036" s="8" t="s">
        <v>8316</v>
      </c>
      <c r="B1036" s="8" t="s">
        <v>5693</v>
      </c>
      <c r="C1036" s="8" t="s">
        <v>5918</v>
      </c>
      <c r="D1036" s="10">
        <v>715</v>
      </c>
      <c r="E1036" s="8" t="s">
        <v>8317</v>
      </c>
      <c r="F1036" s="8" t="s">
        <v>8318</v>
      </c>
      <c r="G1036" s="8" t="s">
        <v>4727</v>
      </c>
      <c r="H1036" s="8" t="s">
        <v>8317</v>
      </c>
      <c r="I1036" s="8"/>
      <c r="J1036" s="15" t="s">
        <v>5695</v>
      </c>
      <c r="K1036" s="8"/>
      <c r="L1036" s="15" t="s">
        <v>1685</v>
      </c>
      <c r="M1036" s="8" t="s">
        <v>5578</v>
      </c>
      <c r="N1036" s="8"/>
      <c r="O1036" s="8" t="s">
        <v>5574</v>
      </c>
      <c r="P1036" s="11"/>
      <c r="Q1036" s="8" t="s">
        <v>5696</v>
      </c>
      <c r="R1036" s="8" t="s">
        <v>5919</v>
      </c>
      <c r="S1036" s="8" t="s">
        <v>8319</v>
      </c>
    </row>
    <row r="1037" spans="1:19" ht="107.1" customHeight="1" x14ac:dyDescent="0.25">
      <c r="A1037" s="8" t="s">
        <v>8320</v>
      </c>
      <c r="B1037" s="8" t="s">
        <v>5693</v>
      </c>
      <c r="C1037" s="8" t="s">
        <v>5918</v>
      </c>
      <c r="D1037" s="10">
        <v>716</v>
      </c>
      <c r="E1037" s="8" t="s">
        <v>8321</v>
      </c>
      <c r="F1037" s="8" t="s">
        <v>8322</v>
      </c>
      <c r="G1037" s="8" t="s">
        <v>4727</v>
      </c>
      <c r="H1037" s="8" t="s">
        <v>8321</v>
      </c>
      <c r="I1037" s="8"/>
      <c r="J1037" s="15" t="s">
        <v>5695</v>
      </c>
      <c r="K1037" s="8"/>
      <c r="L1037" s="15" t="s">
        <v>1685</v>
      </c>
      <c r="M1037" s="8" t="s">
        <v>5578</v>
      </c>
      <c r="N1037" s="8"/>
      <c r="O1037" s="8" t="s">
        <v>5574</v>
      </c>
      <c r="P1037" s="11"/>
      <c r="Q1037" s="8" t="s">
        <v>5696</v>
      </c>
      <c r="R1037" s="8" t="s">
        <v>5919</v>
      </c>
      <c r="S1037" s="8" t="s">
        <v>8323</v>
      </c>
    </row>
    <row r="1038" spans="1:19" ht="107.1" customHeight="1" x14ac:dyDescent="0.25">
      <c r="A1038" s="8" t="s">
        <v>8324</v>
      </c>
      <c r="B1038" s="8" t="s">
        <v>5693</v>
      </c>
      <c r="C1038" s="8" t="s">
        <v>5918</v>
      </c>
      <c r="D1038" s="10">
        <v>717</v>
      </c>
      <c r="E1038" s="8" t="s">
        <v>8325</v>
      </c>
      <c r="F1038" s="8" t="s">
        <v>8326</v>
      </c>
      <c r="G1038" s="8" t="s">
        <v>4727</v>
      </c>
      <c r="H1038" s="8" t="s">
        <v>8325</v>
      </c>
      <c r="I1038" s="8"/>
      <c r="J1038" s="15" t="s">
        <v>5695</v>
      </c>
      <c r="K1038" s="8"/>
      <c r="L1038" s="15" t="s">
        <v>1685</v>
      </c>
      <c r="M1038" s="8" t="s">
        <v>5578</v>
      </c>
      <c r="N1038" s="8"/>
      <c r="O1038" s="8" t="s">
        <v>5574</v>
      </c>
      <c r="P1038" s="11"/>
      <c r="Q1038" s="8" t="s">
        <v>5696</v>
      </c>
      <c r="R1038" s="8" t="s">
        <v>5919</v>
      </c>
      <c r="S1038" s="8" t="s">
        <v>8327</v>
      </c>
    </row>
    <row r="1039" spans="1:19" ht="107.1" customHeight="1" x14ac:dyDescent="0.25">
      <c r="A1039" s="8" t="s">
        <v>8328</v>
      </c>
      <c r="B1039" s="8" t="s">
        <v>5693</v>
      </c>
      <c r="C1039" s="8" t="s">
        <v>5918</v>
      </c>
      <c r="D1039" s="10">
        <v>718</v>
      </c>
      <c r="E1039" s="8" t="s">
        <v>8329</v>
      </c>
      <c r="F1039" s="8" t="s">
        <v>8330</v>
      </c>
      <c r="G1039" s="8" t="s">
        <v>4727</v>
      </c>
      <c r="H1039" s="8" t="s">
        <v>8329</v>
      </c>
      <c r="I1039" s="8"/>
      <c r="J1039" s="15" t="s">
        <v>5695</v>
      </c>
      <c r="K1039" s="8"/>
      <c r="L1039" s="15" t="s">
        <v>1685</v>
      </c>
      <c r="M1039" s="8" t="s">
        <v>5578</v>
      </c>
      <c r="N1039" s="8"/>
      <c r="O1039" s="8" t="s">
        <v>5574</v>
      </c>
      <c r="P1039" s="11"/>
      <c r="Q1039" s="8" t="s">
        <v>5696</v>
      </c>
      <c r="R1039" s="8" t="s">
        <v>5919</v>
      </c>
      <c r="S1039" s="8" t="s">
        <v>8331</v>
      </c>
    </row>
    <row r="1040" spans="1:19" ht="107.1" customHeight="1" x14ac:dyDescent="0.25">
      <c r="A1040" s="8" t="s">
        <v>8332</v>
      </c>
      <c r="B1040" s="8" t="s">
        <v>5693</v>
      </c>
      <c r="C1040" s="8" t="s">
        <v>5918</v>
      </c>
      <c r="D1040" s="10">
        <v>719</v>
      </c>
      <c r="E1040" s="8" t="s">
        <v>8333</v>
      </c>
      <c r="F1040" s="8" t="s">
        <v>8334</v>
      </c>
      <c r="G1040" s="8" t="s">
        <v>4727</v>
      </c>
      <c r="H1040" s="8" t="s">
        <v>8333</v>
      </c>
      <c r="I1040" s="8"/>
      <c r="J1040" s="15" t="s">
        <v>5695</v>
      </c>
      <c r="K1040" s="8"/>
      <c r="L1040" s="15" t="s">
        <v>1685</v>
      </c>
      <c r="M1040" s="8" t="s">
        <v>5578</v>
      </c>
      <c r="N1040" s="8"/>
      <c r="O1040" s="8" t="s">
        <v>5574</v>
      </c>
      <c r="P1040" s="11"/>
      <c r="Q1040" s="8" t="s">
        <v>5696</v>
      </c>
      <c r="R1040" s="8" t="s">
        <v>5919</v>
      </c>
      <c r="S1040" s="8" t="s">
        <v>8335</v>
      </c>
    </row>
    <row r="1041" spans="1:19" ht="107.1" customHeight="1" x14ac:dyDescent="0.25">
      <c r="A1041" s="8" t="s">
        <v>8336</v>
      </c>
      <c r="B1041" s="8" t="s">
        <v>5693</v>
      </c>
      <c r="C1041" s="8" t="s">
        <v>5918</v>
      </c>
      <c r="D1041" s="10">
        <v>720</v>
      </c>
      <c r="E1041" s="8" t="s">
        <v>8337</v>
      </c>
      <c r="F1041" s="8" t="s">
        <v>8338</v>
      </c>
      <c r="G1041" s="8" t="s">
        <v>4727</v>
      </c>
      <c r="H1041" s="8" t="s">
        <v>8337</v>
      </c>
      <c r="I1041" s="8"/>
      <c r="J1041" s="15" t="s">
        <v>5695</v>
      </c>
      <c r="K1041" s="8"/>
      <c r="L1041" s="15" t="s">
        <v>1685</v>
      </c>
      <c r="M1041" s="8" t="s">
        <v>5578</v>
      </c>
      <c r="N1041" s="8"/>
      <c r="O1041" s="8" t="s">
        <v>5574</v>
      </c>
      <c r="P1041" s="11"/>
      <c r="Q1041" s="8" t="s">
        <v>5696</v>
      </c>
      <c r="R1041" s="8" t="s">
        <v>5919</v>
      </c>
      <c r="S1041" s="8" t="s">
        <v>8339</v>
      </c>
    </row>
    <row r="1042" spans="1:19" ht="107.1" customHeight="1" x14ac:dyDescent="0.25">
      <c r="A1042" s="8" t="s">
        <v>8340</v>
      </c>
      <c r="B1042" s="8" t="s">
        <v>5693</v>
      </c>
      <c r="C1042" s="8" t="s">
        <v>5918</v>
      </c>
      <c r="D1042" s="10">
        <v>721</v>
      </c>
      <c r="E1042" s="8" t="s">
        <v>8341</v>
      </c>
      <c r="F1042" s="8" t="s">
        <v>8342</v>
      </c>
      <c r="G1042" s="8" t="s">
        <v>4727</v>
      </c>
      <c r="H1042" s="8" t="s">
        <v>8341</v>
      </c>
      <c r="I1042" s="8"/>
      <c r="J1042" s="15" t="s">
        <v>5695</v>
      </c>
      <c r="K1042" s="8"/>
      <c r="L1042" s="15" t="s">
        <v>1685</v>
      </c>
      <c r="M1042" s="8" t="s">
        <v>5578</v>
      </c>
      <c r="N1042" s="8"/>
      <c r="O1042" s="8" t="s">
        <v>5574</v>
      </c>
      <c r="P1042" s="11"/>
      <c r="Q1042" s="8" t="s">
        <v>5696</v>
      </c>
      <c r="R1042" s="8" t="s">
        <v>5919</v>
      </c>
      <c r="S1042" s="8" t="s">
        <v>8343</v>
      </c>
    </row>
    <row r="1043" spans="1:19" ht="107.1" customHeight="1" x14ac:dyDescent="0.25">
      <c r="A1043" s="8" t="s">
        <v>8344</v>
      </c>
      <c r="B1043" s="8" t="s">
        <v>5693</v>
      </c>
      <c r="C1043" s="8" t="s">
        <v>5918</v>
      </c>
      <c r="D1043" s="10">
        <v>722</v>
      </c>
      <c r="E1043" s="8" t="s">
        <v>8345</v>
      </c>
      <c r="F1043" s="8" t="s">
        <v>8346</v>
      </c>
      <c r="G1043" s="8" t="s">
        <v>4727</v>
      </c>
      <c r="H1043" s="8" t="s">
        <v>8345</v>
      </c>
      <c r="I1043" s="8"/>
      <c r="J1043" s="15" t="s">
        <v>5695</v>
      </c>
      <c r="K1043" s="8"/>
      <c r="L1043" s="15" t="s">
        <v>1685</v>
      </c>
      <c r="M1043" s="8" t="s">
        <v>5578</v>
      </c>
      <c r="N1043" s="8"/>
      <c r="O1043" s="8" t="s">
        <v>5574</v>
      </c>
      <c r="P1043" s="11"/>
      <c r="Q1043" s="8" t="s">
        <v>5696</v>
      </c>
      <c r="R1043" s="8" t="s">
        <v>5919</v>
      </c>
      <c r="S1043" s="8" t="s">
        <v>8347</v>
      </c>
    </row>
    <row r="1044" spans="1:19" ht="107.1" customHeight="1" x14ac:dyDescent="0.25">
      <c r="A1044" s="8" t="s">
        <v>8348</v>
      </c>
      <c r="B1044" s="8" t="s">
        <v>5693</v>
      </c>
      <c r="C1044" s="8" t="s">
        <v>5918</v>
      </c>
      <c r="D1044" s="10">
        <v>723</v>
      </c>
      <c r="E1044" s="8" t="s">
        <v>8349</v>
      </c>
      <c r="F1044" s="8" t="s">
        <v>8350</v>
      </c>
      <c r="G1044" s="8" t="s">
        <v>4727</v>
      </c>
      <c r="H1044" s="8" t="s">
        <v>8349</v>
      </c>
      <c r="I1044" s="8"/>
      <c r="J1044" s="15" t="s">
        <v>5695</v>
      </c>
      <c r="K1044" s="8"/>
      <c r="L1044" s="15" t="s">
        <v>1685</v>
      </c>
      <c r="M1044" s="8" t="s">
        <v>5578</v>
      </c>
      <c r="N1044" s="8"/>
      <c r="O1044" s="8" t="s">
        <v>5574</v>
      </c>
      <c r="P1044" s="11"/>
      <c r="Q1044" s="8" t="s">
        <v>5696</v>
      </c>
      <c r="R1044" s="8" t="s">
        <v>5919</v>
      </c>
      <c r="S1044" s="8" t="s">
        <v>8351</v>
      </c>
    </row>
    <row r="1045" spans="1:19" ht="93" customHeight="1" x14ac:dyDescent="0.25">
      <c r="A1045" s="8" t="s">
        <v>8352</v>
      </c>
      <c r="B1045" s="8" t="s">
        <v>5693</v>
      </c>
      <c r="C1045" s="8" t="s">
        <v>5918</v>
      </c>
      <c r="D1045" s="10">
        <v>724</v>
      </c>
      <c r="E1045" s="8" t="s">
        <v>8353</v>
      </c>
      <c r="F1045" s="8" t="s">
        <v>8354</v>
      </c>
      <c r="G1045" s="8" t="s">
        <v>4727</v>
      </c>
      <c r="H1045" s="8" t="s">
        <v>8353</v>
      </c>
      <c r="I1045" s="8"/>
      <c r="J1045" s="15" t="s">
        <v>5695</v>
      </c>
      <c r="K1045" s="8"/>
      <c r="L1045" s="15" t="s">
        <v>1685</v>
      </c>
      <c r="M1045" s="8" t="s">
        <v>5578</v>
      </c>
      <c r="N1045" s="8"/>
      <c r="O1045" s="8" t="s">
        <v>5574</v>
      </c>
      <c r="P1045" s="11"/>
      <c r="Q1045" s="8" t="s">
        <v>5696</v>
      </c>
      <c r="R1045" s="8" t="s">
        <v>5919</v>
      </c>
      <c r="S1045" s="8" t="s">
        <v>8355</v>
      </c>
    </row>
    <row r="1046" spans="1:19" ht="107.1" customHeight="1" x14ac:dyDescent="0.25">
      <c r="A1046" s="8" t="s">
        <v>8356</v>
      </c>
      <c r="B1046" s="8" t="s">
        <v>5693</v>
      </c>
      <c r="C1046" s="8" t="s">
        <v>5918</v>
      </c>
      <c r="D1046" s="10">
        <v>725</v>
      </c>
      <c r="E1046" s="8" t="s">
        <v>8357</v>
      </c>
      <c r="F1046" s="8" t="s">
        <v>8358</v>
      </c>
      <c r="G1046" s="8" t="s">
        <v>4727</v>
      </c>
      <c r="H1046" s="8" t="s">
        <v>8357</v>
      </c>
      <c r="I1046" s="8"/>
      <c r="J1046" s="15" t="s">
        <v>5695</v>
      </c>
      <c r="K1046" s="8"/>
      <c r="L1046" s="15" t="s">
        <v>1685</v>
      </c>
      <c r="M1046" s="8" t="s">
        <v>5578</v>
      </c>
      <c r="N1046" s="8"/>
      <c r="O1046" s="8" t="s">
        <v>5574</v>
      </c>
      <c r="P1046" s="11"/>
      <c r="Q1046" s="8" t="s">
        <v>5696</v>
      </c>
      <c r="R1046" s="8" t="s">
        <v>5919</v>
      </c>
      <c r="S1046" s="8" t="s">
        <v>8359</v>
      </c>
    </row>
    <row r="1047" spans="1:19" ht="107.1" customHeight="1" x14ac:dyDescent="0.25">
      <c r="A1047" s="8" t="s">
        <v>8360</v>
      </c>
      <c r="B1047" s="8" t="s">
        <v>5693</v>
      </c>
      <c r="C1047" s="8" t="s">
        <v>5918</v>
      </c>
      <c r="D1047" s="10">
        <v>726</v>
      </c>
      <c r="E1047" s="8" t="s">
        <v>8361</v>
      </c>
      <c r="F1047" s="8" t="s">
        <v>8362</v>
      </c>
      <c r="G1047" s="8" t="s">
        <v>4727</v>
      </c>
      <c r="H1047" s="8" t="s">
        <v>8361</v>
      </c>
      <c r="I1047" s="8"/>
      <c r="J1047" s="15" t="s">
        <v>5695</v>
      </c>
      <c r="K1047" s="8"/>
      <c r="L1047" s="15" t="s">
        <v>1685</v>
      </c>
      <c r="M1047" s="8" t="s">
        <v>5578</v>
      </c>
      <c r="N1047" s="8"/>
      <c r="O1047" s="8" t="s">
        <v>5574</v>
      </c>
      <c r="P1047" s="11"/>
      <c r="Q1047" s="8" t="s">
        <v>5696</v>
      </c>
      <c r="R1047" s="8" t="s">
        <v>5919</v>
      </c>
      <c r="S1047" s="8" t="s">
        <v>8363</v>
      </c>
    </row>
    <row r="1048" spans="1:19" ht="107.1" customHeight="1" x14ac:dyDescent="0.25">
      <c r="A1048" s="8" t="s">
        <v>8364</v>
      </c>
      <c r="B1048" s="8" t="s">
        <v>5693</v>
      </c>
      <c r="C1048" s="8" t="s">
        <v>5918</v>
      </c>
      <c r="D1048" s="10">
        <v>727</v>
      </c>
      <c r="E1048" s="8" t="s">
        <v>8365</v>
      </c>
      <c r="F1048" s="8" t="s">
        <v>8366</v>
      </c>
      <c r="G1048" s="8" t="s">
        <v>4727</v>
      </c>
      <c r="H1048" s="8" t="s">
        <v>8365</v>
      </c>
      <c r="I1048" s="8"/>
      <c r="J1048" s="15" t="s">
        <v>5695</v>
      </c>
      <c r="K1048" s="8"/>
      <c r="L1048" s="15" t="s">
        <v>1685</v>
      </c>
      <c r="M1048" s="8" t="s">
        <v>5578</v>
      </c>
      <c r="N1048" s="8"/>
      <c r="O1048" s="8" t="s">
        <v>5574</v>
      </c>
      <c r="P1048" s="11"/>
      <c r="Q1048" s="8" t="s">
        <v>5696</v>
      </c>
      <c r="R1048" s="8" t="s">
        <v>5919</v>
      </c>
      <c r="S1048" s="8" t="s">
        <v>8367</v>
      </c>
    </row>
    <row r="1049" spans="1:19" ht="107.1" customHeight="1" x14ac:dyDescent="0.25">
      <c r="A1049" s="8" t="s">
        <v>8368</v>
      </c>
      <c r="B1049" s="8" t="s">
        <v>5693</v>
      </c>
      <c r="C1049" s="8" t="s">
        <v>5918</v>
      </c>
      <c r="D1049" s="10">
        <v>728</v>
      </c>
      <c r="E1049" s="8" t="s">
        <v>8369</v>
      </c>
      <c r="F1049" s="8" t="s">
        <v>8370</v>
      </c>
      <c r="G1049" s="8" t="s">
        <v>4727</v>
      </c>
      <c r="H1049" s="8" t="s">
        <v>8369</v>
      </c>
      <c r="I1049" s="8"/>
      <c r="J1049" s="15" t="s">
        <v>5695</v>
      </c>
      <c r="K1049" s="8"/>
      <c r="L1049" s="15" t="s">
        <v>1685</v>
      </c>
      <c r="M1049" s="8" t="s">
        <v>5578</v>
      </c>
      <c r="N1049" s="8"/>
      <c r="O1049" s="8" t="s">
        <v>5574</v>
      </c>
      <c r="P1049" s="11"/>
      <c r="Q1049" s="8" t="s">
        <v>5696</v>
      </c>
      <c r="R1049" s="8" t="s">
        <v>5919</v>
      </c>
      <c r="S1049" s="8" t="s">
        <v>8371</v>
      </c>
    </row>
    <row r="1050" spans="1:19" ht="107.1" customHeight="1" x14ac:dyDescent="0.25">
      <c r="A1050" s="8" t="s">
        <v>8372</v>
      </c>
      <c r="B1050" s="8" t="s">
        <v>5693</v>
      </c>
      <c r="C1050" s="8" t="s">
        <v>5918</v>
      </c>
      <c r="D1050" s="10">
        <v>729</v>
      </c>
      <c r="E1050" s="8" t="s">
        <v>8373</v>
      </c>
      <c r="F1050" s="8" t="s">
        <v>8374</v>
      </c>
      <c r="G1050" s="8" t="s">
        <v>4727</v>
      </c>
      <c r="H1050" s="8" t="s">
        <v>8373</v>
      </c>
      <c r="I1050" s="8"/>
      <c r="J1050" s="15" t="s">
        <v>5695</v>
      </c>
      <c r="K1050" s="8"/>
      <c r="L1050" s="15" t="s">
        <v>1685</v>
      </c>
      <c r="M1050" s="8" t="s">
        <v>5578</v>
      </c>
      <c r="N1050" s="8"/>
      <c r="O1050" s="8" t="s">
        <v>5574</v>
      </c>
      <c r="P1050" s="11"/>
      <c r="Q1050" s="8" t="s">
        <v>5696</v>
      </c>
      <c r="R1050" s="8" t="s">
        <v>5919</v>
      </c>
      <c r="S1050" s="8" t="s">
        <v>8375</v>
      </c>
    </row>
    <row r="1051" spans="1:19" ht="107.1" customHeight="1" x14ac:dyDescent="0.25">
      <c r="A1051" s="8" t="s">
        <v>8376</v>
      </c>
      <c r="B1051" s="8" t="s">
        <v>5693</v>
      </c>
      <c r="C1051" s="8" t="s">
        <v>5918</v>
      </c>
      <c r="D1051" s="10">
        <v>730</v>
      </c>
      <c r="E1051" s="8" t="s">
        <v>8377</v>
      </c>
      <c r="F1051" s="8" t="s">
        <v>8378</v>
      </c>
      <c r="G1051" s="8" t="s">
        <v>4727</v>
      </c>
      <c r="H1051" s="8" t="s">
        <v>8377</v>
      </c>
      <c r="I1051" s="8"/>
      <c r="J1051" s="15" t="s">
        <v>5695</v>
      </c>
      <c r="K1051" s="8"/>
      <c r="L1051" s="15" t="s">
        <v>1685</v>
      </c>
      <c r="M1051" s="8" t="s">
        <v>5578</v>
      </c>
      <c r="N1051" s="8"/>
      <c r="O1051" s="8" t="s">
        <v>5574</v>
      </c>
      <c r="P1051" s="11"/>
      <c r="Q1051" s="8" t="s">
        <v>5696</v>
      </c>
      <c r="R1051" s="8" t="s">
        <v>5919</v>
      </c>
      <c r="S1051" s="8" t="s">
        <v>8379</v>
      </c>
    </row>
    <row r="1052" spans="1:19" ht="93" customHeight="1" x14ac:dyDescent="0.25">
      <c r="A1052" s="8" t="s">
        <v>8380</v>
      </c>
      <c r="B1052" s="8" t="s">
        <v>5693</v>
      </c>
      <c r="C1052" s="8" t="s">
        <v>5918</v>
      </c>
      <c r="D1052" s="10">
        <v>731</v>
      </c>
      <c r="E1052" s="8" t="s">
        <v>8381</v>
      </c>
      <c r="F1052" s="8" t="s">
        <v>8382</v>
      </c>
      <c r="G1052" s="8" t="s">
        <v>4727</v>
      </c>
      <c r="H1052" s="8" t="s">
        <v>8381</v>
      </c>
      <c r="I1052" s="8"/>
      <c r="J1052" s="15" t="s">
        <v>5695</v>
      </c>
      <c r="K1052" s="8"/>
      <c r="L1052" s="15" t="s">
        <v>1685</v>
      </c>
      <c r="M1052" s="8" t="s">
        <v>5578</v>
      </c>
      <c r="N1052" s="8"/>
      <c r="O1052" s="8" t="s">
        <v>5574</v>
      </c>
      <c r="P1052" s="11"/>
      <c r="Q1052" s="8" t="s">
        <v>5696</v>
      </c>
      <c r="R1052" s="8" t="s">
        <v>5919</v>
      </c>
      <c r="S1052" s="8" t="s">
        <v>8383</v>
      </c>
    </row>
    <row r="1053" spans="1:19" ht="107.1" customHeight="1" x14ac:dyDescent="0.25">
      <c r="A1053" s="8" t="s">
        <v>8384</v>
      </c>
      <c r="B1053" s="8" t="s">
        <v>5693</v>
      </c>
      <c r="C1053" s="8" t="s">
        <v>5918</v>
      </c>
      <c r="D1053" s="10">
        <v>732</v>
      </c>
      <c r="E1053" s="8" t="s">
        <v>8385</v>
      </c>
      <c r="F1053" s="8" t="s">
        <v>8386</v>
      </c>
      <c r="G1053" s="8" t="s">
        <v>4727</v>
      </c>
      <c r="H1053" s="8" t="s">
        <v>8385</v>
      </c>
      <c r="I1053" s="8"/>
      <c r="J1053" s="15" t="s">
        <v>5695</v>
      </c>
      <c r="K1053" s="8"/>
      <c r="L1053" s="15" t="s">
        <v>1685</v>
      </c>
      <c r="M1053" s="8" t="s">
        <v>5578</v>
      </c>
      <c r="N1053" s="8"/>
      <c r="O1053" s="8" t="s">
        <v>5574</v>
      </c>
      <c r="P1053" s="11"/>
      <c r="Q1053" s="8" t="s">
        <v>5696</v>
      </c>
      <c r="R1053" s="8" t="s">
        <v>5919</v>
      </c>
      <c r="S1053" s="8" t="s">
        <v>8387</v>
      </c>
    </row>
    <row r="1054" spans="1:19" ht="93" customHeight="1" x14ac:dyDescent="0.25">
      <c r="A1054" s="8" t="s">
        <v>8388</v>
      </c>
      <c r="B1054" s="8" t="s">
        <v>5693</v>
      </c>
      <c r="C1054" s="8" t="s">
        <v>5918</v>
      </c>
      <c r="D1054" s="10">
        <v>733</v>
      </c>
      <c r="E1054" s="8" t="s">
        <v>8389</v>
      </c>
      <c r="F1054" s="8" t="s">
        <v>8390</v>
      </c>
      <c r="G1054" s="8" t="s">
        <v>4727</v>
      </c>
      <c r="H1054" s="8" t="s">
        <v>8389</v>
      </c>
      <c r="I1054" s="8"/>
      <c r="J1054" s="15" t="s">
        <v>5695</v>
      </c>
      <c r="K1054" s="8"/>
      <c r="L1054" s="15" t="s">
        <v>1685</v>
      </c>
      <c r="M1054" s="8" t="s">
        <v>5578</v>
      </c>
      <c r="N1054" s="8"/>
      <c r="O1054" s="8" t="s">
        <v>5574</v>
      </c>
      <c r="P1054" s="11"/>
      <c r="Q1054" s="8" t="s">
        <v>5696</v>
      </c>
      <c r="R1054" s="8" t="s">
        <v>5919</v>
      </c>
      <c r="S1054" s="8" t="s">
        <v>8391</v>
      </c>
    </row>
    <row r="1055" spans="1:19" ht="107.1" customHeight="1" x14ac:dyDescent="0.25">
      <c r="A1055" s="8" t="s">
        <v>8392</v>
      </c>
      <c r="B1055" s="8" t="s">
        <v>5693</v>
      </c>
      <c r="C1055" s="8" t="s">
        <v>5918</v>
      </c>
      <c r="D1055" s="10">
        <v>734</v>
      </c>
      <c r="E1055" s="8" t="s">
        <v>8393</v>
      </c>
      <c r="F1055" s="8" t="s">
        <v>8394</v>
      </c>
      <c r="G1055" s="8" t="s">
        <v>4727</v>
      </c>
      <c r="H1055" s="8" t="s">
        <v>8393</v>
      </c>
      <c r="I1055" s="8"/>
      <c r="J1055" s="15" t="s">
        <v>5695</v>
      </c>
      <c r="K1055" s="8"/>
      <c r="L1055" s="15" t="s">
        <v>1685</v>
      </c>
      <c r="M1055" s="8" t="s">
        <v>5578</v>
      </c>
      <c r="N1055" s="8"/>
      <c r="O1055" s="8" t="s">
        <v>5574</v>
      </c>
      <c r="P1055" s="11"/>
      <c r="Q1055" s="8" t="s">
        <v>5696</v>
      </c>
      <c r="R1055" s="8" t="s">
        <v>5919</v>
      </c>
      <c r="S1055" s="8" t="s">
        <v>8395</v>
      </c>
    </row>
    <row r="1056" spans="1:19" ht="107.1" customHeight="1" x14ac:dyDescent="0.25">
      <c r="A1056" s="8" t="s">
        <v>8396</v>
      </c>
      <c r="B1056" s="8" t="s">
        <v>5693</v>
      </c>
      <c r="C1056" s="8" t="s">
        <v>5918</v>
      </c>
      <c r="D1056" s="10">
        <v>735</v>
      </c>
      <c r="E1056" s="8" t="s">
        <v>8397</v>
      </c>
      <c r="F1056" s="8" t="s">
        <v>8398</v>
      </c>
      <c r="G1056" s="8" t="s">
        <v>4727</v>
      </c>
      <c r="H1056" s="8" t="s">
        <v>8397</v>
      </c>
      <c r="I1056" s="8"/>
      <c r="J1056" s="15" t="s">
        <v>5695</v>
      </c>
      <c r="K1056" s="8"/>
      <c r="L1056" s="15" t="s">
        <v>1685</v>
      </c>
      <c r="M1056" s="8" t="s">
        <v>5578</v>
      </c>
      <c r="N1056" s="8"/>
      <c r="O1056" s="8" t="s">
        <v>5574</v>
      </c>
      <c r="P1056" s="11"/>
      <c r="Q1056" s="8" t="s">
        <v>5696</v>
      </c>
      <c r="R1056" s="8" t="s">
        <v>5919</v>
      </c>
      <c r="S1056" s="8" t="s">
        <v>8399</v>
      </c>
    </row>
    <row r="1057" spans="1:19" ht="107.1" customHeight="1" x14ac:dyDescent="0.25">
      <c r="A1057" s="8" t="s">
        <v>8400</v>
      </c>
      <c r="B1057" s="8" t="s">
        <v>5693</v>
      </c>
      <c r="C1057" s="8" t="s">
        <v>5918</v>
      </c>
      <c r="D1057" s="10">
        <v>736</v>
      </c>
      <c r="E1057" s="8" t="s">
        <v>8401</v>
      </c>
      <c r="F1057" s="8" t="s">
        <v>8402</v>
      </c>
      <c r="G1057" s="8" t="s">
        <v>4727</v>
      </c>
      <c r="H1057" s="8" t="s">
        <v>8401</v>
      </c>
      <c r="I1057" s="8"/>
      <c r="J1057" s="15" t="s">
        <v>5695</v>
      </c>
      <c r="K1057" s="8"/>
      <c r="L1057" s="15" t="s">
        <v>1685</v>
      </c>
      <c r="M1057" s="8" t="s">
        <v>5578</v>
      </c>
      <c r="N1057" s="8"/>
      <c r="O1057" s="8" t="s">
        <v>5574</v>
      </c>
      <c r="P1057" s="11"/>
      <c r="Q1057" s="8" t="s">
        <v>5696</v>
      </c>
      <c r="R1057" s="8" t="s">
        <v>5919</v>
      </c>
      <c r="S1057" s="8" t="s">
        <v>8403</v>
      </c>
    </row>
    <row r="1058" spans="1:19" ht="107.1" customHeight="1" x14ac:dyDescent="0.25">
      <c r="A1058" s="8" t="s">
        <v>8404</v>
      </c>
      <c r="B1058" s="8" t="s">
        <v>5693</v>
      </c>
      <c r="C1058" s="8" t="s">
        <v>5918</v>
      </c>
      <c r="D1058" s="10">
        <v>737</v>
      </c>
      <c r="E1058" s="8" t="s">
        <v>8405</v>
      </c>
      <c r="F1058" s="8" t="s">
        <v>8406</v>
      </c>
      <c r="G1058" s="8" t="s">
        <v>4727</v>
      </c>
      <c r="H1058" s="8" t="s">
        <v>8405</v>
      </c>
      <c r="I1058" s="8"/>
      <c r="J1058" s="15" t="s">
        <v>5695</v>
      </c>
      <c r="K1058" s="8"/>
      <c r="L1058" s="15" t="s">
        <v>1685</v>
      </c>
      <c r="M1058" s="8" t="s">
        <v>5578</v>
      </c>
      <c r="N1058" s="8"/>
      <c r="O1058" s="8" t="s">
        <v>5574</v>
      </c>
      <c r="P1058" s="11"/>
      <c r="Q1058" s="8" t="s">
        <v>5696</v>
      </c>
      <c r="R1058" s="8" t="s">
        <v>5919</v>
      </c>
      <c r="S1058" s="8" t="s">
        <v>8407</v>
      </c>
    </row>
    <row r="1059" spans="1:19" ht="107.1" customHeight="1" x14ac:dyDescent="0.25">
      <c r="A1059" s="8" t="s">
        <v>8408</v>
      </c>
      <c r="B1059" s="8" t="s">
        <v>5693</v>
      </c>
      <c r="C1059" s="8" t="s">
        <v>5918</v>
      </c>
      <c r="D1059" s="10">
        <v>738</v>
      </c>
      <c r="E1059" s="8" t="s">
        <v>8409</v>
      </c>
      <c r="F1059" s="8" t="s">
        <v>8410</v>
      </c>
      <c r="G1059" s="8" t="s">
        <v>4727</v>
      </c>
      <c r="H1059" s="8" t="s">
        <v>8409</v>
      </c>
      <c r="I1059" s="8"/>
      <c r="J1059" s="15" t="s">
        <v>5695</v>
      </c>
      <c r="K1059" s="8"/>
      <c r="L1059" s="15" t="s">
        <v>1685</v>
      </c>
      <c r="M1059" s="8" t="s">
        <v>5578</v>
      </c>
      <c r="N1059" s="8"/>
      <c r="O1059" s="8" t="s">
        <v>5574</v>
      </c>
      <c r="P1059" s="11"/>
      <c r="Q1059" s="8" t="s">
        <v>5696</v>
      </c>
      <c r="R1059" s="8" t="s">
        <v>5919</v>
      </c>
      <c r="S1059" s="8" t="s">
        <v>8411</v>
      </c>
    </row>
    <row r="1060" spans="1:19" ht="107.1" customHeight="1" x14ac:dyDescent="0.25">
      <c r="A1060" s="8" t="s">
        <v>8412</v>
      </c>
      <c r="B1060" s="8" t="s">
        <v>5693</v>
      </c>
      <c r="C1060" s="8" t="s">
        <v>5918</v>
      </c>
      <c r="D1060" s="10">
        <v>739</v>
      </c>
      <c r="E1060" s="8" t="s">
        <v>8413</v>
      </c>
      <c r="F1060" s="8" t="s">
        <v>8414</v>
      </c>
      <c r="G1060" s="8" t="s">
        <v>4727</v>
      </c>
      <c r="H1060" s="8" t="s">
        <v>8413</v>
      </c>
      <c r="I1060" s="8"/>
      <c r="J1060" s="15" t="s">
        <v>5695</v>
      </c>
      <c r="K1060" s="8"/>
      <c r="L1060" s="15" t="s">
        <v>1685</v>
      </c>
      <c r="M1060" s="8" t="s">
        <v>5578</v>
      </c>
      <c r="N1060" s="8"/>
      <c r="O1060" s="8" t="s">
        <v>5574</v>
      </c>
      <c r="P1060" s="11"/>
      <c r="Q1060" s="8" t="s">
        <v>5696</v>
      </c>
      <c r="R1060" s="8" t="s">
        <v>5919</v>
      </c>
      <c r="S1060" s="8" t="s">
        <v>8415</v>
      </c>
    </row>
    <row r="1061" spans="1:19" ht="107.1" customHeight="1" x14ac:dyDescent="0.25">
      <c r="A1061" s="8" t="s">
        <v>8416</v>
      </c>
      <c r="B1061" s="8" t="s">
        <v>5693</v>
      </c>
      <c r="C1061" s="8" t="s">
        <v>5918</v>
      </c>
      <c r="D1061" s="10">
        <v>740</v>
      </c>
      <c r="E1061" s="8" t="s">
        <v>8417</v>
      </c>
      <c r="F1061" s="8" t="s">
        <v>8418</v>
      </c>
      <c r="G1061" s="8" t="s">
        <v>4727</v>
      </c>
      <c r="H1061" s="8" t="s">
        <v>8417</v>
      </c>
      <c r="I1061" s="8"/>
      <c r="J1061" s="15" t="s">
        <v>5695</v>
      </c>
      <c r="K1061" s="8"/>
      <c r="L1061" s="15" t="s">
        <v>1685</v>
      </c>
      <c r="M1061" s="8" t="s">
        <v>5578</v>
      </c>
      <c r="N1061" s="8"/>
      <c r="O1061" s="8" t="s">
        <v>5574</v>
      </c>
      <c r="P1061" s="11"/>
      <c r="Q1061" s="8" t="s">
        <v>5696</v>
      </c>
      <c r="R1061" s="8" t="s">
        <v>5919</v>
      </c>
      <c r="S1061" s="8" t="s">
        <v>8419</v>
      </c>
    </row>
    <row r="1062" spans="1:19" ht="93" customHeight="1" x14ac:dyDescent="0.25">
      <c r="A1062" s="8" t="s">
        <v>8420</v>
      </c>
      <c r="B1062" s="8" t="s">
        <v>5693</v>
      </c>
      <c r="C1062" s="8" t="s">
        <v>5918</v>
      </c>
      <c r="D1062" s="10">
        <v>741</v>
      </c>
      <c r="E1062" s="8" t="s">
        <v>8421</v>
      </c>
      <c r="F1062" s="8" t="s">
        <v>8422</v>
      </c>
      <c r="G1062" s="8" t="s">
        <v>4727</v>
      </c>
      <c r="H1062" s="8" t="s">
        <v>8421</v>
      </c>
      <c r="I1062" s="8"/>
      <c r="J1062" s="15" t="s">
        <v>5695</v>
      </c>
      <c r="K1062" s="8"/>
      <c r="L1062" s="15" t="s">
        <v>1685</v>
      </c>
      <c r="M1062" s="8" t="s">
        <v>5578</v>
      </c>
      <c r="N1062" s="8"/>
      <c r="O1062" s="8" t="s">
        <v>5574</v>
      </c>
      <c r="P1062" s="11"/>
      <c r="Q1062" s="8" t="s">
        <v>5696</v>
      </c>
      <c r="R1062" s="8" t="s">
        <v>5919</v>
      </c>
      <c r="S1062" s="8" t="s">
        <v>8423</v>
      </c>
    </row>
    <row r="1063" spans="1:19" ht="107.1" customHeight="1" x14ac:dyDescent="0.25">
      <c r="A1063" s="8" t="s">
        <v>8424</v>
      </c>
      <c r="B1063" s="8" t="s">
        <v>5693</v>
      </c>
      <c r="C1063" s="8" t="s">
        <v>5918</v>
      </c>
      <c r="D1063" s="10">
        <v>742</v>
      </c>
      <c r="E1063" s="8" t="s">
        <v>8425</v>
      </c>
      <c r="F1063" s="8" t="s">
        <v>8426</v>
      </c>
      <c r="G1063" s="8" t="s">
        <v>4727</v>
      </c>
      <c r="H1063" s="8" t="s">
        <v>8425</v>
      </c>
      <c r="I1063" s="8"/>
      <c r="J1063" s="15" t="s">
        <v>5695</v>
      </c>
      <c r="K1063" s="8"/>
      <c r="L1063" s="15" t="s">
        <v>1685</v>
      </c>
      <c r="M1063" s="8" t="s">
        <v>5578</v>
      </c>
      <c r="N1063" s="8"/>
      <c r="O1063" s="8" t="s">
        <v>5574</v>
      </c>
      <c r="P1063" s="11"/>
      <c r="Q1063" s="8" t="s">
        <v>5696</v>
      </c>
      <c r="R1063" s="8" t="s">
        <v>5919</v>
      </c>
      <c r="S1063" s="8" t="s">
        <v>8427</v>
      </c>
    </row>
    <row r="1064" spans="1:19" ht="107.1" customHeight="1" x14ac:dyDescent="0.25">
      <c r="A1064" s="8" t="s">
        <v>8428</v>
      </c>
      <c r="B1064" s="8" t="s">
        <v>5693</v>
      </c>
      <c r="C1064" s="8" t="s">
        <v>5918</v>
      </c>
      <c r="D1064" s="10">
        <v>743</v>
      </c>
      <c r="E1064" s="8" t="s">
        <v>8429</v>
      </c>
      <c r="F1064" s="8" t="s">
        <v>8430</v>
      </c>
      <c r="G1064" s="8" t="s">
        <v>4727</v>
      </c>
      <c r="H1064" s="8" t="s">
        <v>8429</v>
      </c>
      <c r="I1064" s="8"/>
      <c r="J1064" s="15" t="s">
        <v>5695</v>
      </c>
      <c r="K1064" s="8"/>
      <c r="L1064" s="15" t="s">
        <v>1685</v>
      </c>
      <c r="M1064" s="8" t="s">
        <v>5578</v>
      </c>
      <c r="N1064" s="8"/>
      <c r="O1064" s="8" t="s">
        <v>5574</v>
      </c>
      <c r="P1064" s="11"/>
      <c r="Q1064" s="8" t="s">
        <v>5696</v>
      </c>
      <c r="R1064" s="8" t="s">
        <v>5919</v>
      </c>
      <c r="S1064" s="8" t="s">
        <v>8431</v>
      </c>
    </row>
    <row r="1065" spans="1:19" ht="93" customHeight="1" x14ac:dyDescent="0.25">
      <c r="A1065" s="8" t="s">
        <v>8432</v>
      </c>
      <c r="B1065" s="8" t="s">
        <v>5693</v>
      </c>
      <c r="C1065" s="8" t="s">
        <v>5918</v>
      </c>
      <c r="D1065" s="10">
        <v>744</v>
      </c>
      <c r="E1065" s="8" t="s">
        <v>8433</v>
      </c>
      <c r="F1065" s="8" t="s">
        <v>8434</v>
      </c>
      <c r="G1065" s="8" t="s">
        <v>4727</v>
      </c>
      <c r="H1065" s="8" t="s">
        <v>8433</v>
      </c>
      <c r="I1065" s="8"/>
      <c r="J1065" s="15" t="s">
        <v>5695</v>
      </c>
      <c r="K1065" s="8"/>
      <c r="L1065" s="15" t="s">
        <v>1685</v>
      </c>
      <c r="M1065" s="8" t="s">
        <v>5578</v>
      </c>
      <c r="N1065" s="8"/>
      <c r="O1065" s="8" t="s">
        <v>5574</v>
      </c>
      <c r="P1065" s="11"/>
      <c r="Q1065" s="8" t="s">
        <v>5696</v>
      </c>
      <c r="R1065" s="8" t="s">
        <v>5919</v>
      </c>
      <c r="S1065" s="8" t="s">
        <v>8435</v>
      </c>
    </row>
    <row r="1066" spans="1:19" ht="93" customHeight="1" x14ac:dyDescent="0.25">
      <c r="A1066" s="8" t="s">
        <v>8436</v>
      </c>
      <c r="B1066" s="8" t="s">
        <v>5693</v>
      </c>
      <c r="C1066" s="8" t="s">
        <v>5918</v>
      </c>
      <c r="D1066" s="10">
        <v>745</v>
      </c>
      <c r="E1066" s="8" t="s">
        <v>8437</v>
      </c>
      <c r="F1066" s="8" t="s">
        <v>8438</v>
      </c>
      <c r="G1066" s="8" t="s">
        <v>4727</v>
      </c>
      <c r="H1066" s="8" t="s">
        <v>8437</v>
      </c>
      <c r="I1066" s="8"/>
      <c r="J1066" s="15" t="s">
        <v>5695</v>
      </c>
      <c r="K1066" s="8"/>
      <c r="L1066" s="15" t="s">
        <v>1685</v>
      </c>
      <c r="M1066" s="8" t="s">
        <v>5578</v>
      </c>
      <c r="N1066" s="8"/>
      <c r="O1066" s="8" t="s">
        <v>5574</v>
      </c>
      <c r="P1066" s="11"/>
      <c r="Q1066" s="8" t="s">
        <v>5696</v>
      </c>
      <c r="R1066" s="8" t="s">
        <v>5919</v>
      </c>
      <c r="S1066" s="8" t="s">
        <v>8439</v>
      </c>
    </row>
    <row r="1067" spans="1:19" ht="93" customHeight="1" x14ac:dyDescent="0.25">
      <c r="A1067" s="8" t="s">
        <v>8440</v>
      </c>
      <c r="B1067" s="8" t="s">
        <v>5693</v>
      </c>
      <c r="C1067" s="8" t="s">
        <v>5918</v>
      </c>
      <c r="D1067" s="10">
        <v>746</v>
      </c>
      <c r="E1067" s="8" t="s">
        <v>8441</v>
      </c>
      <c r="F1067" s="8" t="s">
        <v>8442</v>
      </c>
      <c r="G1067" s="8" t="s">
        <v>4727</v>
      </c>
      <c r="H1067" s="8" t="s">
        <v>8441</v>
      </c>
      <c r="I1067" s="8"/>
      <c r="J1067" s="15" t="s">
        <v>5695</v>
      </c>
      <c r="K1067" s="8"/>
      <c r="L1067" s="15" t="s">
        <v>1685</v>
      </c>
      <c r="M1067" s="8" t="s">
        <v>5578</v>
      </c>
      <c r="N1067" s="8"/>
      <c r="O1067" s="8" t="s">
        <v>5574</v>
      </c>
      <c r="P1067" s="11"/>
      <c r="Q1067" s="8" t="s">
        <v>5696</v>
      </c>
      <c r="R1067" s="8" t="s">
        <v>5919</v>
      </c>
      <c r="S1067" s="8" t="s">
        <v>8443</v>
      </c>
    </row>
    <row r="1068" spans="1:19" ht="93" customHeight="1" x14ac:dyDescent="0.25">
      <c r="A1068" s="8" t="s">
        <v>8444</v>
      </c>
      <c r="B1068" s="8" t="s">
        <v>5693</v>
      </c>
      <c r="C1068" s="8" t="s">
        <v>5918</v>
      </c>
      <c r="D1068" s="10">
        <v>747</v>
      </c>
      <c r="E1068" s="8" t="s">
        <v>8445</v>
      </c>
      <c r="F1068" s="8" t="s">
        <v>8446</v>
      </c>
      <c r="G1068" s="8" t="s">
        <v>4727</v>
      </c>
      <c r="H1068" s="8" t="s">
        <v>8445</v>
      </c>
      <c r="I1068" s="8"/>
      <c r="J1068" s="15" t="s">
        <v>5695</v>
      </c>
      <c r="K1068" s="8"/>
      <c r="L1068" s="15" t="s">
        <v>1685</v>
      </c>
      <c r="M1068" s="8" t="s">
        <v>5578</v>
      </c>
      <c r="N1068" s="8"/>
      <c r="O1068" s="8" t="s">
        <v>5574</v>
      </c>
      <c r="P1068" s="11"/>
      <c r="Q1068" s="8" t="s">
        <v>5696</v>
      </c>
      <c r="R1068" s="8" t="s">
        <v>5919</v>
      </c>
      <c r="S1068" s="8" t="s">
        <v>8447</v>
      </c>
    </row>
    <row r="1069" spans="1:19" ht="93" customHeight="1" x14ac:dyDescent="0.25">
      <c r="A1069" s="8" t="s">
        <v>8448</v>
      </c>
      <c r="B1069" s="8" t="s">
        <v>5693</v>
      </c>
      <c r="C1069" s="8" t="s">
        <v>5918</v>
      </c>
      <c r="D1069" s="10">
        <v>748</v>
      </c>
      <c r="E1069" s="8" t="s">
        <v>8449</v>
      </c>
      <c r="F1069" s="8" t="s">
        <v>8450</v>
      </c>
      <c r="G1069" s="8" t="s">
        <v>4727</v>
      </c>
      <c r="H1069" s="8" t="s">
        <v>8449</v>
      </c>
      <c r="I1069" s="8"/>
      <c r="J1069" s="15" t="s">
        <v>5695</v>
      </c>
      <c r="K1069" s="8"/>
      <c r="L1069" s="15" t="s">
        <v>1685</v>
      </c>
      <c r="M1069" s="8" t="s">
        <v>5578</v>
      </c>
      <c r="N1069" s="8"/>
      <c r="O1069" s="8" t="s">
        <v>5574</v>
      </c>
      <c r="P1069" s="11"/>
      <c r="Q1069" s="8" t="s">
        <v>5696</v>
      </c>
      <c r="R1069" s="8" t="s">
        <v>5919</v>
      </c>
      <c r="S1069" s="8" t="s">
        <v>8451</v>
      </c>
    </row>
    <row r="1070" spans="1:19" ht="107.1" customHeight="1" x14ac:dyDescent="0.25">
      <c r="A1070" s="8" t="s">
        <v>8452</v>
      </c>
      <c r="B1070" s="8" t="s">
        <v>5693</v>
      </c>
      <c r="C1070" s="8" t="s">
        <v>5918</v>
      </c>
      <c r="D1070" s="10">
        <v>749</v>
      </c>
      <c r="E1070" s="8" t="s">
        <v>8453</v>
      </c>
      <c r="F1070" s="8" t="s">
        <v>8454</v>
      </c>
      <c r="G1070" s="8" t="s">
        <v>4727</v>
      </c>
      <c r="H1070" s="8" t="s">
        <v>8453</v>
      </c>
      <c r="I1070" s="8"/>
      <c r="J1070" s="15" t="s">
        <v>5695</v>
      </c>
      <c r="K1070" s="8"/>
      <c r="L1070" s="15" t="s">
        <v>1685</v>
      </c>
      <c r="M1070" s="8" t="s">
        <v>5578</v>
      </c>
      <c r="N1070" s="8"/>
      <c r="O1070" s="8" t="s">
        <v>5574</v>
      </c>
      <c r="P1070" s="11"/>
      <c r="Q1070" s="8" t="s">
        <v>5696</v>
      </c>
      <c r="R1070" s="8" t="s">
        <v>5919</v>
      </c>
      <c r="S1070" s="8" t="s">
        <v>8455</v>
      </c>
    </row>
    <row r="1071" spans="1:19" ht="107.1" customHeight="1" x14ac:dyDescent="0.25">
      <c r="A1071" s="8" t="s">
        <v>8456</v>
      </c>
      <c r="B1071" s="8" t="s">
        <v>5693</v>
      </c>
      <c r="C1071" s="8" t="s">
        <v>5918</v>
      </c>
      <c r="D1071" s="10">
        <v>750</v>
      </c>
      <c r="E1071" s="8" t="s">
        <v>8457</v>
      </c>
      <c r="F1071" s="8" t="s">
        <v>8458</v>
      </c>
      <c r="G1071" s="8" t="s">
        <v>4727</v>
      </c>
      <c r="H1071" s="8" t="s">
        <v>8457</v>
      </c>
      <c r="I1071" s="8"/>
      <c r="J1071" s="15" t="s">
        <v>5695</v>
      </c>
      <c r="K1071" s="8"/>
      <c r="L1071" s="15" t="s">
        <v>1685</v>
      </c>
      <c r="M1071" s="8" t="s">
        <v>5578</v>
      </c>
      <c r="N1071" s="8"/>
      <c r="O1071" s="8" t="s">
        <v>5574</v>
      </c>
      <c r="P1071" s="11"/>
      <c r="Q1071" s="8" t="s">
        <v>5696</v>
      </c>
      <c r="R1071" s="8" t="s">
        <v>5919</v>
      </c>
      <c r="S1071" s="8" t="s">
        <v>8459</v>
      </c>
    </row>
    <row r="1072" spans="1:19" ht="107.1" customHeight="1" x14ac:dyDescent="0.25">
      <c r="A1072" s="8" t="s">
        <v>8460</v>
      </c>
      <c r="B1072" s="8" t="s">
        <v>5693</v>
      </c>
      <c r="C1072" s="8" t="s">
        <v>5918</v>
      </c>
      <c r="D1072" s="10">
        <v>751</v>
      </c>
      <c r="E1072" s="8" t="s">
        <v>8461</v>
      </c>
      <c r="F1072" s="8" t="s">
        <v>8462</v>
      </c>
      <c r="G1072" s="8" t="s">
        <v>4727</v>
      </c>
      <c r="H1072" s="8" t="s">
        <v>8461</v>
      </c>
      <c r="I1072" s="8"/>
      <c r="J1072" s="15" t="s">
        <v>5695</v>
      </c>
      <c r="K1072" s="8"/>
      <c r="L1072" s="15" t="s">
        <v>1685</v>
      </c>
      <c r="M1072" s="8" t="s">
        <v>5578</v>
      </c>
      <c r="N1072" s="8"/>
      <c r="O1072" s="8" t="s">
        <v>5574</v>
      </c>
      <c r="P1072" s="11"/>
      <c r="Q1072" s="8" t="s">
        <v>5696</v>
      </c>
      <c r="R1072" s="8" t="s">
        <v>5919</v>
      </c>
      <c r="S1072" s="8" t="s">
        <v>8463</v>
      </c>
    </row>
    <row r="1073" spans="1:19" ht="107.1" customHeight="1" x14ac:dyDescent="0.25">
      <c r="A1073" s="8" t="s">
        <v>8464</v>
      </c>
      <c r="B1073" s="8" t="s">
        <v>5693</v>
      </c>
      <c r="C1073" s="8" t="s">
        <v>5918</v>
      </c>
      <c r="D1073" s="10">
        <v>752</v>
      </c>
      <c r="E1073" s="8" t="s">
        <v>8465</v>
      </c>
      <c r="F1073" s="8" t="s">
        <v>8466</v>
      </c>
      <c r="G1073" s="8" t="s">
        <v>4727</v>
      </c>
      <c r="H1073" s="8" t="s">
        <v>8465</v>
      </c>
      <c r="I1073" s="8"/>
      <c r="J1073" s="15" t="s">
        <v>5695</v>
      </c>
      <c r="K1073" s="8"/>
      <c r="L1073" s="15" t="s">
        <v>1685</v>
      </c>
      <c r="M1073" s="8" t="s">
        <v>5578</v>
      </c>
      <c r="N1073" s="8"/>
      <c r="O1073" s="8" t="s">
        <v>5574</v>
      </c>
      <c r="P1073" s="11"/>
      <c r="Q1073" s="8" t="s">
        <v>5696</v>
      </c>
      <c r="R1073" s="8" t="s">
        <v>5919</v>
      </c>
      <c r="S1073" s="8" t="s">
        <v>8467</v>
      </c>
    </row>
    <row r="1074" spans="1:19" ht="93" customHeight="1" x14ac:dyDescent="0.25">
      <c r="A1074" s="8" t="s">
        <v>8468</v>
      </c>
      <c r="B1074" s="8" t="s">
        <v>5693</v>
      </c>
      <c r="C1074" s="8" t="s">
        <v>5918</v>
      </c>
      <c r="D1074" s="10">
        <v>753</v>
      </c>
      <c r="E1074" s="8" t="s">
        <v>8469</v>
      </c>
      <c r="F1074" s="8" t="s">
        <v>8470</v>
      </c>
      <c r="G1074" s="8" t="s">
        <v>4727</v>
      </c>
      <c r="H1074" s="8" t="s">
        <v>8469</v>
      </c>
      <c r="I1074" s="8"/>
      <c r="J1074" s="15" t="s">
        <v>5695</v>
      </c>
      <c r="K1074" s="8"/>
      <c r="L1074" s="15" t="s">
        <v>1685</v>
      </c>
      <c r="M1074" s="8" t="s">
        <v>5578</v>
      </c>
      <c r="N1074" s="8"/>
      <c r="O1074" s="8" t="s">
        <v>5574</v>
      </c>
      <c r="P1074" s="11"/>
      <c r="Q1074" s="8" t="s">
        <v>5696</v>
      </c>
      <c r="R1074" s="8" t="s">
        <v>5919</v>
      </c>
      <c r="S1074" s="8" t="s">
        <v>8471</v>
      </c>
    </row>
    <row r="1075" spans="1:19" ht="93" customHeight="1" x14ac:dyDescent="0.25">
      <c r="A1075" s="8" t="s">
        <v>8472</v>
      </c>
      <c r="B1075" s="8" t="s">
        <v>5693</v>
      </c>
      <c r="C1075" s="8" t="s">
        <v>5918</v>
      </c>
      <c r="D1075" s="10">
        <v>754</v>
      </c>
      <c r="E1075" s="8" t="s">
        <v>8473</v>
      </c>
      <c r="F1075" s="8" t="s">
        <v>8474</v>
      </c>
      <c r="G1075" s="8" t="s">
        <v>4727</v>
      </c>
      <c r="H1075" s="8" t="s">
        <v>8473</v>
      </c>
      <c r="I1075" s="8"/>
      <c r="J1075" s="15" t="s">
        <v>5695</v>
      </c>
      <c r="K1075" s="8"/>
      <c r="L1075" s="15" t="s">
        <v>1685</v>
      </c>
      <c r="M1075" s="8" t="s">
        <v>5578</v>
      </c>
      <c r="N1075" s="8"/>
      <c r="O1075" s="8" t="s">
        <v>5574</v>
      </c>
      <c r="P1075" s="11"/>
      <c r="Q1075" s="8" t="s">
        <v>5696</v>
      </c>
      <c r="R1075" s="8" t="s">
        <v>5919</v>
      </c>
      <c r="S1075" s="8" t="s">
        <v>8475</v>
      </c>
    </row>
    <row r="1076" spans="1:19" ht="107.1" customHeight="1" x14ac:dyDescent="0.25">
      <c r="A1076" s="8" t="s">
        <v>8476</v>
      </c>
      <c r="B1076" s="8" t="s">
        <v>5693</v>
      </c>
      <c r="C1076" s="8" t="s">
        <v>5918</v>
      </c>
      <c r="D1076" s="10">
        <v>755</v>
      </c>
      <c r="E1076" s="8" t="s">
        <v>8477</v>
      </c>
      <c r="F1076" s="8" t="s">
        <v>8478</v>
      </c>
      <c r="G1076" s="8" t="s">
        <v>4727</v>
      </c>
      <c r="H1076" s="8" t="s">
        <v>8477</v>
      </c>
      <c r="I1076" s="8"/>
      <c r="J1076" s="15" t="s">
        <v>5695</v>
      </c>
      <c r="K1076" s="8"/>
      <c r="L1076" s="15" t="s">
        <v>1685</v>
      </c>
      <c r="M1076" s="8" t="s">
        <v>5578</v>
      </c>
      <c r="N1076" s="8"/>
      <c r="O1076" s="8" t="s">
        <v>5574</v>
      </c>
      <c r="P1076" s="11"/>
      <c r="Q1076" s="8" t="s">
        <v>5696</v>
      </c>
      <c r="R1076" s="8" t="s">
        <v>5919</v>
      </c>
      <c r="S1076" s="8" t="s">
        <v>8479</v>
      </c>
    </row>
    <row r="1077" spans="1:19" ht="93" customHeight="1" x14ac:dyDescent="0.25">
      <c r="A1077" s="8" t="s">
        <v>8480</v>
      </c>
      <c r="B1077" s="8" t="s">
        <v>5693</v>
      </c>
      <c r="C1077" s="8" t="s">
        <v>5918</v>
      </c>
      <c r="D1077" s="10">
        <v>756</v>
      </c>
      <c r="E1077" s="8" t="s">
        <v>8481</v>
      </c>
      <c r="F1077" s="8" t="s">
        <v>8482</v>
      </c>
      <c r="G1077" s="8" t="s">
        <v>4727</v>
      </c>
      <c r="H1077" s="8" t="s">
        <v>8481</v>
      </c>
      <c r="I1077" s="8"/>
      <c r="J1077" s="15" t="s">
        <v>5695</v>
      </c>
      <c r="K1077" s="8"/>
      <c r="L1077" s="15" t="s">
        <v>1685</v>
      </c>
      <c r="M1077" s="8" t="s">
        <v>5578</v>
      </c>
      <c r="N1077" s="8"/>
      <c r="O1077" s="8" t="s">
        <v>5574</v>
      </c>
      <c r="P1077" s="11"/>
      <c r="Q1077" s="8" t="s">
        <v>5696</v>
      </c>
      <c r="R1077" s="8" t="s">
        <v>5919</v>
      </c>
      <c r="S1077" s="8" t="s">
        <v>8483</v>
      </c>
    </row>
    <row r="1078" spans="1:19" ht="107.1" customHeight="1" x14ac:dyDescent="0.25">
      <c r="A1078" s="8" t="s">
        <v>8484</v>
      </c>
      <c r="B1078" s="8" t="s">
        <v>5693</v>
      </c>
      <c r="C1078" s="8" t="s">
        <v>5918</v>
      </c>
      <c r="D1078" s="10">
        <v>757</v>
      </c>
      <c r="E1078" s="8" t="s">
        <v>1024</v>
      </c>
      <c r="F1078" s="8" t="s">
        <v>8485</v>
      </c>
      <c r="G1078" s="8" t="s">
        <v>4551</v>
      </c>
      <c r="H1078" s="8" t="s">
        <v>1024</v>
      </c>
      <c r="I1078" s="8" t="s">
        <v>1024</v>
      </c>
      <c r="J1078" s="15" t="s">
        <v>5695</v>
      </c>
      <c r="K1078" s="8"/>
      <c r="L1078" s="15" t="s">
        <v>1685</v>
      </c>
      <c r="M1078" s="8" t="s">
        <v>5578</v>
      </c>
      <c r="N1078" s="8"/>
      <c r="O1078" s="8" t="s">
        <v>5574</v>
      </c>
      <c r="P1078" s="11"/>
      <c r="Q1078" s="8" t="s">
        <v>5696</v>
      </c>
      <c r="R1078" s="8" t="s">
        <v>5919</v>
      </c>
      <c r="S1078" s="8" t="s">
        <v>8486</v>
      </c>
    </row>
    <row r="1079" spans="1:19" ht="107.1" customHeight="1" x14ac:dyDescent="0.25">
      <c r="A1079" s="8" t="s">
        <v>8487</v>
      </c>
      <c r="B1079" s="8" t="s">
        <v>5693</v>
      </c>
      <c r="C1079" s="8" t="s">
        <v>5918</v>
      </c>
      <c r="D1079" s="10">
        <v>758</v>
      </c>
      <c r="E1079" s="8" t="s">
        <v>8488</v>
      </c>
      <c r="F1079" s="8" t="s">
        <v>8489</v>
      </c>
      <c r="G1079" s="8" t="s">
        <v>4727</v>
      </c>
      <c r="H1079" s="8" t="s">
        <v>8488</v>
      </c>
      <c r="I1079" s="8"/>
      <c r="J1079" s="15" t="s">
        <v>5695</v>
      </c>
      <c r="K1079" s="8"/>
      <c r="L1079" s="15" t="s">
        <v>1685</v>
      </c>
      <c r="M1079" s="8" t="s">
        <v>5578</v>
      </c>
      <c r="N1079" s="8"/>
      <c r="O1079" s="8" t="s">
        <v>5574</v>
      </c>
      <c r="P1079" s="11"/>
      <c r="Q1079" s="8" t="s">
        <v>5696</v>
      </c>
      <c r="R1079" s="8" t="s">
        <v>5919</v>
      </c>
      <c r="S1079" s="8" t="s">
        <v>8490</v>
      </c>
    </row>
    <row r="1080" spans="1:19" ht="93" customHeight="1" x14ac:dyDescent="0.25">
      <c r="A1080" s="8" t="s">
        <v>8491</v>
      </c>
      <c r="B1080" s="8" t="s">
        <v>5693</v>
      </c>
      <c r="C1080" s="8" t="s">
        <v>5918</v>
      </c>
      <c r="D1080" s="10">
        <v>759</v>
      </c>
      <c r="E1080" s="8" t="s">
        <v>8492</v>
      </c>
      <c r="F1080" s="8" t="s">
        <v>8493</v>
      </c>
      <c r="G1080" s="8" t="s">
        <v>4727</v>
      </c>
      <c r="H1080" s="8" t="s">
        <v>8492</v>
      </c>
      <c r="I1080" s="8"/>
      <c r="J1080" s="15" t="s">
        <v>5695</v>
      </c>
      <c r="K1080" s="8"/>
      <c r="L1080" s="15" t="s">
        <v>1685</v>
      </c>
      <c r="M1080" s="8" t="s">
        <v>5578</v>
      </c>
      <c r="N1080" s="8"/>
      <c r="O1080" s="8" t="s">
        <v>5574</v>
      </c>
      <c r="P1080" s="11"/>
      <c r="Q1080" s="8" t="s">
        <v>5696</v>
      </c>
      <c r="R1080" s="8" t="s">
        <v>5919</v>
      </c>
      <c r="S1080" s="8" t="s">
        <v>8494</v>
      </c>
    </row>
    <row r="1081" spans="1:19" ht="107.1" customHeight="1" x14ac:dyDescent="0.25">
      <c r="A1081" s="8" t="s">
        <v>8495</v>
      </c>
      <c r="B1081" s="8" t="s">
        <v>5693</v>
      </c>
      <c r="C1081" s="8" t="s">
        <v>5918</v>
      </c>
      <c r="D1081" s="10">
        <v>760</v>
      </c>
      <c r="E1081" s="8" t="s">
        <v>8496</v>
      </c>
      <c r="F1081" s="8" t="s">
        <v>8497</v>
      </c>
      <c r="G1081" s="8" t="s">
        <v>4727</v>
      </c>
      <c r="H1081" s="8" t="s">
        <v>8496</v>
      </c>
      <c r="I1081" s="8"/>
      <c r="J1081" s="15" t="s">
        <v>5695</v>
      </c>
      <c r="K1081" s="8"/>
      <c r="L1081" s="15" t="s">
        <v>1685</v>
      </c>
      <c r="M1081" s="8" t="s">
        <v>5578</v>
      </c>
      <c r="N1081" s="8"/>
      <c r="O1081" s="8" t="s">
        <v>5574</v>
      </c>
      <c r="P1081" s="11"/>
      <c r="Q1081" s="8" t="s">
        <v>5696</v>
      </c>
      <c r="R1081" s="8" t="s">
        <v>5919</v>
      </c>
      <c r="S1081" s="8" t="s">
        <v>8498</v>
      </c>
    </row>
    <row r="1082" spans="1:19" ht="93" customHeight="1" x14ac:dyDescent="0.25">
      <c r="A1082" s="8" t="s">
        <v>8499</v>
      </c>
      <c r="B1082" s="8" t="s">
        <v>5693</v>
      </c>
      <c r="C1082" s="8" t="s">
        <v>5918</v>
      </c>
      <c r="D1082" s="10">
        <v>761</v>
      </c>
      <c r="E1082" s="8" t="s">
        <v>8500</v>
      </c>
      <c r="F1082" s="8" t="s">
        <v>8501</v>
      </c>
      <c r="G1082" s="8" t="s">
        <v>4727</v>
      </c>
      <c r="H1082" s="8" t="s">
        <v>8500</v>
      </c>
      <c r="I1082" s="8"/>
      <c r="J1082" s="15" t="s">
        <v>5695</v>
      </c>
      <c r="K1082" s="8"/>
      <c r="L1082" s="15" t="s">
        <v>1685</v>
      </c>
      <c r="M1082" s="8" t="s">
        <v>5578</v>
      </c>
      <c r="N1082" s="8"/>
      <c r="O1082" s="8" t="s">
        <v>5574</v>
      </c>
      <c r="P1082" s="11"/>
      <c r="Q1082" s="8" t="s">
        <v>5696</v>
      </c>
      <c r="R1082" s="8" t="s">
        <v>5919</v>
      </c>
      <c r="S1082" s="8" t="s">
        <v>8502</v>
      </c>
    </row>
    <row r="1083" spans="1:19" ht="107.1" customHeight="1" x14ac:dyDescent="0.25">
      <c r="A1083" s="8" t="s">
        <v>8503</v>
      </c>
      <c r="B1083" s="8" t="s">
        <v>5693</v>
      </c>
      <c r="C1083" s="8" t="s">
        <v>5918</v>
      </c>
      <c r="D1083" s="10">
        <v>762</v>
      </c>
      <c r="E1083" s="8" t="s">
        <v>8504</v>
      </c>
      <c r="F1083" s="8" t="s">
        <v>8505</v>
      </c>
      <c r="G1083" s="8" t="s">
        <v>4727</v>
      </c>
      <c r="H1083" s="8" t="s">
        <v>8504</v>
      </c>
      <c r="I1083" s="8"/>
      <c r="J1083" s="15" t="s">
        <v>5695</v>
      </c>
      <c r="K1083" s="8"/>
      <c r="L1083" s="15" t="s">
        <v>1685</v>
      </c>
      <c r="M1083" s="8" t="s">
        <v>5578</v>
      </c>
      <c r="N1083" s="8"/>
      <c r="O1083" s="8" t="s">
        <v>5574</v>
      </c>
      <c r="P1083" s="11"/>
      <c r="Q1083" s="8" t="s">
        <v>5696</v>
      </c>
      <c r="R1083" s="8" t="s">
        <v>5919</v>
      </c>
      <c r="S1083" s="8" t="s">
        <v>8506</v>
      </c>
    </row>
    <row r="1084" spans="1:19" ht="93" customHeight="1" x14ac:dyDescent="0.25">
      <c r="A1084" s="8" t="s">
        <v>8507</v>
      </c>
      <c r="B1084" s="8" t="s">
        <v>5693</v>
      </c>
      <c r="C1084" s="8" t="s">
        <v>5918</v>
      </c>
      <c r="D1084" s="10">
        <v>763</v>
      </c>
      <c r="E1084" s="8" t="s">
        <v>8508</v>
      </c>
      <c r="F1084" s="8" t="s">
        <v>8509</v>
      </c>
      <c r="G1084" s="8" t="s">
        <v>4727</v>
      </c>
      <c r="H1084" s="8" t="s">
        <v>8508</v>
      </c>
      <c r="I1084" s="8"/>
      <c r="J1084" s="15" t="s">
        <v>5695</v>
      </c>
      <c r="K1084" s="8"/>
      <c r="L1084" s="15" t="s">
        <v>1685</v>
      </c>
      <c r="M1084" s="8" t="s">
        <v>5578</v>
      </c>
      <c r="N1084" s="8"/>
      <c r="O1084" s="8" t="s">
        <v>5574</v>
      </c>
      <c r="P1084" s="11"/>
      <c r="Q1084" s="8" t="s">
        <v>5696</v>
      </c>
      <c r="R1084" s="8" t="s">
        <v>5919</v>
      </c>
      <c r="S1084" s="8" t="s">
        <v>8510</v>
      </c>
    </row>
    <row r="1085" spans="1:19" ht="107.1" customHeight="1" x14ac:dyDescent="0.25">
      <c r="A1085" s="8" t="s">
        <v>8511</v>
      </c>
      <c r="B1085" s="8" t="s">
        <v>5693</v>
      </c>
      <c r="C1085" s="8" t="s">
        <v>5918</v>
      </c>
      <c r="D1085" s="10">
        <v>764</v>
      </c>
      <c r="E1085" s="8" t="s">
        <v>8512</v>
      </c>
      <c r="F1085" s="8" t="s">
        <v>8513</v>
      </c>
      <c r="G1085" s="8" t="s">
        <v>4727</v>
      </c>
      <c r="H1085" s="8" t="s">
        <v>8512</v>
      </c>
      <c r="I1085" s="8"/>
      <c r="J1085" s="15" t="s">
        <v>5695</v>
      </c>
      <c r="K1085" s="8"/>
      <c r="L1085" s="15" t="s">
        <v>1685</v>
      </c>
      <c r="M1085" s="8" t="s">
        <v>5578</v>
      </c>
      <c r="N1085" s="8"/>
      <c r="O1085" s="8" t="s">
        <v>5574</v>
      </c>
      <c r="P1085" s="11"/>
      <c r="Q1085" s="8" t="s">
        <v>5696</v>
      </c>
      <c r="R1085" s="8" t="s">
        <v>5919</v>
      </c>
      <c r="S1085" s="8" t="s">
        <v>8514</v>
      </c>
    </row>
    <row r="1086" spans="1:19" ht="93" customHeight="1" x14ac:dyDescent="0.25">
      <c r="A1086" s="8" t="s">
        <v>8515</v>
      </c>
      <c r="B1086" s="8" t="s">
        <v>5693</v>
      </c>
      <c r="C1086" s="8" t="s">
        <v>5918</v>
      </c>
      <c r="D1086" s="10">
        <v>765</v>
      </c>
      <c r="E1086" s="8" t="s">
        <v>8516</v>
      </c>
      <c r="F1086" s="8" t="s">
        <v>8517</v>
      </c>
      <c r="G1086" s="8" t="s">
        <v>4727</v>
      </c>
      <c r="H1086" s="8" t="s">
        <v>8516</v>
      </c>
      <c r="I1086" s="8"/>
      <c r="J1086" s="15" t="s">
        <v>5695</v>
      </c>
      <c r="K1086" s="8"/>
      <c r="L1086" s="15" t="s">
        <v>1685</v>
      </c>
      <c r="M1086" s="8" t="s">
        <v>5578</v>
      </c>
      <c r="N1086" s="8"/>
      <c r="O1086" s="8" t="s">
        <v>5574</v>
      </c>
      <c r="P1086" s="11"/>
      <c r="Q1086" s="8" t="s">
        <v>5696</v>
      </c>
      <c r="R1086" s="8" t="s">
        <v>5919</v>
      </c>
      <c r="S1086" s="8" t="s">
        <v>8518</v>
      </c>
    </row>
    <row r="1087" spans="1:19" ht="107.1" customHeight="1" x14ac:dyDescent="0.25">
      <c r="A1087" s="8" t="s">
        <v>8519</v>
      </c>
      <c r="B1087" s="8" t="s">
        <v>5693</v>
      </c>
      <c r="C1087" s="8" t="s">
        <v>5918</v>
      </c>
      <c r="D1087" s="10">
        <v>766</v>
      </c>
      <c r="E1087" s="8" t="s">
        <v>8520</v>
      </c>
      <c r="F1087" s="8" t="s">
        <v>8521</v>
      </c>
      <c r="G1087" s="8" t="s">
        <v>4727</v>
      </c>
      <c r="H1087" s="8" t="s">
        <v>8520</v>
      </c>
      <c r="I1087" s="8"/>
      <c r="J1087" s="15" t="s">
        <v>5695</v>
      </c>
      <c r="K1087" s="8"/>
      <c r="L1087" s="15" t="s">
        <v>1685</v>
      </c>
      <c r="M1087" s="8" t="s">
        <v>5578</v>
      </c>
      <c r="N1087" s="8"/>
      <c r="O1087" s="8" t="s">
        <v>5574</v>
      </c>
      <c r="P1087" s="11"/>
      <c r="Q1087" s="8" t="s">
        <v>5696</v>
      </c>
      <c r="R1087" s="8" t="s">
        <v>5919</v>
      </c>
      <c r="S1087" s="8" t="s">
        <v>8522</v>
      </c>
    </row>
    <row r="1088" spans="1:19" ht="93" customHeight="1" x14ac:dyDescent="0.25">
      <c r="A1088" s="8" t="s">
        <v>8523</v>
      </c>
      <c r="B1088" s="8" t="s">
        <v>5693</v>
      </c>
      <c r="C1088" s="8" t="s">
        <v>5918</v>
      </c>
      <c r="D1088" s="10">
        <v>767</v>
      </c>
      <c r="E1088" s="8" t="s">
        <v>8524</v>
      </c>
      <c r="F1088" s="8" t="s">
        <v>8525</v>
      </c>
      <c r="G1088" s="8" t="s">
        <v>4727</v>
      </c>
      <c r="H1088" s="8" t="s">
        <v>8524</v>
      </c>
      <c r="I1088" s="8"/>
      <c r="J1088" s="15" t="s">
        <v>5695</v>
      </c>
      <c r="K1088" s="8"/>
      <c r="L1088" s="15" t="s">
        <v>1685</v>
      </c>
      <c r="M1088" s="8" t="s">
        <v>5578</v>
      </c>
      <c r="N1088" s="8"/>
      <c r="O1088" s="8" t="s">
        <v>5574</v>
      </c>
      <c r="P1088" s="11"/>
      <c r="Q1088" s="8" t="s">
        <v>5696</v>
      </c>
      <c r="R1088" s="8" t="s">
        <v>5919</v>
      </c>
      <c r="S1088" s="8" t="s">
        <v>8526</v>
      </c>
    </row>
    <row r="1089" spans="1:19" ht="107.1" customHeight="1" x14ac:dyDescent="0.25">
      <c r="A1089" s="8" t="s">
        <v>8527</v>
      </c>
      <c r="B1089" s="8" t="s">
        <v>5693</v>
      </c>
      <c r="C1089" s="8" t="s">
        <v>5918</v>
      </c>
      <c r="D1089" s="10">
        <v>768</v>
      </c>
      <c r="E1089" s="8" t="s">
        <v>8528</v>
      </c>
      <c r="F1089" s="8" t="s">
        <v>8529</v>
      </c>
      <c r="G1089" s="8" t="s">
        <v>4727</v>
      </c>
      <c r="H1089" s="8" t="s">
        <v>8528</v>
      </c>
      <c r="I1089" s="8"/>
      <c r="J1089" s="15" t="s">
        <v>5695</v>
      </c>
      <c r="K1089" s="8"/>
      <c r="L1089" s="15" t="s">
        <v>1685</v>
      </c>
      <c r="M1089" s="8" t="s">
        <v>5578</v>
      </c>
      <c r="N1089" s="8"/>
      <c r="O1089" s="8" t="s">
        <v>5574</v>
      </c>
      <c r="P1089" s="11"/>
      <c r="Q1089" s="8" t="s">
        <v>5696</v>
      </c>
      <c r="R1089" s="8" t="s">
        <v>5919</v>
      </c>
      <c r="S1089" s="8" t="s">
        <v>8530</v>
      </c>
    </row>
    <row r="1090" spans="1:19" ht="93" customHeight="1" x14ac:dyDescent="0.25">
      <c r="A1090" s="8" t="s">
        <v>8531</v>
      </c>
      <c r="B1090" s="8" t="s">
        <v>5693</v>
      </c>
      <c r="C1090" s="8" t="s">
        <v>5918</v>
      </c>
      <c r="D1090" s="10">
        <v>769</v>
      </c>
      <c r="E1090" s="8" t="s">
        <v>8532</v>
      </c>
      <c r="F1090" s="8" t="s">
        <v>8533</v>
      </c>
      <c r="G1090" s="8" t="s">
        <v>4727</v>
      </c>
      <c r="H1090" s="8" t="s">
        <v>8532</v>
      </c>
      <c r="I1090" s="8"/>
      <c r="J1090" s="15" t="s">
        <v>5695</v>
      </c>
      <c r="K1090" s="8"/>
      <c r="L1090" s="15" t="s">
        <v>1685</v>
      </c>
      <c r="M1090" s="8" t="s">
        <v>5578</v>
      </c>
      <c r="N1090" s="8"/>
      <c r="O1090" s="8" t="s">
        <v>5574</v>
      </c>
      <c r="P1090" s="11"/>
      <c r="Q1090" s="8" t="s">
        <v>5696</v>
      </c>
      <c r="R1090" s="8" t="s">
        <v>5919</v>
      </c>
      <c r="S1090" s="8" t="s">
        <v>8534</v>
      </c>
    </row>
    <row r="1091" spans="1:19" ht="93" customHeight="1" x14ac:dyDescent="0.25">
      <c r="A1091" s="8" t="s">
        <v>8535</v>
      </c>
      <c r="B1091" s="8" t="s">
        <v>5693</v>
      </c>
      <c r="C1091" s="8" t="s">
        <v>5918</v>
      </c>
      <c r="D1091" s="10">
        <v>770</v>
      </c>
      <c r="E1091" s="8" t="s">
        <v>8536</v>
      </c>
      <c r="F1091" s="8" t="s">
        <v>8537</v>
      </c>
      <c r="G1091" s="8" t="s">
        <v>4727</v>
      </c>
      <c r="H1091" s="8" t="s">
        <v>8536</v>
      </c>
      <c r="I1091" s="8"/>
      <c r="J1091" s="15" t="s">
        <v>5695</v>
      </c>
      <c r="K1091" s="8"/>
      <c r="L1091" s="15" t="s">
        <v>1685</v>
      </c>
      <c r="M1091" s="8" t="s">
        <v>5578</v>
      </c>
      <c r="N1091" s="8"/>
      <c r="O1091" s="8" t="s">
        <v>5574</v>
      </c>
      <c r="P1091" s="11"/>
      <c r="Q1091" s="8" t="s">
        <v>5696</v>
      </c>
      <c r="R1091" s="8" t="s">
        <v>5919</v>
      </c>
      <c r="S1091" s="8" t="s">
        <v>8538</v>
      </c>
    </row>
    <row r="1092" spans="1:19" ht="107.1" customHeight="1" x14ac:dyDescent="0.25">
      <c r="A1092" s="8" t="s">
        <v>8539</v>
      </c>
      <c r="B1092" s="8" t="s">
        <v>5693</v>
      </c>
      <c r="C1092" s="8" t="s">
        <v>5918</v>
      </c>
      <c r="D1092" s="10">
        <v>771</v>
      </c>
      <c r="E1092" s="8" t="s">
        <v>8540</v>
      </c>
      <c r="F1092" s="8" t="s">
        <v>8541</v>
      </c>
      <c r="G1092" s="8" t="s">
        <v>4727</v>
      </c>
      <c r="H1092" s="8" t="s">
        <v>8540</v>
      </c>
      <c r="I1092" s="8"/>
      <c r="J1092" s="15" t="s">
        <v>5695</v>
      </c>
      <c r="K1092" s="8"/>
      <c r="L1092" s="15" t="s">
        <v>1685</v>
      </c>
      <c r="M1092" s="8" t="s">
        <v>5578</v>
      </c>
      <c r="N1092" s="8"/>
      <c r="O1092" s="8" t="s">
        <v>5574</v>
      </c>
      <c r="P1092" s="11"/>
      <c r="Q1092" s="8" t="s">
        <v>5696</v>
      </c>
      <c r="R1092" s="8" t="s">
        <v>5919</v>
      </c>
      <c r="S1092" s="8" t="s">
        <v>8542</v>
      </c>
    </row>
    <row r="1093" spans="1:19" ht="107.1" customHeight="1" x14ac:dyDescent="0.25">
      <c r="A1093" s="8" t="s">
        <v>8543</v>
      </c>
      <c r="B1093" s="8" t="s">
        <v>5693</v>
      </c>
      <c r="C1093" s="8" t="s">
        <v>5918</v>
      </c>
      <c r="D1093" s="10">
        <v>772</v>
      </c>
      <c r="E1093" s="8" t="s">
        <v>8544</v>
      </c>
      <c r="F1093" s="8" t="s">
        <v>8545</v>
      </c>
      <c r="G1093" s="8" t="s">
        <v>4727</v>
      </c>
      <c r="H1093" s="8" t="s">
        <v>8544</v>
      </c>
      <c r="I1093" s="8"/>
      <c r="J1093" s="15" t="s">
        <v>5695</v>
      </c>
      <c r="K1093" s="8"/>
      <c r="L1093" s="15" t="s">
        <v>1685</v>
      </c>
      <c r="M1093" s="8" t="s">
        <v>5578</v>
      </c>
      <c r="N1093" s="8"/>
      <c r="O1093" s="8" t="s">
        <v>5574</v>
      </c>
      <c r="P1093" s="11"/>
      <c r="Q1093" s="8" t="s">
        <v>5696</v>
      </c>
      <c r="R1093" s="8" t="s">
        <v>5919</v>
      </c>
      <c r="S1093" s="8" t="s">
        <v>8546</v>
      </c>
    </row>
    <row r="1094" spans="1:19" ht="93" customHeight="1" x14ac:dyDescent="0.25">
      <c r="A1094" s="8" t="s">
        <v>8547</v>
      </c>
      <c r="B1094" s="8" t="s">
        <v>5693</v>
      </c>
      <c r="C1094" s="8" t="s">
        <v>5918</v>
      </c>
      <c r="D1094" s="10">
        <v>773</v>
      </c>
      <c r="E1094" s="8" t="s">
        <v>8548</v>
      </c>
      <c r="F1094" s="8" t="s">
        <v>8549</v>
      </c>
      <c r="G1094" s="8" t="s">
        <v>4727</v>
      </c>
      <c r="H1094" s="8" t="s">
        <v>8548</v>
      </c>
      <c r="I1094" s="8"/>
      <c r="J1094" s="15" t="s">
        <v>5695</v>
      </c>
      <c r="K1094" s="8"/>
      <c r="L1094" s="15" t="s">
        <v>1685</v>
      </c>
      <c r="M1094" s="8" t="s">
        <v>5578</v>
      </c>
      <c r="N1094" s="8"/>
      <c r="O1094" s="8" t="s">
        <v>5574</v>
      </c>
      <c r="P1094" s="11"/>
      <c r="Q1094" s="8" t="s">
        <v>5696</v>
      </c>
      <c r="R1094" s="8" t="s">
        <v>5919</v>
      </c>
      <c r="S1094" s="8" t="s">
        <v>8550</v>
      </c>
    </row>
    <row r="1095" spans="1:19" ht="107.1" customHeight="1" x14ac:dyDescent="0.25">
      <c r="A1095" s="8" t="s">
        <v>8551</v>
      </c>
      <c r="B1095" s="8" t="s">
        <v>5693</v>
      </c>
      <c r="C1095" s="8" t="s">
        <v>5918</v>
      </c>
      <c r="D1095" s="10">
        <v>774</v>
      </c>
      <c r="E1095" s="8" t="s">
        <v>8552</v>
      </c>
      <c r="F1095" s="8" t="s">
        <v>8553</v>
      </c>
      <c r="G1095" s="8" t="s">
        <v>4727</v>
      </c>
      <c r="H1095" s="8" t="s">
        <v>8552</v>
      </c>
      <c r="I1095" s="8"/>
      <c r="J1095" s="15" t="s">
        <v>5695</v>
      </c>
      <c r="K1095" s="8"/>
      <c r="L1095" s="15" t="s">
        <v>1685</v>
      </c>
      <c r="M1095" s="8" t="s">
        <v>5578</v>
      </c>
      <c r="N1095" s="8"/>
      <c r="O1095" s="8" t="s">
        <v>5574</v>
      </c>
      <c r="P1095" s="11"/>
      <c r="Q1095" s="8" t="s">
        <v>5696</v>
      </c>
      <c r="R1095" s="8" t="s">
        <v>5919</v>
      </c>
      <c r="S1095" s="8" t="s">
        <v>8554</v>
      </c>
    </row>
    <row r="1096" spans="1:19" ht="93" customHeight="1" x14ac:dyDescent="0.25">
      <c r="A1096" s="8" t="s">
        <v>8555</v>
      </c>
      <c r="B1096" s="8" t="s">
        <v>5693</v>
      </c>
      <c r="C1096" s="8" t="s">
        <v>5918</v>
      </c>
      <c r="D1096" s="10">
        <v>775</v>
      </c>
      <c r="E1096" s="8" t="s">
        <v>8556</v>
      </c>
      <c r="F1096" s="8" t="s">
        <v>8557</v>
      </c>
      <c r="G1096" s="8" t="s">
        <v>4727</v>
      </c>
      <c r="H1096" s="8" t="s">
        <v>8556</v>
      </c>
      <c r="I1096" s="8"/>
      <c r="J1096" s="15" t="s">
        <v>5695</v>
      </c>
      <c r="K1096" s="8"/>
      <c r="L1096" s="15" t="s">
        <v>1685</v>
      </c>
      <c r="M1096" s="8" t="s">
        <v>5578</v>
      </c>
      <c r="N1096" s="8"/>
      <c r="O1096" s="8" t="s">
        <v>5574</v>
      </c>
      <c r="P1096" s="11"/>
      <c r="Q1096" s="8" t="s">
        <v>5696</v>
      </c>
      <c r="R1096" s="8" t="s">
        <v>5919</v>
      </c>
      <c r="S1096" s="8" t="s">
        <v>8558</v>
      </c>
    </row>
    <row r="1097" spans="1:19" ht="107.1" customHeight="1" x14ac:dyDescent="0.25">
      <c r="A1097" s="8" t="s">
        <v>8559</v>
      </c>
      <c r="B1097" s="8" t="s">
        <v>5693</v>
      </c>
      <c r="C1097" s="8" t="s">
        <v>5918</v>
      </c>
      <c r="D1097" s="10">
        <v>776</v>
      </c>
      <c r="E1097" s="8" t="s">
        <v>8560</v>
      </c>
      <c r="F1097" s="8" t="s">
        <v>8561</v>
      </c>
      <c r="G1097" s="8" t="s">
        <v>4727</v>
      </c>
      <c r="H1097" s="8" t="s">
        <v>8560</v>
      </c>
      <c r="I1097" s="8"/>
      <c r="J1097" s="15" t="s">
        <v>5695</v>
      </c>
      <c r="K1097" s="8"/>
      <c r="L1097" s="15" t="s">
        <v>1685</v>
      </c>
      <c r="M1097" s="8" t="s">
        <v>5578</v>
      </c>
      <c r="N1097" s="8"/>
      <c r="O1097" s="8" t="s">
        <v>5574</v>
      </c>
      <c r="P1097" s="11"/>
      <c r="Q1097" s="8" t="s">
        <v>5696</v>
      </c>
      <c r="R1097" s="8" t="s">
        <v>5919</v>
      </c>
      <c r="S1097" s="8" t="s">
        <v>8562</v>
      </c>
    </row>
    <row r="1098" spans="1:19" ht="107.1" customHeight="1" x14ac:dyDescent="0.25">
      <c r="A1098" s="8" t="s">
        <v>8563</v>
      </c>
      <c r="B1098" s="8" t="s">
        <v>5693</v>
      </c>
      <c r="C1098" s="8" t="s">
        <v>5918</v>
      </c>
      <c r="D1098" s="10">
        <v>777</v>
      </c>
      <c r="E1098" s="8" t="s">
        <v>8564</v>
      </c>
      <c r="F1098" s="8" t="s">
        <v>8565</v>
      </c>
      <c r="G1098" s="8" t="s">
        <v>4727</v>
      </c>
      <c r="H1098" s="8" t="s">
        <v>8564</v>
      </c>
      <c r="I1098" s="8"/>
      <c r="J1098" s="15" t="s">
        <v>5695</v>
      </c>
      <c r="K1098" s="8"/>
      <c r="L1098" s="15" t="s">
        <v>1685</v>
      </c>
      <c r="M1098" s="8" t="s">
        <v>5578</v>
      </c>
      <c r="N1098" s="8"/>
      <c r="O1098" s="8" t="s">
        <v>5574</v>
      </c>
      <c r="P1098" s="11"/>
      <c r="Q1098" s="8" t="s">
        <v>5696</v>
      </c>
      <c r="R1098" s="8" t="s">
        <v>5919</v>
      </c>
      <c r="S1098" s="8" t="s">
        <v>8566</v>
      </c>
    </row>
    <row r="1099" spans="1:19" ht="107.1" customHeight="1" x14ac:dyDescent="0.25">
      <c r="A1099" s="8" t="s">
        <v>8567</v>
      </c>
      <c r="B1099" s="8" t="s">
        <v>5693</v>
      </c>
      <c r="C1099" s="8" t="s">
        <v>5918</v>
      </c>
      <c r="D1099" s="10">
        <v>778</v>
      </c>
      <c r="E1099" s="8" t="s">
        <v>8568</v>
      </c>
      <c r="F1099" s="8" t="s">
        <v>8569</v>
      </c>
      <c r="G1099" s="8" t="s">
        <v>4727</v>
      </c>
      <c r="H1099" s="8" t="s">
        <v>8568</v>
      </c>
      <c r="I1099" s="8"/>
      <c r="J1099" s="15" t="s">
        <v>5695</v>
      </c>
      <c r="K1099" s="8"/>
      <c r="L1099" s="15" t="s">
        <v>1685</v>
      </c>
      <c r="M1099" s="8" t="s">
        <v>5578</v>
      </c>
      <c r="N1099" s="8"/>
      <c r="O1099" s="8" t="s">
        <v>5574</v>
      </c>
      <c r="P1099" s="11"/>
      <c r="Q1099" s="8" t="s">
        <v>5696</v>
      </c>
      <c r="R1099" s="8" t="s">
        <v>5919</v>
      </c>
      <c r="S1099" s="8" t="s">
        <v>8570</v>
      </c>
    </row>
    <row r="1100" spans="1:19" ht="107.1" customHeight="1" x14ac:dyDescent="0.25">
      <c r="A1100" s="8" t="s">
        <v>8571</v>
      </c>
      <c r="B1100" s="8" t="s">
        <v>5693</v>
      </c>
      <c r="C1100" s="8" t="s">
        <v>5918</v>
      </c>
      <c r="D1100" s="10">
        <v>779</v>
      </c>
      <c r="E1100" s="8" t="s">
        <v>8572</v>
      </c>
      <c r="F1100" s="8" t="s">
        <v>8573</v>
      </c>
      <c r="G1100" s="8" t="s">
        <v>4727</v>
      </c>
      <c r="H1100" s="8" t="s">
        <v>8572</v>
      </c>
      <c r="I1100" s="8"/>
      <c r="J1100" s="15" t="s">
        <v>5695</v>
      </c>
      <c r="K1100" s="8"/>
      <c r="L1100" s="15" t="s">
        <v>1685</v>
      </c>
      <c r="M1100" s="8" t="s">
        <v>5578</v>
      </c>
      <c r="N1100" s="8"/>
      <c r="O1100" s="8" t="s">
        <v>5574</v>
      </c>
      <c r="P1100" s="11"/>
      <c r="Q1100" s="8" t="s">
        <v>5696</v>
      </c>
      <c r="R1100" s="8" t="s">
        <v>5919</v>
      </c>
      <c r="S1100" s="8" t="s">
        <v>8574</v>
      </c>
    </row>
    <row r="1101" spans="1:19" ht="107.1" customHeight="1" x14ac:dyDescent="0.25">
      <c r="A1101" s="8" t="s">
        <v>8575</v>
      </c>
      <c r="B1101" s="8" t="s">
        <v>5693</v>
      </c>
      <c r="C1101" s="8" t="s">
        <v>5918</v>
      </c>
      <c r="D1101" s="10">
        <v>780</v>
      </c>
      <c r="E1101" s="8" t="s">
        <v>8576</v>
      </c>
      <c r="F1101" s="8" t="s">
        <v>8577</v>
      </c>
      <c r="G1101" s="8" t="s">
        <v>4727</v>
      </c>
      <c r="H1101" s="8" t="s">
        <v>8576</v>
      </c>
      <c r="I1101" s="8"/>
      <c r="J1101" s="15" t="s">
        <v>5695</v>
      </c>
      <c r="K1101" s="8"/>
      <c r="L1101" s="15" t="s">
        <v>1685</v>
      </c>
      <c r="M1101" s="8" t="s">
        <v>5578</v>
      </c>
      <c r="N1101" s="8"/>
      <c r="O1101" s="8" t="s">
        <v>5574</v>
      </c>
      <c r="P1101" s="11"/>
      <c r="Q1101" s="8" t="s">
        <v>5696</v>
      </c>
      <c r="R1101" s="8" t="s">
        <v>5919</v>
      </c>
      <c r="S1101" s="8" t="s">
        <v>8578</v>
      </c>
    </row>
    <row r="1102" spans="1:19" ht="107.1" customHeight="1" x14ac:dyDescent="0.25">
      <c r="A1102" s="8" t="s">
        <v>8579</v>
      </c>
      <c r="B1102" s="8" t="s">
        <v>5693</v>
      </c>
      <c r="C1102" s="8" t="s">
        <v>5918</v>
      </c>
      <c r="D1102" s="10">
        <v>781</v>
      </c>
      <c r="E1102" s="8" t="s">
        <v>8580</v>
      </c>
      <c r="F1102" s="8" t="s">
        <v>8581</v>
      </c>
      <c r="G1102" s="8" t="s">
        <v>4727</v>
      </c>
      <c r="H1102" s="8" t="s">
        <v>8580</v>
      </c>
      <c r="I1102" s="8"/>
      <c r="J1102" s="15" t="s">
        <v>5695</v>
      </c>
      <c r="K1102" s="8"/>
      <c r="L1102" s="15" t="s">
        <v>1685</v>
      </c>
      <c r="M1102" s="8" t="s">
        <v>5578</v>
      </c>
      <c r="N1102" s="8"/>
      <c r="O1102" s="8" t="s">
        <v>5574</v>
      </c>
      <c r="P1102" s="11"/>
      <c r="Q1102" s="8" t="s">
        <v>5696</v>
      </c>
      <c r="R1102" s="8" t="s">
        <v>5919</v>
      </c>
      <c r="S1102" s="8" t="s">
        <v>8582</v>
      </c>
    </row>
    <row r="1103" spans="1:19" ht="107.1" customHeight="1" x14ac:dyDescent="0.25">
      <c r="A1103" s="8" t="s">
        <v>8583</v>
      </c>
      <c r="B1103" s="8" t="s">
        <v>5693</v>
      </c>
      <c r="C1103" s="8" t="s">
        <v>5918</v>
      </c>
      <c r="D1103" s="10">
        <v>782</v>
      </c>
      <c r="E1103" s="8" t="s">
        <v>8584</v>
      </c>
      <c r="F1103" s="8" t="s">
        <v>8585</v>
      </c>
      <c r="G1103" s="8" t="s">
        <v>4727</v>
      </c>
      <c r="H1103" s="8" t="s">
        <v>8584</v>
      </c>
      <c r="I1103" s="8"/>
      <c r="J1103" s="15" t="s">
        <v>5695</v>
      </c>
      <c r="K1103" s="8"/>
      <c r="L1103" s="15" t="s">
        <v>1685</v>
      </c>
      <c r="M1103" s="8" t="s">
        <v>5578</v>
      </c>
      <c r="N1103" s="8"/>
      <c r="O1103" s="8" t="s">
        <v>5574</v>
      </c>
      <c r="P1103" s="11"/>
      <c r="Q1103" s="8" t="s">
        <v>5696</v>
      </c>
      <c r="R1103" s="8" t="s">
        <v>5919</v>
      </c>
      <c r="S1103" s="8" t="s">
        <v>8586</v>
      </c>
    </row>
    <row r="1104" spans="1:19" ht="93" customHeight="1" x14ac:dyDescent="0.25">
      <c r="A1104" s="8" t="s">
        <v>8587</v>
      </c>
      <c r="B1104" s="8" t="s">
        <v>5693</v>
      </c>
      <c r="C1104" s="8" t="s">
        <v>5918</v>
      </c>
      <c r="D1104" s="10">
        <v>783</v>
      </c>
      <c r="E1104" s="8" t="s">
        <v>8588</v>
      </c>
      <c r="F1104" s="8" t="s">
        <v>8589</v>
      </c>
      <c r="G1104" s="8" t="s">
        <v>4727</v>
      </c>
      <c r="H1104" s="8" t="s">
        <v>8588</v>
      </c>
      <c r="I1104" s="8"/>
      <c r="J1104" s="15" t="s">
        <v>5695</v>
      </c>
      <c r="K1104" s="8"/>
      <c r="L1104" s="15" t="s">
        <v>1685</v>
      </c>
      <c r="M1104" s="8" t="s">
        <v>5578</v>
      </c>
      <c r="N1104" s="8"/>
      <c r="O1104" s="8" t="s">
        <v>5574</v>
      </c>
      <c r="P1104" s="11"/>
      <c r="Q1104" s="8" t="s">
        <v>5696</v>
      </c>
      <c r="R1104" s="8" t="s">
        <v>5919</v>
      </c>
      <c r="S1104" s="8" t="s">
        <v>8590</v>
      </c>
    </row>
    <row r="1105" spans="1:19" ht="107.1" customHeight="1" x14ac:dyDescent="0.25">
      <c r="A1105" s="8" t="s">
        <v>8591</v>
      </c>
      <c r="B1105" s="8" t="s">
        <v>5693</v>
      </c>
      <c r="C1105" s="8" t="s">
        <v>5918</v>
      </c>
      <c r="D1105" s="10">
        <v>784</v>
      </c>
      <c r="E1105" s="8" t="s">
        <v>8592</v>
      </c>
      <c r="F1105" s="8" t="s">
        <v>8593</v>
      </c>
      <c r="G1105" s="8" t="s">
        <v>4727</v>
      </c>
      <c r="H1105" s="8" t="s">
        <v>8592</v>
      </c>
      <c r="I1105" s="8"/>
      <c r="J1105" s="15" t="s">
        <v>5695</v>
      </c>
      <c r="K1105" s="8"/>
      <c r="L1105" s="15" t="s">
        <v>1685</v>
      </c>
      <c r="M1105" s="8" t="s">
        <v>5578</v>
      </c>
      <c r="N1105" s="8"/>
      <c r="O1105" s="8" t="s">
        <v>5574</v>
      </c>
      <c r="P1105" s="11"/>
      <c r="Q1105" s="8" t="s">
        <v>5696</v>
      </c>
      <c r="R1105" s="8" t="s">
        <v>5919</v>
      </c>
      <c r="S1105" s="8" t="s">
        <v>8594</v>
      </c>
    </row>
    <row r="1106" spans="1:19" ht="107.1" customHeight="1" x14ac:dyDescent="0.25">
      <c r="A1106" s="8" t="s">
        <v>8595</v>
      </c>
      <c r="B1106" s="8" t="s">
        <v>5693</v>
      </c>
      <c r="C1106" s="8" t="s">
        <v>5918</v>
      </c>
      <c r="D1106" s="10">
        <v>785</v>
      </c>
      <c r="E1106" s="8" t="s">
        <v>8596</v>
      </c>
      <c r="F1106" s="8" t="s">
        <v>8597</v>
      </c>
      <c r="G1106" s="8" t="s">
        <v>4727</v>
      </c>
      <c r="H1106" s="8" t="s">
        <v>8596</v>
      </c>
      <c r="I1106" s="8"/>
      <c r="J1106" s="15" t="s">
        <v>5695</v>
      </c>
      <c r="K1106" s="8"/>
      <c r="L1106" s="15" t="s">
        <v>1685</v>
      </c>
      <c r="M1106" s="8" t="s">
        <v>5578</v>
      </c>
      <c r="N1106" s="8"/>
      <c r="O1106" s="8" t="s">
        <v>5574</v>
      </c>
      <c r="P1106" s="11"/>
      <c r="Q1106" s="8" t="s">
        <v>5696</v>
      </c>
      <c r="R1106" s="8" t="s">
        <v>5919</v>
      </c>
      <c r="S1106" s="8" t="s">
        <v>8598</v>
      </c>
    </row>
    <row r="1107" spans="1:19" ht="107.1" customHeight="1" x14ac:dyDescent="0.25">
      <c r="A1107" s="8" t="s">
        <v>8599</v>
      </c>
      <c r="B1107" s="8" t="s">
        <v>5693</v>
      </c>
      <c r="C1107" s="8" t="s">
        <v>5918</v>
      </c>
      <c r="D1107" s="10">
        <v>786</v>
      </c>
      <c r="E1107" s="8" t="s">
        <v>8600</v>
      </c>
      <c r="F1107" s="8" t="s">
        <v>8601</v>
      </c>
      <c r="G1107" s="8" t="s">
        <v>4727</v>
      </c>
      <c r="H1107" s="8" t="s">
        <v>8600</v>
      </c>
      <c r="I1107" s="8"/>
      <c r="J1107" s="15" t="s">
        <v>5695</v>
      </c>
      <c r="K1107" s="8"/>
      <c r="L1107" s="15" t="s">
        <v>1685</v>
      </c>
      <c r="M1107" s="8" t="s">
        <v>5578</v>
      </c>
      <c r="N1107" s="8"/>
      <c r="O1107" s="8" t="s">
        <v>5574</v>
      </c>
      <c r="P1107" s="11"/>
      <c r="Q1107" s="8" t="s">
        <v>5696</v>
      </c>
      <c r="R1107" s="8" t="s">
        <v>5919</v>
      </c>
      <c r="S1107" s="8" t="s">
        <v>8602</v>
      </c>
    </row>
    <row r="1108" spans="1:19" ht="107.1" customHeight="1" x14ac:dyDescent="0.25">
      <c r="A1108" s="8" t="s">
        <v>8603</v>
      </c>
      <c r="B1108" s="8" t="s">
        <v>5693</v>
      </c>
      <c r="C1108" s="8" t="s">
        <v>5918</v>
      </c>
      <c r="D1108" s="10">
        <v>787</v>
      </c>
      <c r="E1108" s="8" t="s">
        <v>8604</v>
      </c>
      <c r="F1108" s="8" t="s">
        <v>8605</v>
      </c>
      <c r="G1108" s="8" t="s">
        <v>4727</v>
      </c>
      <c r="H1108" s="8" t="s">
        <v>8604</v>
      </c>
      <c r="I1108" s="8"/>
      <c r="J1108" s="15" t="s">
        <v>5695</v>
      </c>
      <c r="K1108" s="8"/>
      <c r="L1108" s="15" t="s">
        <v>1685</v>
      </c>
      <c r="M1108" s="8" t="s">
        <v>5578</v>
      </c>
      <c r="N1108" s="8"/>
      <c r="O1108" s="8" t="s">
        <v>5574</v>
      </c>
      <c r="P1108" s="11"/>
      <c r="Q1108" s="8" t="s">
        <v>5696</v>
      </c>
      <c r="R1108" s="8" t="s">
        <v>5919</v>
      </c>
      <c r="S1108" s="8" t="s">
        <v>8606</v>
      </c>
    </row>
    <row r="1109" spans="1:19" ht="93" customHeight="1" x14ac:dyDescent="0.25">
      <c r="A1109" s="8" t="s">
        <v>8607</v>
      </c>
      <c r="B1109" s="8" t="s">
        <v>5693</v>
      </c>
      <c r="C1109" s="8" t="s">
        <v>5918</v>
      </c>
      <c r="D1109" s="10">
        <v>788</v>
      </c>
      <c r="E1109" s="8" t="s">
        <v>8608</v>
      </c>
      <c r="F1109" s="8" t="s">
        <v>8609</v>
      </c>
      <c r="G1109" s="8" t="s">
        <v>4727</v>
      </c>
      <c r="H1109" s="8" t="s">
        <v>8608</v>
      </c>
      <c r="I1109" s="8"/>
      <c r="J1109" s="15" t="s">
        <v>5695</v>
      </c>
      <c r="K1109" s="8"/>
      <c r="L1109" s="15" t="s">
        <v>1685</v>
      </c>
      <c r="M1109" s="8" t="s">
        <v>5578</v>
      </c>
      <c r="N1109" s="8"/>
      <c r="O1109" s="8" t="s">
        <v>5574</v>
      </c>
      <c r="P1109" s="11"/>
      <c r="Q1109" s="8" t="s">
        <v>5696</v>
      </c>
      <c r="R1109" s="8" t="s">
        <v>5919</v>
      </c>
      <c r="S1109" s="8" t="s">
        <v>8610</v>
      </c>
    </row>
    <row r="1110" spans="1:19" ht="107.1" customHeight="1" x14ac:dyDescent="0.25">
      <c r="A1110" s="8" t="s">
        <v>8611</v>
      </c>
      <c r="B1110" s="8" t="s">
        <v>5693</v>
      </c>
      <c r="C1110" s="8" t="s">
        <v>5918</v>
      </c>
      <c r="D1110" s="10">
        <v>789</v>
      </c>
      <c r="E1110" s="8" t="s">
        <v>8612</v>
      </c>
      <c r="F1110" s="8" t="s">
        <v>8613</v>
      </c>
      <c r="G1110" s="8" t="s">
        <v>4727</v>
      </c>
      <c r="H1110" s="8" t="s">
        <v>8612</v>
      </c>
      <c r="I1110" s="8"/>
      <c r="J1110" s="15" t="s">
        <v>5695</v>
      </c>
      <c r="K1110" s="8"/>
      <c r="L1110" s="15" t="s">
        <v>1685</v>
      </c>
      <c r="M1110" s="8" t="s">
        <v>5578</v>
      </c>
      <c r="N1110" s="8"/>
      <c r="O1110" s="8" t="s">
        <v>5574</v>
      </c>
      <c r="P1110" s="11"/>
      <c r="Q1110" s="8" t="s">
        <v>5696</v>
      </c>
      <c r="R1110" s="8" t="s">
        <v>5919</v>
      </c>
      <c r="S1110" s="8" t="s">
        <v>8614</v>
      </c>
    </row>
    <row r="1111" spans="1:19" ht="107.1" customHeight="1" x14ac:dyDescent="0.25">
      <c r="A1111" s="8" t="s">
        <v>8615</v>
      </c>
      <c r="B1111" s="8" t="s">
        <v>5693</v>
      </c>
      <c r="C1111" s="8" t="s">
        <v>5918</v>
      </c>
      <c r="D1111" s="10">
        <v>790</v>
      </c>
      <c r="E1111" s="8" t="s">
        <v>8616</v>
      </c>
      <c r="F1111" s="8" t="s">
        <v>8617</v>
      </c>
      <c r="G1111" s="8" t="s">
        <v>4727</v>
      </c>
      <c r="H1111" s="8" t="s">
        <v>8616</v>
      </c>
      <c r="I1111" s="8"/>
      <c r="J1111" s="15" t="s">
        <v>5695</v>
      </c>
      <c r="K1111" s="8"/>
      <c r="L1111" s="15" t="s">
        <v>1685</v>
      </c>
      <c r="M1111" s="8" t="s">
        <v>5578</v>
      </c>
      <c r="N1111" s="8"/>
      <c r="O1111" s="8" t="s">
        <v>5574</v>
      </c>
      <c r="P1111" s="11"/>
      <c r="Q1111" s="8" t="s">
        <v>5696</v>
      </c>
      <c r="R1111" s="8" t="s">
        <v>5919</v>
      </c>
      <c r="S1111" s="8" t="s">
        <v>8618</v>
      </c>
    </row>
    <row r="1112" spans="1:19" ht="107.1" customHeight="1" x14ac:dyDescent="0.25">
      <c r="A1112" s="8" t="s">
        <v>8619</v>
      </c>
      <c r="B1112" s="8" t="s">
        <v>5693</v>
      </c>
      <c r="C1112" s="8" t="s">
        <v>5918</v>
      </c>
      <c r="D1112" s="10">
        <v>791</v>
      </c>
      <c r="E1112" s="8" t="s">
        <v>8620</v>
      </c>
      <c r="F1112" s="8" t="s">
        <v>8621</v>
      </c>
      <c r="G1112" s="8" t="s">
        <v>4727</v>
      </c>
      <c r="H1112" s="8" t="s">
        <v>8620</v>
      </c>
      <c r="I1112" s="8"/>
      <c r="J1112" s="15" t="s">
        <v>5695</v>
      </c>
      <c r="K1112" s="8"/>
      <c r="L1112" s="15" t="s">
        <v>1685</v>
      </c>
      <c r="M1112" s="8" t="s">
        <v>5578</v>
      </c>
      <c r="N1112" s="8"/>
      <c r="O1112" s="8" t="s">
        <v>5574</v>
      </c>
      <c r="P1112" s="11"/>
      <c r="Q1112" s="8" t="s">
        <v>5696</v>
      </c>
      <c r="R1112" s="8" t="s">
        <v>5919</v>
      </c>
      <c r="S1112" s="8" t="s">
        <v>8622</v>
      </c>
    </row>
    <row r="1113" spans="1:19" ht="93" customHeight="1" x14ac:dyDescent="0.25">
      <c r="A1113" s="8" t="s">
        <v>8623</v>
      </c>
      <c r="B1113" s="8" t="s">
        <v>5693</v>
      </c>
      <c r="C1113" s="8" t="s">
        <v>5918</v>
      </c>
      <c r="D1113" s="10">
        <v>792</v>
      </c>
      <c r="E1113" s="8" t="s">
        <v>8624</v>
      </c>
      <c r="F1113" s="8" t="s">
        <v>8625</v>
      </c>
      <c r="G1113" s="8" t="s">
        <v>4727</v>
      </c>
      <c r="H1113" s="8" t="s">
        <v>8624</v>
      </c>
      <c r="I1113" s="8"/>
      <c r="J1113" s="15" t="s">
        <v>5695</v>
      </c>
      <c r="K1113" s="8"/>
      <c r="L1113" s="15" t="s">
        <v>1685</v>
      </c>
      <c r="M1113" s="8" t="s">
        <v>5578</v>
      </c>
      <c r="N1113" s="8"/>
      <c r="O1113" s="8" t="s">
        <v>5574</v>
      </c>
      <c r="P1113" s="11"/>
      <c r="Q1113" s="8" t="s">
        <v>5696</v>
      </c>
      <c r="R1113" s="8" t="s">
        <v>5919</v>
      </c>
      <c r="S1113" s="8" t="s">
        <v>8626</v>
      </c>
    </row>
    <row r="1114" spans="1:19" ht="107.1" customHeight="1" x14ac:dyDescent="0.25">
      <c r="A1114" s="8" t="s">
        <v>8627</v>
      </c>
      <c r="B1114" s="8" t="s">
        <v>5693</v>
      </c>
      <c r="C1114" s="8" t="s">
        <v>5918</v>
      </c>
      <c r="D1114" s="10">
        <v>793</v>
      </c>
      <c r="E1114" s="8" t="s">
        <v>8628</v>
      </c>
      <c r="F1114" s="8" t="s">
        <v>8629</v>
      </c>
      <c r="G1114" s="8" t="s">
        <v>4727</v>
      </c>
      <c r="H1114" s="8" t="s">
        <v>8628</v>
      </c>
      <c r="I1114" s="8"/>
      <c r="J1114" s="15" t="s">
        <v>5695</v>
      </c>
      <c r="K1114" s="8"/>
      <c r="L1114" s="15" t="s">
        <v>1685</v>
      </c>
      <c r="M1114" s="8" t="s">
        <v>5578</v>
      </c>
      <c r="N1114" s="8"/>
      <c r="O1114" s="8" t="s">
        <v>5574</v>
      </c>
      <c r="P1114" s="11"/>
      <c r="Q1114" s="8" t="s">
        <v>5696</v>
      </c>
      <c r="R1114" s="8" t="s">
        <v>5919</v>
      </c>
      <c r="S1114" s="8" t="s">
        <v>8630</v>
      </c>
    </row>
    <row r="1115" spans="1:19" ht="107.1" customHeight="1" x14ac:dyDescent="0.25">
      <c r="A1115" s="8" t="s">
        <v>8631</v>
      </c>
      <c r="B1115" s="8" t="s">
        <v>5693</v>
      </c>
      <c r="C1115" s="8" t="s">
        <v>5918</v>
      </c>
      <c r="D1115" s="10">
        <v>794</v>
      </c>
      <c r="E1115" s="8" t="s">
        <v>8632</v>
      </c>
      <c r="F1115" s="8" t="s">
        <v>8633</v>
      </c>
      <c r="G1115" s="8" t="s">
        <v>4727</v>
      </c>
      <c r="H1115" s="8" t="s">
        <v>8632</v>
      </c>
      <c r="I1115" s="8"/>
      <c r="J1115" s="15" t="s">
        <v>5695</v>
      </c>
      <c r="K1115" s="8"/>
      <c r="L1115" s="15" t="s">
        <v>1685</v>
      </c>
      <c r="M1115" s="8" t="s">
        <v>5578</v>
      </c>
      <c r="N1115" s="8"/>
      <c r="O1115" s="8" t="s">
        <v>5574</v>
      </c>
      <c r="P1115" s="11"/>
      <c r="Q1115" s="8" t="s">
        <v>5696</v>
      </c>
      <c r="R1115" s="8" t="s">
        <v>5919</v>
      </c>
      <c r="S1115" s="8" t="s">
        <v>8634</v>
      </c>
    </row>
    <row r="1116" spans="1:19" ht="107.1" customHeight="1" x14ac:dyDescent="0.25">
      <c r="A1116" s="8" t="s">
        <v>8635</v>
      </c>
      <c r="B1116" s="8" t="s">
        <v>5693</v>
      </c>
      <c r="C1116" s="8" t="s">
        <v>5918</v>
      </c>
      <c r="D1116" s="10">
        <v>795</v>
      </c>
      <c r="E1116" s="8" t="s">
        <v>8636</v>
      </c>
      <c r="F1116" s="8" t="s">
        <v>8637</v>
      </c>
      <c r="G1116" s="8" t="s">
        <v>4727</v>
      </c>
      <c r="H1116" s="8" t="s">
        <v>8636</v>
      </c>
      <c r="I1116" s="8"/>
      <c r="J1116" s="15" t="s">
        <v>5695</v>
      </c>
      <c r="K1116" s="8"/>
      <c r="L1116" s="15" t="s">
        <v>1685</v>
      </c>
      <c r="M1116" s="8" t="s">
        <v>5578</v>
      </c>
      <c r="N1116" s="8"/>
      <c r="O1116" s="8" t="s">
        <v>5574</v>
      </c>
      <c r="P1116" s="11"/>
      <c r="Q1116" s="8" t="s">
        <v>5696</v>
      </c>
      <c r="R1116" s="8" t="s">
        <v>5919</v>
      </c>
      <c r="S1116" s="8" t="s">
        <v>8638</v>
      </c>
    </row>
    <row r="1117" spans="1:19" ht="93" customHeight="1" x14ac:dyDescent="0.25">
      <c r="A1117" s="8" t="s">
        <v>8639</v>
      </c>
      <c r="B1117" s="8" t="s">
        <v>5693</v>
      </c>
      <c r="C1117" s="8" t="s">
        <v>5918</v>
      </c>
      <c r="D1117" s="10">
        <v>796</v>
      </c>
      <c r="E1117" s="8" t="s">
        <v>8640</v>
      </c>
      <c r="F1117" s="8" t="s">
        <v>8641</v>
      </c>
      <c r="G1117" s="8" t="s">
        <v>4727</v>
      </c>
      <c r="H1117" s="8" t="s">
        <v>8640</v>
      </c>
      <c r="I1117" s="8"/>
      <c r="J1117" s="15" t="s">
        <v>5695</v>
      </c>
      <c r="K1117" s="8"/>
      <c r="L1117" s="15" t="s">
        <v>1685</v>
      </c>
      <c r="M1117" s="8" t="s">
        <v>5578</v>
      </c>
      <c r="N1117" s="8"/>
      <c r="O1117" s="8" t="s">
        <v>5574</v>
      </c>
      <c r="P1117" s="11"/>
      <c r="Q1117" s="8" t="s">
        <v>5696</v>
      </c>
      <c r="R1117" s="8" t="s">
        <v>5919</v>
      </c>
      <c r="S1117" s="8" t="s">
        <v>8642</v>
      </c>
    </row>
    <row r="1118" spans="1:19" ht="107.1" customHeight="1" x14ac:dyDescent="0.25">
      <c r="A1118" s="8" t="s">
        <v>8643</v>
      </c>
      <c r="B1118" s="8" t="s">
        <v>5693</v>
      </c>
      <c r="C1118" s="8" t="s">
        <v>5918</v>
      </c>
      <c r="D1118" s="10">
        <v>797</v>
      </c>
      <c r="E1118" s="8" t="s">
        <v>8644</v>
      </c>
      <c r="F1118" s="8" t="s">
        <v>8645</v>
      </c>
      <c r="G1118" s="8" t="s">
        <v>4727</v>
      </c>
      <c r="H1118" s="8" t="s">
        <v>8644</v>
      </c>
      <c r="I1118" s="8"/>
      <c r="J1118" s="15" t="s">
        <v>5695</v>
      </c>
      <c r="K1118" s="8"/>
      <c r="L1118" s="15" t="s">
        <v>1685</v>
      </c>
      <c r="M1118" s="8" t="s">
        <v>5578</v>
      </c>
      <c r="N1118" s="8"/>
      <c r="O1118" s="8" t="s">
        <v>5574</v>
      </c>
      <c r="P1118" s="11"/>
      <c r="Q1118" s="8" t="s">
        <v>5696</v>
      </c>
      <c r="R1118" s="8" t="s">
        <v>5919</v>
      </c>
      <c r="S1118" s="8" t="s">
        <v>8646</v>
      </c>
    </row>
    <row r="1119" spans="1:19" ht="93" customHeight="1" x14ac:dyDescent="0.25">
      <c r="A1119" s="8" t="s">
        <v>8647</v>
      </c>
      <c r="B1119" s="8" t="s">
        <v>5693</v>
      </c>
      <c r="C1119" s="8" t="s">
        <v>5918</v>
      </c>
      <c r="D1119" s="10">
        <v>798</v>
      </c>
      <c r="E1119" s="8" t="s">
        <v>8648</v>
      </c>
      <c r="F1119" s="8" t="s">
        <v>8649</v>
      </c>
      <c r="G1119" s="8" t="s">
        <v>4727</v>
      </c>
      <c r="H1119" s="8" t="s">
        <v>8648</v>
      </c>
      <c r="I1119" s="8"/>
      <c r="J1119" s="15" t="s">
        <v>5695</v>
      </c>
      <c r="K1119" s="8"/>
      <c r="L1119" s="15" t="s">
        <v>1685</v>
      </c>
      <c r="M1119" s="8" t="s">
        <v>5578</v>
      </c>
      <c r="N1119" s="8"/>
      <c r="O1119" s="8" t="s">
        <v>5574</v>
      </c>
      <c r="P1119" s="11"/>
      <c r="Q1119" s="8" t="s">
        <v>5696</v>
      </c>
      <c r="R1119" s="8" t="s">
        <v>5919</v>
      </c>
      <c r="S1119" s="8" t="s">
        <v>8650</v>
      </c>
    </row>
    <row r="1120" spans="1:19" ht="93" customHeight="1" x14ac:dyDescent="0.25">
      <c r="A1120" s="8" t="s">
        <v>8651</v>
      </c>
      <c r="B1120" s="8" t="s">
        <v>5693</v>
      </c>
      <c r="C1120" s="8" t="s">
        <v>5918</v>
      </c>
      <c r="D1120" s="10">
        <v>799</v>
      </c>
      <c r="E1120" s="8" t="s">
        <v>8652</v>
      </c>
      <c r="F1120" s="8" t="s">
        <v>8653</v>
      </c>
      <c r="G1120" s="8" t="s">
        <v>4727</v>
      </c>
      <c r="H1120" s="8" t="s">
        <v>8652</v>
      </c>
      <c r="I1120" s="8"/>
      <c r="J1120" s="15" t="s">
        <v>5695</v>
      </c>
      <c r="K1120" s="8"/>
      <c r="L1120" s="15" t="s">
        <v>1685</v>
      </c>
      <c r="M1120" s="8" t="s">
        <v>5578</v>
      </c>
      <c r="N1120" s="8"/>
      <c r="O1120" s="8" t="s">
        <v>5574</v>
      </c>
      <c r="P1120" s="11"/>
      <c r="Q1120" s="8" t="s">
        <v>5696</v>
      </c>
      <c r="R1120" s="8" t="s">
        <v>5919</v>
      </c>
      <c r="S1120" s="8" t="s">
        <v>8654</v>
      </c>
    </row>
    <row r="1121" spans="1:19" ht="107.1" customHeight="1" x14ac:dyDescent="0.25">
      <c r="A1121" s="8" t="s">
        <v>8655</v>
      </c>
      <c r="B1121" s="8" t="s">
        <v>5693</v>
      </c>
      <c r="C1121" s="8" t="s">
        <v>5918</v>
      </c>
      <c r="D1121" s="10">
        <v>800</v>
      </c>
      <c r="E1121" s="8" t="s">
        <v>8656</v>
      </c>
      <c r="F1121" s="8" t="s">
        <v>8657</v>
      </c>
      <c r="G1121" s="8" t="s">
        <v>4727</v>
      </c>
      <c r="H1121" s="8" t="s">
        <v>8656</v>
      </c>
      <c r="I1121" s="8"/>
      <c r="J1121" s="15" t="s">
        <v>5695</v>
      </c>
      <c r="K1121" s="8"/>
      <c r="L1121" s="15" t="s">
        <v>1685</v>
      </c>
      <c r="M1121" s="8" t="s">
        <v>5578</v>
      </c>
      <c r="N1121" s="8"/>
      <c r="O1121" s="8" t="s">
        <v>5574</v>
      </c>
      <c r="P1121" s="11"/>
      <c r="Q1121" s="8" t="s">
        <v>5696</v>
      </c>
      <c r="R1121" s="8" t="s">
        <v>5919</v>
      </c>
      <c r="S1121" s="8" t="s">
        <v>8658</v>
      </c>
    </row>
    <row r="1122" spans="1:19" ht="93" customHeight="1" x14ac:dyDescent="0.25">
      <c r="A1122" s="8" t="s">
        <v>8659</v>
      </c>
      <c r="B1122" s="8" t="s">
        <v>5693</v>
      </c>
      <c r="C1122" s="8" t="s">
        <v>5918</v>
      </c>
      <c r="D1122" s="10">
        <v>801</v>
      </c>
      <c r="E1122" s="8" t="s">
        <v>8660</v>
      </c>
      <c r="F1122" s="8" t="s">
        <v>8661</v>
      </c>
      <c r="G1122" s="8" t="s">
        <v>4727</v>
      </c>
      <c r="H1122" s="8" t="s">
        <v>8660</v>
      </c>
      <c r="I1122" s="8"/>
      <c r="J1122" s="15" t="s">
        <v>5695</v>
      </c>
      <c r="K1122" s="8"/>
      <c r="L1122" s="15" t="s">
        <v>1685</v>
      </c>
      <c r="M1122" s="8" t="s">
        <v>5578</v>
      </c>
      <c r="N1122" s="8"/>
      <c r="O1122" s="8" t="s">
        <v>5574</v>
      </c>
      <c r="P1122" s="11"/>
      <c r="Q1122" s="8" t="s">
        <v>5696</v>
      </c>
      <c r="R1122" s="8" t="s">
        <v>5919</v>
      </c>
      <c r="S1122" s="8" t="s">
        <v>8662</v>
      </c>
    </row>
    <row r="1123" spans="1:19" ht="107.1" customHeight="1" x14ac:dyDescent="0.25">
      <c r="A1123" s="8" t="s">
        <v>8663</v>
      </c>
      <c r="B1123" s="8" t="s">
        <v>5693</v>
      </c>
      <c r="C1123" s="8" t="s">
        <v>5918</v>
      </c>
      <c r="D1123" s="10">
        <v>802</v>
      </c>
      <c r="E1123" s="8" t="s">
        <v>8664</v>
      </c>
      <c r="F1123" s="8" t="s">
        <v>8665</v>
      </c>
      <c r="G1123" s="8" t="s">
        <v>4727</v>
      </c>
      <c r="H1123" s="8" t="s">
        <v>8664</v>
      </c>
      <c r="I1123" s="8"/>
      <c r="J1123" s="15" t="s">
        <v>5695</v>
      </c>
      <c r="K1123" s="8"/>
      <c r="L1123" s="15" t="s">
        <v>1685</v>
      </c>
      <c r="M1123" s="8" t="s">
        <v>5578</v>
      </c>
      <c r="N1123" s="8"/>
      <c r="O1123" s="8" t="s">
        <v>5574</v>
      </c>
      <c r="P1123" s="11"/>
      <c r="Q1123" s="8" t="s">
        <v>5696</v>
      </c>
      <c r="R1123" s="8" t="s">
        <v>5919</v>
      </c>
      <c r="S1123" s="8" t="s">
        <v>8666</v>
      </c>
    </row>
    <row r="1124" spans="1:19" ht="93" customHeight="1" x14ac:dyDescent="0.25">
      <c r="A1124" s="8" t="s">
        <v>8667</v>
      </c>
      <c r="B1124" s="8" t="s">
        <v>5693</v>
      </c>
      <c r="C1124" s="8" t="s">
        <v>5918</v>
      </c>
      <c r="D1124" s="10">
        <v>803</v>
      </c>
      <c r="E1124" s="8" t="s">
        <v>8668</v>
      </c>
      <c r="F1124" s="8" t="s">
        <v>8669</v>
      </c>
      <c r="G1124" s="8" t="s">
        <v>4727</v>
      </c>
      <c r="H1124" s="8" t="s">
        <v>8668</v>
      </c>
      <c r="I1124" s="8"/>
      <c r="J1124" s="15" t="s">
        <v>5695</v>
      </c>
      <c r="K1124" s="8"/>
      <c r="L1124" s="15" t="s">
        <v>1685</v>
      </c>
      <c r="M1124" s="8" t="s">
        <v>5578</v>
      </c>
      <c r="N1124" s="8"/>
      <c r="O1124" s="8" t="s">
        <v>5574</v>
      </c>
      <c r="P1124" s="11"/>
      <c r="Q1124" s="8" t="s">
        <v>5696</v>
      </c>
      <c r="R1124" s="8" t="s">
        <v>5919</v>
      </c>
      <c r="S1124" s="8" t="s">
        <v>8670</v>
      </c>
    </row>
    <row r="1125" spans="1:19" ht="93" customHeight="1" x14ac:dyDescent="0.25">
      <c r="A1125" s="8" t="s">
        <v>8671</v>
      </c>
      <c r="B1125" s="8" t="s">
        <v>5693</v>
      </c>
      <c r="C1125" s="8" t="s">
        <v>5918</v>
      </c>
      <c r="D1125" s="10">
        <v>804</v>
      </c>
      <c r="E1125" s="8" t="s">
        <v>8672</v>
      </c>
      <c r="F1125" s="8" t="s">
        <v>8673</v>
      </c>
      <c r="G1125" s="8" t="s">
        <v>4727</v>
      </c>
      <c r="H1125" s="8" t="s">
        <v>8672</v>
      </c>
      <c r="I1125" s="8"/>
      <c r="J1125" s="15" t="s">
        <v>5695</v>
      </c>
      <c r="K1125" s="8"/>
      <c r="L1125" s="15" t="s">
        <v>1685</v>
      </c>
      <c r="M1125" s="8" t="s">
        <v>5578</v>
      </c>
      <c r="N1125" s="8"/>
      <c r="O1125" s="8" t="s">
        <v>5574</v>
      </c>
      <c r="P1125" s="11"/>
      <c r="Q1125" s="8" t="s">
        <v>5696</v>
      </c>
      <c r="R1125" s="8" t="s">
        <v>5919</v>
      </c>
      <c r="S1125" s="8" t="s">
        <v>8674</v>
      </c>
    </row>
    <row r="1126" spans="1:19" ht="93" customHeight="1" x14ac:dyDescent="0.25">
      <c r="A1126" s="8" t="s">
        <v>8675</v>
      </c>
      <c r="B1126" s="8" t="s">
        <v>5693</v>
      </c>
      <c r="C1126" s="8" t="s">
        <v>5918</v>
      </c>
      <c r="D1126" s="10">
        <v>805</v>
      </c>
      <c r="E1126" s="8" t="s">
        <v>8676</v>
      </c>
      <c r="F1126" s="8" t="s">
        <v>8677</v>
      </c>
      <c r="G1126" s="8" t="s">
        <v>4727</v>
      </c>
      <c r="H1126" s="8" t="s">
        <v>8676</v>
      </c>
      <c r="I1126" s="8"/>
      <c r="J1126" s="15" t="s">
        <v>5695</v>
      </c>
      <c r="K1126" s="8"/>
      <c r="L1126" s="15" t="s">
        <v>1685</v>
      </c>
      <c r="M1126" s="8" t="s">
        <v>5578</v>
      </c>
      <c r="N1126" s="8"/>
      <c r="O1126" s="8" t="s">
        <v>5574</v>
      </c>
      <c r="P1126" s="11"/>
      <c r="Q1126" s="8" t="s">
        <v>5696</v>
      </c>
      <c r="R1126" s="8" t="s">
        <v>5919</v>
      </c>
      <c r="S1126" s="8" t="s">
        <v>8678</v>
      </c>
    </row>
    <row r="1127" spans="1:19" ht="93" customHeight="1" x14ac:dyDescent="0.25">
      <c r="A1127" s="8" t="s">
        <v>8679</v>
      </c>
      <c r="B1127" s="8" t="s">
        <v>5693</v>
      </c>
      <c r="C1127" s="8" t="s">
        <v>5918</v>
      </c>
      <c r="D1127" s="10">
        <v>806</v>
      </c>
      <c r="E1127" s="8" t="s">
        <v>8680</v>
      </c>
      <c r="F1127" s="8" t="s">
        <v>8681</v>
      </c>
      <c r="G1127" s="8" t="s">
        <v>4727</v>
      </c>
      <c r="H1127" s="8" t="s">
        <v>8680</v>
      </c>
      <c r="I1127" s="8"/>
      <c r="J1127" s="15" t="s">
        <v>5695</v>
      </c>
      <c r="K1127" s="8"/>
      <c r="L1127" s="15" t="s">
        <v>1685</v>
      </c>
      <c r="M1127" s="8" t="s">
        <v>5578</v>
      </c>
      <c r="N1127" s="8"/>
      <c r="O1127" s="8" t="s">
        <v>5574</v>
      </c>
      <c r="P1127" s="11"/>
      <c r="Q1127" s="8" t="s">
        <v>5696</v>
      </c>
      <c r="R1127" s="8" t="s">
        <v>5919</v>
      </c>
      <c r="S1127" s="8" t="s">
        <v>8682</v>
      </c>
    </row>
    <row r="1128" spans="1:19" ht="107.1" customHeight="1" x14ac:dyDescent="0.25">
      <c r="A1128" s="8" t="s">
        <v>8683</v>
      </c>
      <c r="B1128" s="8" t="s">
        <v>5693</v>
      </c>
      <c r="C1128" s="8" t="s">
        <v>5918</v>
      </c>
      <c r="D1128" s="10">
        <v>807</v>
      </c>
      <c r="E1128" s="8" t="s">
        <v>8684</v>
      </c>
      <c r="F1128" s="8" t="s">
        <v>8685</v>
      </c>
      <c r="G1128" s="8" t="s">
        <v>4727</v>
      </c>
      <c r="H1128" s="8" t="s">
        <v>8684</v>
      </c>
      <c r="I1128" s="8"/>
      <c r="J1128" s="15" t="s">
        <v>5695</v>
      </c>
      <c r="K1128" s="8"/>
      <c r="L1128" s="15" t="s">
        <v>1685</v>
      </c>
      <c r="M1128" s="8" t="s">
        <v>5578</v>
      </c>
      <c r="N1128" s="8"/>
      <c r="O1128" s="8" t="s">
        <v>5574</v>
      </c>
      <c r="P1128" s="11"/>
      <c r="Q1128" s="8" t="s">
        <v>5696</v>
      </c>
      <c r="R1128" s="8" t="s">
        <v>5919</v>
      </c>
      <c r="S1128" s="8" t="s">
        <v>8686</v>
      </c>
    </row>
    <row r="1129" spans="1:19" ht="107.1" customHeight="1" x14ac:dyDescent="0.25">
      <c r="A1129" s="8" t="s">
        <v>8687</v>
      </c>
      <c r="B1129" s="8" t="s">
        <v>5693</v>
      </c>
      <c r="C1129" s="8" t="s">
        <v>5918</v>
      </c>
      <c r="D1129" s="10">
        <v>808</v>
      </c>
      <c r="E1129" s="8" t="s">
        <v>8688</v>
      </c>
      <c r="F1129" s="8" t="s">
        <v>8689</v>
      </c>
      <c r="G1129" s="8" t="s">
        <v>4727</v>
      </c>
      <c r="H1129" s="8" t="s">
        <v>8688</v>
      </c>
      <c r="I1129" s="8"/>
      <c r="J1129" s="15" t="s">
        <v>5695</v>
      </c>
      <c r="K1129" s="8"/>
      <c r="L1129" s="15" t="s">
        <v>1685</v>
      </c>
      <c r="M1129" s="8" t="s">
        <v>5578</v>
      </c>
      <c r="N1129" s="8"/>
      <c r="O1129" s="8" t="s">
        <v>5574</v>
      </c>
      <c r="P1129" s="11"/>
      <c r="Q1129" s="8" t="s">
        <v>5696</v>
      </c>
      <c r="R1129" s="8" t="s">
        <v>5919</v>
      </c>
      <c r="S1129" s="8" t="s">
        <v>8690</v>
      </c>
    </row>
    <row r="1130" spans="1:19" ht="93" customHeight="1" x14ac:dyDescent="0.25">
      <c r="A1130" s="8" t="s">
        <v>8691</v>
      </c>
      <c r="B1130" s="8" t="s">
        <v>5693</v>
      </c>
      <c r="C1130" s="8" t="s">
        <v>5918</v>
      </c>
      <c r="D1130" s="10">
        <v>809</v>
      </c>
      <c r="E1130" s="8" t="s">
        <v>8692</v>
      </c>
      <c r="F1130" s="8" t="s">
        <v>8693</v>
      </c>
      <c r="G1130" s="8" t="s">
        <v>4727</v>
      </c>
      <c r="H1130" s="8" t="s">
        <v>8692</v>
      </c>
      <c r="I1130" s="8"/>
      <c r="J1130" s="15" t="s">
        <v>5695</v>
      </c>
      <c r="K1130" s="8"/>
      <c r="L1130" s="15" t="s">
        <v>1685</v>
      </c>
      <c r="M1130" s="8" t="s">
        <v>5578</v>
      </c>
      <c r="N1130" s="8"/>
      <c r="O1130" s="8" t="s">
        <v>5574</v>
      </c>
      <c r="P1130" s="11"/>
      <c r="Q1130" s="8" t="s">
        <v>5696</v>
      </c>
      <c r="R1130" s="8" t="s">
        <v>5919</v>
      </c>
      <c r="S1130" s="8" t="s">
        <v>8694</v>
      </c>
    </row>
    <row r="1131" spans="1:19" ht="107.1" customHeight="1" x14ac:dyDescent="0.25">
      <c r="A1131" s="8" t="s">
        <v>8695</v>
      </c>
      <c r="B1131" s="8" t="s">
        <v>5693</v>
      </c>
      <c r="C1131" s="8" t="s">
        <v>5918</v>
      </c>
      <c r="D1131" s="10">
        <v>810</v>
      </c>
      <c r="E1131" s="8" t="s">
        <v>8696</v>
      </c>
      <c r="F1131" s="8" t="s">
        <v>8697</v>
      </c>
      <c r="G1131" s="8" t="s">
        <v>4727</v>
      </c>
      <c r="H1131" s="8" t="s">
        <v>8696</v>
      </c>
      <c r="I1131" s="8"/>
      <c r="J1131" s="15" t="s">
        <v>5695</v>
      </c>
      <c r="K1131" s="8"/>
      <c r="L1131" s="15" t="s">
        <v>1685</v>
      </c>
      <c r="M1131" s="8" t="s">
        <v>5578</v>
      </c>
      <c r="N1131" s="8"/>
      <c r="O1131" s="8" t="s">
        <v>5574</v>
      </c>
      <c r="P1131" s="11"/>
      <c r="Q1131" s="8" t="s">
        <v>5696</v>
      </c>
      <c r="R1131" s="8" t="s">
        <v>5919</v>
      </c>
      <c r="S1131" s="8" t="s">
        <v>8698</v>
      </c>
    </row>
    <row r="1132" spans="1:19" ht="93" customHeight="1" x14ac:dyDescent="0.25">
      <c r="A1132" s="8" t="s">
        <v>8699</v>
      </c>
      <c r="B1132" s="8" t="s">
        <v>5693</v>
      </c>
      <c r="C1132" s="8" t="s">
        <v>5918</v>
      </c>
      <c r="D1132" s="10">
        <v>811</v>
      </c>
      <c r="E1132" s="8" t="s">
        <v>8700</v>
      </c>
      <c r="F1132" s="8" t="s">
        <v>8701</v>
      </c>
      <c r="G1132" s="8" t="s">
        <v>4727</v>
      </c>
      <c r="H1132" s="8" t="s">
        <v>8700</v>
      </c>
      <c r="I1132" s="8"/>
      <c r="J1132" s="15" t="s">
        <v>5695</v>
      </c>
      <c r="K1132" s="8"/>
      <c r="L1132" s="15" t="s">
        <v>1685</v>
      </c>
      <c r="M1132" s="8" t="s">
        <v>5578</v>
      </c>
      <c r="N1132" s="8"/>
      <c r="O1132" s="8" t="s">
        <v>5574</v>
      </c>
      <c r="P1132" s="11"/>
      <c r="Q1132" s="8" t="s">
        <v>5696</v>
      </c>
      <c r="R1132" s="8" t="s">
        <v>5919</v>
      </c>
      <c r="S1132" s="8" t="s">
        <v>8702</v>
      </c>
    </row>
    <row r="1133" spans="1:19" ht="93" customHeight="1" x14ac:dyDescent="0.25">
      <c r="A1133" s="8" t="s">
        <v>8703</v>
      </c>
      <c r="B1133" s="8" t="s">
        <v>5693</v>
      </c>
      <c r="C1133" s="8" t="s">
        <v>5918</v>
      </c>
      <c r="D1133" s="10">
        <v>812</v>
      </c>
      <c r="E1133" s="8" t="s">
        <v>8704</v>
      </c>
      <c r="F1133" s="8" t="s">
        <v>8705</v>
      </c>
      <c r="G1133" s="8" t="s">
        <v>4727</v>
      </c>
      <c r="H1133" s="8" t="s">
        <v>8704</v>
      </c>
      <c r="I1133" s="8"/>
      <c r="J1133" s="15" t="s">
        <v>5695</v>
      </c>
      <c r="K1133" s="8"/>
      <c r="L1133" s="15" t="s">
        <v>1685</v>
      </c>
      <c r="M1133" s="8" t="s">
        <v>5578</v>
      </c>
      <c r="N1133" s="8"/>
      <c r="O1133" s="8" t="s">
        <v>5574</v>
      </c>
      <c r="P1133" s="11"/>
      <c r="Q1133" s="8" t="s">
        <v>5696</v>
      </c>
      <c r="R1133" s="8" t="s">
        <v>5919</v>
      </c>
      <c r="S1133" s="8" t="s">
        <v>8706</v>
      </c>
    </row>
    <row r="1134" spans="1:19" ht="93" customHeight="1" x14ac:dyDescent="0.25">
      <c r="A1134" s="8" t="s">
        <v>8707</v>
      </c>
      <c r="B1134" s="8" t="s">
        <v>5693</v>
      </c>
      <c r="C1134" s="8" t="s">
        <v>5918</v>
      </c>
      <c r="D1134" s="10">
        <v>813</v>
      </c>
      <c r="E1134" s="8" t="s">
        <v>8708</v>
      </c>
      <c r="F1134" s="8" t="s">
        <v>8709</v>
      </c>
      <c r="G1134" s="8" t="s">
        <v>4727</v>
      </c>
      <c r="H1134" s="8" t="s">
        <v>8708</v>
      </c>
      <c r="I1134" s="8"/>
      <c r="J1134" s="15" t="s">
        <v>5695</v>
      </c>
      <c r="K1134" s="8"/>
      <c r="L1134" s="15" t="s">
        <v>1685</v>
      </c>
      <c r="M1134" s="8" t="s">
        <v>5578</v>
      </c>
      <c r="N1134" s="8"/>
      <c r="O1134" s="8" t="s">
        <v>5574</v>
      </c>
      <c r="P1134" s="11"/>
      <c r="Q1134" s="8" t="s">
        <v>5696</v>
      </c>
      <c r="R1134" s="8" t="s">
        <v>5919</v>
      </c>
      <c r="S1134" s="8" t="s">
        <v>8710</v>
      </c>
    </row>
    <row r="1135" spans="1:19" ht="93" customHeight="1" x14ac:dyDescent="0.25">
      <c r="A1135" s="8" t="s">
        <v>8711</v>
      </c>
      <c r="B1135" s="8" t="s">
        <v>5693</v>
      </c>
      <c r="C1135" s="8" t="s">
        <v>5918</v>
      </c>
      <c r="D1135" s="10">
        <v>814</v>
      </c>
      <c r="E1135" s="8" t="s">
        <v>8712</v>
      </c>
      <c r="F1135" s="8" t="s">
        <v>8713</v>
      </c>
      <c r="G1135" s="8" t="s">
        <v>4727</v>
      </c>
      <c r="H1135" s="8" t="s">
        <v>8712</v>
      </c>
      <c r="I1135" s="8"/>
      <c r="J1135" s="15" t="s">
        <v>5695</v>
      </c>
      <c r="K1135" s="8"/>
      <c r="L1135" s="15" t="s">
        <v>1685</v>
      </c>
      <c r="M1135" s="8" t="s">
        <v>5578</v>
      </c>
      <c r="N1135" s="8"/>
      <c r="O1135" s="8" t="s">
        <v>5574</v>
      </c>
      <c r="P1135" s="11"/>
      <c r="Q1135" s="8" t="s">
        <v>5696</v>
      </c>
      <c r="R1135" s="8" t="s">
        <v>5919</v>
      </c>
      <c r="S1135" s="8" t="s">
        <v>8714</v>
      </c>
    </row>
    <row r="1136" spans="1:19" ht="107.1" customHeight="1" x14ac:dyDescent="0.25">
      <c r="A1136" s="8" t="s">
        <v>8715</v>
      </c>
      <c r="B1136" s="8" t="s">
        <v>5693</v>
      </c>
      <c r="C1136" s="8" t="s">
        <v>5918</v>
      </c>
      <c r="D1136" s="10">
        <v>815</v>
      </c>
      <c r="E1136" s="8" t="s">
        <v>8716</v>
      </c>
      <c r="F1136" s="8" t="s">
        <v>8717</v>
      </c>
      <c r="G1136" s="8" t="s">
        <v>4727</v>
      </c>
      <c r="H1136" s="8" t="s">
        <v>8716</v>
      </c>
      <c r="I1136" s="8"/>
      <c r="J1136" s="8"/>
      <c r="K1136" s="8"/>
      <c r="L1136" s="15" t="s">
        <v>1685</v>
      </c>
      <c r="M1136" s="8" t="s">
        <v>5578</v>
      </c>
      <c r="N1136" s="8"/>
      <c r="O1136" s="8" t="s">
        <v>5574</v>
      </c>
      <c r="P1136" s="11" t="s">
        <v>3567</v>
      </c>
      <c r="Q1136" s="8" t="s">
        <v>5768</v>
      </c>
      <c r="R1136" s="8" t="s">
        <v>5919</v>
      </c>
      <c r="S1136" s="8" t="s">
        <v>8718</v>
      </c>
    </row>
    <row r="1137" spans="1:19" ht="93" customHeight="1" x14ac:dyDescent="0.25">
      <c r="A1137" s="8" t="s">
        <v>8719</v>
      </c>
      <c r="B1137" s="8" t="s">
        <v>5693</v>
      </c>
      <c r="C1137" s="8" t="s">
        <v>5918</v>
      </c>
      <c r="D1137" s="10">
        <v>816</v>
      </c>
      <c r="E1137" s="8" t="s">
        <v>8720</v>
      </c>
      <c r="F1137" s="8" t="s">
        <v>8721</v>
      </c>
      <c r="G1137" s="8" t="s">
        <v>4727</v>
      </c>
      <c r="H1137" s="8" t="s">
        <v>8720</v>
      </c>
      <c r="I1137" s="8"/>
      <c r="J1137" s="15" t="s">
        <v>5695</v>
      </c>
      <c r="K1137" s="8"/>
      <c r="L1137" s="15" t="s">
        <v>1685</v>
      </c>
      <c r="M1137" s="8" t="s">
        <v>5578</v>
      </c>
      <c r="N1137" s="8"/>
      <c r="O1137" s="8" t="s">
        <v>5574</v>
      </c>
      <c r="P1137" s="11"/>
      <c r="Q1137" s="8" t="s">
        <v>5696</v>
      </c>
      <c r="R1137" s="8" t="s">
        <v>5919</v>
      </c>
      <c r="S1137" s="8" t="s">
        <v>8722</v>
      </c>
    </row>
    <row r="1138" spans="1:19" ht="107.1" customHeight="1" x14ac:dyDescent="0.25">
      <c r="A1138" s="8" t="s">
        <v>8723</v>
      </c>
      <c r="B1138" s="8" t="s">
        <v>5693</v>
      </c>
      <c r="C1138" s="8" t="s">
        <v>5918</v>
      </c>
      <c r="D1138" s="10">
        <v>817</v>
      </c>
      <c r="E1138" s="8" t="s">
        <v>8724</v>
      </c>
      <c r="F1138" s="8" t="s">
        <v>8725</v>
      </c>
      <c r="G1138" s="8" t="s">
        <v>4727</v>
      </c>
      <c r="H1138" s="8" t="s">
        <v>8724</v>
      </c>
      <c r="I1138" s="8"/>
      <c r="J1138" s="15" t="s">
        <v>5695</v>
      </c>
      <c r="K1138" s="8"/>
      <c r="L1138" s="15" t="s">
        <v>1685</v>
      </c>
      <c r="M1138" s="8" t="s">
        <v>5578</v>
      </c>
      <c r="N1138" s="8"/>
      <c r="O1138" s="8" t="s">
        <v>5574</v>
      </c>
      <c r="P1138" s="11"/>
      <c r="Q1138" s="8" t="s">
        <v>5696</v>
      </c>
      <c r="R1138" s="8" t="s">
        <v>5919</v>
      </c>
      <c r="S1138" s="8" t="s">
        <v>8726</v>
      </c>
    </row>
    <row r="1139" spans="1:19" ht="107.1" customHeight="1" x14ac:dyDescent="0.25">
      <c r="A1139" s="8" t="s">
        <v>8727</v>
      </c>
      <c r="B1139" s="8" t="s">
        <v>5693</v>
      </c>
      <c r="C1139" s="8" t="s">
        <v>5918</v>
      </c>
      <c r="D1139" s="10">
        <v>818</v>
      </c>
      <c r="E1139" s="8" t="s">
        <v>8728</v>
      </c>
      <c r="F1139" s="8" t="s">
        <v>8729</v>
      </c>
      <c r="G1139" s="8" t="s">
        <v>4727</v>
      </c>
      <c r="H1139" s="8" t="s">
        <v>8728</v>
      </c>
      <c r="I1139" s="8"/>
      <c r="J1139" s="15" t="s">
        <v>5695</v>
      </c>
      <c r="K1139" s="8"/>
      <c r="L1139" s="15" t="s">
        <v>1685</v>
      </c>
      <c r="M1139" s="8" t="s">
        <v>5578</v>
      </c>
      <c r="N1139" s="8"/>
      <c r="O1139" s="8" t="s">
        <v>5574</v>
      </c>
      <c r="P1139" s="11"/>
      <c r="Q1139" s="8" t="s">
        <v>5696</v>
      </c>
      <c r="R1139" s="8" t="s">
        <v>5919</v>
      </c>
      <c r="S1139" s="8" t="s">
        <v>8730</v>
      </c>
    </row>
    <row r="1140" spans="1:19" ht="93" customHeight="1" x14ac:dyDescent="0.25">
      <c r="A1140" s="8" t="s">
        <v>8731</v>
      </c>
      <c r="B1140" s="8" t="s">
        <v>5693</v>
      </c>
      <c r="C1140" s="8" t="s">
        <v>5918</v>
      </c>
      <c r="D1140" s="10">
        <v>819</v>
      </c>
      <c r="E1140" s="8" t="s">
        <v>8732</v>
      </c>
      <c r="F1140" s="8" t="s">
        <v>8733</v>
      </c>
      <c r="G1140" s="8" t="s">
        <v>4727</v>
      </c>
      <c r="H1140" s="8" t="s">
        <v>8732</v>
      </c>
      <c r="I1140" s="8"/>
      <c r="J1140" s="15" t="s">
        <v>5695</v>
      </c>
      <c r="K1140" s="8"/>
      <c r="L1140" s="15" t="s">
        <v>1685</v>
      </c>
      <c r="M1140" s="8" t="s">
        <v>5578</v>
      </c>
      <c r="N1140" s="8"/>
      <c r="O1140" s="8" t="s">
        <v>5574</v>
      </c>
      <c r="P1140" s="11"/>
      <c r="Q1140" s="8" t="s">
        <v>5696</v>
      </c>
      <c r="R1140" s="8" t="s">
        <v>5919</v>
      </c>
      <c r="S1140" s="8" t="s">
        <v>8734</v>
      </c>
    </row>
    <row r="1141" spans="1:19" ht="107.1" customHeight="1" x14ac:dyDescent="0.25">
      <c r="A1141" s="8" t="s">
        <v>8735</v>
      </c>
      <c r="B1141" s="8" t="s">
        <v>5693</v>
      </c>
      <c r="C1141" s="8" t="s">
        <v>5918</v>
      </c>
      <c r="D1141" s="10">
        <v>820</v>
      </c>
      <c r="E1141" s="8" t="s">
        <v>8736</v>
      </c>
      <c r="F1141" s="8" t="s">
        <v>8737</v>
      </c>
      <c r="G1141" s="8" t="s">
        <v>4727</v>
      </c>
      <c r="H1141" s="8" t="s">
        <v>8736</v>
      </c>
      <c r="I1141" s="8"/>
      <c r="J1141" s="15" t="s">
        <v>5695</v>
      </c>
      <c r="K1141" s="8"/>
      <c r="L1141" s="15" t="s">
        <v>1685</v>
      </c>
      <c r="M1141" s="8" t="s">
        <v>5578</v>
      </c>
      <c r="N1141" s="8"/>
      <c r="O1141" s="8" t="s">
        <v>5574</v>
      </c>
      <c r="P1141" s="11"/>
      <c r="Q1141" s="8" t="s">
        <v>5696</v>
      </c>
      <c r="R1141" s="8" t="s">
        <v>5919</v>
      </c>
      <c r="S1141" s="8" t="s">
        <v>8738</v>
      </c>
    </row>
    <row r="1142" spans="1:19" ht="93" customHeight="1" x14ac:dyDescent="0.25">
      <c r="A1142" s="8" t="s">
        <v>8739</v>
      </c>
      <c r="B1142" s="8" t="s">
        <v>5693</v>
      </c>
      <c r="C1142" s="8" t="s">
        <v>5918</v>
      </c>
      <c r="D1142" s="10">
        <v>821</v>
      </c>
      <c r="E1142" s="8" t="s">
        <v>8740</v>
      </c>
      <c r="F1142" s="8" t="s">
        <v>8741</v>
      </c>
      <c r="G1142" s="8" t="s">
        <v>4727</v>
      </c>
      <c r="H1142" s="8" t="s">
        <v>8740</v>
      </c>
      <c r="I1142" s="8"/>
      <c r="J1142" s="15" t="s">
        <v>5695</v>
      </c>
      <c r="K1142" s="8"/>
      <c r="L1142" s="15" t="s">
        <v>1685</v>
      </c>
      <c r="M1142" s="8" t="s">
        <v>5578</v>
      </c>
      <c r="N1142" s="8"/>
      <c r="O1142" s="8" t="s">
        <v>5574</v>
      </c>
      <c r="P1142" s="11"/>
      <c r="Q1142" s="8" t="s">
        <v>5696</v>
      </c>
      <c r="R1142" s="8" t="s">
        <v>5919</v>
      </c>
      <c r="S1142" s="8" t="s">
        <v>8742</v>
      </c>
    </row>
    <row r="1143" spans="1:19" ht="93" customHeight="1" x14ac:dyDescent="0.25">
      <c r="A1143" s="8" t="s">
        <v>8743</v>
      </c>
      <c r="B1143" s="8" t="s">
        <v>5693</v>
      </c>
      <c r="C1143" s="8" t="s">
        <v>5918</v>
      </c>
      <c r="D1143" s="10">
        <v>822</v>
      </c>
      <c r="E1143" s="8" t="s">
        <v>8744</v>
      </c>
      <c r="F1143" s="8" t="s">
        <v>8745</v>
      </c>
      <c r="G1143" s="8" t="s">
        <v>4727</v>
      </c>
      <c r="H1143" s="8" t="s">
        <v>8744</v>
      </c>
      <c r="I1143" s="8"/>
      <c r="J1143" s="15" t="s">
        <v>5695</v>
      </c>
      <c r="K1143" s="8"/>
      <c r="L1143" s="15" t="s">
        <v>1685</v>
      </c>
      <c r="M1143" s="8" t="s">
        <v>5578</v>
      </c>
      <c r="N1143" s="8"/>
      <c r="O1143" s="8" t="s">
        <v>5574</v>
      </c>
      <c r="P1143" s="11"/>
      <c r="Q1143" s="8" t="s">
        <v>5696</v>
      </c>
      <c r="R1143" s="8" t="s">
        <v>5919</v>
      </c>
      <c r="S1143" s="8" t="s">
        <v>8746</v>
      </c>
    </row>
    <row r="1144" spans="1:19" ht="93" customHeight="1" x14ac:dyDescent="0.25">
      <c r="A1144" s="8" t="s">
        <v>8747</v>
      </c>
      <c r="B1144" s="8" t="s">
        <v>5693</v>
      </c>
      <c r="C1144" s="8" t="s">
        <v>5918</v>
      </c>
      <c r="D1144" s="10">
        <v>823</v>
      </c>
      <c r="E1144" s="8" t="s">
        <v>8748</v>
      </c>
      <c r="F1144" s="8" t="s">
        <v>8749</v>
      </c>
      <c r="G1144" s="8" t="s">
        <v>4727</v>
      </c>
      <c r="H1144" s="8" t="s">
        <v>8748</v>
      </c>
      <c r="I1144" s="8"/>
      <c r="J1144" s="15" t="s">
        <v>5695</v>
      </c>
      <c r="K1144" s="8"/>
      <c r="L1144" s="15" t="s">
        <v>1685</v>
      </c>
      <c r="M1144" s="8" t="s">
        <v>5578</v>
      </c>
      <c r="N1144" s="8"/>
      <c r="O1144" s="8" t="s">
        <v>5574</v>
      </c>
      <c r="P1144" s="11"/>
      <c r="Q1144" s="8" t="s">
        <v>5696</v>
      </c>
      <c r="R1144" s="8" t="s">
        <v>5919</v>
      </c>
      <c r="S1144" s="8" t="s">
        <v>8750</v>
      </c>
    </row>
    <row r="1145" spans="1:19" ht="93" customHeight="1" x14ac:dyDescent="0.25">
      <c r="A1145" s="8" t="s">
        <v>8751</v>
      </c>
      <c r="B1145" s="8" t="s">
        <v>5693</v>
      </c>
      <c r="C1145" s="8" t="s">
        <v>5918</v>
      </c>
      <c r="D1145" s="10">
        <v>824</v>
      </c>
      <c r="E1145" s="8" t="s">
        <v>8752</v>
      </c>
      <c r="F1145" s="8" t="s">
        <v>8753</v>
      </c>
      <c r="G1145" s="8" t="s">
        <v>4727</v>
      </c>
      <c r="H1145" s="8" t="s">
        <v>8752</v>
      </c>
      <c r="I1145" s="8"/>
      <c r="J1145" s="15" t="s">
        <v>5695</v>
      </c>
      <c r="K1145" s="8"/>
      <c r="L1145" s="15" t="s">
        <v>1685</v>
      </c>
      <c r="M1145" s="8" t="s">
        <v>5578</v>
      </c>
      <c r="N1145" s="8"/>
      <c r="O1145" s="8" t="s">
        <v>5574</v>
      </c>
      <c r="P1145" s="11"/>
      <c r="Q1145" s="8" t="s">
        <v>5696</v>
      </c>
      <c r="R1145" s="8" t="s">
        <v>5919</v>
      </c>
      <c r="S1145" s="8" t="s">
        <v>8754</v>
      </c>
    </row>
    <row r="1146" spans="1:19" ht="93" customHeight="1" x14ac:dyDescent="0.25">
      <c r="A1146" s="8" t="s">
        <v>8755</v>
      </c>
      <c r="B1146" s="8" t="s">
        <v>5693</v>
      </c>
      <c r="C1146" s="8" t="s">
        <v>5918</v>
      </c>
      <c r="D1146" s="10">
        <v>825</v>
      </c>
      <c r="E1146" s="8" t="s">
        <v>8756</v>
      </c>
      <c r="F1146" s="8" t="s">
        <v>8757</v>
      </c>
      <c r="G1146" s="8" t="s">
        <v>4727</v>
      </c>
      <c r="H1146" s="8" t="s">
        <v>8756</v>
      </c>
      <c r="I1146" s="8"/>
      <c r="J1146" s="15" t="s">
        <v>5695</v>
      </c>
      <c r="K1146" s="8"/>
      <c r="L1146" s="15" t="s">
        <v>1685</v>
      </c>
      <c r="M1146" s="8" t="s">
        <v>5578</v>
      </c>
      <c r="N1146" s="8"/>
      <c r="O1146" s="8" t="s">
        <v>5574</v>
      </c>
      <c r="P1146" s="11"/>
      <c r="Q1146" s="8" t="s">
        <v>5696</v>
      </c>
      <c r="R1146" s="8" t="s">
        <v>5919</v>
      </c>
      <c r="S1146" s="8" t="s">
        <v>8758</v>
      </c>
    </row>
    <row r="1147" spans="1:19" ht="107.1" customHeight="1" x14ac:dyDescent="0.25">
      <c r="A1147" s="8" t="s">
        <v>8759</v>
      </c>
      <c r="B1147" s="8" t="s">
        <v>5693</v>
      </c>
      <c r="C1147" s="8" t="s">
        <v>5918</v>
      </c>
      <c r="D1147" s="10">
        <v>826</v>
      </c>
      <c r="E1147" s="8" t="s">
        <v>8760</v>
      </c>
      <c r="F1147" s="8" t="s">
        <v>8761</v>
      </c>
      <c r="G1147" s="8" t="s">
        <v>4727</v>
      </c>
      <c r="H1147" s="8" t="s">
        <v>8760</v>
      </c>
      <c r="I1147" s="8"/>
      <c r="J1147" s="15" t="s">
        <v>5695</v>
      </c>
      <c r="K1147" s="8"/>
      <c r="L1147" s="15" t="s">
        <v>1685</v>
      </c>
      <c r="M1147" s="8" t="s">
        <v>5578</v>
      </c>
      <c r="N1147" s="8"/>
      <c r="O1147" s="8" t="s">
        <v>5574</v>
      </c>
      <c r="P1147" s="11"/>
      <c r="Q1147" s="8" t="s">
        <v>5696</v>
      </c>
      <c r="R1147" s="8" t="s">
        <v>5919</v>
      </c>
      <c r="S1147" s="8" t="s">
        <v>8762</v>
      </c>
    </row>
    <row r="1148" spans="1:19" ht="93" customHeight="1" x14ac:dyDescent="0.25">
      <c r="A1148" s="8" t="s">
        <v>8763</v>
      </c>
      <c r="B1148" s="8" t="s">
        <v>5693</v>
      </c>
      <c r="C1148" s="8" t="s">
        <v>5918</v>
      </c>
      <c r="D1148" s="10">
        <v>827</v>
      </c>
      <c r="E1148" s="8" t="s">
        <v>8764</v>
      </c>
      <c r="F1148" s="8" t="s">
        <v>8765</v>
      </c>
      <c r="G1148" s="8" t="s">
        <v>4727</v>
      </c>
      <c r="H1148" s="8" t="s">
        <v>8764</v>
      </c>
      <c r="I1148" s="8"/>
      <c r="J1148" s="15" t="s">
        <v>5695</v>
      </c>
      <c r="K1148" s="8"/>
      <c r="L1148" s="15" t="s">
        <v>1685</v>
      </c>
      <c r="M1148" s="8" t="s">
        <v>5578</v>
      </c>
      <c r="N1148" s="8"/>
      <c r="O1148" s="8" t="s">
        <v>5574</v>
      </c>
      <c r="P1148" s="11"/>
      <c r="Q1148" s="8" t="s">
        <v>5696</v>
      </c>
      <c r="R1148" s="8" t="s">
        <v>5919</v>
      </c>
      <c r="S1148" s="8" t="s">
        <v>8766</v>
      </c>
    </row>
    <row r="1149" spans="1:19" ht="107.1" customHeight="1" x14ac:dyDescent="0.25">
      <c r="A1149" s="8" t="s">
        <v>8767</v>
      </c>
      <c r="B1149" s="8" t="s">
        <v>5693</v>
      </c>
      <c r="C1149" s="8" t="s">
        <v>5918</v>
      </c>
      <c r="D1149" s="10">
        <v>828</v>
      </c>
      <c r="E1149" s="8" t="s">
        <v>8768</v>
      </c>
      <c r="F1149" s="8" t="s">
        <v>8769</v>
      </c>
      <c r="G1149" s="8" t="s">
        <v>4727</v>
      </c>
      <c r="H1149" s="8" t="s">
        <v>8768</v>
      </c>
      <c r="I1149" s="8"/>
      <c r="J1149" s="15" t="s">
        <v>5695</v>
      </c>
      <c r="K1149" s="8"/>
      <c r="L1149" s="15" t="s">
        <v>1685</v>
      </c>
      <c r="M1149" s="8" t="s">
        <v>5578</v>
      </c>
      <c r="N1149" s="8"/>
      <c r="O1149" s="8" t="s">
        <v>5574</v>
      </c>
      <c r="P1149" s="11"/>
      <c r="Q1149" s="8" t="s">
        <v>5696</v>
      </c>
      <c r="R1149" s="8" t="s">
        <v>5919</v>
      </c>
      <c r="S1149" s="8" t="s">
        <v>8770</v>
      </c>
    </row>
    <row r="1150" spans="1:19" ht="93" customHeight="1" x14ac:dyDescent="0.25">
      <c r="A1150" s="8" t="s">
        <v>8771</v>
      </c>
      <c r="B1150" s="8" t="s">
        <v>5693</v>
      </c>
      <c r="C1150" s="8" t="s">
        <v>5918</v>
      </c>
      <c r="D1150" s="10">
        <v>829</v>
      </c>
      <c r="E1150" s="8" t="s">
        <v>8772</v>
      </c>
      <c r="F1150" s="8" t="s">
        <v>8773</v>
      </c>
      <c r="G1150" s="8" t="s">
        <v>4727</v>
      </c>
      <c r="H1150" s="8" t="s">
        <v>8772</v>
      </c>
      <c r="I1150" s="8"/>
      <c r="J1150" s="15" t="s">
        <v>5695</v>
      </c>
      <c r="K1150" s="8"/>
      <c r="L1150" s="15" t="s">
        <v>1685</v>
      </c>
      <c r="M1150" s="8" t="s">
        <v>5578</v>
      </c>
      <c r="N1150" s="8"/>
      <c r="O1150" s="8" t="s">
        <v>5574</v>
      </c>
      <c r="P1150" s="11"/>
      <c r="Q1150" s="8" t="s">
        <v>5696</v>
      </c>
      <c r="R1150" s="8" t="s">
        <v>5919</v>
      </c>
      <c r="S1150" s="8" t="s">
        <v>8774</v>
      </c>
    </row>
    <row r="1151" spans="1:19" ht="93" customHeight="1" x14ac:dyDescent="0.25">
      <c r="A1151" s="8" t="s">
        <v>8775</v>
      </c>
      <c r="B1151" s="8" t="s">
        <v>5693</v>
      </c>
      <c r="C1151" s="8" t="s">
        <v>5918</v>
      </c>
      <c r="D1151" s="10">
        <v>830</v>
      </c>
      <c r="E1151" s="8" t="s">
        <v>8776</v>
      </c>
      <c r="F1151" s="8" t="s">
        <v>8777</v>
      </c>
      <c r="G1151" s="8" t="s">
        <v>4727</v>
      </c>
      <c r="H1151" s="8" t="s">
        <v>8776</v>
      </c>
      <c r="I1151" s="8"/>
      <c r="J1151" s="15" t="s">
        <v>5695</v>
      </c>
      <c r="K1151" s="8"/>
      <c r="L1151" s="15" t="s">
        <v>1685</v>
      </c>
      <c r="M1151" s="8" t="s">
        <v>5578</v>
      </c>
      <c r="N1151" s="8"/>
      <c r="O1151" s="8" t="s">
        <v>5574</v>
      </c>
      <c r="P1151" s="11"/>
      <c r="Q1151" s="8" t="s">
        <v>5696</v>
      </c>
      <c r="R1151" s="8" t="s">
        <v>5919</v>
      </c>
      <c r="S1151" s="8" t="s">
        <v>8778</v>
      </c>
    </row>
    <row r="1152" spans="1:19" ht="107.1" customHeight="1" x14ac:dyDescent="0.25">
      <c r="A1152" s="8" t="s">
        <v>8779</v>
      </c>
      <c r="B1152" s="8" t="s">
        <v>5693</v>
      </c>
      <c r="C1152" s="8" t="s">
        <v>5918</v>
      </c>
      <c r="D1152" s="10">
        <v>831</v>
      </c>
      <c r="E1152" s="8" t="s">
        <v>8780</v>
      </c>
      <c r="F1152" s="8" t="s">
        <v>8781</v>
      </c>
      <c r="G1152" s="8" t="s">
        <v>4727</v>
      </c>
      <c r="H1152" s="8" t="s">
        <v>8780</v>
      </c>
      <c r="I1152" s="8"/>
      <c r="J1152" s="15" t="s">
        <v>5695</v>
      </c>
      <c r="K1152" s="8"/>
      <c r="L1152" s="15" t="s">
        <v>1685</v>
      </c>
      <c r="M1152" s="8" t="s">
        <v>5578</v>
      </c>
      <c r="N1152" s="8"/>
      <c r="O1152" s="8" t="s">
        <v>5574</v>
      </c>
      <c r="P1152" s="11"/>
      <c r="Q1152" s="8" t="s">
        <v>5696</v>
      </c>
      <c r="R1152" s="8" t="s">
        <v>5919</v>
      </c>
      <c r="S1152" s="8" t="s">
        <v>8782</v>
      </c>
    </row>
    <row r="1153" spans="1:19" ht="93" customHeight="1" x14ac:dyDescent="0.25">
      <c r="A1153" s="8" t="s">
        <v>8783</v>
      </c>
      <c r="B1153" s="8" t="s">
        <v>5693</v>
      </c>
      <c r="C1153" s="8" t="s">
        <v>5918</v>
      </c>
      <c r="D1153" s="10">
        <v>832</v>
      </c>
      <c r="E1153" s="8" t="s">
        <v>8784</v>
      </c>
      <c r="F1153" s="8" t="s">
        <v>8785</v>
      </c>
      <c r="G1153" s="8" t="s">
        <v>4727</v>
      </c>
      <c r="H1153" s="8" t="s">
        <v>8784</v>
      </c>
      <c r="I1153" s="8"/>
      <c r="J1153" s="15" t="s">
        <v>5695</v>
      </c>
      <c r="K1153" s="8"/>
      <c r="L1153" s="15" t="s">
        <v>1685</v>
      </c>
      <c r="M1153" s="8" t="s">
        <v>5578</v>
      </c>
      <c r="N1153" s="8"/>
      <c r="O1153" s="8" t="s">
        <v>5574</v>
      </c>
      <c r="P1153" s="11"/>
      <c r="Q1153" s="8" t="s">
        <v>5696</v>
      </c>
      <c r="R1153" s="8" t="s">
        <v>5919</v>
      </c>
      <c r="S1153" s="8" t="s">
        <v>8786</v>
      </c>
    </row>
    <row r="1154" spans="1:19" ht="93" customHeight="1" x14ac:dyDescent="0.25">
      <c r="A1154" s="8" t="s">
        <v>8787</v>
      </c>
      <c r="B1154" s="8" t="s">
        <v>5693</v>
      </c>
      <c r="C1154" s="8" t="s">
        <v>5918</v>
      </c>
      <c r="D1154" s="10">
        <v>833</v>
      </c>
      <c r="E1154" s="8" t="s">
        <v>8788</v>
      </c>
      <c r="F1154" s="8" t="s">
        <v>8789</v>
      </c>
      <c r="G1154" s="8" t="s">
        <v>4727</v>
      </c>
      <c r="H1154" s="8" t="s">
        <v>8788</v>
      </c>
      <c r="I1154" s="8"/>
      <c r="J1154" s="15" t="s">
        <v>5695</v>
      </c>
      <c r="K1154" s="8"/>
      <c r="L1154" s="15" t="s">
        <v>1685</v>
      </c>
      <c r="M1154" s="8" t="s">
        <v>5578</v>
      </c>
      <c r="N1154" s="8"/>
      <c r="O1154" s="8" t="s">
        <v>5574</v>
      </c>
      <c r="P1154" s="11"/>
      <c r="Q1154" s="8" t="s">
        <v>5696</v>
      </c>
      <c r="R1154" s="8" t="s">
        <v>5919</v>
      </c>
      <c r="S1154" s="8" t="s">
        <v>8790</v>
      </c>
    </row>
    <row r="1155" spans="1:19" ht="93" customHeight="1" x14ac:dyDescent="0.25">
      <c r="A1155" s="8" t="s">
        <v>8791</v>
      </c>
      <c r="B1155" s="8" t="s">
        <v>5693</v>
      </c>
      <c r="C1155" s="8" t="s">
        <v>5918</v>
      </c>
      <c r="D1155" s="10">
        <v>834</v>
      </c>
      <c r="E1155" s="8" t="s">
        <v>8792</v>
      </c>
      <c r="F1155" s="8" t="s">
        <v>8793</v>
      </c>
      <c r="G1155" s="8" t="s">
        <v>4727</v>
      </c>
      <c r="H1155" s="8" t="s">
        <v>8792</v>
      </c>
      <c r="I1155" s="8"/>
      <c r="J1155" s="15" t="s">
        <v>5695</v>
      </c>
      <c r="K1155" s="8"/>
      <c r="L1155" s="15" t="s">
        <v>1685</v>
      </c>
      <c r="M1155" s="8" t="s">
        <v>5578</v>
      </c>
      <c r="N1155" s="8"/>
      <c r="O1155" s="8" t="s">
        <v>5574</v>
      </c>
      <c r="P1155" s="11"/>
      <c r="Q1155" s="8" t="s">
        <v>5696</v>
      </c>
      <c r="R1155" s="8" t="s">
        <v>5919</v>
      </c>
      <c r="S1155" s="8" t="s">
        <v>8794</v>
      </c>
    </row>
    <row r="1156" spans="1:19" ht="93" customHeight="1" x14ac:dyDescent="0.25">
      <c r="A1156" s="8" t="s">
        <v>8795</v>
      </c>
      <c r="B1156" s="8" t="s">
        <v>5693</v>
      </c>
      <c r="C1156" s="8" t="s">
        <v>5918</v>
      </c>
      <c r="D1156" s="10">
        <v>835</v>
      </c>
      <c r="E1156" s="8" t="s">
        <v>8796</v>
      </c>
      <c r="F1156" s="8" t="s">
        <v>8797</v>
      </c>
      <c r="G1156" s="8" t="s">
        <v>4727</v>
      </c>
      <c r="H1156" s="8" t="s">
        <v>8796</v>
      </c>
      <c r="I1156" s="8"/>
      <c r="J1156" s="15" t="s">
        <v>5695</v>
      </c>
      <c r="K1156" s="8"/>
      <c r="L1156" s="15" t="s">
        <v>1685</v>
      </c>
      <c r="M1156" s="8" t="s">
        <v>5578</v>
      </c>
      <c r="N1156" s="8"/>
      <c r="O1156" s="8" t="s">
        <v>5574</v>
      </c>
      <c r="P1156" s="11"/>
      <c r="Q1156" s="8" t="s">
        <v>5696</v>
      </c>
      <c r="R1156" s="8" t="s">
        <v>5919</v>
      </c>
      <c r="S1156" s="8" t="s">
        <v>8798</v>
      </c>
    </row>
    <row r="1157" spans="1:19" ht="93" customHeight="1" x14ac:dyDescent="0.25">
      <c r="A1157" s="8" t="s">
        <v>8799</v>
      </c>
      <c r="B1157" s="8" t="s">
        <v>5693</v>
      </c>
      <c r="C1157" s="8" t="s">
        <v>5918</v>
      </c>
      <c r="D1157" s="10">
        <v>836</v>
      </c>
      <c r="E1157" s="8" t="s">
        <v>8800</v>
      </c>
      <c r="F1157" s="8" t="s">
        <v>8801</v>
      </c>
      <c r="G1157" s="8" t="s">
        <v>4727</v>
      </c>
      <c r="H1157" s="8" t="s">
        <v>8800</v>
      </c>
      <c r="I1157" s="8"/>
      <c r="J1157" s="15" t="s">
        <v>5695</v>
      </c>
      <c r="K1157" s="8"/>
      <c r="L1157" s="15" t="s">
        <v>1685</v>
      </c>
      <c r="M1157" s="8" t="s">
        <v>5578</v>
      </c>
      <c r="N1157" s="8"/>
      <c r="O1157" s="8" t="s">
        <v>5574</v>
      </c>
      <c r="P1157" s="11"/>
      <c r="Q1157" s="8" t="s">
        <v>5696</v>
      </c>
      <c r="R1157" s="8" t="s">
        <v>5919</v>
      </c>
      <c r="S1157" s="8" t="s">
        <v>8802</v>
      </c>
    </row>
    <row r="1158" spans="1:19" ht="107.1" customHeight="1" x14ac:dyDescent="0.25">
      <c r="A1158" s="8" t="s">
        <v>8803</v>
      </c>
      <c r="B1158" s="8" t="s">
        <v>5693</v>
      </c>
      <c r="C1158" s="8" t="s">
        <v>5918</v>
      </c>
      <c r="D1158" s="10">
        <v>837</v>
      </c>
      <c r="E1158" s="8" t="s">
        <v>8804</v>
      </c>
      <c r="F1158" s="8" t="s">
        <v>8805</v>
      </c>
      <c r="G1158" s="8" t="s">
        <v>4727</v>
      </c>
      <c r="H1158" s="8" t="s">
        <v>8804</v>
      </c>
      <c r="I1158" s="8"/>
      <c r="J1158" s="15" t="s">
        <v>5695</v>
      </c>
      <c r="K1158" s="8"/>
      <c r="L1158" s="15" t="s">
        <v>1685</v>
      </c>
      <c r="M1158" s="8" t="s">
        <v>5578</v>
      </c>
      <c r="N1158" s="8"/>
      <c r="O1158" s="8" t="s">
        <v>5574</v>
      </c>
      <c r="P1158" s="11"/>
      <c r="Q1158" s="8" t="s">
        <v>5696</v>
      </c>
      <c r="R1158" s="8" t="s">
        <v>5919</v>
      </c>
      <c r="S1158" s="8" t="s">
        <v>8806</v>
      </c>
    </row>
    <row r="1159" spans="1:19" ht="93" customHeight="1" x14ac:dyDescent="0.25">
      <c r="A1159" s="8" t="s">
        <v>8807</v>
      </c>
      <c r="B1159" s="8" t="s">
        <v>5693</v>
      </c>
      <c r="C1159" s="8" t="s">
        <v>5918</v>
      </c>
      <c r="D1159" s="10">
        <v>838</v>
      </c>
      <c r="E1159" s="8" t="s">
        <v>8808</v>
      </c>
      <c r="F1159" s="8" t="s">
        <v>8809</v>
      </c>
      <c r="G1159" s="8" t="s">
        <v>4727</v>
      </c>
      <c r="H1159" s="8" t="s">
        <v>8808</v>
      </c>
      <c r="I1159" s="8"/>
      <c r="J1159" s="15" t="s">
        <v>5695</v>
      </c>
      <c r="K1159" s="8"/>
      <c r="L1159" s="15" t="s">
        <v>1685</v>
      </c>
      <c r="M1159" s="8" t="s">
        <v>5578</v>
      </c>
      <c r="N1159" s="8"/>
      <c r="O1159" s="8" t="s">
        <v>5574</v>
      </c>
      <c r="P1159" s="11"/>
      <c r="Q1159" s="8" t="s">
        <v>5696</v>
      </c>
      <c r="R1159" s="8" t="s">
        <v>5919</v>
      </c>
      <c r="S1159" s="8" t="s">
        <v>8810</v>
      </c>
    </row>
    <row r="1160" spans="1:19" ht="107.1" customHeight="1" x14ac:dyDescent="0.25">
      <c r="A1160" s="8" t="s">
        <v>8811</v>
      </c>
      <c r="B1160" s="8" t="s">
        <v>5693</v>
      </c>
      <c r="C1160" s="8" t="s">
        <v>5918</v>
      </c>
      <c r="D1160" s="10">
        <v>839</v>
      </c>
      <c r="E1160" s="8" t="s">
        <v>8812</v>
      </c>
      <c r="F1160" s="8" t="s">
        <v>8813</v>
      </c>
      <c r="G1160" s="8" t="s">
        <v>4727</v>
      </c>
      <c r="H1160" s="8" t="s">
        <v>8812</v>
      </c>
      <c r="I1160" s="8"/>
      <c r="J1160" s="15" t="s">
        <v>5695</v>
      </c>
      <c r="K1160" s="8"/>
      <c r="L1160" s="15" t="s">
        <v>1685</v>
      </c>
      <c r="M1160" s="8" t="s">
        <v>5578</v>
      </c>
      <c r="N1160" s="8"/>
      <c r="O1160" s="8" t="s">
        <v>5574</v>
      </c>
      <c r="P1160" s="11"/>
      <c r="Q1160" s="8" t="s">
        <v>5696</v>
      </c>
      <c r="R1160" s="8" t="s">
        <v>5919</v>
      </c>
      <c r="S1160" s="8" t="s">
        <v>8814</v>
      </c>
    </row>
    <row r="1161" spans="1:19" ht="107.1" customHeight="1" x14ac:dyDescent="0.25">
      <c r="A1161" s="8" t="s">
        <v>8815</v>
      </c>
      <c r="B1161" s="8" t="s">
        <v>5693</v>
      </c>
      <c r="C1161" s="8" t="s">
        <v>5918</v>
      </c>
      <c r="D1161" s="10">
        <v>840</v>
      </c>
      <c r="E1161" s="8" t="s">
        <v>8816</v>
      </c>
      <c r="F1161" s="8" t="s">
        <v>8817</v>
      </c>
      <c r="G1161" s="8" t="s">
        <v>4727</v>
      </c>
      <c r="H1161" s="8" t="s">
        <v>8816</v>
      </c>
      <c r="I1161" s="8"/>
      <c r="J1161" s="15" t="s">
        <v>5695</v>
      </c>
      <c r="K1161" s="8"/>
      <c r="L1161" s="15" t="s">
        <v>1685</v>
      </c>
      <c r="M1161" s="8" t="s">
        <v>5578</v>
      </c>
      <c r="N1161" s="8"/>
      <c r="O1161" s="8" t="s">
        <v>5574</v>
      </c>
      <c r="P1161" s="11"/>
      <c r="Q1161" s="8" t="s">
        <v>5696</v>
      </c>
      <c r="R1161" s="8" t="s">
        <v>5919</v>
      </c>
      <c r="S1161" s="8" t="s">
        <v>8818</v>
      </c>
    </row>
    <row r="1162" spans="1:19" ht="107.1" customHeight="1" x14ac:dyDescent="0.25">
      <c r="A1162" s="8" t="s">
        <v>8819</v>
      </c>
      <c r="B1162" s="8" t="s">
        <v>5693</v>
      </c>
      <c r="C1162" s="8" t="s">
        <v>5918</v>
      </c>
      <c r="D1162" s="10">
        <v>841</v>
      </c>
      <c r="E1162" s="8" t="s">
        <v>8820</v>
      </c>
      <c r="F1162" s="8" t="s">
        <v>8821</v>
      </c>
      <c r="G1162" s="8" t="s">
        <v>4727</v>
      </c>
      <c r="H1162" s="8" t="s">
        <v>8820</v>
      </c>
      <c r="I1162" s="8"/>
      <c r="J1162" s="15" t="s">
        <v>5695</v>
      </c>
      <c r="K1162" s="8"/>
      <c r="L1162" s="15" t="s">
        <v>1685</v>
      </c>
      <c r="M1162" s="8" t="s">
        <v>5578</v>
      </c>
      <c r="N1162" s="8"/>
      <c r="O1162" s="8" t="s">
        <v>5574</v>
      </c>
      <c r="P1162" s="11"/>
      <c r="Q1162" s="8" t="s">
        <v>5696</v>
      </c>
      <c r="R1162" s="8" t="s">
        <v>5919</v>
      </c>
      <c r="S1162" s="8" t="s">
        <v>8822</v>
      </c>
    </row>
    <row r="1163" spans="1:19" ht="107.1" customHeight="1" x14ac:dyDescent="0.25">
      <c r="A1163" s="8" t="s">
        <v>8823</v>
      </c>
      <c r="B1163" s="8" t="s">
        <v>5693</v>
      </c>
      <c r="C1163" s="8" t="s">
        <v>5918</v>
      </c>
      <c r="D1163" s="10">
        <v>842</v>
      </c>
      <c r="E1163" s="8" t="s">
        <v>8824</v>
      </c>
      <c r="F1163" s="8" t="s">
        <v>8825</v>
      </c>
      <c r="G1163" s="8" t="s">
        <v>4727</v>
      </c>
      <c r="H1163" s="8" t="s">
        <v>8824</v>
      </c>
      <c r="I1163" s="8"/>
      <c r="J1163" s="15" t="s">
        <v>5695</v>
      </c>
      <c r="K1163" s="8"/>
      <c r="L1163" s="15" t="s">
        <v>1685</v>
      </c>
      <c r="M1163" s="8" t="s">
        <v>5578</v>
      </c>
      <c r="N1163" s="8"/>
      <c r="O1163" s="8" t="s">
        <v>5574</v>
      </c>
      <c r="P1163" s="11"/>
      <c r="Q1163" s="8" t="s">
        <v>5696</v>
      </c>
      <c r="R1163" s="8" t="s">
        <v>5919</v>
      </c>
      <c r="S1163" s="8" t="s">
        <v>8826</v>
      </c>
    </row>
    <row r="1164" spans="1:19" ht="93" customHeight="1" x14ac:dyDescent="0.25">
      <c r="A1164" s="8" t="s">
        <v>8827</v>
      </c>
      <c r="B1164" s="8" t="s">
        <v>5693</v>
      </c>
      <c r="C1164" s="8" t="s">
        <v>5918</v>
      </c>
      <c r="D1164" s="10">
        <v>843</v>
      </c>
      <c r="E1164" s="8" t="s">
        <v>8828</v>
      </c>
      <c r="F1164" s="8" t="s">
        <v>8829</v>
      </c>
      <c r="G1164" s="8" t="s">
        <v>4727</v>
      </c>
      <c r="H1164" s="8" t="s">
        <v>8828</v>
      </c>
      <c r="I1164" s="8"/>
      <c r="J1164" s="15" t="s">
        <v>5695</v>
      </c>
      <c r="K1164" s="8"/>
      <c r="L1164" s="15" t="s">
        <v>1685</v>
      </c>
      <c r="M1164" s="8" t="s">
        <v>5578</v>
      </c>
      <c r="N1164" s="8"/>
      <c r="O1164" s="8" t="s">
        <v>5574</v>
      </c>
      <c r="P1164" s="11"/>
      <c r="Q1164" s="8" t="s">
        <v>5696</v>
      </c>
      <c r="R1164" s="8" t="s">
        <v>5919</v>
      </c>
      <c r="S1164" s="8" t="s">
        <v>8830</v>
      </c>
    </row>
    <row r="1165" spans="1:19" ht="107.1" customHeight="1" x14ac:dyDescent="0.25">
      <c r="A1165" s="8" t="s">
        <v>8831</v>
      </c>
      <c r="B1165" s="8" t="s">
        <v>5693</v>
      </c>
      <c r="C1165" s="8" t="s">
        <v>5918</v>
      </c>
      <c r="D1165" s="10">
        <v>844</v>
      </c>
      <c r="E1165" s="8" t="s">
        <v>8832</v>
      </c>
      <c r="F1165" s="8" t="s">
        <v>8833</v>
      </c>
      <c r="G1165" s="8" t="s">
        <v>4727</v>
      </c>
      <c r="H1165" s="8" t="s">
        <v>8832</v>
      </c>
      <c r="I1165" s="8"/>
      <c r="J1165" s="15" t="s">
        <v>5695</v>
      </c>
      <c r="K1165" s="8"/>
      <c r="L1165" s="15" t="s">
        <v>1685</v>
      </c>
      <c r="M1165" s="8" t="s">
        <v>5578</v>
      </c>
      <c r="N1165" s="8"/>
      <c r="O1165" s="8" t="s">
        <v>5574</v>
      </c>
      <c r="P1165" s="11"/>
      <c r="Q1165" s="8" t="s">
        <v>5696</v>
      </c>
      <c r="R1165" s="8" t="s">
        <v>5919</v>
      </c>
      <c r="S1165" s="8" t="s">
        <v>8834</v>
      </c>
    </row>
    <row r="1166" spans="1:19" ht="107.1" customHeight="1" x14ac:dyDescent="0.25">
      <c r="A1166" s="8" t="s">
        <v>8835</v>
      </c>
      <c r="B1166" s="8" t="s">
        <v>5693</v>
      </c>
      <c r="C1166" s="8" t="s">
        <v>5918</v>
      </c>
      <c r="D1166" s="10">
        <v>845</v>
      </c>
      <c r="E1166" s="8" t="s">
        <v>8836</v>
      </c>
      <c r="F1166" s="8" t="s">
        <v>8837</v>
      </c>
      <c r="G1166" s="8" t="s">
        <v>4727</v>
      </c>
      <c r="H1166" s="8" t="s">
        <v>8836</v>
      </c>
      <c r="I1166" s="8"/>
      <c r="J1166" s="15" t="s">
        <v>5695</v>
      </c>
      <c r="K1166" s="8"/>
      <c r="L1166" s="15" t="s">
        <v>1685</v>
      </c>
      <c r="M1166" s="8" t="s">
        <v>5578</v>
      </c>
      <c r="N1166" s="8"/>
      <c r="O1166" s="8" t="s">
        <v>5574</v>
      </c>
      <c r="P1166" s="11"/>
      <c r="Q1166" s="8" t="s">
        <v>5696</v>
      </c>
      <c r="R1166" s="8" t="s">
        <v>5919</v>
      </c>
      <c r="S1166" s="8" t="s">
        <v>8838</v>
      </c>
    </row>
    <row r="1167" spans="1:19" ht="107.1" customHeight="1" x14ac:dyDescent="0.25">
      <c r="A1167" s="8" t="s">
        <v>8839</v>
      </c>
      <c r="B1167" s="8" t="s">
        <v>5693</v>
      </c>
      <c r="C1167" s="8" t="s">
        <v>5918</v>
      </c>
      <c r="D1167" s="10">
        <v>846</v>
      </c>
      <c r="E1167" s="8" t="s">
        <v>8840</v>
      </c>
      <c r="F1167" s="8" t="s">
        <v>8841</v>
      </c>
      <c r="G1167" s="8" t="s">
        <v>4727</v>
      </c>
      <c r="H1167" s="8" t="s">
        <v>8840</v>
      </c>
      <c r="I1167" s="8"/>
      <c r="J1167" s="15" t="s">
        <v>5695</v>
      </c>
      <c r="K1167" s="8"/>
      <c r="L1167" s="15" t="s">
        <v>1685</v>
      </c>
      <c r="M1167" s="8" t="s">
        <v>5578</v>
      </c>
      <c r="N1167" s="8"/>
      <c r="O1167" s="8" t="s">
        <v>5574</v>
      </c>
      <c r="P1167" s="11"/>
      <c r="Q1167" s="8" t="s">
        <v>5696</v>
      </c>
      <c r="R1167" s="8" t="s">
        <v>5919</v>
      </c>
      <c r="S1167" s="8" t="s">
        <v>8842</v>
      </c>
    </row>
    <row r="1168" spans="1:19" ht="93" customHeight="1" x14ac:dyDescent="0.25">
      <c r="A1168" s="8" t="s">
        <v>8843</v>
      </c>
      <c r="B1168" s="8" t="s">
        <v>5693</v>
      </c>
      <c r="C1168" s="8" t="s">
        <v>5918</v>
      </c>
      <c r="D1168" s="10">
        <v>847</v>
      </c>
      <c r="E1168" s="8" t="s">
        <v>8844</v>
      </c>
      <c r="F1168" s="8" t="s">
        <v>8845</v>
      </c>
      <c r="G1168" s="8" t="s">
        <v>4727</v>
      </c>
      <c r="H1168" s="8" t="s">
        <v>8844</v>
      </c>
      <c r="I1168" s="8"/>
      <c r="J1168" s="15" t="s">
        <v>5695</v>
      </c>
      <c r="K1168" s="8"/>
      <c r="L1168" s="15" t="s">
        <v>1685</v>
      </c>
      <c r="M1168" s="8" t="s">
        <v>5578</v>
      </c>
      <c r="N1168" s="8"/>
      <c r="O1168" s="8" t="s">
        <v>5574</v>
      </c>
      <c r="P1168" s="11"/>
      <c r="Q1168" s="8" t="s">
        <v>5696</v>
      </c>
      <c r="R1168" s="8" t="s">
        <v>5919</v>
      </c>
      <c r="S1168" s="8" t="s">
        <v>8846</v>
      </c>
    </row>
    <row r="1169" spans="1:19" ht="107.1" customHeight="1" x14ac:dyDescent="0.25">
      <c r="A1169" s="8" t="s">
        <v>8847</v>
      </c>
      <c r="B1169" s="8" t="s">
        <v>5693</v>
      </c>
      <c r="C1169" s="8" t="s">
        <v>5918</v>
      </c>
      <c r="D1169" s="10">
        <v>848</v>
      </c>
      <c r="E1169" s="8" t="s">
        <v>8848</v>
      </c>
      <c r="F1169" s="8" t="s">
        <v>8849</v>
      </c>
      <c r="G1169" s="8" t="s">
        <v>4727</v>
      </c>
      <c r="H1169" s="8" t="s">
        <v>8848</v>
      </c>
      <c r="I1169" s="8"/>
      <c r="J1169" s="15" t="s">
        <v>5695</v>
      </c>
      <c r="K1169" s="8"/>
      <c r="L1169" s="15" t="s">
        <v>1685</v>
      </c>
      <c r="M1169" s="8" t="s">
        <v>5578</v>
      </c>
      <c r="N1169" s="8"/>
      <c r="O1169" s="8" t="s">
        <v>5574</v>
      </c>
      <c r="P1169" s="11"/>
      <c r="Q1169" s="8" t="s">
        <v>5696</v>
      </c>
      <c r="R1169" s="8" t="s">
        <v>5919</v>
      </c>
      <c r="S1169" s="8" t="s">
        <v>8850</v>
      </c>
    </row>
    <row r="1170" spans="1:19" ht="107.1" customHeight="1" x14ac:dyDescent="0.25">
      <c r="A1170" s="8" t="s">
        <v>8851</v>
      </c>
      <c r="B1170" s="8" t="s">
        <v>5693</v>
      </c>
      <c r="C1170" s="8" t="s">
        <v>5918</v>
      </c>
      <c r="D1170" s="10">
        <v>849</v>
      </c>
      <c r="E1170" s="8" t="s">
        <v>8852</v>
      </c>
      <c r="F1170" s="8" t="s">
        <v>8853</v>
      </c>
      <c r="G1170" s="8" t="s">
        <v>4727</v>
      </c>
      <c r="H1170" s="8" t="s">
        <v>8852</v>
      </c>
      <c r="I1170" s="8"/>
      <c r="J1170" s="15" t="s">
        <v>5695</v>
      </c>
      <c r="K1170" s="8"/>
      <c r="L1170" s="15" t="s">
        <v>1685</v>
      </c>
      <c r="M1170" s="8" t="s">
        <v>5578</v>
      </c>
      <c r="N1170" s="8"/>
      <c r="O1170" s="8" t="s">
        <v>5574</v>
      </c>
      <c r="P1170" s="11"/>
      <c r="Q1170" s="8" t="s">
        <v>5696</v>
      </c>
      <c r="R1170" s="8" t="s">
        <v>5919</v>
      </c>
      <c r="S1170" s="8" t="s">
        <v>8854</v>
      </c>
    </row>
    <row r="1171" spans="1:19" ht="107.1" customHeight="1" x14ac:dyDescent="0.25">
      <c r="A1171" s="8" t="s">
        <v>8855</v>
      </c>
      <c r="B1171" s="8" t="s">
        <v>5693</v>
      </c>
      <c r="C1171" s="8" t="s">
        <v>5918</v>
      </c>
      <c r="D1171" s="10">
        <v>850</v>
      </c>
      <c r="E1171" s="8" t="s">
        <v>8856</v>
      </c>
      <c r="F1171" s="8" t="s">
        <v>8857</v>
      </c>
      <c r="G1171" s="8" t="s">
        <v>4727</v>
      </c>
      <c r="H1171" s="8" t="s">
        <v>8856</v>
      </c>
      <c r="I1171" s="8"/>
      <c r="J1171" s="15" t="s">
        <v>5695</v>
      </c>
      <c r="K1171" s="8"/>
      <c r="L1171" s="15" t="s">
        <v>1685</v>
      </c>
      <c r="M1171" s="8" t="s">
        <v>5578</v>
      </c>
      <c r="N1171" s="8"/>
      <c r="O1171" s="8" t="s">
        <v>5574</v>
      </c>
      <c r="P1171" s="11"/>
      <c r="Q1171" s="8" t="s">
        <v>5696</v>
      </c>
      <c r="R1171" s="8" t="s">
        <v>5919</v>
      </c>
      <c r="S1171" s="8" t="s">
        <v>8858</v>
      </c>
    </row>
    <row r="1172" spans="1:19" ht="93" customHeight="1" x14ac:dyDescent="0.25">
      <c r="A1172" s="8" t="s">
        <v>8859</v>
      </c>
      <c r="B1172" s="8" t="s">
        <v>5693</v>
      </c>
      <c r="C1172" s="8" t="s">
        <v>5918</v>
      </c>
      <c r="D1172" s="10">
        <v>851</v>
      </c>
      <c r="E1172" s="8" t="s">
        <v>8860</v>
      </c>
      <c r="F1172" s="8" t="s">
        <v>8861</v>
      </c>
      <c r="G1172" s="8" t="s">
        <v>4727</v>
      </c>
      <c r="H1172" s="8" t="s">
        <v>8860</v>
      </c>
      <c r="I1172" s="8"/>
      <c r="J1172" s="15" t="s">
        <v>5695</v>
      </c>
      <c r="K1172" s="8"/>
      <c r="L1172" s="15" t="s">
        <v>1685</v>
      </c>
      <c r="M1172" s="8" t="s">
        <v>5578</v>
      </c>
      <c r="N1172" s="8"/>
      <c r="O1172" s="8" t="s">
        <v>5574</v>
      </c>
      <c r="P1172" s="11"/>
      <c r="Q1172" s="8" t="s">
        <v>5696</v>
      </c>
      <c r="R1172" s="8" t="s">
        <v>5919</v>
      </c>
      <c r="S1172" s="8" t="s">
        <v>8862</v>
      </c>
    </row>
    <row r="1173" spans="1:19" ht="107.1" customHeight="1" x14ac:dyDescent="0.25">
      <c r="A1173" s="8" t="s">
        <v>8863</v>
      </c>
      <c r="B1173" s="8" t="s">
        <v>5693</v>
      </c>
      <c r="C1173" s="8" t="s">
        <v>5918</v>
      </c>
      <c r="D1173" s="10">
        <v>852</v>
      </c>
      <c r="E1173" s="8" t="s">
        <v>8864</v>
      </c>
      <c r="F1173" s="8" t="s">
        <v>8865</v>
      </c>
      <c r="G1173" s="8" t="s">
        <v>4727</v>
      </c>
      <c r="H1173" s="8" t="s">
        <v>8864</v>
      </c>
      <c r="I1173" s="8"/>
      <c r="J1173" s="15" t="s">
        <v>5695</v>
      </c>
      <c r="K1173" s="8"/>
      <c r="L1173" s="15" t="s">
        <v>1685</v>
      </c>
      <c r="M1173" s="8" t="s">
        <v>5578</v>
      </c>
      <c r="N1173" s="8"/>
      <c r="O1173" s="8" t="s">
        <v>5574</v>
      </c>
      <c r="P1173" s="11"/>
      <c r="Q1173" s="8" t="s">
        <v>5696</v>
      </c>
      <c r="R1173" s="8" t="s">
        <v>5919</v>
      </c>
      <c r="S1173" s="8" t="s">
        <v>8866</v>
      </c>
    </row>
    <row r="1174" spans="1:19" ht="107.1" customHeight="1" x14ac:dyDescent="0.25">
      <c r="A1174" s="8" t="s">
        <v>8867</v>
      </c>
      <c r="B1174" s="8" t="s">
        <v>5693</v>
      </c>
      <c r="C1174" s="8" t="s">
        <v>5918</v>
      </c>
      <c r="D1174" s="10">
        <v>853</v>
      </c>
      <c r="E1174" s="8" t="s">
        <v>8868</v>
      </c>
      <c r="F1174" s="8" t="s">
        <v>8869</v>
      </c>
      <c r="G1174" s="8" t="s">
        <v>4727</v>
      </c>
      <c r="H1174" s="8" t="s">
        <v>8868</v>
      </c>
      <c r="I1174" s="8"/>
      <c r="J1174" s="15" t="s">
        <v>5695</v>
      </c>
      <c r="K1174" s="8"/>
      <c r="L1174" s="15" t="s">
        <v>1685</v>
      </c>
      <c r="M1174" s="8" t="s">
        <v>5578</v>
      </c>
      <c r="N1174" s="8"/>
      <c r="O1174" s="8" t="s">
        <v>5574</v>
      </c>
      <c r="P1174" s="11"/>
      <c r="Q1174" s="8" t="s">
        <v>5696</v>
      </c>
      <c r="R1174" s="8" t="s">
        <v>5919</v>
      </c>
      <c r="S1174" s="8" t="s">
        <v>8870</v>
      </c>
    </row>
    <row r="1175" spans="1:19" ht="93" customHeight="1" x14ac:dyDescent="0.25">
      <c r="A1175" s="8" t="s">
        <v>8871</v>
      </c>
      <c r="B1175" s="8" t="s">
        <v>5693</v>
      </c>
      <c r="C1175" s="8" t="s">
        <v>5918</v>
      </c>
      <c r="D1175" s="10">
        <v>854</v>
      </c>
      <c r="E1175" s="8" t="s">
        <v>8872</v>
      </c>
      <c r="F1175" s="8" t="s">
        <v>8873</v>
      </c>
      <c r="G1175" s="8" t="s">
        <v>4727</v>
      </c>
      <c r="H1175" s="8" t="s">
        <v>8872</v>
      </c>
      <c r="I1175" s="8"/>
      <c r="J1175" s="15" t="s">
        <v>5695</v>
      </c>
      <c r="K1175" s="8"/>
      <c r="L1175" s="15" t="s">
        <v>1685</v>
      </c>
      <c r="M1175" s="8" t="s">
        <v>5578</v>
      </c>
      <c r="N1175" s="8"/>
      <c r="O1175" s="8" t="s">
        <v>5574</v>
      </c>
      <c r="P1175" s="11"/>
      <c r="Q1175" s="8" t="s">
        <v>5696</v>
      </c>
      <c r="R1175" s="8" t="s">
        <v>5919</v>
      </c>
      <c r="S1175" s="8" t="s">
        <v>8874</v>
      </c>
    </row>
    <row r="1176" spans="1:19" ht="93" customHeight="1" x14ac:dyDescent="0.25">
      <c r="A1176" s="8" t="s">
        <v>8875</v>
      </c>
      <c r="B1176" s="8" t="s">
        <v>5693</v>
      </c>
      <c r="C1176" s="8" t="s">
        <v>5918</v>
      </c>
      <c r="D1176" s="10">
        <v>855</v>
      </c>
      <c r="E1176" s="8" t="s">
        <v>8876</v>
      </c>
      <c r="F1176" s="8" t="s">
        <v>8877</v>
      </c>
      <c r="G1176" s="8" t="s">
        <v>4727</v>
      </c>
      <c r="H1176" s="8" t="s">
        <v>8876</v>
      </c>
      <c r="I1176" s="8"/>
      <c r="J1176" s="15" t="s">
        <v>5695</v>
      </c>
      <c r="K1176" s="8"/>
      <c r="L1176" s="15" t="s">
        <v>1685</v>
      </c>
      <c r="M1176" s="8" t="s">
        <v>5578</v>
      </c>
      <c r="N1176" s="8"/>
      <c r="O1176" s="8" t="s">
        <v>5574</v>
      </c>
      <c r="P1176" s="11"/>
      <c r="Q1176" s="8" t="s">
        <v>5696</v>
      </c>
      <c r="R1176" s="8" t="s">
        <v>5919</v>
      </c>
      <c r="S1176" s="8" t="s">
        <v>8878</v>
      </c>
    </row>
    <row r="1177" spans="1:19" ht="107.1" customHeight="1" x14ac:dyDescent="0.25">
      <c r="A1177" s="8" t="s">
        <v>8879</v>
      </c>
      <c r="B1177" s="8" t="s">
        <v>5693</v>
      </c>
      <c r="C1177" s="8" t="s">
        <v>5918</v>
      </c>
      <c r="D1177" s="10">
        <v>856</v>
      </c>
      <c r="E1177" s="8" t="s">
        <v>8880</v>
      </c>
      <c r="F1177" s="8" t="s">
        <v>8881</v>
      </c>
      <c r="G1177" s="8" t="s">
        <v>4727</v>
      </c>
      <c r="H1177" s="8" t="s">
        <v>8880</v>
      </c>
      <c r="I1177" s="8"/>
      <c r="J1177" s="15" t="s">
        <v>5695</v>
      </c>
      <c r="K1177" s="8"/>
      <c r="L1177" s="15" t="s">
        <v>1685</v>
      </c>
      <c r="M1177" s="8" t="s">
        <v>5578</v>
      </c>
      <c r="N1177" s="8"/>
      <c r="O1177" s="8" t="s">
        <v>5574</v>
      </c>
      <c r="P1177" s="11"/>
      <c r="Q1177" s="8" t="s">
        <v>5696</v>
      </c>
      <c r="R1177" s="8" t="s">
        <v>5919</v>
      </c>
      <c r="S1177" s="8" t="s">
        <v>8882</v>
      </c>
    </row>
    <row r="1178" spans="1:19" ht="93" customHeight="1" x14ac:dyDescent="0.25">
      <c r="A1178" s="8" t="s">
        <v>8883</v>
      </c>
      <c r="B1178" s="8" t="s">
        <v>5693</v>
      </c>
      <c r="C1178" s="8" t="s">
        <v>5918</v>
      </c>
      <c r="D1178" s="10">
        <v>857</v>
      </c>
      <c r="E1178" s="8" t="s">
        <v>8884</v>
      </c>
      <c r="F1178" s="8" t="s">
        <v>8885</v>
      </c>
      <c r="G1178" s="8" t="s">
        <v>4727</v>
      </c>
      <c r="H1178" s="8" t="s">
        <v>8884</v>
      </c>
      <c r="I1178" s="8"/>
      <c r="J1178" s="15" t="s">
        <v>5695</v>
      </c>
      <c r="K1178" s="8"/>
      <c r="L1178" s="15" t="s">
        <v>1685</v>
      </c>
      <c r="M1178" s="8" t="s">
        <v>5578</v>
      </c>
      <c r="N1178" s="8"/>
      <c r="O1178" s="8" t="s">
        <v>5574</v>
      </c>
      <c r="P1178" s="11"/>
      <c r="Q1178" s="8" t="s">
        <v>5696</v>
      </c>
      <c r="R1178" s="8" t="s">
        <v>5919</v>
      </c>
      <c r="S1178" s="8" t="s">
        <v>8886</v>
      </c>
    </row>
    <row r="1179" spans="1:19" ht="93" customHeight="1" x14ac:dyDescent="0.25">
      <c r="A1179" s="8" t="s">
        <v>8887</v>
      </c>
      <c r="B1179" s="8" t="s">
        <v>5693</v>
      </c>
      <c r="C1179" s="8" t="s">
        <v>5918</v>
      </c>
      <c r="D1179" s="10">
        <v>858</v>
      </c>
      <c r="E1179" s="8" t="s">
        <v>8888</v>
      </c>
      <c r="F1179" s="8" t="s">
        <v>8889</v>
      </c>
      <c r="G1179" s="8" t="s">
        <v>4727</v>
      </c>
      <c r="H1179" s="8" t="s">
        <v>8888</v>
      </c>
      <c r="I1179" s="8"/>
      <c r="J1179" s="15" t="s">
        <v>5695</v>
      </c>
      <c r="K1179" s="8"/>
      <c r="L1179" s="15" t="s">
        <v>1685</v>
      </c>
      <c r="M1179" s="8" t="s">
        <v>5578</v>
      </c>
      <c r="N1179" s="8"/>
      <c r="O1179" s="8" t="s">
        <v>5574</v>
      </c>
      <c r="P1179" s="11"/>
      <c r="Q1179" s="8" t="s">
        <v>5696</v>
      </c>
      <c r="R1179" s="8" t="s">
        <v>5919</v>
      </c>
      <c r="S1179" s="8" t="s">
        <v>8890</v>
      </c>
    </row>
    <row r="1180" spans="1:19" ht="107.1" customHeight="1" x14ac:dyDescent="0.25">
      <c r="A1180" s="8" t="s">
        <v>8891</v>
      </c>
      <c r="B1180" s="8" t="s">
        <v>5693</v>
      </c>
      <c r="C1180" s="8" t="s">
        <v>5918</v>
      </c>
      <c r="D1180" s="10">
        <v>859</v>
      </c>
      <c r="E1180" s="8" t="s">
        <v>8892</v>
      </c>
      <c r="F1180" s="8" t="s">
        <v>8893</v>
      </c>
      <c r="G1180" s="8" t="s">
        <v>4727</v>
      </c>
      <c r="H1180" s="8" t="s">
        <v>8892</v>
      </c>
      <c r="I1180" s="8"/>
      <c r="J1180" s="15" t="s">
        <v>5695</v>
      </c>
      <c r="K1180" s="8"/>
      <c r="L1180" s="15" t="s">
        <v>1685</v>
      </c>
      <c r="M1180" s="8" t="s">
        <v>5578</v>
      </c>
      <c r="N1180" s="8"/>
      <c r="O1180" s="8" t="s">
        <v>5574</v>
      </c>
      <c r="P1180" s="11"/>
      <c r="Q1180" s="8" t="s">
        <v>5696</v>
      </c>
      <c r="R1180" s="8" t="s">
        <v>5919</v>
      </c>
      <c r="S1180" s="8" t="s">
        <v>8894</v>
      </c>
    </row>
    <row r="1181" spans="1:19" ht="93" customHeight="1" x14ac:dyDescent="0.25">
      <c r="A1181" s="8" t="s">
        <v>8895</v>
      </c>
      <c r="B1181" s="8" t="s">
        <v>5693</v>
      </c>
      <c r="C1181" s="8" t="s">
        <v>5918</v>
      </c>
      <c r="D1181" s="10">
        <v>860</v>
      </c>
      <c r="E1181" s="8" t="s">
        <v>8896</v>
      </c>
      <c r="F1181" s="8" t="s">
        <v>8897</v>
      </c>
      <c r="G1181" s="8" t="s">
        <v>4727</v>
      </c>
      <c r="H1181" s="8" t="s">
        <v>8896</v>
      </c>
      <c r="I1181" s="8"/>
      <c r="J1181" s="15" t="s">
        <v>5695</v>
      </c>
      <c r="K1181" s="8"/>
      <c r="L1181" s="15" t="s">
        <v>1685</v>
      </c>
      <c r="M1181" s="8" t="s">
        <v>5578</v>
      </c>
      <c r="N1181" s="8"/>
      <c r="O1181" s="8" t="s">
        <v>5574</v>
      </c>
      <c r="P1181" s="11"/>
      <c r="Q1181" s="8" t="s">
        <v>5696</v>
      </c>
      <c r="R1181" s="8" t="s">
        <v>5919</v>
      </c>
      <c r="S1181" s="8" t="s">
        <v>8898</v>
      </c>
    </row>
    <row r="1182" spans="1:19" ht="93" customHeight="1" x14ac:dyDescent="0.25">
      <c r="A1182" s="8" t="s">
        <v>8899</v>
      </c>
      <c r="B1182" s="8" t="s">
        <v>5693</v>
      </c>
      <c r="C1182" s="8" t="s">
        <v>5918</v>
      </c>
      <c r="D1182" s="10">
        <v>861</v>
      </c>
      <c r="E1182" s="8" t="s">
        <v>8900</v>
      </c>
      <c r="F1182" s="8" t="s">
        <v>8901</v>
      </c>
      <c r="G1182" s="8" t="s">
        <v>4727</v>
      </c>
      <c r="H1182" s="8" t="s">
        <v>8900</v>
      </c>
      <c r="I1182" s="8"/>
      <c r="J1182" s="15" t="s">
        <v>5695</v>
      </c>
      <c r="K1182" s="8"/>
      <c r="L1182" s="15" t="s">
        <v>1685</v>
      </c>
      <c r="M1182" s="8" t="s">
        <v>5578</v>
      </c>
      <c r="N1182" s="8"/>
      <c r="O1182" s="8" t="s">
        <v>5574</v>
      </c>
      <c r="P1182" s="11"/>
      <c r="Q1182" s="8" t="s">
        <v>5696</v>
      </c>
      <c r="R1182" s="8" t="s">
        <v>5919</v>
      </c>
      <c r="S1182" s="8" t="s">
        <v>8902</v>
      </c>
    </row>
    <row r="1183" spans="1:19" ht="93" customHeight="1" x14ac:dyDescent="0.25">
      <c r="A1183" s="8" t="s">
        <v>8903</v>
      </c>
      <c r="B1183" s="8" t="s">
        <v>5693</v>
      </c>
      <c r="C1183" s="8" t="s">
        <v>5918</v>
      </c>
      <c r="D1183" s="10">
        <v>862</v>
      </c>
      <c r="E1183" s="8" t="s">
        <v>8904</v>
      </c>
      <c r="F1183" s="8" t="s">
        <v>8905</v>
      </c>
      <c r="G1183" s="8" t="s">
        <v>4727</v>
      </c>
      <c r="H1183" s="8" t="s">
        <v>8904</v>
      </c>
      <c r="I1183" s="8"/>
      <c r="J1183" s="15" t="s">
        <v>5695</v>
      </c>
      <c r="K1183" s="8"/>
      <c r="L1183" s="15" t="s">
        <v>1685</v>
      </c>
      <c r="M1183" s="8" t="s">
        <v>5578</v>
      </c>
      <c r="N1183" s="8"/>
      <c r="O1183" s="8" t="s">
        <v>5574</v>
      </c>
      <c r="P1183" s="11"/>
      <c r="Q1183" s="8" t="s">
        <v>5696</v>
      </c>
      <c r="R1183" s="8" t="s">
        <v>5919</v>
      </c>
      <c r="S1183" s="8" t="s">
        <v>8906</v>
      </c>
    </row>
    <row r="1184" spans="1:19" ht="107.1" customHeight="1" x14ac:dyDescent="0.25">
      <c r="A1184" s="8" t="s">
        <v>8907</v>
      </c>
      <c r="B1184" s="8" t="s">
        <v>5693</v>
      </c>
      <c r="C1184" s="8" t="s">
        <v>5918</v>
      </c>
      <c r="D1184" s="10">
        <v>863</v>
      </c>
      <c r="E1184" s="8" t="s">
        <v>8908</v>
      </c>
      <c r="F1184" s="8" t="s">
        <v>8909</v>
      </c>
      <c r="G1184" s="8" t="s">
        <v>4727</v>
      </c>
      <c r="H1184" s="8" t="s">
        <v>8908</v>
      </c>
      <c r="I1184" s="8"/>
      <c r="J1184" s="15" t="s">
        <v>5695</v>
      </c>
      <c r="K1184" s="8"/>
      <c r="L1184" s="15" t="s">
        <v>1685</v>
      </c>
      <c r="M1184" s="8" t="s">
        <v>5578</v>
      </c>
      <c r="N1184" s="8"/>
      <c r="O1184" s="8" t="s">
        <v>5574</v>
      </c>
      <c r="P1184" s="11"/>
      <c r="Q1184" s="8" t="s">
        <v>5696</v>
      </c>
      <c r="R1184" s="8" t="s">
        <v>5919</v>
      </c>
      <c r="S1184" s="8" t="s">
        <v>8910</v>
      </c>
    </row>
    <row r="1185" spans="1:19" ht="107.1" customHeight="1" x14ac:dyDescent="0.25">
      <c r="A1185" s="8" t="s">
        <v>8911</v>
      </c>
      <c r="B1185" s="8" t="s">
        <v>5693</v>
      </c>
      <c r="C1185" s="8" t="s">
        <v>5918</v>
      </c>
      <c r="D1185" s="10">
        <v>864</v>
      </c>
      <c r="E1185" s="8" t="s">
        <v>8912</v>
      </c>
      <c r="F1185" s="8" t="s">
        <v>8913</v>
      </c>
      <c r="G1185" s="8" t="s">
        <v>4727</v>
      </c>
      <c r="H1185" s="8" t="s">
        <v>8912</v>
      </c>
      <c r="I1185" s="8"/>
      <c r="J1185" s="15" t="s">
        <v>5695</v>
      </c>
      <c r="K1185" s="8"/>
      <c r="L1185" s="15" t="s">
        <v>1685</v>
      </c>
      <c r="M1185" s="8" t="s">
        <v>5578</v>
      </c>
      <c r="N1185" s="8"/>
      <c r="O1185" s="8" t="s">
        <v>5574</v>
      </c>
      <c r="P1185" s="11"/>
      <c r="Q1185" s="8" t="s">
        <v>5696</v>
      </c>
      <c r="R1185" s="8" t="s">
        <v>5919</v>
      </c>
      <c r="S1185" s="8" t="s">
        <v>8914</v>
      </c>
    </row>
    <row r="1186" spans="1:19" ht="93" customHeight="1" x14ac:dyDescent="0.25">
      <c r="A1186" s="8" t="s">
        <v>8915</v>
      </c>
      <c r="B1186" s="8" t="s">
        <v>5693</v>
      </c>
      <c r="C1186" s="8" t="s">
        <v>5918</v>
      </c>
      <c r="D1186" s="10">
        <v>865</v>
      </c>
      <c r="E1186" s="8" t="s">
        <v>8916</v>
      </c>
      <c r="F1186" s="8" t="s">
        <v>8917</v>
      </c>
      <c r="G1186" s="8" t="s">
        <v>4727</v>
      </c>
      <c r="H1186" s="8" t="s">
        <v>8916</v>
      </c>
      <c r="I1186" s="8"/>
      <c r="J1186" s="15" t="s">
        <v>5695</v>
      </c>
      <c r="K1186" s="8"/>
      <c r="L1186" s="15" t="s">
        <v>1685</v>
      </c>
      <c r="M1186" s="8" t="s">
        <v>5578</v>
      </c>
      <c r="N1186" s="8"/>
      <c r="O1186" s="8" t="s">
        <v>5574</v>
      </c>
      <c r="P1186" s="11"/>
      <c r="Q1186" s="8" t="s">
        <v>5696</v>
      </c>
      <c r="R1186" s="8" t="s">
        <v>5919</v>
      </c>
      <c r="S1186" s="8" t="s">
        <v>8918</v>
      </c>
    </row>
    <row r="1187" spans="1:19" ht="93" customHeight="1" x14ac:dyDescent="0.25">
      <c r="A1187" s="8" t="s">
        <v>8919</v>
      </c>
      <c r="B1187" s="8" t="s">
        <v>5693</v>
      </c>
      <c r="C1187" s="8" t="s">
        <v>5918</v>
      </c>
      <c r="D1187" s="10">
        <v>866</v>
      </c>
      <c r="E1187" s="8" t="s">
        <v>8920</v>
      </c>
      <c r="F1187" s="8" t="s">
        <v>8921</v>
      </c>
      <c r="G1187" s="8" t="s">
        <v>4727</v>
      </c>
      <c r="H1187" s="8" t="s">
        <v>8920</v>
      </c>
      <c r="I1187" s="8"/>
      <c r="J1187" s="15" t="s">
        <v>5695</v>
      </c>
      <c r="K1187" s="8"/>
      <c r="L1187" s="15" t="s">
        <v>1685</v>
      </c>
      <c r="M1187" s="8" t="s">
        <v>5578</v>
      </c>
      <c r="N1187" s="8"/>
      <c r="O1187" s="8" t="s">
        <v>5574</v>
      </c>
      <c r="P1187" s="11"/>
      <c r="Q1187" s="8" t="s">
        <v>5696</v>
      </c>
      <c r="R1187" s="8" t="s">
        <v>5919</v>
      </c>
      <c r="S1187" s="8" t="s">
        <v>8922</v>
      </c>
    </row>
    <row r="1188" spans="1:19" ht="107.1" customHeight="1" x14ac:dyDescent="0.25">
      <c r="A1188" s="8" t="s">
        <v>8923</v>
      </c>
      <c r="B1188" s="8" t="s">
        <v>5693</v>
      </c>
      <c r="C1188" s="8" t="s">
        <v>5918</v>
      </c>
      <c r="D1188" s="10">
        <v>867</v>
      </c>
      <c r="E1188" s="8" t="s">
        <v>8924</v>
      </c>
      <c r="F1188" s="8" t="s">
        <v>8925</v>
      </c>
      <c r="G1188" s="8" t="s">
        <v>4727</v>
      </c>
      <c r="H1188" s="8" t="s">
        <v>8924</v>
      </c>
      <c r="I1188" s="8"/>
      <c r="J1188" s="15" t="s">
        <v>5695</v>
      </c>
      <c r="K1188" s="8"/>
      <c r="L1188" s="15" t="s">
        <v>1685</v>
      </c>
      <c r="M1188" s="8" t="s">
        <v>5578</v>
      </c>
      <c r="N1188" s="8"/>
      <c r="O1188" s="8" t="s">
        <v>5574</v>
      </c>
      <c r="P1188" s="11"/>
      <c r="Q1188" s="8" t="s">
        <v>5696</v>
      </c>
      <c r="R1188" s="8" t="s">
        <v>5919</v>
      </c>
      <c r="S1188" s="8" t="s">
        <v>8926</v>
      </c>
    </row>
    <row r="1189" spans="1:19" ht="93" customHeight="1" x14ac:dyDescent="0.25">
      <c r="A1189" s="8" t="s">
        <v>8927</v>
      </c>
      <c r="B1189" s="8" t="s">
        <v>5693</v>
      </c>
      <c r="C1189" s="8" t="s">
        <v>5918</v>
      </c>
      <c r="D1189" s="10">
        <v>868</v>
      </c>
      <c r="E1189" s="8" t="s">
        <v>8928</v>
      </c>
      <c r="F1189" s="8" t="s">
        <v>8929</v>
      </c>
      <c r="G1189" s="8" t="s">
        <v>4727</v>
      </c>
      <c r="H1189" s="8" t="s">
        <v>8928</v>
      </c>
      <c r="I1189" s="8"/>
      <c r="J1189" s="15" t="s">
        <v>5695</v>
      </c>
      <c r="K1189" s="8"/>
      <c r="L1189" s="15" t="s">
        <v>1685</v>
      </c>
      <c r="M1189" s="8" t="s">
        <v>5578</v>
      </c>
      <c r="N1189" s="8"/>
      <c r="O1189" s="8" t="s">
        <v>5574</v>
      </c>
      <c r="P1189" s="11"/>
      <c r="Q1189" s="8" t="s">
        <v>5696</v>
      </c>
      <c r="R1189" s="8" t="s">
        <v>5919</v>
      </c>
      <c r="S1189" s="8" t="s">
        <v>8930</v>
      </c>
    </row>
    <row r="1190" spans="1:19" ht="107.1" customHeight="1" x14ac:dyDescent="0.25">
      <c r="A1190" s="8" t="s">
        <v>8931</v>
      </c>
      <c r="B1190" s="8" t="s">
        <v>5693</v>
      </c>
      <c r="C1190" s="8" t="s">
        <v>5918</v>
      </c>
      <c r="D1190" s="10">
        <v>869</v>
      </c>
      <c r="E1190" s="8" t="s">
        <v>8932</v>
      </c>
      <c r="F1190" s="8" t="s">
        <v>8933</v>
      </c>
      <c r="G1190" s="8" t="s">
        <v>4727</v>
      </c>
      <c r="H1190" s="8" t="s">
        <v>8932</v>
      </c>
      <c r="I1190" s="8"/>
      <c r="J1190" s="15" t="s">
        <v>5695</v>
      </c>
      <c r="K1190" s="8"/>
      <c r="L1190" s="15" t="s">
        <v>1685</v>
      </c>
      <c r="M1190" s="8" t="s">
        <v>5578</v>
      </c>
      <c r="N1190" s="8"/>
      <c r="O1190" s="8" t="s">
        <v>5574</v>
      </c>
      <c r="P1190" s="11"/>
      <c r="Q1190" s="8" t="s">
        <v>5696</v>
      </c>
      <c r="R1190" s="8" t="s">
        <v>5919</v>
      </c>
      <c r="S1190" s="8" t="s">
        <v>8934</v>
      </c>
    </row>
    <row r="1191" spans="1:19" ht="93" customHeight="1" x14ac:dyDescent="0.25">
      <c r="A1191" s="8" t="s">
        <v>8935</v>
      </c>
      <c r="B1191" s="8" t="s">
        <v>5693</v>
      </c>
      <c r="C1191" s="8" t="s">
        <v>5918</v>
      </c>
      <c r="D1191" s="10">
        <v>870</v>
      </c>
      <c r="E1191" s="8" t="s">
        <v>8936</v>
      </c>
      <c r="F1191" s="8" t="s">
        <v>8937</v>
      </c>
      <c r="G1191" s="8" t="s">
        <v>4727</v>
      </c>
      <c r="H1191" s="8" t="s">
        <v>8936</v>
      </c>
      <c r="I1191" s="8"/>
      <c r="J1191" s="15" t="s">
        <v>5695</v>
      </c>
      <c r="K1191" s="8"/>
      <c r="L1191" s="15" t="s">
        <v>1685</v>
      </c>
      <c r="M1191" s="8" t="s">
        <v>5578</v>
      </c>
      <c r="N1191" s="8"/>
      <c r="O1191" s="8" t="s">
        <v>5574</v>
      </c>
      <c r="P1191" s="11"/>
      <c r="Q1191" s="8" t="s">
        <v>5696</v>
      </c>
      <c r="R1191" s="8" t="s">
        <v>5919</v>
      </c>
      <c r="S1191" s="8" t="s">
        <v>8938</v>
      </c>
    </row>
    <row r="1192" spans="1:19" ht="107.1" customHeight="1" x14ac:dyDescent="0.25">
      <c r="A1192" s="8" t="s">
        <v>8939</v>
      </c>
      <c r="B1192" s="8" t="s">
        <v>5693</v>
      </c>
      <c r="C1192" s="8" t="s">
        <v>5918</v>
      </c>
      <c r="D1192" s="10">
        <v>871</v>
      </c>
      <c r="E1192" s="8" t="s">
        <v>8940</v>
      </c>
      <c r="F1192" s="8" t="s">
        <v>8941</v>
      </c>
      <c r="G1192" s="8" t="s">
        <v>4727</v>
      </c>
      <c r="H1192" s="8" t="s">
        <v>8940</v>
      </c>
      <c r="I1192" s="8"/>
      <c r="J1192" s="15" t="s">
        <v>5695</v>
      </c>
      <c r="K1192" s="8"/>
      <c r="L1192" s="15" t="s">
        <v>1685</v>
      </c>
      <c r="M1192" s="8" t="s">
        <v>5578</v>
      </c>
      <c r="N1192" s="8"/>
      <c r="O1192" s="8" t="s">
        <v>5574</v>
      </c>
      <c r="P1192" s="11"/>
      <c r="Q1192" s="8" t="s">
        <v>5696</v>
      </c>
      <c r="R1192" s="8" t="s">
        <v>5919</v>
      </c>
      <c r="S1192" s="8" t="s">
        <v>8942</v>
      </c>
    </row>
    <row r="1193" spans="1:19" ht="107.1" customHeight="1" x14ac:dyDescent="0.25">
      <c r="A1193" s="8" t="s">
        <v>8943</v>
      </c>
      <c r="B1193" s="8" t="s">
        <v>5693</v>
      </c>
      <c r="C1193" s="8" t="s">
        <v>5918</v>
      </c>
      <c r="D1193" s="10">
        <v>872</v>
      </c>
      <c r="E1193" s="8" t="s">
        <v>8944</v>
      </c>
      <c r="F1193" s="8" t="s">
        <v>8945</v>
      </c>
      <c r="G1193" s="8" t="s">
        <v>4727</v>
      </c>
      <c r="H1193" s="8" t="s">
        <v>8944</v>
      </c>
      <c r="I1193" s="8"/>
      <c r="J1193" s="15" t="s">
        <v>5695</v>
      </c>
      <c r="K1193" s="8"/>
      <c r="L1193" s="15" t="s">
        <v>1685</v>
      </c>
      <c r="M1193" s="8" t="s">
        <v>5578</v>
      </c>
      <c r="N1193" s="8"/>
      <c r="O1193" s="8" t="s">
        <v>5574</v>
      </c>
      <c r="P1193" s="11"/>
      <c r="Q1193" s="8" t="s">
        <v>5696</v>
      </c>
      <c r="R1193" s="8" t="s">
        <v>5919</v>
      </c>
      <c r="S1193" s="8" t="s">
        <v>8946</v>
      </c>
    </row>
    <row r="1194" spans="1:19" ht="120.95" customHeight="1" x14ac:dyDescent="0.25">
      <c r="A1194" s="8" t="s">
        <v>8947</v>
      </c>
      <c r="B1194" s="8" t="s">
        <v>5693</v>
      </c>
      <c r="C1194" s="8" t="s">
        <v>5918</v>
      </c>
      <c r="D1194" s="10">
        <v>873</v>
      </c>
      <c r="E1194" s="8" t="s">
        <v>8948</v>
      </c>
      <c r="F1194" s="8" t="s">
        <v>8949</v>
      </c>
      <c r="G1194" s="8" t="s">
        <v>4727</v>
      </c>
      <c r="H1194" s="8" t="s">
        <v>8948</v>
      </c>
      <c r="I1194" s="8"/>
      <c r="J1194" s="15" t="s">
        <v>5695</v>
      </c>
      <c r="K1194" s="8"/>
      <c r="L1194" s="15" t="s">
        <v>1685</v>
      </c>
      <c r="M1194" s="8" t="s">
        <v>5578</v>
      </c>
      <c r="N1194" s="8"/>
      <c r="O1194" s="8" t="s">
        <v>5574</v>
      </c>
      <c r="P1194" s="11"/>
      <c r="Q1194" s="8" t="s">
        <v>5696</v>
      </c>
      <c r="R1194" s="8" t="s">
        <v>5919</v>
      </c>
      <c r="S1194" s="8" t="s">
        <v>8950</v>
      </c>
    </row>
    <row r="1195" spans="1:19" ht="93" customHeight="1" x14ac:dyDescent="0.25">
      <c r="A1195" s="8" t="s">
        <v>8951</v>
      </c>
      <c r="B1195" s="8" t="s">
        <v>5693</v>
      </c>
      <c r="C1195" s="8" t="s">
        <v>5918</v>
      </c>
      <c r="D1195" s="10">
        <v>874</v>
      </c>
      <c r="E1195" s="8" t="s">
        <v>8952</v>
      </c>
      <c r="F1195" s="8" t="s">
        <v>8953</v>
      </c>
      <c r="G1195" s="8" t="s">
        <v>4727</v>
      </c>
      <c r="H1195" s="8" t="s">
        <v>8952</v>
      </c>
      <c r="I1195" s="8"/>
      <c r="J1195" s="15" t="s">
        <v>5695</v>
      </c>
      <c r="K1195" s="8"/>
      <c r="L1195" s="15" t="s">
        <v>1685</v>
      </c>
      <c r="M1195" s="8" t="s">
        <v>5578</v>
      </c>
      <c r="N1195" s="8"/>
      <c r="O1195" s="8" t="s">
        <v>5574</v>
      </c>
      <c r="P1195" s="11"/>
      <c r="Q1195" s="8" t="s">
        <v>5696</v>
      </c>
      <c r="R1195" s="8" t="s">
        <v>5919</v>
      </c>
      <c r="S1195" s="8" t="s">
        <v>8954</v>
      </c>
    </row>
    <row r="1196" spans="1:19" ht="107.1" customHeight="1" x14ac:dyDescent="0.25">
      <c r="A1196" s="8" t="s">
        <v>8955</v>
      </c>
      <c r="B1196" s="8" t="s">
        <v>5693</v>
      </c>
      <c r="C1196" s="8" t="s">
        <v>5918</v>
      </c>
      <c r="D1196" s="10">
        <v>875</v>
      </c>
      <c r="E1196" s="8" t="s">
        <v>8956</v>
      </c>
      <c r="F1196" s="8" t="s">
        <v>8957</v>
      </c>
      <c r="G1196" s="8" t="s">
        <v>4727</v>
      </c>
      <c r="H1196" s="8" t="s">
        <v>8956</v>
      </c>
      <c r="I1196" s="8"/>
      <c r="J1196" s="15" t="s">
        <v>5695</v>
      </c>
      <c r="K1196" s="8"/>
      <c r="L1196" s="15" t="s">
        <v>1685</v>
      </c>
      <c r="M1196" s="8" t="s">
        <v>5578</v>
      </c>
      <c r="N1196" s="8"/>
      <c r="O1196" s="8" t="s">
        <v>5574</v>
      </c>
      <c r="P1196" s="11"/>
      <c r="Q1196" s="8" t="s">
        <v>5696</v>
      </c>
      <c r="R1196" s="8" t="s">
        <v>5919</v>
      </c>
      <c r="S1196" s="8" t="s">
        <v>8958</v>
      </c>
    </row>
    <row r="1197" spans="1:19" ht="107.1" customHeight="1" x14ac:dyDescent="0.25">
      <c r="A1197" s="8" t="s">
        <v>8959</v>
      </c>
      <c r="B1197" s="8" t="s">
        <v>5693</v>
      </c>
      <c r="C1197" s="8" t="s">
        <v>5918</v>
      </c>
      <c r="D1197" s="10">
        <v>876</v>
      </c>
      <c r="E1197" s="8" t="s">
        <v>8960</v>
      </c>
      <c r="F1197" s="8" t="s">
        <v>8961</v>
      </c>
      <c r="G1197" s="8" t="s">
        <v>4727</v>
      </c>
      <c r="H1197" s="8" t="s">
        <v>8960</v>
      </c>
      <c r="I1197" s="8"/>
      <c r="J1197" s="15" t="s">
        <v>5695</v>
      </c>
      <c r="K1197" s="8"/>
      <c r="L1197" s="15" t="s">
        <v>1685</v>
      </c>
      <c r="M1197" s="8" t="s">
        <v>5578</v>
      </c>
      <c r="N1197" s="8"/>
      <c r="O1197" s="8" t="s">
        <v>5574</v>
      </c>
      <c r="P1197" s="11"/>
      <c r="Q1197" s="8" t="s">
        <v>5696</v>
      </c>
      <c r="R1197" s="8" t="s">
        <v>5919</v>
      </c>
      <c r="S1197" s="8" t="s">
        <v>8962</v>
      </c>
    </row>
    <row r="1198" spans="1:19" ht="107.1" customHeight="1" x14ac:dyDescent="0.25">
      <c r="A1198" s="8" t="s">
        <v>8963</v>
      </c>
      <c r="B1198" s="8" t="s">
        <v>5693</v>
      </c>
      <c r="C1198" s="8" t="s">
        <v>5918</v>
      </c>
      <c r="D1198" s="10">
        <v>877</v>
      </c>
      <c r="E1198" s="8" t="s">
        <v>8964</v>
      </c>
      <c r="F1198" s="8" t="s">
        <v>8965</v>
      </c>
      <c r="G1198" s="8" t="s">
        <v>4727</v>
      </c>
      <c r="H1198" s="8" t="s">
        <v>8964</v>
      </c>
      <c r="I1198" s="8"/>
      <c r="J1198" s="15" t="s">
        <v>5695</v>
      </c>
      <c r="K1198" s="8"/>
      <c r="L1198" s="15" t="s">
        <v>1685</v>
      </c>
      <c r="M1198" s="8" t="s">
        <v>5578</v>
      </c>
      <c r="N1198" s="8"/>
      <c r="O1198" s="8" t="s">
        <v>5574</v>
      </c>
      <c r="P1198" s="11"/>
      <c r="Q1198" s="8" t="s">
        <v>5696</v>
      </c>
      <c r="R1198" s="8" t="s">
        <v>5919</v>
      </c>
      <c r="S1198" s="8" t="s">
        <v>8966</v>
      </c>
    </row>
    <row r="1199" spans="1:19" ht="107.1" customHeight="1" x14ac:dyDescent="0.25">
      <c r="A1199" s="8" t="s">
        <v>8967</v>
      </c>
      <c r="B1199" s="8" t="s">
        <v>5693</v>
      </c>
      <c r="C1199" s="8" t="s">
        <v>5918</v>
      </c>
      <c r="D1199" s="10">
        <v>878</v>
      </c>
      <c r="E1199" s="8" t="s">
        <v>8968</v>
      </c>
      <c r="F1199" s="8" t="s">
        <v>8969</v>
      </c>
      <c r="G1199" s="8" t="s">
        <v>4727</v>
      </c>
      <c r="H1199" s="8" t="s">
        <v>8968</v>
      </c>
      <c r="I1199" s="8"/>
      <c r="J1199" s="15" t="s">
        <v>5695</v>
      </c>
      <c r="K1199" s="8"/>
      <c r="L1199" s="15" t="s">
        <v>1685</v>
      </c>
      <c r="M1199" s="8" t="s">
        <v>5578</v>
      </c>
      <c r="N1199" s="8"/>
      <c r="O1199" s="8" t="s">
        <v>5574</v>
      </c>
      <c r="P1199" s="11"/>
      <c r="Q1199" s="8" t="s">
        <v>5696</v>
      </c>
      <c r="R1199" s="8" t="s">
        <v>5919</v>
      </c>
      <c r="S1199" s="8" t="s">
        <v>8970</v>
      </c>
    </row>
    <row r="1200" spans="1:19" ht="107.1" customHeight="1" x14ac:dyDescent="0.25">
      <c r="A1200" s="8" t="s">
        <v>8971</v>
      </c>
      <c r="B1200" s="8" t="s">
        <v>5693</v>
      </c>
      <c r="C1200" s="8" t="s">
        <v>5918</v>
      </c>
      <c r="D1200" s="10">
        <v>879</v>
      </c>
      <c r="E1200" s="8" t="s">
        <v>8972</v>
      </c>
      <c r="F1200" s="8" t="s">
        <v>8973</v>
      </c>
      <c r="G1200" s="8" t="s">
        <v>4727</v>
      </c>
      <c r="H1200" s="8" t="s">
        <v>8972</v>
      </c>
      <c r="I1200" s="8"/>
      <c r="J1200" s="15" t="s">
        <v>5695</v>
      </c>
      <c r="K1200" s="8"/>
      <c r="L1200" s="15" t="s">
        <v>1685</v>
      </c>
      <c r="M1200" s="8" t="s">
        <v>5578</v>
      </c>
      <c r="N1200" s="8"/>
      <c r="O1200" s="8" t="s">
        <v>5574</v>
      </c>
      <c r="P1200" s="11"/>
      <c r="Q1200" s="8" t="s">
        <v>5696</v>
      </c>
      <c r="R1200" s="8" t="s">
        <v>5919</v>
      </c>
      <c r="S1200" s="8" t="s">
        <v>8974</v>
      </c>
    </row>
    <row r="1201" spans="1:19" ht="107.1" customHeight="1" x14ac:dyDescent="0.25">
      <c r="A1201" s="8" t="s">
        <v>8975</v>
      </c>
      <c r="B1201" s="8" t="s">
        <v>5693</v>
      </c>
      <c r="C1201" s="8" t="s">
        <v>5918</v>
      </c>
      <c r="D1201" s="10">
        <v>880</v>
      </c>
      <c r="E1201" s="8" t="s">
        <v>8976</v>
      </c>
      <c r="F1201" s="8" t="s">
        <v>8977</v>
      </c>
      <c r="G1201" s="8" t="s">
        <v>4727</v>
      </c>
      <c r="H1201" s="8" t="s">
        <v>8976</v>
      </c>
      <c r="I1201" s="8"/>
      <c r="J1201" s="15" t="s">
        <v>5695</v>
      </c>
      <c r="K1201" s="8"/>
      <c r="L1201" s="15" t="s">
        <v>1685</v>
      </c>
      <c r="M1201" s="8" t="s">
        <v>5578</v>
      </c>
      <c r="N1201" s="8"/>
      <c r="O1201" s="8" t="s">
        <v>5574</v>
      </c>
      <c r="P1201" s="11"/>
      <c r="Q1201" s="8" t="s">
        <v>5696</v>
      </c>
      <c r="R1201" s="8" t="s">
        <v>5919</v>
      </c>
      <c r="S1201" s="8" t="s">
        <v>8978</v>
      </c>
    </row>
    <row r="1202" spans="1:19" ht="93" customHeight="1" x14ac:dyDescent="0.25">
      <c r="A1202" s="8" t="s">
        <v>8979</v>
      </c>
      <c r="B1202" s="8" t="s">
        <v>5693</v>
      </c>
      <c r="C1202" s="8" t="s">
        <v>5918</v>
      </c>
      <c r="D1202" s="10">
        <v>881</v>
      </c>
      <c r="E1202" s="8" t="s">
        <v>8980</v>
      </c>
      <c r="F1202" s="8" t="s">
        <v>8981</v>
      </c>
      <c r="G1202" s="8" t="s">
        <v>4727</v>
      </c>
      <c r="H1202" s="8" t="s">
        <v>8980</v>
      </c>
      <c r="I1202" s="8"/>
      <c r="J1202" s="15" t="s">
        <v>5695</v>
      </c>
      <c r="K1202" s="8"/>
      <c r="L1202" s="15" t="s">
        <v>1685</v>
      </c>
      <c r="M1202" s="8" t="s">
        <v>5578</v>
      </c>
      <c r="N1202" s="8"/>
      <c r="O1202" s="8" t="s">
        <v>5574</v>
      </c>
      <c r="P1202" s="11"/>
      <c r="Q1202" s="8" t="s">
        <v>5696</v>
      </c>
      <c r="R1202" s="8" t="s">
        <v>5919</v>
      </c>
      <c r="S1202" s="8" t="s">
        <v>8982</v>
      </c>
    </row>
    <row r="1203" spans="1:19" ht="93" customHeight="1" x14ac:dyDescent="0.25">
      <c r="A1203" s="8" t="s">
        <v>8983</v>
      </c>
      <c r="B1203" s="8" t="s">
        <v>5693</v>
      </c>
      <c r="C1203" s="8" t="s">
        <v>5918</v>
      </c>
      <c r="D1203" s="10">
        <v>882</v>
      </c>
      <c r="E1203" s="8" t="s">
        <v>8984</v>
      </c>
      <c r="F1203" s="8" t="s">
        <v>8985</v>
      </c>
      <c r="G1203" s="8" t="s">
        <v>4727</v>
      </c>
      <c r="H1203" s="8" t="s">
        <v>8984</v>
      </c>
      <c r="I1203" s="8"/>
      <c r="J1203" s="15" t="s">
        <v>5695</v>
      </c>
      <c r="K1203" s="8"/>
      <c r="L1203" s="15" t="s">
        <v>1685</v>
      </c>
      <c r="M1203" s="8" t="s">
        <v>5578</v>
      </c>
      <c r="N1203" s="8"/>
      <c r="O1203" s="8" t="s">
        <v>5574</v>
      </c>
      <c r="P1203" s="11"/>
      <c r="Q1203" s="8" t="s">
        <v>5696</v>
      </c>
      <c r="R1203" s="8" t="s">
        <v>5919</v>
      </c>
      <c r="S1203" s="8" t="s">
        <v>8986</v>
      </c>
    </row>
    <row r="1204" spans="1:19" ht="107.1" customHeight="1" x14ac:dyDescent="0.25">
      <c r="A1204" s="8" t="s">
        <v>8987</v>
      </c>
      <c r="B1204" s="8" t="s">
        <v>5693</v>
      </c>
      <c r="C1204" s="8" t="s">
        <v>5918</v>
      </c>
      <c r="D1204" s="10">
        <v>883</v>
      </c>
      <c r="E1204" s="8" t="s">
        <v>8988</v>
      </c>
      <c r="F1204" s="8" t="s">
        <v>8989</v>
      </c>
      <c r="G1204" s="8" t="s">
        <v>4727</v>
      </c>
      <c r="H1204" s="8" t="s">
        <v>8988</v>
      </c>
      <c r="I1204" s="8"/>
      <c r="J1204" s="15" t="s">
        <v>5695</v>
      </c>
      <c r="K1204" s="8"/>
      <c r="L1204" s="15" t="s">
        <v>1685</v>
      </c>
      <c r="M1204" s="8" t="s">
        <v>5578</v>
      </c>
      <c r="N1204" s="8"/>
      <c r="O1204" s="8" t="s">
        <v>5574</v>
      </c>
      <c r="P1204" s="11"/>
      <c r="Q1204" s="8" t="s">
        <v>5696</v>
      </c>
      <c r="R1204" s="8" t="s">
        <v>5919</v>
      </c>
      <c r="S1204" s="8" t="s">
        <v>8990</v>
      </c>
    </row>
    <row r="1205" spans="1:19" ht="107.1" customHeight="1" x14ac:dyDescent="0.25">
      <c r="A1205" s="8" t="s">
        <v>8991</v>
      </c>
      <c r="B1205" s="8" t="s">
        <v>5693</v>
      </c>
      <c r="C1205" s="8" t="s">
        <v>5918</v>
      </c>
      <c r="D1205" s="10">
        <v>884</v>
      </c>
      <c r="E1205" s="8" t="s">
        <v>8992</v>
      </c>
      <c r="F1205" s="8" t="s">
        <v>8993</v>
      </c>
      <c r="G1205" s="8" t="s">
        <v>4727</v>
      </c>
      <c r="H1205" s="8" t="s">
        <v>8992</v>
      </c>
      <c r="I1205" s="8"/>
      <c r="J1205" s="15" t="s">
        <v>5695</v>
      </c>
      <c r="K1205" s="8"/>
      <c r="L1205" s="15" t="s">
        <v>1685</v>
      </c>
      <c r="M1205" s="8" t="s">
        <v>5578</v>
      </c>
      <c r="N1205" s="8"/>
      <c r="O1205" s="8" t="s">
        <v>5574</v>
      </c>
      <c r="P1205" s="11"/>
      <c r="Q1205" s="8" t="s">
        <v>5696</v>
      </c>
      <c r="R1205" s="8" t="s">
        <v>5919</v>
      </c>
      <c r="S1205" s="8" t="s">
        <v>8994</v>
      </c>
    </row>
    <row r="1206" spans="1:19" ht="93" customHeight="1" x14ac:dyDescent="0.25">
      <c r="A1206" s="8" t="s">
        <v>8995</v>
      </c>
      <c r="B1206" s="8" t="s">
        <v>5693</v>
      </c>
      <c r="C1206" s="8" t="s">
        <v>5918</v>
      </c>
      <c r="D1206" s="10">
        <v>885</v>
      </c>
      <c r="E1206" s="8" t="s">
        <v>8996</v>
      </c>
      <c r="F1206" s="8" t="s">
        <v>8997</v>
      </c>
      <c r="G1206" s="8" t="s">
        <v>4727</v>
      </c>
      <c r="H1206" s="8" t="s">
        <v>8996</v>
      </c>
      <c r="I1206" s="8"/>
      <c r="J1206" s="15" t="s">
        <v>5695</v>
      </c>
      <c r="K1206" s="8"/>
      <c r="L1206" s="15" t="s">
        <v>1685</v>
      </c>
      <c r="M1206" s="8" t="s">
        <v>5578</v>
      </c>
      <c r="N1206" s="8"/>
      <c r="O1206" s="8" t="s">
        <v>5574</v>
      </c>
      <c r="P1206" s="11"/>
      <c r="Q1206" s="8" t="s">
        <v>5696</v>
      </c>
      <c r="R1206" s="8" t="s">
        <v>5919</v>
      </c>
      <c r="S1206" s="8" t="s">
        <v>8998</v>
      </c>
    </row>
    <row r="1207" spans="1:19" ht="93" customHeight="1" x14ac:dyDescent="0.25">
      <c r="A1207" s="8" t="s">
        <v>8999</v>
      </c>
      <c r="B1207" s="8" t="s">
        <v>5693</v>
      </c>
      <c r="C1207" s="8" t="s">
        <v>5918</v>
      </c>
      <c r="D1207" s="10">
        <v>886</v>
      </c>
      <c r="E1207" s="8" t="s">
        <v>9000</v>
      </c>
      <c r="F1207" s="8" t="s">
        <v>9001</v>
      </c>
      <c r="G1207" s="8" t="s">
        <v>4727</v>
      </c>
      <c r="H1207" s="8" t="s">
        <v>9000</v>
      </c>
      <c r="I1207" s="8"/>
      <c r="J1207" s="15" t="s">
        <v>5695</v>
      </c>
      <c r="K1207" s="8"/>
      <c r="L1207" s="15" t="s">
        <v>1685</v>
      </c>
      <c r="M1207" s="8" t="s">
        <v>5578</v>
      </c>
      <c r="N1207" s="8"/>
      <c r="O1207" s="8" t="s">
        <v>5574</v>
      </c>
      <c r="P1207" s="11"/>
      <c r="Q1207" s="8" t="s">
        <v>5696</v>
      </c>
      <c r="R1207" s="8" t="s">
        <v>5919</v>
      </c>
      <c r="S1207" s="8" t="s">
        <v>9002</v>
      </c>
    </row>
    <row r="1208" spans="1:19" ht="107.1" customHeight="1" x14ac:dyDescent="0.25">
      <c r="A1208" s="8" t="s">
        <v>9003</v>
      </c>
      <c r="B1208" s="8" t="s">
        <v>5693</v>
      </c>
      <c r="C1208" s="8" t="s">
        <v>5918</v>
      </c>
      <c r="D1208" s="10">
        <v>887</v>
      </c>
      <c r="E1208" s="8" t="s">
        <v>9004</v>
      </c>
      <c r="F1208" s="8" t="s">
        <v>9005</v>
      </c>
      <c r="G1208" s="8" t="s">
        <v>4727</v>
      </c>
      <c r="H1208" s="8" t="s">
        <v>9004</v>
      </c>
      <c r="I1208" s="8"/>
      <c r="J1208" s="15" t="s">
        <v>5695</v>
      </c>
      <c r="K1208" s="8"/>
      <c r="L1208" s="15" t="s">
        <v>1685</v>
      </c>
      <c r="M1208" s="8" t="s">
        <v>5578</v>
      </c>
      <c r="N1208" s="8"/>
      <c r="O1208" s="8" t="s">
        <v>5574</v>
      </c>
      <c r="P1208" s="11"/>
      <c r="Q1208" s="8" t="s">
        <v>5696</v>
      </c>
      <c r="R1208" s="8" t="s">
        <v>5919</v>
      </c>
      <c r="S1208" s="8" t="s">
        <v>9006</v>
      </c>
    </row>
    <row r="1209" spans="1:19" ht="107.1" customHeight="1" x14ac:dyDescent="0.25">
      <c r="A1209" s="8" t="s">
        <v>9007</v>
      </c>
      <c r="B1209" s="8" t="s">
        <v>5693</v>
      </c>
      <c r="C1209" s="8" t="s">
        <v>5918</v>
      </c>
      <c r="D1209" s="10">
        <v>888</v>
      </c>
      <c r="E1209" s="8" t="s">
        <v>9008</v>
      </c>
      <c r="F1209" s="8" t="s">
        <v>9009</v>
      </c>
      <c r="G1209" s="8" t="s">
        <v>4727</v>
      </c>
      <c r="H1209" s="8" t="s">
        <v>9008</v>
      </c>
      <c r="I1209" s="8"/>
      <c r="J1209" s="15" t="s">
        <v>5695</v>
      </c>
      <c r="K1209" s="8"/>
      <c r="L1209" s="15" t="s">
        <v>1685</v>
      </c>
      <c r="M1209" s="8" t="s">
        <v>5578</v>
      </c>
      <c r="N1209" s="8"/>
      <c r="O1209" s="8" t="s">
        <v>5574</v>
      </c>
      <c r="P1209" s="11"/>
      <c r="Q1209" s="8" t="s">
        <v>5696</v>
      </c>
      <c r="R1209" s="8" t="s">
        <v>5919</v>
      </c>
      <c r="S1209" s="8" t="s">
        <v>9010</v>
      </c>
    </row>
    <row r="1210" spans="1:19" ht="93" customHeight="1" x14ac:dyDescent="0.25">
      <c r="A1210" s="8" t="s">
        <v>9011</v>
      </c>
      <c r="B1210" s="8" t="s">
        <v>5693</v>
      </c>
      <c r="C1210" s="8" t="s">
        <v>5918</v>
      </c>
      <c r="D1210" s="10">
        <v>889</v>
      </c>
      <c r="E1210" s="8" t="s">
        <v>9012</v>
      </c>
      <c r="F1210" s="8" t="s">
        <v>9013</v>
      </c>
      <c r="G1210" s="8" t="s">
        <v>4727</v>
      </c>
      <c r="H1210" s="8" t="s">
        <v>9012</v>
      </c>
      <c r="I1210" s="8"/>
      <c r="J1210" s="15" t="s">
        <v>5695</v>
      </c>
      <c r="K1210" s="8"/>
      <c r="L1210" s="15" t="s">
        <v>1685</v>
      </c>
      <c r="M1210" s="8" t="s">
        <v>5578</v>
      </c>
      <c r="N1210" s="8"/>
      <c r="O1210" s="8" t="s">
        <v>5574</v>
      </c>
      <c r="P1210" s="11"/>
      <c r="Q1210" s="8" t="s">
        <v>5696</v>
      </c>
      <c r="R1210" s="8" t="s">
        <v>5919</v>
      </c>
      <c r="S1210" s="8" t="s">
        <v>9014</v>
      </c>
    </row>
    <row r="1211" spans="1:19" ht="107.1" customHeight="1" x14ac:dyDescent="0.25">
      <c r="A1211" s="8" t="s">
        <v>9015</v>
      </c>
      <c r="B1211" s="8" t="s">
        <v>5693</v>
      </c>
      <c r="C1211" s="8" t="s">
        <v>5918</v>
      </c>
      <c r="D1211" s="10">
        <v>890</v>
      </c>
      <c r="E1211" s="8" t="s">
        <v>9016</v>
      </c>
      <c r="F1211" s="8" t="s">
        <v>9017</v>
      </c>
      <c r="G1211" s="8" t="s">
        <v>4727</v>
      </c>
      <c r="H1211" s="8" t="s">
        <v>9016</v>
      </c>
      <c r="I1211" s="8"/>
      <c r="J1211" s="15" t="s">
        <v>5695</v>
      </c>
      <c r="K1211" s="8"/>
      <c r="L1211" s="15" t="s">
        <v>1685</v>
      </c>
      <c r="M1211" s="8" t="s">
        <v>5578</v>
      </c>
      <c r="N1211" s="8"/>
      <c r="O1211" s="8" t="s">
        <v>5574</v>
      </c>
      <c r="P1211" s="11"/>
      <c r="Q1211" s="8" t="s">
        <v>5696</v>
      </c>
      <c r="R1211" s="8" t="s">
        <v>5919</v>
      </c>
      <c r="S1211" s="8" t="s">
        <v>9018</v>
      </c>
    </row>
    <row r="1212" spans="1:19" ht="93" customHeight="1" x14ac:dyDescent="0.25">
      <c r="A1212" s="8" t="s">
        <v>9019</v>
      </c>
      <c r="B1212" s="8" t="s">
        <v>5693</v>
      </c>
      <c r="C1212" s="8" t="s">
        <v>5918</v>
      </c>
      <c r="D1212" s="10">
        <v>891</v>
      </c>
      <c r="E1212" s="8" t="s">
        <v>9020</v>
      </c>
      <c r="F1212" s="8" t="s">
        <v>9021</v>
      </c>
      <c r="G1212" s="8" t="s">
        <v>4727</v>
      </c>
      <c r="H1212" s="8" t="s">
        <v>9020</v>
      </c>
      <c r="I1212" s="8"/>
      <c r="J1212" s="15" t="s">
        <v>5695</v>
      </c>
      <c r="K1212" s="8"/>
      <c r="L1212" s="15" t="s">
        <v>1685</v>
      </c>
      <c r="M1212" s="8" t="s">
        <v>5578</v>
      </c>
      <c r="N1212" s="8"/>
      <c r="O1212" s="8" t="s">
        <v>5574</v>
      </c>
      <c r="P1212" s="11"/>
      <c r="Q1212" s="8" t="s">
        <v>5696</v>
      </c>
      <c r="R1212" s="8" t="s">
        <v>5919</v>
      </c>
      <c r="S1212" s="8" t="s">
        <v>9022</v>
      </c>
    </row>
    <row r="1213" spans="1:19" ht="93" customHeight="1" x14ac:dyDescent="0.25">
      <c r="A1213" s="8" t="s">
        <v>9023</v>
      </c>
      <c r="B1213" s="8" t="s">
        <v>5693</v>
      </c>
      <c r="C1213" s="8" t="s">
        <v>5918</v>
      </c>
      <c r="D1213" s="10">
        <v>892</v>
      </c>
      <c r="E1213" s="8" t="s">
        <v>9024</v>
      </c>
      <c r="F1213" s="8" t="s">
        <v>9025</v>
      </c>
      <c r="G1213" s="8" t="s">
        <v>4727</v>
      </c>
      <c r="H1213" s="8" t="s">
        <v>9024</v>
      </c>
      <c r="I1213" s="8"/>
      <c r="J1213" s="15" t="s">
        <v>5695</v>
      </c>
      <c r="K1213" s="8"/>
      <c r="L1213" s="15" t="s">
        <v>1685</v>
      </c>
      <c r="M1213" s="8" t="s">
        <v>5578</v>
      </c>
      <c r="N1213" s="8"/>
      <c r="O1213" s="8" t="s">
        <v>5574</v>
      </c>
      <c r="P1213" s="11"/>
      <c r="Q1213" s="8" t="s">
        <v>5696</v>
      </c>
      <c r="R1213" s="8" t="s">
        <v>5919</v>
      </c>
      <c r="S1213" s="8" t="s">
        <v>9026</v>
      </c>
    </row>
    <row r="1214" spans="1:19" ht="93" customHeight="1" x14ac:dyDescent="0.25">
      <c r="A1214" s="8" t="s">
        <v>9027</v>
      </c>
      <c r="B1214" s="8" t="s">
        <v>5693</v>
      </c>
      <c r="C1214" s="8" t="s">
        <v>5918</v>
      </c>
      <c r="D1214" s="10">
        <v>893</v>
      </c>
      <c r="E1214" s="8" t="s">
        <v>9028</v>
      </c>
      <c r="F1214" s="8" t="s">
        <v>9029</v>
      </c>
      <c r="G1214" s="8" t="s">
        <v>4727</v>
      </c>
      <c r="H1214" s="8" t="s">
        <v>9028</v>
      </c>
      <c r="I1214" s="8"/>
      <c r="J1214" s="15" t="s">
        <v>5695</v>
      </c>
      <c r="K1214" s="8"/>
      <c r="L1214" s="15" t="s">
        <v>1685</v>
      </c>
      <c r="M1214" s="8" t="s">
        <v>5578</v>
      </c>
      <c r="N1214" s="8"/>
      <c r="O1214" s="8" t="s">
        <v>5574</v>
      </c>
      <c r="P1214" s="11"/>
      <c r="Q1214" s="8" t="s">
        <v>5696</v>
      </c>
      <c r="R1214" s="8" t="s">
        <v>5919</v>
      </c>
      <c r="S1214" s="8" t="s">
        <v>9030</v>
      </c>
    </row>
    <row r="1215" spans="1:19" ht="107.1" customHeight="1" x14ac:dyDescent="0.25">
      <c r="A1215" s="8" t="s">
        <v>9031</v>
      </c>
      <c r="B1215" s="8" t="s">
        <v>5693</v>
      </c>
      <c r="C1215" s="8" t="s">
        <v>5918</v>
      </c>
      <c r="D1215" s="10">
        <v>894</v>
      </c>
      <c r="E1215" s="8" t="s">
        <v>9032</v>
      </c>
      <c r="F1215" s="8" t="s">
        <v>9033</v>
      </c>
      <c r="G1215" s="8" t="s">
        <v>4727</v>
      </c>
      <c r="H1215" s="8" t="s">
        <v>9032</v>
      </c>
      <c r="I1215" s="8"/>
      <c r="J1215" s="15" t="s">
        <v>5695</v>
      </c>
      <c r="K1215" s="8"/>
      <c r="L1215" s="15" t="s">
        <v>1685</v>
      </c>
      <c r="M1215" s="8" t="s">
        <v>5578</v>
      </c>
      <c r="N1215" s="8"/>
      <c r="O1215" s="8" t="s">
        <v>5574</v>
      </c>
      <c r="P1215" s="11"/>
      <c r="Q1215" s="8" t="s">
        <v>5696</v>
      </c>
      <c r="R1215" s="8" t="s">
        <v>5919</v>
      </c>
      <c r="S1215" s="8" t="s">
        <v>9034</v>
      </c>
    </row>
    <row r="1216" spans="1:19" ht="107.1" customHeight="1" x14ac:dyDescent="0.25">
      <c r="A1216" s="8" t="s">
        <v>9035</v>
      </c>
      <c r="B1216" s="8" t="s">
        <v>5693</v>
      </c>
      <c r="C1216" s="8" t="s">
        <v>5918</v>
      </c>
      <c r="D1216" s="10">
        <v>895</v>
      </c>
      <c r="E1216" s="8" t="s">
        <v>9036</v>
      </c>
      <c r="F1216" s="8" t="s">
        <v>9037</v>
      </c>
      <c r="G1216" s="8" t="s">
        <v>4727</v>
      </c>
      <c r="H1216" s="8" t="s">
        <v>9036</v>
      </c>
      <c r="I1216" s="8"/>
      <c r="J1216" s="15" t="s">
        <v>5695</v>
      </c>
      <c r="K1216" s="8"/>
      <c r="L1216" s="15" t="s">
        <v>1685</v>
      </c>
      <c r="M1216" s="8" t="s">
        <v>5578</v>
      </c>
      <c r="N1216" s="8"/>
      <c r="O1216" s="8" t="s">
        <v>5574</v>
      </c>
      <c r="P1216" s="11"/>
      <c r="Q1216" s="8" t="s">
        <v>5696</v>
      </c>
      <c r="R1216" s="8" t="s">
        <v>5919</v>
      </c>
      <c r="S1216" s="8" t="s">
        <v>9038</v>
      </c>
    </row>
    <row r="1217" spans="1:19" ht="107.1" customHeight="1" x14ac:dyDescent="0.25">
      <c r="A1217" s="8" t="s">
        <v>9039</v>
      </c>
      <c r="B1217" s="8" t="s">
        <v>5693</v>
      </c>
      <c r="C1217" s="8" t="s">
        <v>5918</v>
      </c>
      <c r="D1217" s="10">
        <v>896</v>
      </c>
      <c r="E1217" s="8" t="s">
        <v>9040</v>
      </c>
      <c r="F1217" s="8" t="s">
        <v>9041</v>
      </c>
      <c r="G1217" s="8" t="s">
        <v>4727</v>
      </c>
      <c r="H1217" s="8" t="s">
        <v>9040</v>
      </c>
      <c r="I1217" s="8"/>
      <c r="J1217" s="15" t="s">
        <v>5695</v>
      </c>
      <c r="K1217" s="8"/>
      <c r="L1217" s="15" t="s">
        <v>1685</v>
      </c>
      <c r="M1217" s="8" t="s">
        <v>5578</v>
      </c>
      <c r="N1217" s="8"/>
      <c r="O1217" s="8" t="s">
        <v>5574</v>
      </c>
      <c r="P1217" s="11"/>
      <c r="Q1217" s="8" t="s">
        <v>5696</v>
      </c>
      <c r="R1217" s="8" t="s">
        <v>5919</v>
      </c>
      <c r="S1217" s="8" t="s">
        <v>9042</v>
      </c>
    </row>
    <row r="1218" spans="1:19" ht="93" customHeight="1" x14ac:dyDescent="0.25">
      <c r="A1218" s="8" t="s">
        <v>9043</v>
      </c>
      <c r="B1218" s="8" t="s">
        <v>5693</v>
      </c>
      <c r="C1218" s="8" t="s">
        <v>5918</v>
      </c>
      <c r="D1218" s="10">
        <v>897</v>
      </c>
      <c r="E1218" s="8" t="s">
        <v>9044</v>
      </c>
      <c r="F1218" s="8" t="s">
        <v>9045</v>
      </c>
      <c r="G1218" s="8" t="s">
        <v>4727</v>
      </c>
      <c r="H1218" s="8" t="s">
        <v>9044</v>
      </c>
      <c r="I1218" s="8"/>
      <c r="J1218" s="15" t="s">
        <v>5695</v>
      </c>
      <c r="K1218" s="8"/>
      <c r="L1218" s="15" t="s">
        <v>1685</v>
      </c>
      <c r="M1218" s="8" t="s">
        <v>5578</v>
      </c>
      <c r="N1218" s="8"/>
      <c r="O1218" s="8" t="s">
        <v>5574</v>
      </c>
      <c r="P1218" s="11"/>
      <c r="Q1218" s="8" t="s">
        <v>5696</v>
      </c>
      <c r="R1218" s="8" t="s">
        <v>5919</v>
      </c>
      <c r="S1218" s="8" t="s">
        <v>9046</v>
      </c>
    </row>
    <row r="1219" spans="1:19" ht="107.1" customHeight="1" x14ac:dyDescent="0.25">
      <c r="A1219" s="8" t="s">
        <v>9047</v>
      </c>
      <c r="B1219" s="8" t="s">
        <v>5693</v>
      </c>
      <c r="C1219" s="8" t="s">
        <v>5918</v>
      </c>
      <c r="D1219" s="10">
        <v>898</v>
      </c>
      <c r="E1219" s="8" t="s">
        <v>9048</v>
      </c>
      <c r="F1219" s="8" t="s">
        <v>9049</v>
      </c>
      <c r="G1219" s="8" t="s">
        <v>4727</v>
      </c>
      <c r="H1219" s="8" t="s">
        <v>9048</v>
      </c>
      <c r="I1219" s="8"/>
      <c r="J1219" s="15" t="s">
        <v>5695</v>
      </c>
      <c r="K1219" s="8"/>
      <c r="L1219" s="15" t="s">
        <v>1685</v>
      </c>
      <c r="M1219" s="8" t="s">
        <v>5578</v>
      </c>
      <c r="N1219" s="8"/>
      <c r="O1219" s="8" t="s">
        <v>5574</v>
      </c>
      <c r="P1219" s="11"/>
      <c r="Q1219" s="8" t="s">
        <v>5696</v>
      </c>
      <c r="R1219" s="8" t="s">
        <v>5919</v>
      </c>
      <c r="S1219" s="8" t="s">
        <v>9050</v>
      </c>
    </row>
    <row r="1220" spans="1:19" ht="93" customHeight="1" x14ac:dyDescent="0.25">
      <c r="A1220" s="8" t="s">
        <v>9051</v>
      </c>
      <c r="B1220" s="8" t="s">
        <v>5693</v>
      </c>
      <c r="C1220" s="8" t="s">
        <v>5918</v>
      </c>
      <c r="D1220" s="10">
        <v>899</v>
      </c>
      <c r="E1220" s="8" t="s">
        <v>9052</v>
      </c>
      <c r="F1220" s="8" t="s">
        <v>9053</v>
      </c>
      <c r="G1220" s="8" t="s">
        <v>4727</v>
      </c>
      <c r="H1220" s="8" t="s">
        <v>9052</v>
      </c>
      <c r="I1220" s="8"/>
      <c r="J1220" s="15" t="s">
        <v>5695</v>
      </c>
      <c r="K1220" s="8"/>
      <c r="L1220" s="15" t="s">
        <v>1685</v>
      </c>
      <c r="M1220" s="8" t="s">
        <v>5578</v>
      </c>
      <c r="N1220" s="8"/>
      <c r="O1220" s="8" t="s">
        <v>5574</v>
      </c>
      <c r="P1220" s="11"/>
      <c r="Q1220" s="8" t="s">
        <v>5696</v>
      </c>
      <c r="R1220" s="8" t="s">
        <v>5919</v>
      </c>
      <c r="S1220" s="8" t="s">
        <v>9054</v>
      </c>
    </row>
    <row r="1221" spans="1:19" ht="107.1" customHeight="1" x14ac:dyDescent="0.25">
      <c r="A1221" s="8" t="s">
        <v>9055</v>
      </c>
      <c r="B1221" s="8" t="s">
        <v>5693</v>
      </c>
      <c r="C1221" s="8" t="s">
        <v>5918</v>
      </c>
      <c r="D1221" s="10">
        <v>900</v>
      </c>
      <c r="E1221" s="8" t="s">
        <v>9056</v>
      </c>
      <c r="F1221" s="8" t="s">
        <v>9057</v>
      </c>
      <c r="G1221" s="8" t="s">
        <v>4727</v>
      </c>
      <c r="H1221" s="8" t="s">
        <v>9056</v>
      </c>
      <c r="I1221" s="8"/>
      <c r="J1221" s="15" t="s">
        <v>5695</v>
      </c>
      <c r="K1221" s="8"/>
      <c r="L1221" s="15" t="s">
        <v>1685</v>
      </c>
      <c r="M1221" s="8" t="s">
        <v>5578</v>
      </c>
      <c r="N1221" s="8"/>
      <c r="O1221" s="8" t="s">
        <v>5574</v>
      </c>
      <c r="P1221" s="11"/>
      <c r="Q1221" s="8" t="s">
        <v>5696</v>
      </c>
      <c r="R1221" s="8" t="s">
        <v>5919</v>
      </c>
      <c r="S1221" s="8" t="s">
        <v>9058</v>
      </c>
    </row>
    <row r="1222" spans="1:19" ht="93" customHeight="1" x14ac:dyDescent="0.25">
      <c r="A1222" s="8" t="s">
        <v>9059</v>
      </c>
      <c r="B1222" s="8" t="s">
        <v>5693</v>
      </c>
      <c r="C1222" s="8" t="s">
        <v>5918</v>
      </c>
      <c r="D1222" s="10">
        <v>901</v>
      </c>
      <c r="E1222" s="8" t="s">
        <v>9060</v>
      </c>
      <c r="F1222" s="8" t="s">
        <v>9061</v>
      </c>
      <c r="G1222" s="8" t="s">
        <v>4727</v>
      </c>
      <c r="H1222" s="8" t="s">
        <v>9060</v>
      </c>
      <c r="I1222" s="8"/>
      <c r="J1222" s="15" t="s">
        <v>5695</v>
      </c>
      <c r="K1222" s="8"/>
      <c r="L1222" s="15" t="s">
        <v>1685</v>
      </c>
      <c r="M1222" s="8" t="s">
        <v>5578</v>
      </c>
      <c r="N1222" s="8"/>
      <c r="O1222" s="8" t="s">
        <v>5574</v>
      </c>
      <c r="P1222" s="11"/>
      <c r="Q1222" s="8" t="s">
        <v>5696</v>
      </c>
      <c r="R1222" s="8" t="s">
        <v>5919</v>
      </c>
      <c r="S1222" s="8" t="s">
        <v>9062</v>
      </c>
    </row>
    <row r="1223" spans="1:19" ht="93" customHeight="1" x14ac:dyDescent="0.25">
      <c r="A1223" s="8" t="s">
        <v>9063</v>
      </c>
      <c r="B1223" s="8" t="s">
        <v>5693</v>
      </c>
      <c r="C1223" s="8" t="s">
        <v>5918</v>
      </c>
      <c r="D1223" s="10">
        <v>902</v>
      </c>
      <c r="E1223" s="8" t="s">
        <v>9064</v>
      </c>
      <c r="F1223" s="8" t="s">
        <v>9065</v>
      </c>
      <c r="G1223" s="8" t="s">
        <v>4727</v>
      </c>
      <c r="H1223" s="8" t="s">
        <v>9064</v>
      </c>
      <c r="I1223" s="8"/>
      <c r="J1223" s="15" t="s">
        <v>5695</v>
      </c>
      <c r="K1223" s="8"/>
      <c r="L1223" s="15" t="s">
        <v>1685</v>
      </c>
      <c r="M1223" s="8" t="s">
        <v>5578</v>
      </c>
      <c r="N1223" s="8"/>
      <c r="O1223" s="8" t="s">
        <v>5574</v>
      </c>
      <c r="P1223" s="11"/>
      <c r="Q1223" s="8" t="s">
        <v>5696</v>
      </c>
      <c r="R1223" s="8" t="s">
        <v>5919</v>
      </c>
      <c r="S1223" s="8" t="s">
        <v>9066</v>
      </c>
    </row>
    <row r="1224" spans="1:19" ht="93" customHeight="1" x14ac:dyDescent="0.25">
      <c r="A1224" s="8" t="s">
        <v>9067</v>
      </c>
      <c r="B1224" s="8" t="s">
        <v>5693</v>
      </c>
      <c r="C1224" s="8" t="s">
        <v>5918</v>
      </c>
      <c r="D1224" s="10">
        <v>903</v>
      </c>
      <c r="E1224" s="8" t="s">
        <v>9068</v>
      </c>
      <c r="F1224" s="8" t="s">
        <v>9069</v>
      </c>
      <c r="G1224" s="8" t="s">
        <v>4727</v>
      </c>
      <c r="H1224" s="8" t="s">
        <v>9068</v>
      </c>
      <c r="I1224" s="8"/>
      <c r="J1224" s="15" t="s">
        <v>5695</v>
      </c>
      <c r="K1224" s="8"/>
      <c r="L1224" s="15" t="s">
        <v>1685</v>
      </c>
      <c r="M1224" s="8" t="s">
        <v>5578</v>
      </c>
      <c r="N1224" s="8"/>
      <c r="O1224" s="8" t="s">
        <v>5574</v>
      </c>
      <c r="P1224" s="11"/>
      <c r="Q1224" s="8" t="s">
        <v>5696</v>
      </c>
      <c r="R1224" s="8" t="s">
        <v>5919</v>
      </c>
      <c r="S1224" s="8" t="s">
        <v>9070</v>
      </c>
    </row>
    <row r="1225" spans="1:19" ht="107.1" customHeight="1" x14ac:dyDescent="0.25">
      <c r="A1225" s="8" t="s">
        <v>9071</v>
      </c>
      <c r="B1225" s="8" t="s">
        <v>5693</v>
      </c>
      <c r="C1225" s="8" t="s">
        <v>5918</v>
      </c>
      <c r="D1225" s="10">
        <v>904</v>
      </c>
      <c r="E1225" s="8" t="s">
        <v>9072</v>
      </c>
      <c r="F1225" s="8" t="s">
        <v>9073</v>
      </c>
      <c r="G1225" s="8" t="s">
        <v>4727</v>
      </c>
      <c r="H1225" s="8" t="s">
        <v>9072</v>
      </c>
      <c r="I1225" s="8"/>
      <c r="J1225" s="15" t="s">
        <v>5695</v>
      </c>
      <c r="K1225" s="8"/>
      <c r="L1225" s="15" t="s">
        <v>1685</v>
      </c>
      <c r="M1225" s="8" t="s">
        <v>5578</v>
      </c>
      <c r="N1225" s="8"/>
      <c r="O1225" s="8" t="s">
        <v>5574</v>
      </c>
      <c r="P1225" s="11"/>
      <c r="Q1225" s="8" t="s">
        <v>5696</v>
      </c>
      <c r="R1225" s="8" t="s">
        <v>5919</v>
      </c>
      <c r="S1225" s="8" t="s">
        <v>9074</v>
      </c>
    </row>
    <row r="1226" spans="1:19" ht="107.1" customHeight="1" x14ac:dyDescent="0.25">
      <c r="A1226" s="8" t="s">
        <v>9075</v>
      </c>
      <c r="B1226" s="8" t="s">
        <v>5693</v>
      </c>
      <c r="C1226" s="8" t="s">
        <v>5918</v>
      </c>
      <c r="D1226" s="10">
        <v>905</v>
      </c>
      <c r="E1226" s="8" t="s">
        <v>9076</v>
      </c>
      <c r="F1226" s="8" t="s">
        <v>9077</v>
      </c>
      <c r="G1226" s="8" t="s">
        <v>4727</v>
      </c>
      <c r="H1226" s="8" t="s">
        <v>9076</v>
      </c>
      <c r="I1226" s="8"/>
      <c r="J1226" s="15" t="s">
        <v>5695</v>
      </c>
      <c r="K1226" s="8"/>
      <c r="L1226" s="15" t="s">
        <v>1685</v>
      </c>
      <c r="M1226" s="8" t="s">
        <v>5578</v>
      </c>
      <c r="N1226" s="8"/>
      <c r="O1226" s="8" t="s">
        <v>5574</v>
      </c>
      <c r="P1226" s="11"/>
      <c r="Q1226" s="8" t="s">
        <v>5696</v>
      </c>
      <c r="R1226" s="8" t="s">
        <v>5919</v>
      </c>
      <c r="S1226" s="8" t="s">
        <v>9078</v>
      </c>
    </row>
    <row r="1227" spans="1:19" ht="107.1" customHeight="1" x14ac:dyDescent="0.25">
      <c r="A1227" s="8" t="s">
        <v>9079</v>
      </c>
      <c r="B1227" s="8" t="s">
        <v>5693</v>
      </c>
      <c r="C1227" s="8" t="s">
        <v>5918</v>
      </c>
      <c r="D1227" s="10">
        <v>906</v>
      </c>
      <c r="E1227" s="8" t="s">
        <v>9080</v>
      </c>
      <c r="F1227" s="8" t="s">
        <v>9081</v>
      </c>
      <c r="G1227" s="8" t="s">
        <v>4727</v>
      </c>
      <c r="H1227" s="8" t="s">
        <v>9080</v>
      </c>
      <c r="I1227" s="8"/>
      <c r="J1227" s="15" t="s">
        <v>5695</v>
      </c>
      <c r="K1227" s="8"/>
      <c r="L1227" s="15" t="s">
        <v>1685</v>
      </c>
      <c r="M1227" s="8" t="s">
        <v>5578</v>
      </c>
      <c r="N1227" s="8"/>
      <c r="O1227" s="8" t="s">
        <v>5574</v>
      </c>
      <c r="P1227" s="11"/>
      <c r="Q1227" s="8" t="s">
        <v>5696</v>
      </c>
      <c r="R1227" s="8" t="s">
        <v>5919</v>
      </c>
      <c r="S1227" s="8" t="s">
        <v>9082</v>
      </c>
    </row>
    <row r="1228" spans="1:19" ht="107.1" customHeight="1" x14ac:dyDescent="0.25">
      <c r="A1228" s="8" t="s">
        <v>9083</v>
      </c>
      <c r="B1228" s="8" t="s">
        <v>5693</v>
      </c>
      <c r="C1228" s="8" t="s">
        <v>5918</v>
      </c>
      <c r="D1228" s="10">
        <v>907</v>
      </c>
      <c r="E1228" s="8" t="s">
        <v>9084</v>
      </c>
      <c r="F1228" s="8" t="s">
        <v>9085</v>
      </c>
      <c r="G1228" s="8" t="s">
        <v>4727</v>
      </c>
      <c r="H1228" s="8" t="s">
        <v>9084</v>
      </c>
      <c r="I1228" s="8"/>
      <c r="J1228" s="15" t="s">
        <v>5695</v>
      </c>
      <c r="K1228" s="8"/>
      <c r="L1228" s="15" t="s">
        <v>1685</v>
      </c>
      <c r="M1228" s="8" t="s">
        <v>5578</v>
      </c>
      <c r="N1228" s="8"/>
      <c r="O1228" s="8" t="s">
        <v>5574</v>
      </c>
      <c r="P1228" s="11"/>
      <c r="Q1228" s="8" t="s">
        <v>5696</v>
      </c>
      <c r="R1228" s="8" t="s">
        <v>5919</v>
      </c>
      <c r="S1228" s="8" t="s">
        <v>9086</v>
      </c>
    </row>
    <row r="1229" spans="1:19" ht="107.1" customHeight="1" x14ac:dyDescent="0.25">
      <c r="A1229" s="8" t="s">
        <v>9087</v>
      </c>
      <c r="B1229" s="8" t="s">
        <v>5693</v>
      </c>
      <c r="C1229" s="8" t="s">
        <v>5918</v>
      </c>
      <c r="D1229" s="10">
        <v>908</v>
      </c>
      <c r="E1229" s="8" t="s">
        <v>9088</v>
      </c>
      <c r="F1229" s="8" t="s">
        <v>9089</v>
      </c>
      <c r="G1229" s="8" t="s">
        <v>4727</v>
      </c>
      <c r="H1229" s="8" t="s">
        <v>9088</v>
      </c>
      <c r="I1229" s="8"/>
      <c r="J1229" s="15" t="s">
        <v>5695</v>
      </c>
      <c r="K1229" s="8"/>
      <c r="L1229" s="15" t="s">
        <v>1685</v>
      </c>
      <c r="M1229" s="8" t="s">
        <v>5578</v>
      </c>
      <c r="N1229" s="8"/>
      <c r="O1229" s="8" t="s">
        <v>5574</v>
      </c>
      <c r="P1229" s="11"/>
      <c r="Q1229" s="8" t="s">
        <v>5696</v>
      </c>
      <c r="R1229" s="8" t="s">
        <v>5919</v>
      </c>
      <c r="S1229" s="8" t="s">
        <v>9090</v>
      </c>
    </row>
    <row r="1230" spans="1:19" ht="107.1" customHeight="1" x14ac:dyDescent="0.25">
      <c r="A1230" s="8" t="s">
        <v>9091</v>
      </c>
      <c r="B1230" s="8" t="s">
        <v>5693</v>
      </c>
      <c r="C1230" s="8" t="s">
        <v>5918</v>
      </c>
      <c r="D1230" s="10">
        <v>909</v>
      </c>
      <c r="E1230" s="8" t="s">
        <v>9092</v>
      </c>
      <c r="F1230" s="8" t="s">
        <v>9093</v>
      </c>
      <c r="G1230" s="8" t="s">
        <v>4727</v>
      </c>
      <c r="H1230" s="8" t="s">
        <v>9092</v>
      </c>
      <c r="I1230" s="8"/>
      <c r="J1230" s="15" t="s">
        <v>5695</v>
      </c>
      <c r="K1230" s="8"/>
      <c r="L1230" s="15" t="s">
        <v>1685</v>
      </c>
      <c r="M1230" s="8" t="s">
        <v>5578</v>
      </c>
      <c r="N1230" s="8"/>
      <c r="O1230" s="8" t="s">
        <v>5574</v>
      </c>
      <c r="P1230" s="11"/>
      <c r="Q1230" s="8" t="s">
        <v>5696</v>
      </c>
      <c r="R1230" s="8" t="s">
        <v>5919</v>
      </c>
      <c r="S1230" s="8" t="s">
        <v>9094</v>
      </c>
    </row>
    <row r="1231" spans="1:19" ht="107.1" customHeight="1" x14ac:dyDescent="0.25">
      <c r="A1231" s="8" t="s">
        <v>9095</v>
      </c>
      <c r="B1231" s="8" t="s">
        <v>5693</v>
      </c>
      <c r="C1231" s="8" t="s">
        <v>5918</v>
      </c>
      <c r="D1231" s="10">
        <v>910</v>
      </c>
      <c r="E1231" s="8" t="s">
        <v>9096</v>
      </c>
      <c r="F1231" s="8" t="s">
        <v>9097</v>
      </c>
      <c r="G1231" s="8" t="s">
        <v>4727</v>
      </c>
      <c r="H1231" s="8" t="s">
        <v>9096</v>
      </c>
      <c r="I1231" s="8"/>
      <c r="J1231" s="15" t="s">
        <v>5695</v>
      </c>
      <c r="K1231" s="8"/>
      <c r="L1231" s="15" t="s">
        <v>1685</v>
      </c>
      <c r="M1231" s="8" t="s">
        <v>5578</v>
      </c>
      <c r="N1231" s="8"/>
      <c r="O1231" s="8" t="s">
        <v>5574</v>
      </c>
      <c r="P1231" s="11"/>
      <c r="Q1231" s="8" t="s">
        <v>5696</v>
      </c>
      <c r="R1231" s="8" t="s">
        <v>5919</v>
      </c>
      <c r="S1231" s="8" t="s">
        <v>9098</v>
      </c>
    </row>
    <row r="1232" spans="1:19" ht="107.1" customHeight="1" x14ac:dyDescent="0.25">
      <c r="A1232" s="8" t="s">
        <v>9099</v>
      </c>
      <c r="B1232" s="8" t="s">
        <v>5693</v>
      </c>
      <c r="C1232" s="8" t="s">
        <v>5918</v>
      </c>
      <c r="D1232" s="10">
        <v>911</v>
      </c>
      <c r="E1232" s="8" t="s">
        <v>9100</v>
      </c>
      <c r="F1232" s="8" t="s">
        <v>9101</v>
      </c>
      <c r="G1232" s="8" t="s">
        <v>4727</v>
      </c>
      <c r="H1232" s="8" t="s">
        <v>9100</v>
      </c>
      <c r="I1232" s="8"/>
      <c r="J1232" s="15" t="s">
        <v>5695</v>
      </c>
      <c r="K1232" s="8"/>
      <c r="L1232" s="15" t="s">
        <v>1685</v>
      </c>
      <c r="M1232" s="8" t="s">
        <v>5578</v>
      </c>
      <c r="N1232" s="8"/>
      <c r="O1232" s="8" t="s">
        <v>5574</v>
      </c>
      <c r="P1232" s="11"/>
      <c r="Q1232" s="8" t="s">
        <v>5696</v>
      </c>
      <c r="R1232" s="8" t="s">
        <v>5919</v>
      </c>
      <c r="S1232" s="8" t="s">
        <v>9102</v>
      </c>
    </row>
    <row r="1233" spans="1:19" ht="107.1" customHeight="1" x14ac:dyDescent="0.25">
      <c r="A1233" s="8" t="s">
        <v>9103</v>
      </c>
      <c r="B1233" s="8" t="s">
        <v>5693</v>
      </c>
      <c r="C1233" s="8" t="s">
        <v>5918</v>
      </c>
      <c r="D1233" s="10">
        <v>912</v>
      </c>
      <c r="E1233" s="8" t="s">
        <v>9104</v>
      </c>
      <c r="F1233" s="8" t="s">
        <v>9105</v>
      </c>
      <c r="G1233" s="8" t="s">
        <v>4727</v>
      </c>
      <c r="H1233" s="8" t="s">
        <v>9104</v>
      </c>
      <c r="I1233" s="8"/>
      <c r="J1233" s="15" t="s">
        <v>5695</v>
      </c>
      <c r="K1233" s="8"/>
      <c r="L1233" s="15" t="s">
        <v>1685</v>
      </c>
      <c r="M1233" s="8" t="s">
        <v>5578</v>
      </c>
      <c r="N1233" s="8"/>
      <c r="O1233" s="8" t="s">
        <v>5574</v>
      </c>
      <c r="P1233" s="11"/>
      <c r="Q1233" s="8" t="s">
        <v>5696</v>
      </c>
      <c r="R1233" s="8" t="s">
        <v>5919</v>
      </c>
      <c r="S1233" s="8" t="s">
        <v>9106</v>
      </c>
    </row>
    <row r="1234" spans="1:19" ht="107.1" customHeight="1" x14ac:dyDescent="0.25">
      <c r="A1234" s="8" t="s">
        <v>9107</v>
      </c>
      <c r="B1234" s="8" t="s">
        <v>5693</v>
      </c>
      <c r="C1234" s="8" t="s">
        <v>5918</v>
      </c>
      <c r="D1234" s="10">
        <v>913</v>
      </c>
      <c r="E1234" s="8" t="s">
        <v>9108</v>
      </c>
      <c r="F1234" s="8" t="s">
        <v>9109</v>
      </c>
      <c r="G1234" s="8" t="s">
        <v>4727</v>
      </c>
      <c r="H1234" s="8" t="s">
        <v>9108</v>
      </c>
      <c r="I1234" s="8"/>
      <c r="J1234" s="15" t="s">
        <v>5695</v>
      </c>
      <c r="K1234" s="8"/>
      <c r="L1234" s="15" t="s">
        <v>1685</v>
      </c>
      <c r="M1234" s="8" t="s">
        <v>5578</v>
      </c>
      <c r="N1234" s="8"/>
      <c r="O1234" s="8" t="s">
        <v>5574</v>
      </c>
      <c r="P1234" s="11"/>
      <c r="Q1234" s="8" t="s">
        <v>5696</v>
      </c>
      <c r="R1234" s="8" t="s">
        <v>5919</v>
      </c>
      <c r="S1234" s="8" t="s">
        <v>9110</v>
      </c>
    </row>
    <row r="1235" spans="1:19" ht="107.1" customHeight="1" x14ac:dyDescent="0.25">
      <c r="A1235" s="8" t="s">
        <v>9111</v>
      </c>
      <c r="B1235" s="8" t="s">
        <v>5693</v>
      </c>
      <c r="C1235" s="8" t="s">
        <v>5918</v>
      </c>
      <c r="D1235" s="10">
        <v>914</v>
      </c>
      <c r="E1235" s="8" t="s">
        <v>9112</v>
      </c>
      <c r="F1235" s="8" t="s">
        <v>9113</v>
      </c>
      <c r="G1235" s="8" t="s">
        <v>4727</v>
      </c>
      <c r="H1235" s="8" t="s">
        <v>9112</v>
      </c>
      <c r="I1235" s="8"/>
      <c r="J1235" s="15" t="s">
        <v>5695</v>
      </c>
      <c r="K1235" s="8"/>
      <c r="L1235" s="15" t="s">
        <v>1685</v>
      </c>
      <c r="M1235" s="8" t="s">
        <v>5578</v>
      </c>
      <c r="N1235" s="8"/>
      <c r="O1235" s="8" t="s">
        <v>5574</v>
      </c>
      <c r="P1235" s="11"/>
      <c r="Q1235" s="8" t="s">
        <v>5696</v>
      </c>
      <c r="R1235" s="8" t="s">
        <v>5919</v>
      </c>
      <c r="S1235" s="8" t="s">
        <v>9114</v>
      </c>
    </row>
    <row r="1236" spans="1:19" ht="107.1" customHeight="1" x14ac:dyDescent="0.25">
      <c r="A1236" s="8" t="s">
        <v>9115</v>
      </c>
      <c r="B1236" s="8" t="s">
        <v>5693</v>
      </c>
      <c r="C1236" s="8" t="s">
        <v>5918</v>
      </c>
      <c r="D1236" s="10">
        <v>915</v>
      </c>
      <c r="E1236" s="8" t="s">
        <v>9116</v>
      </c>
      <c r="F1236" s="8" t="s">
        <v>9117</v>
      </c>
      <c r="G1236" s="8" t="s">
        <v>4727</v>
      </c>
      <c r="H1236" s="8" t="s">
        <v>9116</v>
      </c>
      <c r="I1236" s="8"/>
      <c r="J1236" s="15" t="s">
        <v>5695</v>
      </c>
      <c r="K1236" s="8"/>
      <c r="L1236" s="15" t="s">
        <v>1685</v>
      </c>
      <c r="M1236" s="8" t="s">
        <v>5578</v>
      </c>
      <c r="N1236" s="8"/>
      <c r="O1236" s="8" t="s">
        <v>5574</v>
      </c>
      <c r="P1236" s="11"/>
      <c r="Q1236" s="8" t="s">
        <v>5696</v>
      </c>
      <c r="R1236" s="8" t="s">
        <v>5919</v>
      </c>
      <c r="S1236" s="8" t="s">
        <v>9118</v>
      </c>
    </row>
    <row r="1237" spans="1:19" ht="107.1" customHeight="1" x14ac:dyDescent="0.25">
      <c r="A1237" s="8" t="s">
        <v>9119</v>
      </c>
      <c r="B1237" s="8" t="s">
        <v>5693</v>
      </c>
      <c r="C1237" s="8" t="s">
        <v>5918</v>
      </c>
      <c r="D1237" s="10">
        <v>916</v>
      </c>
      <c r="E1237" s="8" t="s">
        <v>9120</v>
      </c>
      <c r="F1237" s="8" t="s">
        <v>9121</v>
      </c>
      <c r="G1237" s="8" t="s">
        <v>4727</v>
      </c>
      <c r="H1237" s="8" t="s">
        <v>9120</v>
      </c>
      <c r="I1237" s="8"/>
      <c r="J1237" s="15" t="s">
        <v>5695</v>
      </c>
      <c r="K1237" s="8"/>
      <c r="L1237" s="15" t="s">
        <v>1685</v>
      </c>
      <c r="M1237" s="8" t="s">
        <v>5578</v>
      </c>
      <c r="N1237" s="8"/>
      <c r="O1237" s="8" t="s">
        <v>5574</v>
      </c>
      <c r="P1237" s="11"/>
      <c r="Q1237" s="8" t="s">
        <v>5696</v>
      </c>
      <c r="R1237" s="8" t="s">
        <v>5919</v>
      </c>
      <c r="S1237" s="8" t="s">
        <v>9122</v>
      </c>
    </row>
    <row r="1238" spans="1:19" ht="107.1" customHeight="1" x14ac:dyDescent="0.25">
      <c r="A1238" s="8" t="s">
        <v>9123</v>
      </c>
      <c r="B1238" s="8" t="s">
        <v>5693</v>
      </c>
      <c r="C1238" s="8" t="s">
        <v>5918</v>
      </c>
      <c r="D1238" s="10">
        <v>917</v>
      </c>
      <c r="E1238" s="8" t="s">
        <v>9124</v>
      </c>
      <c r="F1238" s="8" t="s">
        <v>9125</v>
      </c>
      <c r="G1238" s="8" t="s">
        <v>4727</v>
      </c>
      <c r="H1238" s="8" t="s">
        <v>9124</v>
      </c>
      <c r="I1238" s="8"/>
      <c r="J1238" s="15" t="s">
        <v>5695</v>
      </c>
      <c r="K1238" s="8"/>
      <c r="L1238" s="15" t="s">
        <v>1685</v>
      </c>
      <c r="M1238" s="8" t="s">
        <v>5578</v>
      </c>
      <c r="N1238" s="8"/>
      <c r="O1238" s="8" t="s">
        <v>5574</v>
      </c>
      <c r="P1238" s="11"/>
      <c r="Q1238" s="8" t="s">
        <v>5696</v>
      </c>
      <c r="R1238" s="8" t="s">
        <v>5919</v>
      </c>
      <c r="S1238" s="8" t="s">
        <v>9126</v>
      </c>
    </row>
    <row r="1239" spans="1:19" ht="93" customHeight="1" x14ac:dyDescent="0.25">
      <c r="A1239" s="8" t="s">
        <v>9127</v>
      </c>
      <c r="B1239" s="8" t="s">
        <v>5693</v>
      </c>
      <c r="C1239" s="8" t="s">
        <v>5918</v>
      </c>
      <c r="D1239" s="10">
        <v>918</v>
      </c>
      <c r="E1239" s="8" t="s">
        <v>9128</v>
      </c>
      <c r="F1239" s="8" t="s">
        <v>9129</v>
      </c>
      <c r="G1239" s="8" t="s">
        <v>4727</v>
      </c>
      <c r="H1239" s="8" t="s">
        <v>9128</v>
      </c>
      <c r="I1239" s="8"/>
      <c r="J1239" s="15" t="s">
        <v>5695</v>
      </c>
      <c r="K1239" s="8"/>
      <c r="L1239" s="15" t="s">
        <v>1685</v>
      </c>
      <c r="M1239" s="8" t="s">
        <v>5578</v>
      </c>
      <c r="N1239" s="8"/>
      <c r="O1239" s="8" t="s">
        <v>5574</v>
      </c>
      <c r="P1239" s="11"/>
      <c r="Q1239" s="8" t="s">
        <v>5696</v>
      </c>
      <c r="R1239" s="8" t="s">
        <v>5919</v>
      </c>
      <c r="S1239" s="8" t="s">
        <v>9130</v>
      </c>
    </row>
    <row r="1240" spans="1:19" ht="93" customHeight="1" x14ac:dyDescent="0.25">
      <c r="A1240" s="8" t="s">
        <v>9131</v>
      </c>
      <c r="B1240" s="8" t="s">
        <v>5693</v>
      </c>
      <c r="C1240" s="8" t="s">
        <v>5918</v>
      </c>
      <c r="D1240" s="10">
        <v>919</v>
      </c>
      <c r="E1240" s="8" t="s">
        <v>9132</v>
      </c>
      <c r="F1240" s="8" t="s">
        <v>9133</v>
      </c>
      <c r="G1240" s="8" t="s">
        <v>4727</v>
      </c>
      <c r="H1240" s="8" t="s">
        <v>9132</v>
      </c>
      <c r="I1240" s="8"/>
      <c r="J1240" s="15" t="s">
        <v>5695</v>
      </c>
      <c r="K1240" s="8"/>
      <c r="L1240" s="15" t="s">
        <v>1685</v>
      </c>
      <c r="M1240" s="8" t="s">
        <v>5578</v>
      </c>
      <c r="N1240" s="8"/>
      <c r="O1240" s="8" t="s">
        <v>5574</v>
      </c>
      <c r="P1240" s="11"/>
      <c r="Q1240" s="8" t="s">
        <v>5696</v>
      </c>
      <c r="R1240" s="8" t="s">
        <v>5919</v>
      </c>
      <c r="S1240" s="8" t="s">
        <v>9134</v>
      </c>
    </row>
    <row r="1241" spans="1:19" ht="93" customHeight="1" x14ac:dyDescent="0.25">
      <c r="A1241" s="8" t="s">
        <v>9135</v>
      </c>
      <c r="B1241" s="8" t="s">
        <v>5693</v>
      </c>
      <c r="C1241" s="8" t="s">
        <v>5918</v>
      </c>
      <c r="D1241" s="10">
        <v>920</v>
      </c>
      <c r="E1241" s="8" t="s">
        <v>9136</v>
      </c>
      <c r="F1241" s="8" t="s">
        <v>9137</v>
      </c>
      <c r="G1241" s="8" t="s">
        <v>4727</v>
      </c>
      <c r="H1241" s="8" t="s">
        <v>9136</v>
      </c>
      <c r="I1241" s="8"/>
      <c r="J1241" s="15" t="s">
        <v>5695</v>
      </c>
      <c r="K1241" s="8"/>
      <c r="L1241" s="15" t="s">
        <v>1685</v>
      </c>
      <c r="M1241" s="8" t="s">
        <v>5578</v>
      </c>
      <c r="N1241" s="8"/>
      <c r="O1241" s="8" t="s">
        <v>5574</v>
      </c>
      <c r="P1241" s="11"/>
      <c r="Q1241" s="8" t="s">
        <v>5696</v>
      </c>
      <c r="R1241" s="8" t="s">
        <v>5919</v>
      </c>
      <c r="S1241" s="8" t="s">
        <v>9138</v>
      </c>
    </row>
    <row r="1242" spans="1:19" ht="93" customHeight="1" x14ac:dyDescent="0.25">
      <c r="A1242" s="8" t="s">
        <v>9139</v>
      </c>
      <c r="B1242" s="8" t="s">
        <v>5693</v>
      </c>
      <c r="C1242" s="8" t="s">
        <v>5918</v>
      </c>
      <c r="D1242" s="10">
        <v>921</v>
      </c>
      <c r="E1242" s="8" t="s">
        <v>9140</v>
      </c>
      <c r="F1242" s="8" t="s">
        <v>9141</v>
      </c>
      <c r="G1242" s="8" t="s">
        <v>4727</v>
      </c>
      <c r="H1242" s="8" t="s">
        <v>9140</v>
      </c>
      <c r="I1242" s="8"/>
      <c r="J1242" s="15" t="s">
        <v>5695</v>
      </c>
      <c r="K1242" s="8"/>
      <c r="L1242" s="15" t="s">
        <v>1685</v>
      </c>
      <c r="M1242" s="8" t="s">
        <v>5578</v>
      </c>
      <c r="N1242" s="8"/>
      <c r="O1242" s="8" t="s">
        <v>5574</v>
      </c>
      <c r="P1242" s="11"/>
      <c r="Q1242" s="8" t="s">
        <v>5696</v>
      </c>
      <c r="R1242" s="8" t="s">
        <v>5919</v>
      </c>
      <c r="S1242" s="8" t="s">
        <v>9142</v>
      </c>
    </row>
    <row r="1243" spans="1:19" ht="107.1" customHeight="1" x14ac:dyDescent="0.25">
      <c r="A1243" s="8" t="s">
        <v>9143</v>
      </c>
      <c r="B1243" s="8" t="s">
        <v>5693</v>
      </c>
      <c r="C1243" s="8" t="s">
        <v>5918</v>
      </c>
      <c r="D1243" s="10">
        <v>922</v>
      </c>
      <c r="E1243" s="8" t="s">
        <v>9144</v>
      </c>
      <c r="F1243" s="8" t="s">
        <v>9145</v>
      </c>
      <c r="G1243" s="8" t="s">
        <v>4727</v>
      </c>
      <c r="H1243" s="8" t="s">
        <v>9144</v>
      </c>
      <c r="I1243" s="8"/>
      <c r="J1243" s="15" t="s">
        <v>5695</v>
      </c>
      <c r="K1243" s="8"/>
      <c r="L1243" s="15" t="s">
        <v>1685</v>
      </c>
      <c r="M1243" s="8" t="s">
        <v>5578</v>
      </c>
      <c r="N1243" s="8"/>
      <c r="O1243" s="8" t="s">
        <v>5574</v>
      </c>
      <c r="P1243" s="11"/>
      <c r="Q1243" s="8" t="s">
        <v>5696</v>
      </c>
      <c r="R1243" s="8" t="s">
        <v>5919</v>
      </c>
      <c r="S1243" s="8" t="s">
        <v>9146</v>
      </c>
    </row>
    <row r="1244" spans="1:19" ht="93" customHeight="1" x14ac:dyDescent="0.25">
      <c r="A1244" s="8" t="s">
        <v>9147</v>
      </c>
      <c r="B1244" s="8" t="s">
        <v>5693</v>
      </c>
      <c r="C1244" s="8" t="s">
        <v>5918</v>
      </c>
      <c r="D1244" s="10">
        <v>923</v>
      </c>
      <c r="E1244" s="8" t="s">
        <v>9148</v>
      </c>
      <c r="F1244" s="8" t="s">
        <v>9149</v>
      </c>
      <c r="G1244" s="8" t="s">
        <v>4727</v>
      </c>
      <c r="H1244" s="8" t="s">
        <v>9148</v>
      </c>
      <c r="I1244" s="8"/>
      <c r="J1244" s="15" t="s">
        <v>5695</v>
      </c>
      <c r="K1244" s="8"/>
      <c r="L1244" s="15" t="s">
        <v>1685</v>
      </c>
      <c r="M1244" s="8" t="s">
        <v>5578</v>
      </c>
      <c r="N1244" s="8"/>
      <c r="O1244" s="8" t="s">
        <v>5574</v>
      </c>
      <c r="P1244" s="11"/>
      <c r="Q1244" s="8" t="s">
        <v>5696</v>
      </c>
      <c r="R1244" s="8" t="s">
        <v>5919</v>
      </c>
      <c r="S1244" s="8" t="s">
        <v>9150</v>
      </c>
    </row>
    <row r="1245" spans="1:19" ht="107.1" customHeight="1" x14ac:dyDescent="0.25">
      <c r="A1245" s="8" t="s">
        <v>9151</v>
      </c>
      <c r="B1245" s="8" t="s">
        <v>5693</v>
      </c>
      <c r="C1245" s="8" t="s">
        <v>5918</v>
      </c>
      <c r="D1245" s="10">
        <v>924</v>
      </c>
      <c r="E1245" s="8" t="s">
        <v>9152</v>
      </c>
      <c r="F1245" s="8" t="s">
        <v>9153</v>
      </c>
      <c r="G1245" s="8" t="s">
        <v>4727</v>
      </c>
      <c r="H1245" s="8" t="s">
        <v>9152</v>
      </c>
      <c r="I1245" s="8"/>
      <c r="J1245" s="15" t="s">
        <v>5695</v>
      </c>
      <c r="K1245" s="8"/>
      <c r="L1245" s="15" t="s">
        <v>1685</v>
      </c>
      <c r="M1245" s="8" t="s">
        <v>5578</v>
      </c>
      <c r="N1245" s="8"/>
      <c r="O1245" s="8" t="s">
        <v>5574</v>
      </c>
      <c r="P1245" s="11"/>
      <c r="Q1245" s="8" t="s">
        <v>5696</v>
      </c>
      <c r="R1245" s="8" t="s">
        <v>5919</v>
      </c>
      <c r="S1245" s="8" t="s">
        <v>9154</v>
      </c>
    </row>
    <row r="1246" spans="1:19" ht="107.1" customHeight="1" x14ac:dyDescent="0.25">
      <c r="A1246" s="8" t="s">
        <v>9155</v>
      </c>
      <c r="B1246" s="8" t="s">
        <v>5693</v>
      </c>
      <c r="C1246" s="8" t="s">
        <v>5918</v>
      </c>
      <c r="D1246" s="10">
        <v>925</v>
      </c>
      <c r="E1246" s="8" t="s">
        <v>9156</v>
      </c>
      <c r="F1246" s="8" t="s">
        <v>9157</v>
      </c>
      <c r="G1246" s="8" t="s">
        <v>4727</v>
      </c>
      <c r="H1246" s="8" t="s">
        <v>9156</v>
      </c>
      <c r="I1246" s="8"/>
      <c r="J1246" s="15" t="s">
        <v>5695</v>
      </c>
      <c r="K1246" s="8"/>
      <c r="L1246" s="15" t="s">
        <v>1685</v>
      </c>
      <c r="M1246" s="8" t="s">
        <v>5578</v>
      </c>
      <c r="N1246" s="8"/>
      <c r="O1246" s="8" t="s">
        <v>5574</v>
      </c>
      <c r="P1246" s="11"/>
      <c r="Q1246" s="8" t="s">
        <v>5696</v>
      </c>
      <c r="R1246" s="8" t="s">
        <v>5919</v>
      </c>
      <c r="S1246" s="8" t="s">
        <v>9158</v>
      </c>
    </row>
    <row r="1247" spans="1:19" ht="93" customHeight="1" x14ac:dyDescent="0.25">
      <c r="A1247" s="8" t="s">
        <v>9159</v>
      </c>
      <c r="B1247" s="8" t="s">
        <v>5693</v>
      </c>
      <c r="C1247" s="8" t="s">
        <v>5918</v>
      </c>
      <c r="D1247" s="10">
        <v>926</v>
      </c>
      <c r="E1247" s="8" t="s">
        <v>9160</v>
      </c>
      <c r="F1247" s="8" t="s">
        <v>9161</v>
      </c>
      <c r="G1247" s="8" t="s">
        <v>4727</v>
      </c>
      <c r="H1247" s="8" t="s">
        <v>9160</v>
      </c>
      <c r="I1247" s="8"/>
      <c r="J1247" s="15" t="s">
        <v>5695</v>
      </c>
      <c r="K1247" s="8"/>
      <c r="L1247" s="15" t="s">
        <v>1685</v>
      </c>
      <c r="M1247" s="8" t="s">
        <v>5578</v>
      </c>
      <c r="N1247" s="8"/>
      <c r="O1247" s="8" t="s">
        <v>5574</v>
      </c>
      <c r="P1247" s="11"/>
      <c r="Q1247" s="8" t="s">
        <v>5696</v>
      </c>
      <c r="R1247" s="8" t="s">
        <v>5919</v>
      </c>
      <c r="S1247" s="8" t="s">
        <v>9162</v>
      </c>
    </row>
    <row r="1248" spans="1:19" ht="93" customHeight="1" x14ac:dyDescent="0.25">
      <c r="A1248" s="8" t="s">
        <v>9163</v>
      </c>
      <c r="B1248" s="8" t="s">
        <v>5693</v>
      </c>
      <c r="C1248" s="8" t="s">
        <v>5918</v>
      </c>
      <c r="D1248" s="10">
        <v>927</v>
      </c>
      <c r="E1248" s="8" t="s">
        <v>9164</v>
      </c>
      <c r="F1248" s="8" t="s">
        <v>9165</v>
      </c>
      <c r="G1248" s="8" t="s">
        <v>4727</v>
      </c>
      <c r="H1248" s="8" t="s">
        <v>9164</v>
      </c>
      <c r="I1248" s="8"/>
      <c r="J1248" s="15" t="s">
        <v>5695</v>
      </c>
      <c r="K1248" s="8"/>
      <c r="L1248" s="15" t="s">
        <v>1685</v>
      </c>
      <c r="M1248" s="8" t="s">
        <v>5578</v>
      </c>
      <c r="N1248" s="8"/>
      <c r="O1248" s="8" t="s">
        <v>5574</v>
      </c>
      <c r="P1248" s="11"/>
      <c r="Q1248" s="8" t="s">
        <v>5696</v>
      </c>
      <c r="R1248" s="8" t="s">
        <v>5919</v>
      </c>
      <c r="S1248" s="8" t="s">
        <v>9166</v>
      </c>
    </row>
    <row r="1249" spans="1:19" ht="93" customHeight="1" x14ac:dyDescent="0.25">
      <c r="A1249" s="8" t="s">
        <v>9167</v>
      </c>
      <c r="B1249" s="8" t="s">
        <v>5693</v>
      </c>
      <c r="C1249" s="8" t="s">
        <v>5918</v>
      </c>
      <c r="D1249" s="10">
        <v>928</v>
      </c>
      <c r="E1249" s="8" t="s">
        <v>9168</v>
      </c>
      <c r="F1249" s="8" t="s">
        <v>9169</v>
      </c>
      <c r="G1249" s="8" t="s">
        <v>4727</v>
      </c>
      <c r="H1249" s="8" t="s">
        <v>9168</v>
      </c>
      <c r="I1249" s="8"/>
      <c r="J1249" s="15" t="s">
        <v>5695</v>
      </c>
      <c r="K1249" s="8"/>
      <c r="L1249" s="15" t="s">
        <v>1685</v>
      </c>
      <c r="M1249" s="8" t="s">
        <v>5578</v>
      </c>
      <c r="N1249" s="8"/>
      <c r="O1249" s="8" t="s">
        <v>5574</v>
      </c>
      <c r="P1249" s="11"/>
      <c r="Q1249" s="8" t="s">
        <v>5696</v>
      </c>
      <c r="R1249" s="8" t="s">
        <v>5919</v>
      </c>
      <c r="S1249" s="8" t="s">
        <v>9170</v>
      </c>
    </row>
    <row r="1250" spans="1:19" ht="107.1" customHeight="1" x14ac:dyDescent="0.25">
      <c r="A1250" s="8" t="s">
        <v>9171</v>
      </c>
      <c r="B1250" s="8" t="s">
        <v>5693</v>
      </c>
      <c r="C1250" s="8" t="s">
        <v>5918</v>
      </c>
      <c r="D1250" s="10">
        <v>929</v>
      </c>
      <c r="E1250" s="8" t="s">
        <v>9172</v>
      </c>
      <c r="F1250" s="8" t="s">
        <v>9173</v>
      </c>
      <c r="G1250" s="8" t="s">
        <v>4727</v>
      </c>
      <c r="H1250" s="8" t="s">
        <v>9172</v>
      </c>
      <c r="I1250" s="8"/>
      <c r="J1250" s="15" t="s">
        <v>5695</v>
      </c>
      <c r="K1250" s="8"/>
      <c r="L1250" s="15" t="s">
        <v>1685</v>
      </c>
      <c r="M1250" s="8" t="s">
        <v>5578</v>
      </c>
      <c r="N1250" s="8"/>
      <c r="O1250" s="8" t="s">
        <v>5574</v>
      </c>
      <c r="P1250" s="11"/>
      <c r="Q1250" s="8" t="s">
        <v>5696</v>
      </c>
      <c r="R1250" s="8" t="s">
        <v>5919</v>
      </c>
      <c r="S1250" s="8" t="s">
        <v>9174</v>
      </c>
    </row>
    <row r="1251" spans="1:19" ht="107.1" customHeight="1" x14ac:dyDescent="0.25">
      <c r="A1251" s="8" t="s">
        <v>9175</v>
      </c>
      <c r="B1251" s="8" t="s">
        <v>5693</v>
      </c>
      <c r="C1251" s="8" t="s">
        <v>5918</v>
      </c>
      <c r="D1251" s="10">
        <v>930</v>
      </c>
      <c r="E1251" s="8" t="s">
        <v>9176</v>
      </c>
      <c r="F1251" s="8" t="s">
        <v>9177</v>
      </c>
      <c r="G1251" s="8" t="s">
        <v>4727</v>
      </c>
      <c r="H1251" s="8" t="s">
        <v>9176</v>
      </c>
      <c r="I1251" s="8"/>
      <c r="J1251" s="15" t="s">
        <v>5695</v>
      </c>
      <c r="K1251" s="8"/>
      <c r="L1251" s="15" t="s">
        <v>1685</v>
      </c>
      <c r="M1251" s="8" t="s">
        <v>5578</v>
      </c>
      <c r="N1251" s="8"/>
      <c r="O1251" s="8" t="s">
        <v>5574</v>
      </c>
      <c r="P1251" s="11"/>
      <c r="Q1251" s="8" t="s">
        <v>5696</v>
      </c>
      <c r="R1251" s="8" t="s">
        <v>5919</v>
      </c>
      <c r="S1251" s="8" t="s">
        <v>9178</v>
      </c>
    </row>
    <row r="1252" spans="1:19" ht="107.1" customHeight="1" x14ac:dyDescent="0.25">
      <c r="A1252" s="8" t="s">
        <v>9179</v>
      </c>
      <c r="B1252" s="8" t="s">
        <v>5693</v>
      </c>
      <c r="C1252" s="8" t="s">
        <v>5918</v>
      </c>
      <c r="D1252" s="10">
        <v>931</v>
      </c>
      <c r="E1252" s="8" t="s">
        <v>9180</v>
      </c>
      <c r="F1252" s="8" t="s">
        <v>9181</v>
      </c>
      <c r="G1252" s="8" t="s">
        <v>4727</v>
      </c>
      <c r="H1252" s="8" t="s">
        <v>9180</v>
      </c>
      <c r="I1252" s="8"/>
      <c r="J1252" s="15" t="s">
        <v>5695</v>
      </c>
      <c r="K1252" s="8"/>
      <c r="L1252" s="15" t="s">
        <v>1685</v>
      </c>
      <c r="M1252" s="8" t="s">
        <v>5578</v>
      </c>
      <c r="N1252" s="8"/>
      <c r="O1252" s="8" t="s">
        <v>5574</v>
      </c>
      <c r="P1252" s="11"/>
      <c r="Q1252" s="8" t="s">
        <v>5696</v>
      </c>
      <c r="R1252" s="8" t="s">
        <v>5919</v>
      </c>
      <c r="S1252" s="8" t="s">
        <v>9182</v>
      </c>
    </row>
    <row r="1253" spans="1:19" ht="107.1" customHeight="1" x14ac:dyDescent="0.25">
      <c r="A1253" s="8" t="s">
        <v>9183</v>
      </c>
      <c r="B1253" s="8" t="s">
        <v>5693</v>
      </c>
      <c r="C1253" s="8" t="s">
        <v>5918</v>
      </c>
      <c r="D1253" s="10">
        <v>932</v>
      </c>
      <c r="E1253" s="8" t="s">
        <v>9184</v>
      </c>
      <c r="F1253" s="8" t="s">
        <v>9185</v>
      </c>
      <c r="G1253" s="8" t="s">
        <v>4727</v>
      </c>
      <c r="H1253" s="8" t="s">
        <v>9184</v>
      </c>
      <c r="I1253" s="8"/>
      <c r="J1253" s="15" t="s">
        <v>5695</v>
      </c>
      <c r="K1253" s="8"/>
      <c r="L1253" s="15" t="s">
        <v>1685</v>
      </c>
      <c r="M1253" s="8" t="s">
        <v>5578</v>
      </c>
      <c r="N1253" s="8"/>
      <c r="O1253" s="8" t="s">
        <v>5574</v>
      </c>
      <c r="P1253" s="11"/>
      <c r="Q1253" s="8" t="s">
        <v>5696</v>
      </c>
      <c r="R1253" s="8" t="s">
        <v>5919</v>
      </c>
      <c r="S1253" s="8" t="s">
        <v>9186</v>
      </c>
    </row>
    <row r="1254" spans="1:19" ht="107.1" customHeight="1" x14ac:dyDescent="0.25">
      <c r="A1254" s="8" t="s">
        <v>9187</v>
      </c>
      <c r="B1254" s="8" t="s">
        <v>5693</v>
      </c>
      <c r="C1254" s="8" t="s">
        <v>5918</v>
      </c>
      <c r="D1254" s="10">
        <v>933</v>
      </c>
      <c r="E1254" s="8" t="s">
        <v>9188</v>
      </c>
      <c r="F1254" s="8" t="s">
        <v>9189</v>
      </c>
      <c r="G1254" s="8" t="s">
        <v>4727</v>
      </c>
      <c r="H1254" s="8" t="s">
        <v>9188</v>
      </c>
      <c r="I1254" s="8"/>
      <c r="J1254" s="15" t="s">
        <v>5695</v>
      </c>
      <c r="K1254" s="8"/>
      <c r="L1254" s="15" t="s">
        <v>1685</v>
      </c>
      <c r="M1254" s="8" t="s">
        <v>5578</v>
      </c>
      <c r="N1254" s="8"/>
      <c r="O1254" s="8" t="s">
        <v>5574</v>
      </c>
      <c r="P1254" s="11"/>
      <c r="Q1254" s="8" t="s">
        <v>5696</v>
      </c>
      <c r="R1254" s="8" t="s">
        <v>5919</v>
      </c>
      <c r="S1254" s="8" t="s">
        <v>9190</v>
      </c>
    </row>
    <row r="1255" spans="1:19" ht="107.1" customHeight="1" x14ac:dyDescent="0.25">
      <c r="A1255" s="8" t="s">
        <v>9191</v>
      </c>
      <c r="B1255" s="8" t="s">
        <v>5693</v>
      </c>
      <c r="C1255" s="8" t="s">
        <v>5918</v>
      </c>
      <c r="D1255" s="10">
        <v>934</v>
      </c>
      <c r="E1255" s="8" t="s">
        <v>9192</v>
      </c>
      <c r="F1255" s="8" t="s">
        <v>9193</v>
      </c>
      <c r="G1255" s="8" t="s">
        <v>4727</v>
      </c>
      <c r="H1255" s="8" t="s">
        <v>9192</v>
      </c>
      <c r="I1255" s="8"/>
      <c r="J1255" s="15" t="s">
        <v>5695</v>
      </c>
      <c r="K1255" s="8"/>
      <c r="L1255" s="15" t="s">
        <v>1685</v>
      </c>
      <c r="M1255" s="8" t="s">
        <v>5578</v>
      </c>
      <c r="N1255" s="8"/>
      <c r="O1255" s="8" t="s">
        <v>5574</v>
      </c>
      <c r="P1255" s="11"/>
      <c r="Q1255" s="8" t="s">
        <v>5696</v>
      </c>
      <c r="R1255" s="8" t="s">
        <v>5919</v>
      </c>
      <c r="S1255" s="8" t="s">
        <v>9194</v>
      </c>
    </row>
    <row r="1256" spans="1:19" ht="93" customHeight="1" x14ac:dyDescent="0.25">
      <c r="A1256" s="8" t="s">
        <v>9195</v>
      </c>
      <c r="B1256" s="8" t="s">
        <v>5693</v>
      </c>
      <c r="C1256" s="8" t="s">
        <v>5918</v>
      </c>
      <c r="D1256" s="10">
        <v>935</v>
      </c>
      <c r="E1256" s="8" t="s">
        <v>9196</v>
      </c>
      <c r="F1256" s="8" t="s">
        <v>9197</v>
      </c>
      <c r="G1256" s="8" t="s">
        <v>4727</v>
      </c>
      <c r="H1256" s="8" t="s">
        <v>9196</v>
      </c>
      <c r="I1256" s="8"/>
      <c r="J1256" s="15" t="s">
        <v>5695</v>
      </c>
      <c r="K1256" s="8"/>
      <c r="L1256" s="15" t="s">
        <v>1685</v>
      </c>
      <c r="M1256" s="8" t="s">
        <v>5578</v>
      </c>
      <c r="N1256" s="8"/>
      <c r="O1256" s="8" t="s">
        <v>5574</v>
      </c>
      <c r="P1256" s="11"/>
      <c r="Q1256" s="8" t="s">
        <v>5696</v>
      </c>
      <c r="R1256" s="8" t="s">
        <v>5919</v>
      </c>
      <c r="S1256" s="8" t="s">
        <v>9198</v>
      </c>
    </row>
    <row r="1257" spans="1:19" ht="107.1" customHeight="1" x14ac:dyDescent="0.25">
      <c r="A1257" s="8" t="s">
        <v>9199</v>
      </c>
      <c r="B1257" s="8" t="s">
        <v>5693</v>
      </c>
      <c r="C1257" s="8" t="s">
        <v>5918</v>
      </c>
      <c r="D1257" s="10">
        <v>936</v>
      </c>
      <c r="E1257" s="8" t="s">
        <v>9200</v>
      </c>
      <c r="F1257" s="8" t="s">
        <v>9201</v>
      </c>
      <c r="G1257" s="8" t="s">
        <v>4727</v>
      </c>
      <c r="H1257" s="8" t="s">
        <v>9200</v>
      </c>
      <c r="I1257" s="8"/>
      <c r="J1257" s="15" t="s">
        <v>5695</v>
      </c>
      <c r="K1257" s="8"/>
      <c r="L1257" s="15" t="s">
        <v>1685</v>
      </c>
      <c r="M1257" s="8" t="s">
        <v>5578</v>
      </c>
      <c r="N1257" s="8"/>
      <c r="O1257" s="8" t="s">
        <v>5574</v>
      </c>
      <c r="P1257" s="11"/>
      <c r="Q1257" s="8" t="s">
        <v>5696</v>
      </c>
      <c r="R1257" s="8" t="s">
        <v>5919</v>
      </c>
      <c r="S1257" s="8" t="s">
        <v>9202</v>
      </c>
    </row>
    <row r="1258" spans="1:19" ht="107.1" customHeight="1" x14ac:dyDescent="0.25">
      <c r="A1258" s="8" t="s">
        <v>9203</v>
      </c>
      <c r="B1258" s="8" t="s">
        <v>5693</v>
      </c>
      <c r="C1258" s="8" t="s">
        <v>5918</v>
      </c>
      <c r="D1258" s="10">
        <v>937</v>
      </c>
      <c r="E1258" s="8" t="s">
        <v>9204</v>
      </c>
      <c r="F1258" s="8" t="s">
        <v>9205</v>
      </c>
      <c r="G1258" s="8" t="s">
        <v>4727</v>
      </c>
      <c r="H1258" s="8" t="s">
        <v>9204</v>
      </c>
      <c r="I1258" s="8"/>
      <c r="J1258" s="15" t="s">
        <v>5695</v>
      </c>
      <c r="K1258" s="8"/>
      <c r="L1258" s="15" t="s">
        <v>1685</v>
      </c>
      <c r="M1258" s="8" t="s">
        <v>5578</v>
      </c>
      <c r="N1258" s="8"/>
      <c r="O1258" s="8" t="s">
        <v>5574</v>
      </c>
      <c r="P1258" s="11"/>
      <c r="Q1258" s="8" t="s">
        <v>5696</v>
      </c>
      <c r="R1258" s="8" t="s">
        <v>5919</v>
      </c>
      <c r="S1258" s="8" t="s">
        <v>9206</v>
      </c>
    </row>
    <row r="1259" spans="1:19" ht="107.1" customHeight="1" x14ac:dyDescent="0.25">
      <c r="A1259" s="8" t="s">
        <v>9207</v>
      </c>
      <c r="B1259" s="8" t="s">
        <v>5693</v>
      </c>
      <c r="C1259" s="8" t="s">
        <v>5918</v>
      </c>
      <c r="D1259" s="10">
        <v>938</v>
      </c>
      <c r="E1259" s="8" t="s">
        <v>9208</v>
      </c>
      <c r="F1259" s="8" t="s">
        <v>9209</v>
      </c>
      <c r="G1259" s="8" t="s">
        <v>4727</v>
      </c>
      <c r="H1259" s="8" t="s">
        <v>9208</v>
      </c>
      <c r="I1259" s="8"/>
      <c r="J1259" s="15" t="s">
        <v>5695</v>
      </c>
      <c r="K1259" s="8"/>
      <c r="L1259" s="15" t="s">
        <v>1685</v>
      </c>
      <c r="M1259" s="8" t="s">
        <v>5578</v>
      </c>
      <c r="N1259" s="8"/>
      <c r="O1259" s="8" t="s">
        <v>5574</v>
      </c>
      <c r="P1259" s="11"/>
      <c r="Q1259" s="8" t="s">
        <v>5696</v>
      </c>
      <c r="R1259" s="8" t="s">
        <v>5919</v>
      </c>
      <c r="S1259" s="8" t="s">
        <v>9210</v>
      </c>
    </row>
    <row r="1260" spans="1:19" ht="93" customHeight="1" x14ac:dyDescent="0.25">
      <c r="A1260" s="8" t="s">
        <v>9211</v>
      </c>
      <c r="B1260" s="8" t="s">
        <v>5693</v>
      </c>
      <c r="C1260" s="8" t="s">
        <v>5918</v>
      </c>
      <c r="D1260" s="10">
        <v>939</v>
      </c>
      <c r="E1260" s="8" t="s">
        <v>9212</v>
      </c>
      <c r="F1260" s="8" t="s">
        <v>9213</v>
      </c>
      <c r="G1260" s="8" t="s">
        <v>4727</v>
      </c>
      <c r="H1260" s="8" t="s">
        <v>9212</v>
      </c>
      <c r="I1260" s="8"/>
      <c r="J1260" s="15" t="s">
        <v>5695</v>
      </c>
      <c r="K1260" s="8"/>
      <c r="L1260" s="15" t="s">
        <v>1685</v>
      </c>
      <c r="M1260" s="8" t="s">
        <v>5578</v>
      </c>
      <c r="N1260" s="8"/>
      <c r="O1260" s="8" t="s">
        <v>5574</v>
      </c>
      <c r="P1260" s="11"/>
      <c r="Q1260" s="8" t="s">
        <v>5696</v>
      </c>
      <c r="R1260" s="8" t="s">
        <v>5919</v>
      </c>
      <c r="S1260" s="8" t="s">
        <v>9214</v>
      </c>
    </row>
    <row r="1261" spans="1:19" ht="93" customHeight="1" x14ac:dyDescent="0.25">
      <c r="A1261" s="8" t="s">
        <v>9215</v>
      </c>
      <c r="B1261" s="8" t="s">
        <v>5693</v>
      </c>
      <c r="C1261" s="8" t="s">
        <v>5918</v>
      </c>
      <c r="D1261" s="10">
        <v>940</v>
      </c>
      <c r="E1261" s="8" t="s">
        <v>9216</v>
      </c>
      <c r="F1261" s="8" t="s">
        <v>9217</v>
      </c>
      <c r="G1261" s="8" t="s">
        <v>4727</v>
      </c>
      <c r="H1261" s="8" t="s">
        <v>9216</v>
      </c>
      <c r="I1261" s="8"/>
      <c r="J1261" s="15" t="s">
        <v>5695</v>
      </c>
      <c r="K1261" s="8"/>
      <c r="L1261" s="15" t="s">
        <v>1685</v>
      </c>
      <c r="M1261" s="8" t="s">
        <v>5578</v>
      </c>
      <c r="N1261" s="8"/>
      <c r="O1261" s="8" t="s">
        <v>5574</v>
      </c>
      <c r="P1261" s="11"/>
      <c r="Q1261" s="8" t="s">
        <v>5696</v>
      </c>
      <c r="R1261" s="8" t="s">
        <v>5919</v>
      </c>
      <c r="S1261" s="8" t="s">
        <v>9218</v>
      </c>
    </row>
    <row r="1262" spans="1:19" ht="107.1" customHeight="1" x14ac:dyDescent="0.25">
      <c r="A1262" s="8" t="s">
        <v>9219</v>
      </c>
      <c r="B1262" s="8" t="s">
        <v>5693</v>
      </c>
      <c r="C1262" s="8" t="s">
        <v>5918</v>
      </c>
      <c r="D1262" s="10">
        <v>941</v>
      </c>
      <c r="E1262" s="8" t="s">
        <v>9220</v>
      </c>
      <c r="F1262" s="8" t="s">
        <v>9221</v>
      </c>
      <c r="G1262" s="8" t="s">
        <v>4727</v>
      </c>
      <c r="H1262" s="8" t="s">
        <v>9220</v>
      </c>
      <c r="I1262" s="8"/>
      <c r="J1262" s="15" t="s">
        <v>5695</v>
      </c>
      <c r="K1262" s="8"/>
      <c r="L1262" s="15" t="s">
        <v>1685</v>
      </c>
      <c r="M1262" s="8" t="s">
        <v>5578</v>
      </c>
      <c r="N1262" s="8"/>
      <c r="O1262" s="8" t="s">
        <v>5574</v>
      </c>
      <c r="P1262" s="11"/>
      <c r="Q1262" s="8" t="s">
        <v>5696</v>
      </c>
      <c r="R1262" s="8" t="s">
        <v>5919</v>
      </c>
      <c r="S1262" s="8" t="s">
        <v>9222</v>
      </c>
    </row>
    <row r="1263" spans="1:19" ht="107.1" customHeight="1" x14ac:dyDescent="0.25">
      <c r="A1263" s="8" t="s">
        <v>9223</v>
      </c>
      <c r="B1263" s="8" t="s">
        <v>5693</v>
      </c>
      <c r="C1263" s="8" t="s">
        <v>5918</v>
      </c>
      <c r="D1263" s="10">
        <v>942</v>
      </c>
      <c r="E1263" s="8" t="s">
        <v>9224</v>
      </c>
      <c r="F1263" s="8" t="s">
        <v>9225</v>
      </c>
      <c r="G1263" s="8" t="s">
        <v>4727</v>
      </c>
      <c r="H1263" s="8" t="s">
        <v>9224</v>
      </c>
      <c r="I1263" s="8"/>
      <c r="J1263" s="15" t="s">
        <v>5695</v>
      </c>
      <c r="K1263" s="8"/>
      <c r="L1263" s="15" t="s">
        <v>1685</v>
      </c>
      <c r="M1263" s="8" t="s">
        <v>5578</v>
      </c>
      <c r="N1263" s="8"/>
      <c r="O1263" s="8" t="s">
        <v>5574</v>
      </c>
      <c r="P1263" s="11"/>
      <c r="Q1263" s="8" t="s">
        <v>5696</v>
      </c>
      <c r="R1263" s="8" t="s">
        <v>5919</v>
      </c>
      <c r="S1263" s="8" t="s">
        <v>9226</v>
      </c>
    </row>
    <row r="1264" spans="1:19" ht="93" customHeight="1" x14ac:dyDescent="0.25">
      <c r="A1264" s="8" t="s">
        <v>9227</v>
      </c>
      <c r="B1264" s="8" t="s">
        <v>5693</v>
      </c>
      <c r="C1264" s="8" t="s">
        <v>5918</v>
      </c>
      <c r="D1264" s="10">
        <v>943</v>
      </c>
      <c r="E1264" s="8" t="s">
        <v>9228</v>
      </c>
      <c r="F1264" s="8" t="s">
        <v>9229</v>
      </c>
      <c r="G1264" s="8" t="s">
        <v>4727</v>
      </c>
      <c r="H1264" s="8" t="s">
        <v>9228</v>
      </c>
      <c r="I1264" s="8"/>
      <c r="J1264" s="15" t="s">
        <v>5695</v>
      </c>
      <c r="K1264" s="8"/>
      <c r="L1264" s="15" t="s">
        <v>1685</v>
      </c>
      <c r="M1264" s="8" t="s">
        <v>5578</v>
      </c>
      <c r="N1264" s="8"/>
      <c r="O1264" s="8" t="s">
        <v>5574</v>
      </c>
      <c r="P1264" s="11"/>
      <c r="Q1264" s="8" t="s">
        <v>5696</v>
      </c>
      <c r="R1264" s="8" t="s">
        <v>5919</v>
      </c>
      <c r="S1264" s="8" t="s">
        <v>9230</v>
      </c>
    </row>
    <row r="1265" spans="1:19" ht="93" customHeight="1" x14ac:dyDescent="0.25">
      <c r="A1265" s="8" t="s">
        <v>9231</v>
      </c>
      <c r="B1265" s="8" t="s">
        <v>5693</v>
      </c>
      <c r="C1265" s="8" t="s">
        <v>5918</v>
      </c>
      <c r="D1265" s="10">
        <v>944</v>
      </c>
      <c r="E1265" s="8" t="s">
        <v>9232</v>
      </c>
      <c r="F1265" s="8" t="s">
        <v>9233</v>
      </c>
      <c r="G1265" s="8" t="s">
        <v>4727</v>
      </c>
      <c r="H1265" s="8" t="s">
        <v>9232</v>
      </c>
      <c r="I1265" s="8"/>
      <c r="J1265" s="15" t="s">
        <v>5695</v>
      </c>
      <c r="K1265" s="8"/>
      <c r="L1265" s="15" t="s">
        <v>1685</v>
      </c>
      <c r="M1265" s="8" t="s">
        <v>5578</v>
      </c>
      <c r="N1265" s="8"/>
      <c r="O1265" s="8" t="s">
        <v>5574</v>
      </c>
      <c r="P1265" s="11"/>
      <c r="Q1265" s="8" t="s">
        <v>5696</v>
      </c>
      <c r="R1265" s="8" t="s">
        <v>5919</v>
      </c>
      <c r="S1265" s="8" t="s">
        <v>9234</v>
      </c>
    </row>
    <row r="1266" spans="1:19" ht="107.1" customHeight="1" x14ac:dyDescent="0.25">
      <c r="A1266" s="8" t="s">
        <v>9235</v>
      </c>
      <c r="B1266" s="8" t="s">
        <v>5693</v>
      </c>
      <c r="C1266" s="8" t="s">
        <v>5918</v>
      </c>
      <c r="D1266" s="10">
        <v>945</v>
      </c>
      <c r="E1266" s="8" t="s">
        <v>9236</v>
      </c>
      <c r="F1266" s="8" t="s">
        <v>9237</v>
      </c>
      <c r="G1266" s="8" t="s">
        <v>4727</v>
      </c>
      <c r="H1266" s="8" t="s">
        <v>9236</v>
      </c>
      <c r="I1266" s="8"/>
      <c r="J1266" s="15" t="s">
        <v>5695</v>
      </c>
      <c r="K1266" s="8"/>
      <c r="L1266" s="15" t="s">
        <v>1685</v>
      </c>
      <c r="M1266" s="8" t="s">
        <v>5578</v>
      </c>
      <c r="N1266" s="8"/>
      <c r="O1266" s="8" t="s">
        <v>5574</v>
      </c>
      <c r="P1266" s="11"/>
      <c r="Q1266" s="8" t="s">
        <v>5696</v>
      </c>
      <c r="R1266" s="8" t="s">
        <v>5919</v>
      </c>
      <c r="S1266" s="8" t="s">
        <v>9238</v>
      </c>
    </row>
    <row r="1267" spans="1:19" ht="107.1" customHeight="1" x14ac:dyDescent="0.25">
      <c r="A1267" s="8" t="s">
        <v>9239</v>
      </c>
      <c r="B1267" s="8" t="s">
        <v>5693</v>
      </c>
      <c r="C1267" s="8" t="s">
        <v>5918</v>
      </c>
      <c r="D1267" s="10">
        <v>946</v>
      </c>
      <c r="E1267" s="8" t="s">
        <v>9240</v>
      </c>
      <c r="F1267" s="8" t="s">
        <v>9241</v>
      </c>
      <c r="G1267" s="8" t="s">
        <v>4727</v>
      </c>
      <c r="H1267" s="8" t="s">
        <v>9240</v>
      </c>
      <c r="I1267" s="8"/>
      <c r="J1267" s="15" t="s">
        <v>5695</v>
      </c>
      <c r="K1267" s="8"/>
      <c r="L1267" s="15" t="s">
        <v>1685</v>
      </c>
      <c r="M1267" s="8" t="s">
        <v>5578</v>
      </c>
      <c r="N1267" s="8"/>
      <c r="O1267" s="8" t="s">
        <v>5574</v>
      </c>
      <c r="P1267" s="11"/>
      <c r="Q1267" s="8" t="s">
        <v>5696</v>
      </c>
      <c r="R1267" s="8" t="s">
        <v>5919</v>
      </c>
      <c r="S1267" s="8" t="s">
        <v>9242</v>
      </c>
    </row>
    <row r="1268" spans="1:19" ht="107.1" customHeight="1" x14ac:dyDescent="0.25">
      <c r="A1268" s="8" t="s">
        <v>9243</v>
      </c>
      <c r="B1268" s="8" t="s">
        <v>5693</v>
      </c>
      <c r="C1268" s="8" t="s">
        <v>5918</v>
      </c>
      <c r="D1268" s="10">
        <v>947</v>
      </c>
      <c r="E1268" s="8" t="s">
        <v>9244</v>
      </c>
      <c r="F1268" s="8" t="s">
        <v>9245</v>
      </c>
      <c r="G1268" s="8" t="s">
        <v>4727</v>
      </c>
      <c r="H1268" s="8" t="s">
        <v>9244</v>
      </c>
      <c r="I1268" s="8"/>
      <c r="J1268" s="15" t="s">
        <v>5695</v>
      </c>
      <c r="K1268" s="8"/>
      <c r="L1268" s="15" t="s">
        <v>1685</v>
      </c>
      <c r="M1268" s="8" t="s">
        <v>5578</v>
      </c>
      <c r="N1268" s="8"/>
      <c r="O1268" s="8" t="s">
        <v>5574</v>
      </c>
      <c r="P1268" s="11"/>
      <c r="Q1268" s="8" t="s">
        <v>5696</v>
      </c>
      <c r="R1268" s="8" t="s">
        <v>5919</v>
      </c>
      <c r="S1268" s="8" t="s">
        <v>9246</v>
      </c>
    </row>
    <row r="1269" spans="1:19" ht="93" customHeight="1" x14ac:dyDescent="0.25">
      <c r="A1269" s="8" t="s">
        <v>9247</v>
      </c>
      <c r="B1269" s="8" t="s">
        <v>5693</v>
      </c>
      <c r="C1269" s="8" t="s">
        <v>5918</v>
      </c>
      <c r="D1269" s="10">
        <v>948</v>
      </c>
      <c r="E1269" s="8" t="s">
        <v>9248</v>
      </c>
      <c r="F1269" s="8" t="s">
        <v>9249</v>
      </c>
      <c r="G1269" s="8" t="s">
        <v>4727</v>
      </c>
      <c r="H1269" s="8" t="s">
        <v>9248</v>
      </c>
      <c r="I1269" s="8"/>
      <c r="J1269" s="15" t="s">
        <v>5695</v>
      </c>
      <c r="K1269" s="8"/>
      <c r="L1269" s="15" t="s">
        <v>1685</v>
      </c>
      <c r="M1269" s="8" t="s">
        <v>5578</v>
      </c>
      <c r="N1269" s="8"/>
      <c r="O1269" s="8" t="s">
        <v>5574</v>
      </c>
      <c r="P1269" s="11"/>
      <c r="Q1269" s="8" t="s">
        <v>5696</v>
      </c>
      <c r="R1269" s="8" t="s">
        <v>5919</v>
      </c>
      <c r="S1269" s="8" t="s">
        <v>9250</v>
      </c>
    </row>
    <row r="1270" spans="1:19" ht="107.1" customHeight="1" x14ac:dyDescent="0.25">
      <c r="A1270" s="8" t="s">
        <v>9251</v>
      </c>
      <c r="B1270" s="8" t="s">
        <v>5693</v>
      </c>
      <c r="C1270" s="8" t="s">
        <v>5918</v>
      </c>
      <c r="D1270" s="10">
        <v>949</v>
      </c>
      <c r="E1270" s="8" t="s">
        <v>9252</v>
      </c>
      <c r="F1270" s="8" t="s">
        <v>9253</v>
      </c>
      <c r="G1270" s="8" t="s">
        <v>4727</v>
      </c>
      <c r="H1270" s="8" t="s">
        <v>9252</v>
      </c>
      <c r="I1270" s="8"/>
      <c r="J1270" s="15" t="s">
        <v>5695</v>
      </c>
      <c r="K1270" s="8"/>
      <c r="L1270" s="15" t="s">
        <v>1685</v>
      </c>
      <c r="M1270" s="8" t="s">
        <v>5578</v>
      </c>
      <c r="N1270" s="8"/>
      <c r="O1270" s="8" t="s">
        <v>5574</v>
      </c>
      <c r="P1270" s="11"/>
      <c r="Q1270" s="8" t="s">
        <v>5696</v>
      </c>
      <c r="R1270" s="8" t="s">
        <v>5919</v>
      </c>
      <c r="S1270" s="8" t="s">
        <v>9254</v>
      </c>
    </row>
    <row r="1271" spans="1:19" ht="107.1" customHeight="1" x14ac:dyDescent="0.25">
      <c r="A1271" s="8" t="s">
        <v>9255</v>
      </c>
      <c r="B1271" s="8" t="s">
        <v>5693</v>
      </c>
      <c r="C1271" s="8" t="s">
        <v>5918</v>
      </c>
      <c r="D1271" s="10">
        <v>950</v>
      </c>
      <c r="E1271" s="8" t="s">
        <v>9256</v>
      </c>
      <c r="F1271" s="8" t="s">
        <v>9257</v>
      </c>
      <c r="G1271" s="8" t="s">
        <v>4727</v>
      </c>
      <c r="H1271" s="8" t="s">
        <v>9256</v>
      </c>
      <c r="I1271" s="8"/>
      <c r="J1271" s="15" t="s">
        <v>5695</v>
      </c>
      <c r="K1271" s="8"/>
      <c r="L1271" s="15" t="s">
        <v>1685</v>
      </c>
      <c r="M1271" s="8" t="s">
        <v>5578</v>
      </c>
      <c r="N1271" s="8"/>
      <c r="O1271" s="8" t="s">
        <v>5574</v>
      </c>
      <c r="P1271" s="11"/>
      <c r="Q1271" s="8" t="s">
        <v>5696</v>
      </c>
      <c r="R1271" s="8" t="s">
        <v>5919</v>
      </c>
      <c r="S1271" s="8" t="s">
        <v>9258</v>
      </c>
    </row>
    <row r="1272" spans="1:19" ht="107.1" customHeight="1" x14ac:dyDescent="0.25">
      <c r="A1272" s="8" t="s">
        <v>9259</v>
      </c>
      <c r="B1272" s="8" t="s">
        <v>5693</v>
      </c>
      <c r="C1272" s="8" t="s">
        <v>5918</v>
      </c>
      <c r="D1272" s="10">
        <v>951</v>
      </c>
      <c r="E1272" s="8" t="s">
        <v>9260</v>
      </c>
      <c r="F1272" s="8" t="s">
        <v>9261</v>
      </c>
      <c r="G1272" s="8" t="s">
        <v>4727</v>
      </c>
      <c r="H1272" s="8" t="s">
        <v>9260</v>
      </c>
      <c r="I1272" s="8"/>
      <c r="J1272" s="15" t="s">
        <v>5695</v>
      </c>
      <c r="K1272" s="8"/>
      <c r="L1272" s="15" t="s">
        <v>1685</v>
      </c>
      <c r="M1272" s="8" t="s">
        <v>5578</v>
      </c>
      <c r="N1272" s="8"/>
      <c r="O1272" s="8" t="s">
        <v>5574</v>
      </c>
      <c r="P1272" s="11"/>
      <c r="Q1272" s="8" t="s">
        <v>5696</v>
      </c>
      <c r="R1272" s="8" t="s">
        <v>5919</v>
      </c>
      <c r="S1272" s="8" t="s">
        <v>9262</v>
      </c>
    </row>
    <row r="1273" spans="1:19" ht="107.1" customHeight="1" x14ac:dyDescent="0.25">
      <c r="A1273" s="8" t="s">
        <v>9263</v>
      </c>
      <c r="B1273" s="8" t="s">
        <v>5693</v>
      </c>
      <c r="C1273" s="8" t="s">
        <v>5918</v>
      </c>
      <c r="D1273" s="10">
        <v>952</v>
      </c>
      <c r="E1273" s="8" t="s">
        <v>9264</v>
      </c>
      <c r="F1273" s="8" t="s">
        <v>9265</v>
      </c>
      <c r="G1273" s="8" t="s">
        <v>4727</v>
      </c>
      <c r="H1273" s="8" t="s">
        <v>9264</v>
      </c>
      <c r="I1273" s="8"/>
      <c r="J1273" s="15" t="s">
        <v>5695</v>
      </c>
      <c r="K1273" s="8"/>
      <c r="L1273" s="15" t="s">
        <v>1685</v>
      </c>
      <c r="M1273" s="8" t="s">
        <v>5578</v>
      </c>
      <c r="N1273" s="8"/>
      <c r="O1273" s="8" t="s">
        <v>5574</v>
      </c>
      <c r="P1273" s="11"/>
      <c r="Q1273" s="8" t="s">
        <v>5696</v>
      </c>
      <c r="R1273" s="8" t="s">
        <v>5919</v>
      </c>
      <c r="S1273" s="8" t="s">
        <v>9266</v>
      </c>
    </row>
    <row r="1274" spans="1:19" ht="93" customHeight="1" x14ac:dyDescent="0.25">
      <c r="A1274" s="8" t="s">
        <v>9267</v>
      </c>
      <c r="B1274" s="8" t="s">
        <v>5693</v>
      </c>
      <c r="C1274" s="8" t="s">
        <v>5918</v>
      </c>
      <c r="D1274" s="10">
        <v>953</v>
      </c>
      <c r="E1274" s="8" t="s">
        <v>9268</v>
      </c>
      <c r="F1274" s="8" t="s">
        <v>9269</v>
      </c>
      <c r="G1274" s="8" t="s">
        <v>4727</v>
      </c>
      <c r="H1274" s="8" t="s">
        <v>9268</v>
      </c>
      <c r="I1274" s="8"/>
      <c r="J1274" s="15" t="s">
        <v>5695</v>
      </c>
      <c r="K1274" s="8"/>
      <c r="L1274" s="15" t="s">
        <v>1685</v>
      </c>
      <c r="M1274" s="8" t="s">
        <v>5578</v>
      </c>
      <c r="N1274" s="8"/>
      <c r="O1274" s="8" t="s">
        <v>5574</v>
      </c>
      <c r="P1274" s="11"/>
      <c r="Q1274" s="8" t="s">
        <v>5696</v>
      </c>
      <c r="R1274" s="8" t="s">
        <v>5919</v>
      </c>
      <c r="S1274" s="8" t="s">
        <v>9270</v>
      </c>
    </row>
    <row r="1275" spans="1:19" ht="93" customHeight="1" x14ac:dyDescent="0.25">
      <c r="A1275" s="8" t="s">
        <v>9271</v>
      </c>
      <c r="B1275" s="8" t="s">
        <v>5693</v>
      </c>
      <c r="C1275" s="8" t="s">
        <v>5918</v>
      </c>
      <c r="D1275" s="10">
        <v>954</v>
      </c>
      <c r="E1275" s="8" t="s">
        <v>9272</v>
      </c>
      <c r="F1275" s="8" t="s">
        <v>9273</v>
      </c>
      <c r="G1275" s="8" t="s">
        <v>4727</v>
      </c>
      <c r="H1275" s="8" t="s">
        <v>9272</v>
      </c>
      <c r="I1275" s="8"/>
      <c r="J1275" s="15" t="s">
        <v>5695</v>
      </c>
      <c r="K1275" s="8"/>
      <c r="L1275" s="15" t="s">
        <v>1685</v>
      </c>
      <c r="M1275" s="8" t="s">
        <v>5578</v>
      </c>
      <c r="N1275" s="8"/>
      <c r="O1275" s="8" t="s">
        <v>5574</v>
      </c>
      <c r="P1275" s="11"/>
      <c r="Q1275" s="8" t="s">
        <v>5696</v>
      </c>
      <c r="R1275" s="8" t="s">
        <v>5919</v>
      </c>
      <c r="S1275" s="8" t="s">
        <v>9274</v>
      </c>
    </row>
    <row r="1276" spans="1:19" ht="107.1" customHeight="1" x14ac:dyDescent="0.25">
      <c r="A1276" s="8" t="s">
        <v>9275</v>
      </c>
      <c r="B1276" s="8" t="s">
        <v>5693</v>
      </c>
      <c r="C1276" s="8" t="s">
        <v>5918</v>
      </c>
      <c r="D1276" s="10">
        <v>955</v>
      </c>
      <c r="E1276" s="8" t="s">
        <v>9276</v>
      </c>
      <c r="F1276" s="8" t="s">
        <v>9277</v>
      </c>
      <c r="G1276" s="8" t="s">
        <v>4727</v>
      </c>
      <c r="H1276" s="8" t="s">
        <v>9276</v>
      </c>
      <c r="I1276" s="8"/>
      <c r="J1276" s="15" t="s">
        <v>5695</v>
      </c>
      <c r="K1276" s="8"/>
      <c r="L1276" s="15" t="s">
        <v>1685</v>
      </c>
      <c r="M1276" s="8" t="s">
        <v>5578</v>
      </c>
      <c r="N1276" s="8"/>
      <c r="O1276" s="8" t="s">
        <v>5574</v>
      </c>
      <c r="P1276" s="11"/>
      <c r="Q1276" s="8" t="s">
        <v>5696</v>
      </c>
      <c r="R1276" s="8" t="s">
        <v>5919</v>
      </c>
      <c r="S1276" s="8" t="s">
        <v>9278</v>
      </c>
    </row>
    <row r="1277" spans="1:19" ht="107.1" customHeight="1" x14ac:dyDescent="0.25">
      <c r="A1277" s="8" t="s">
        <v>9279</v>
      </c>
      <c r="B1277" s="8" t="s">
        <v>5693</v>
      </c>
      <c r="C1277" s="8" t="s">
        <v>5918</v>
      </c>
      <c r="D1277" s="10">
        <v>956</v>
      </c>
      <c r="E1277" s="8" t="s">
        <v>9280</v>
      </c>
      <c r="F1277" s="8" t="s">
        <v>9281</v>
      </c>
      <c r="G1277" s="8" t="s">
        <v>4727</v>
      </c>
      <c r="H1277" s="8" t="s">
        <v>9280</v>
      </c>
      <c r="I1277" s="8"/>
      <c r="J1277" s="15" t="s">
        <v>5695</v>
      </c>
      <c r="K1277" s="8"/>
      <c r="L1277" s="15" t="s">
        <v>1685</v>
      </c>
      <c r="M1277" s="8" t="s">
        <v>5578</v>
      </c>
      <c r="N1277" s="8"/>
      <c r="O1277" s="8" t="s">
        <v>5574</v>
      </c>
      <c r="P1277" s="11"/>
      <c r="Q1277" s="8" t="s">
        <v>5696</v>
      </c>
      <c r="R1277" s="8" t="s">
        <v>5919</v>
      </c>
      <c r="S1277" s="8" t="s">
        <v>9282</v>
      </c>
    </row>
    <row r="1278" spans="1:19" ht="107.1" customHeight="1" x14ac:dyDescent="0.25">
      <c r="A1278" s="8" t="s">
        <v>9283</v>
      </c>
      <c r="B1278" s="8" t="s">
        <v>5693</v>
      </c>
      <c r="C1278" s="8" t="s">
        <v>5918</v>
      </c>
      <c r="D1278" s="10">
        <v>957</v>
      </c>
      <c r="E1278" s="8" t="s">
        <v>9284</v>
      </c>
      <c r="F1278" s="8" t="s">
        <v>9285</v>
      </c>
      <c r="G1278" s="8" t="s">
        <v>4727</v>
      </c>
      <c r="H1278" s="8" t="s">
        <v>9284</v>
      </c>
      <c r="I1278" s="8"/>
      <c r="J1278" s="15" t="s">
        <v>5695</v>
      </c>
      <c r="K1278" s="8"/>
      <c r="L1278" s="15" t="s">
        <v>1685</v>
      </c>
      <c r="M1278" s="8" t="s">
        <v>5578</v>
      </c>
      <c r="N1278" s="8"/>
      <c r="O1278" s="8" t="s">
        <v>5574</v>
      </c>
      <c r="P1278" s="11"/>
      <c r="Q1278" s="8" t="s">
        <v>5696</v>
      </c>
      <c r="R1278" s="8" t="s">
        <v>5919</v>
      </c>
      <c r="S1278" s="8" t="s">
        <v>9286</v>
      </c>
    </row>
    <row r="1279" spans="1:19" ht="93" customHeight="1" x14ac:dyDescent="0.25">
      <c r="A1279" s="8" t="s">
        <v>9287</v>
      </c>
      <c r="B1279" s="8" t="s">
        <v>5693</v>
      </c>
      <c r="C1279" s="8" t="s">
        <v>5918</v>
      </c>
      <c r="D1279" s="10">
        <v>958</v>
      </c>
      <c r="E1279" s="8" t="s">
        <v>9288</v>
      </c>
      <c r="F1279" s="8" t="s">
        <v>9289</v>
      </c>
      <c r="G1279" s="8" t="s">
        <v>4727</v>
      </c>
      <c r="H1279" s="8" t="s">
        <v>9288</v>
      </c>
      <c r="I1279" s="8"/>
      <c r="J1279" s="15" t="s">
        <v>5695</v>
      </c>
      <c r="K1279" s="8"/>
      <c r="L1279" s="15" t="s">
        <v>1685</v>
      </c>
      <c r="M1279" s="8" t="s">
        <v>5578</v>
      </c>
      <c r="N1279" s="8"/>
      <c r="O1279" s="8" t="s">
        <v>5574</v>
      </c>
      <c r="P1279" s="11"/>
      <c r="Q1279" s="8" t="s">
        <v>5696</v>
      </c>
      <c r="R1279" s="8" t="s">
        <v>5919</v>
      </c>
      <c r="S1279" s="8" t="s">
        <v>9290</v>
      </c>
    </row>
    <row r="1280" spans="1:19" ht="93" customHeight="1" x14ac:dyDescent="0.25">
      <c r="A1280" s="8" t="s">
        <v>9291</v>
      </c>
      <c r="B1280" s="8" t="s">
        <v>5693</v>
      </c>
      <c r="C1280" s="8" t="s">
        <v>5918</v>
      </c>
      <c r="D1280" s="10">
        <v>959</v>
      </c>
      <c r="E1280" s="8" t="s">
        <v>9292</v>
      </c>
      <c r="F1280" s="8" t="s">
        <v>9293</v>
      </c>
      <c r="G1280" s="8" t="s">
        <v>4727</v>
      </c>
      <c r="H1280" s="8" t="s">
        <v>9292</v>
      </c>
      <c r="I1280" s="8"/>
      <c r="J1280" s="15" t="s">
        <v>5695</v>
      </c>
      <c r="K1280" s="8"/>
      <c r="L1280" s="15" t="s">
        <v>1685</v>
      </c>
      <c r="M1280" s="8" t="s">
        <v>5578</v>
      </c>
      <c r="N1280" s="8"/>
      <c r="O1280" s="8" t="s">
        <v>5574</v>
      </c>
      <c r="P1280" s="11"/>
      <c r="Q1280" s="8" t="s">
        <v>5696</v>
      </c>
      <c r="R1280" s="8" t="s">
        <v>5919</v>
      </c>
      <c r="S1280" s="8" t="s">
        <v>9294</v>
      </c>
    </row>
    <row r="1281" spans="1:19" ht="107.1" customHeight="1" x14ac:dyDescent="0.25">
      <c r="A1281" s="8" t="s">
        <v>9295</v>
      </c>
      <c r="B1281" s="8" t="s">
        <v>5693</v>
      </c>
      <c r="C1281" s="8" t="s">
        <v>5918</v>
      </c>
      <c r="D1281" s="10">
        <v>960</v>
      </c>
      <c r="E1281" s="8" t="s">
        <v>9296</v>
      </c>
      <c r="F1281" s="8" t="s">
        <v>9297</v>
      </c>
      <c r="G1281" s="8" t="s">
        <v>4727</v>
      </c>
      <c r="H1281" s="8" t="s">
        <v>9296</v>
      </c>
      <c r="I1281" s="8"/>
      <c r="J1281" s="15" t="s">
        <v>5695</v>
      </c>
      <c r="K1281" s="8"/>
      <c r="L1281" s="15" t="s">
        <v>1685</v>
      </c>
      <c r="M1281" s="8" t="s">
        <v>5578</v>
      </c>
      <c r="N1281" s="8"/>
      <c r="O1281" s="8" t="s">
        <v>5574</v>
      </c>
      <c r="P1281" s="11"/>
      <c r="Q1281" s="8" t="s">
        <v>5696</v>
      </c>
      <c r="R1281" s="8" t="s">
        <v>5919</v>
      </c>
      <c r="S1281" s="8" t="s">
        <v>9298</v>
      </c>
    </row>
    <row r="1282" spans="1:19" ht="107.1" customHeight="1" x14ac:dyDescent="0.25">
      <c r="A1282" s="8" t="s">
        <v>9299</v>
      </c>
      <c r="B1282" s="8" t="s">
        <v>5693</v>
      </c>
      <c r="C1282" s="8" t="s">
        <v>5918</v>
      </c>
      <c r="D1282" s="10">
        <v>961</v>
      </c>
      <c r="E1282" s="8" t="s">
        <v>9300</v>
      </c>
      <c r="F1282" s="8" t="s">
        <v>9301</v>
      </c>
      <c r="G1282" s="8" t="s">
        <v>4727</v>
      </c>
      <c r="H1282" s="8" t="s">
        <v>9300</v>
      </c>
      <c r="I1282" s="8"/>
      <c r="J1282" s="15" t="s">
        <v>5695</v>
      </c>
      <c r="K1282" s="8"/>
      <c r="L1282" s="15" t="s">
        <v>1685</v>
      </c>
      <c r="M1282" s="8" t="s">
        <v>5578</v>
      </c>
      <c r="N1282" s="8"/>
      <c r="O1282" s="8" t="s">
        <v>5574</v>
      </c>
      <c r="P1282" s="11"/>
      <c r="Q1282" s="8" t="s">
        <v>5696</v>
      </c>
      <c r="R1282" s="8" t="s">
        <v>5919</v>
      </c>
      <c r="S1282" s="8" t="s">
        <v>9302</v>
      </c>
    </row>
    <row r="1283" spans="1:19" ht="93" customHeight="1" x14ac:dyDescent="0.25">
      <c r="A1283" s="8" t="s">
        <v>9303</v>
      </c>
      <c r="B1283" s="8" t="s">
        <v>5693</v>
      </c>
      <c r="C1283" s="8" t="s">
        <v>5918</v>
      </c>
      <c r="D1283" s="10">
        <v>962</v>
      </c>
      <c r="E1283" s="8" t="s">
        <v>9304</v>
      </c>
      <c r="F1283" s="8" t="s">
        <v>9305</v>
      </c>
      <c r="G1283" s="8" t="s">
        <v>4727</v>
      </c>
      <c r="H1283" s="8" t="s">
        <v>9304</v>
      </c>
      <c r="I1283" s="8"/>
      <c r="J1283" s="15" t="s">
        <v>5695</v>
      </c>
      <c r="K1283" s="8"/>
      <c r="L1283" s="15" t="s">
        <v>1685</v>
      </c>
      <c r="M1283" s="8" t="s">
        <v>5578</v>
      </c>
      <c r="N1283" s="8"/>
      <c r="O1283" s="8" t="s">
        <v>5574</v>
      </c>
      <c r="P1283" s="11"/>
      <c r="Q1283" s="8" t="s">
        <v>5696</v>
      </c>
      <c r="R1283" s="8" t="s">
        <v>5919</v>
      </c>
      <c r="S1283" s="8" t="s">
        <v>9306</v>
      </c>
    </row>
    <row r="1284" spans="1:19" ht="107.1" customHeight="1" x14ac:dyDescent="0.25">
      <c r="A1284" s="8" t="s">
        <v>9307</v>
      </c>
      <c r="B1284" s="8" t="s">
        <v>5693</v>
      </c>
      <c r="C1284" s="8" t="s">
        <v>5918</v>
      </c>
      <c r="D1284" s="10">
        <v>963</v>
      </c>
      <c r="E1284" s="8" t="s">
        <v>9308</v>
      </c>
      <c r="F1284" s="8" t="s">
        <v>9309</v>
      </c>
      <c r="G1284" s="8" t="s">
        <v>4727</v>
      </c>
      <c r="H1284" s="8" t="s">
        <v>9308</v>
      </c>
      <c r="I1284" s="8"/>
      <c r="J1284" s="15" t="s">
        <v>5695</v>
      </c>
      <c r="K1284" s="8"/>
      <c r="L1284" s="15" t="s">
        <v>1685</v>
      </c>
      <c r="M1284" s="8" t="s">
        <v>5578</v>
      </c>
      <c r="N1284" s="8"/>
      <c r="O1284" s="8" t="s">
        <v>5574</v>
      </c>
      <c r="P1284" s="11"/>
      <c r="Q1284" s="8" t="s">
        <v>5696</v>
      </c>
      <c r="R1284" s="8" t="s">
        <v>5919</v>
      </c>
      <c r="S1284" s="8" t="s">
        <v>9310</v>
      </c>
    </row>
    <row r="1285" spans="1:19" ht="107.1" customHeight="1" x14ac:dyDescent="0.25">
      <c r="A1285" s="8" t="s">
        <v>9311</v>
      </c>
      <c r="B1285" s="8" t="s">
        <v>5693</v>
      </c>
      <c r="C1285" s="8" t="s">
        <v>5918</v>
      </c>
      <c r="D1285" s="10">
        <v>964</v>
      </c>
      <c r="E1285" s="8" t="s">
        <v>9312</v>
      </c>
      <c r="F1285" s="8" t="s">
        <v>9313</v>
      </c>
      <c r="G1285" s="8" t="s">
        <v>4727</v>
      </c>
      <c r="H1285" s="8" t="s">
        <v>9312</v>
      </c>
      <c r="I1285" s="8"/>
      <c r="J1285" s="15" t="s">
        <v>5695</v>
      </c>
      <c r="K1285" s="8"/>
      <c r="L1285" s="15" t="s">
        <v>1685</v>
      </c>
      <c r="M1285" s="8" t="s">
        <v>5578</v>
      </c>
      <c r="N1285" s="8"/>
      <c r="O1285" s="8" t="s">
        <v>5574</v>
      </c>
      <c r="P1285" s="11"/>
      <c r="Q1285" s="8" t="s">
        <v>5696</v>
      </c>
      <c r="R1285" s="8" t="s">
        <v>5919</v>
      </c>
      <c r="S1285" s="8" t="s">
        <v>9314</v>
      </c>
    </row>
    <row r="1286" spans="1:19" ht="107.1" customHeight="1" x14ac:dyDescent="0.25">
      <c r="A1286" s="8" t="s">
        <v>9315</v>
      </c>
      <c r="B1286" s="8" t="s">
        <v>5693</v>
      </c>
      <c r="C1286" s="8" t="s">
        <v>5918</v>
      </c>
      <c r="D1286" s="10">
        <v>965</v>
      </c>
      <c r="E1286" s="8" t="s">
        <v>9316</v>
      </c>
      <c r="F1286" s="8" t="s">
        <v>9317</v>
      </c>
      <c r="G1286" s="8" t="s">
        <v>4727</v>
      </c>
      <c r="H1286" s="8" t="s">
        <v>9316</v>
      </c>
      <c r="I1286" s="8"/>
      <c r="J1286" s="15" t="s">
        <v>5695</v>
      </c>
      <c r="K1286" s="8"/>
      <c r="L1286" s="15" t="s">
        <v>1685</v>
      </c>
      <c r="M1286" s="8" t="s">
        <v>5578</v>
      </c>
      <c r="N1286" s="8"/>
      <c r="O1286" s="8" t="s">
        <v>5574</v>
      </c>
      <c r="P1286" s="11"/>
      <c r="Q1286" s="8" t="s">
        <v>5696</v>
      </c>
      <c r="R1286" s="8" t="s">
        <v>5919</v>
      </c>
      <c r="S1286" s="8" t="s">
        <v>9318</v>
      </c>
    </row>
    <row r="1287" spans="1:19" ht="107.1" customHeight="1" x14ac:dyDescent="0.25">
      <c r="A1287" s="8" t="s">
        <v>9319</v>
      </c>
      <c r="B1287" s="8" t="s">
        <v>5693</v>
      </c>
      <c r="C1287" s="8" t="s">
        <v>5918</v>
      </c>
      <c r="D1287" s="10">
        <v>966</v>
      </c>
      <c r="E1287" s="8" t="s">
        <v>9320</v>
      </c>
      <c r="F1287" s="8" t="s">
        <v>9321</v>
      </c>
      <c r="G1287" s="8" t="s">
        <v>4727</v>
      </c>
      <c r="H1287" s="8" t="s">
        <v>9320</v>
      </c>
      <c r="I1287" s="8"/>
      <c r="J1287" s="15" t="s">
        <v>5695</v>
      </c>
      <c r="K1287" s="8"/>
      <c r="L1287" s="15" t="s">
        <v>1685</v>
      </c>
      <c r="M1287" s="8" t="s">
        <v>5578</v>
      </c>
      <c r="N1287" s="8"/>
      <c r="O1287" s="8" t="s">
        <v>5574</v>
      </c>
      <c r="P1287" s="11"/>
      <c r="Q1287" s="8" t="s">
        <v>5696</v>
      </c>
      <c r="R1287" s="8" t="s">
        <v>5919</v>
      </c>
      <c r="S1287" s="8" t="s">
        <v>9322</v>
      </c>
    </row>
    <row r="1288" spans="1:19" ht="93" customHeight="1" x14ac:dyDescent="0.25">
      <c r="A1288" s="8" t="s">
        <v>9323</v>
      </c>
      <c r="B1288" s="8" t="s">
        <v>5693</v>
      </c>
      <c r="C1288" s="8" t="s">
        <v>5918</v>
      </c>
      <c r="D1288" s="10">
        <v>967</v>
      </c>
      <c r="E1288" s="8" t="s">
        <v>9324</v>
      </c>
      <c r="F1288" s="8" t="s">
        <v>9325</v>
      </c>
      <c r="G1288" s="8" t="s">
        <v>4727</v>
      </c>
      <c r="H1288" s="8" t="s">
        <v>9324</v>
      </c>
      <c r="I1288" s="8"/>
      <c r="J1288" s="15" t="s">
        <v>5695</v>
      </c>
      <c r="K1288" s="8"/>
      <c r="L1288" s="15" t="s">
        <v>1685</v>
      </c>
      <c r="M1288" s="8" t="s">
        <v>5578</v>
      </c>
      <c r="N1288" s="8"/>
      <c r="O1288" s="8" t="s">
        <v>5574</v>
      </c>
      <c r="P1288" s="11"/>
      <c r="Q1288" s="8" t="s">
        <v>5696</v>
      </c>
      <c r="R1288" s="8" t="s">
        <v>5919</v>
      </c>
      <c r="S1288" s="8" t="s">
        <v>9326</v>
      </c>
    </row>
    <row r="1289" spans="1:19" ht="93" customHeight="1" x14ac:dyDescent="0.25">
      <c r="A1289" s="8" t="s">
        <v>9327</v>
      </c>
      <c r="B1289" s="8" t="s">
        <v>5693</v>
      </c>
      <c r="C1289" s="8" t="s">
        <v>5918</v>
      </c>
      <c r="D1289" s="10">
        <v>968</v>
      </c>
      <c r="E1289" s="8" t="s">
        <v>9328</v>
      </c>
      <c r="F1289" s="8" t="s">
        <v>9329</v>
      </c>
      <c r="G1289" s="8" t="s">
        <v>4727</v>
      </c>
      <c r="H1289" s="8" t="s">
        <v>9328</v>
      </c>
      <c r="I1289" s="8"/>
      <c r="J1289" s="15" t="s">
        <v>5695</v>
      </c>
      <c r="K1289" s="8"/>
      <c r="L1289" s="15" t="s">
        <v>1685</v>
      </c>
      <c r="M1289" s="8" t="s">
        <v>5578</v>
      </c>
      <c r="N1289" s="8"/>
      <c r="O1289" s="8" t="s">
        <v>5574</v>
      </c>
      <c r="P1289" s="11"/>
      <c r="Q1289" s="8" t="s">
        <v>5696</v>
      </c>
      <c r="R1289" s="8" t="s">
        <v>5919</v>
      </c>
      <c r="S1289" s="8" t="s">
        <v>9330</v>
      </c>
    </row>
    <row r="1290" spans="1:19" ht="93" customHeight="1" x14ac:dyDescent="0.25">
      <c r="A1290" s="8" t="s">
        <v>9331</v>
      </c>
      <c r="B1290" s="8" t="s">
        <v>5693</v>
      </c>
      <c r="C1290" s="8" t="s">
        <v>5918</v>
      </c>
      <c r="D1290" s="10">
        <v>969</v>
      </c>
      <c r="E1290" s="8" t="s">
        <v>9332</v>
      </c>
      <c r="F1290" s="8" t="s">
        <v>9333</v>
      </c>
      <c r="G1290" s="8" t="s">
        <v>4727</v>
      </c>
      <c r="H1290" s="8" t="s">
        <v>9332</v>
      </c>
      <c r="I1290" s="8"/>
      <c r="J1290" s="15" t="s">
        <v>5695</v>
      </c>
      <c r="K1290" s="8"/>
      <c r="L1290" s="15" t="s">
        <v>1685</v>
      </c>
      <c r="M1290" s="8" t="s">
        <v>5578</v>
      </c>
      <c r="N1290" s="8"/>
      <c r="O1290" s="8" t="s">
        <v>5574</v>
      </c>
      <c r="P1290" s="11"/>
      <c r="Q1290" s="8" t="s">
        <v>5696</v>
      </c>
      <c r="R1290" s="8" t="s">
        <v>5919</v>
      </c>
      <c r="S1290" s="8" t="s">
        <v>9334</v>
      </c>
    </row>
    <row r="1291" spans="1:19" ht="107.1" customHeight="1" x14ac:dyDescent="0.25">
      <c r="A1291" s="8" t="s">
        <v>9335</v>
      </c>
      <c r="B1291" s="8" t="s">
        <v>5693</v>
      </c>
      <c r="C1291" s="8" t="s">
        <v>5918</v>
      </c>
      <c r="D1291" s="10">
        <v>970</v>
      </c>
      <c r="E1291" s="8" t="s">
        <v>9336</v>
      </c>
      <c r="F1291" s="8" t="s">
        <v>9337</v>
      </c>
      <c r="G1291" s="8" t="s">
        <v>4727</v>
      </c>
      <c r="H1291" s="8" t="s">
        <v>9336</v>
      </c>
      <c r="I1291" s="8"/>
      <c r="J1291" s="15" t="s">
        <v>5695</v>
      </c>
      <c r="K1291" s="8"/>
      <c r="L1291" s="15" t="s">
        <v>1685</v>
      </c>
      <c r="M1291" s="8" t="s">
        <v>5578</v>
      </c>
      <c r="N1291" s="8"/>
      <c r="O1291" s="8" t="s">
        <v>5574</v>
      </c>
      <c r="P1291" s="11"/>
      <c r="Q1291" s="8" t="s">
        <v>5696</v>
      </c>
      <c r="R1291" s="8" t="s">
        <v>5919</v>
      </c>
      <c r="S1291" s="8" t="s">
        <v>9338</v>
      </c>
    </row>
    <row r="1292" spans="1:19" ht="107.1" customHeight="1" x14ac:dyDescent="0.25">
      <c r="A1292" s="8" t="s">
        <v>9339</v>
      </c>
      <c r="B1292" s="8" t="s">
        <v>5693</v>
      </c>
      <c r="C1292" s="8" t="s">
        <v>5918</v>
      </c>
      <c r="D1292" s="10">
        <v>971</v>
      </c>
      <c r="E1292" s="8" t="s">
        <v>9340</v>
      </c>
      <c r="F1292" s="8" t="s">
        <v>9341</v>
      </c>
      <c r="G1292" s="8" t="s">
        <v>4727</v>
      </c>
      <c r="H1292" s="8" t="s">
        <v>9340</v>
      </c>
      <c r="I1292" s="8"/>
      <c r="J1292" s="15" t="s">
        <v>5695</v>
      </c>
      <c r="K1292" s="8"/>
      <c r="L1292" s="15" t="s">
        <v>1685</v>
      </c>
      <c r="M1292" s="8" t="s">
        <v>5578</v>
      </c>
      <c r="N1292" s="8"/>
      <c r="O1292" s="8" t="s">
        <v>5574</v>
      </c>
      <c r="P1292" s="11"/>
      <c r="Q1292" s="8" t="s">
        <v>5696</v>
      </c>
      <c r="R1292" s="8" t="s">
        <v>5919</v>
      </c>
      <c r="S1292" s="8" t="s">
        <v>9342</v>
      </c>
    </row>
    <row r="1293" spans="1:19" ht="107.1" customHeight="1" x14ac:dyDescent="0.25">
      <c r="A1293" s="8" t="s">
        <v>9343</v>
      </c>
      <c r="B1293" s="8" t="s">
        <v>5693</v>
      </c>
      <c r="C1293" s="8" t="s">
        <v>5918</v>
      </c>
      <c r="D1293" s="10">
        <v>972</v>
      </c>
      <c r="E1293" s="8" t="s">
        <v>9344</v>
      </c>
      <c r="F1293" s="8" t="s">
        <v>9345</v>
      </c>
      <c r="G1293" s="8" t="s">
        <v>4727</v>
      </c>
      <c r="H1293" s="8" t="s">
        <v>9344</v>
      </c>
      <c r="I1293" s="8"/>
      <c r="J1293" s="15" t="s">
        <v>5695</v>
      </c>
      <c r="K1293" s="8"/>
      <c r="L1293" s="15" t="s">
        <v>1685</v>
      </c>
      <c r="M1293" s="8" t="s">
        <v>5578</v>
      </c>
      <c r="N1293" s="8"/>
      <c r="O1293" s="8" t="s">
        <v>5574</v>
      </c>
      <c r="P1293" s="11"/>
      <c r="Q1293" s="8" t="s">
        <v>5696</v>
      </c>
      <c r="R1293" s="8" t="s">
        <v>5919</v>
      </c>
      <c r="S1293" s="8" t="s">
        <v>9346</v>
      </c>
    </row>
    <row r="1294" spans="1:19" ht="93" customHeight="1" x14ac:dyDescent="0.25">
      <c r="A1294" s="8" t="s">
        <v>9347</v>
      </c>
      <c r="B1294" s="8" t="s">
        <v>5693</v>
      </c>
      <c r="C1294" s="8" t="s">
        <v>5918</v>
      </c>
      <c r="D1294" s="10">
        <v>973</v>
      </c>
      <c r="E1294" s="8" t="s">
        <v>9348</v>
      </c>
      <c r="F1294" s="8" t="s">
        <v>9349</v>
      </c>
      <c r="G1294" s="8" t="s">
        <v>4727</v>
      </c>
      <c r="H1294" s="8" t="s">
        <v>9348</v>
      </c>
      <c r="I1294" s="8"/>
      <c r="J1294" s="15" t="s">
        <v>5695</v>
      </c>
      <c r="K1294" s="8"/>
      <c r="L1294" s="15" t="s">
        <v>1685</v>
      </c>
      <c r="M1294" s="8" t="s">
        <v>5578</v>
      </c>
      <c r="N1294" s="8"/>
      <c r="O1294" s="8" t="s">
        <v>5574</v>
      </c>
      <c r="P1294" s="11"/>
      <c r="Q1294" s="8" t="s">
        <v>5696</v>
      </c>
      <c r="R1294" s="8" t="s">
        <v>5919</v>
      </c>
      <c r="S1294" s="8" t="s">
        <v>9350</v>
      </c>
    </row>
    <row r="1295" spans="1:19" ht="107.1" customHeight="1" x14ac:dyDescent="0.25">
      <c r="A1295" s="8" t="s">
        <v>9351</v>
      </c>
      <c r="B1295" s="8" t="s">
        <v>5693</v>
      </c>
      <c r="C1295" s="8" t="s">
        <v>5918</v>
      </c>
      <c r="D1295" s="10">
        <v>974</v>
      </c>
      <c r="E1295" s="8" t="s">
        <v>9352</v>
      </c>
      <c r="F1295" s="8" t="s">
        <v>9353</v>
      </c>
      <c r="G1295" s="8" t="s">
        <v>4727</v>
      </c>
      <c r="H1295" s="8" t="s">
        <v>9352</v>
      </c>
      <c r="I1295" s="8"/>
      <c r="J1295" s="15" t="s">
        <v>5695</v>
      </c>
      <c r="K1295" s="8"/>
      <c r="L1295" s="15" t="s">
        <v>1685</v>
      </c>
      <c r="M1295" s="8" t="s">
        <v>5578</v>
      </c>
      <c r="N1295" s="8"/>
      <c r="O1295" s="8" t="s">
        <v>5574</v>
      </c>
      <c r="P1295" s="11"/>
      <c r="Q1295" s="8" t="s">
        <v>5696</v>
      </c>
      <c r="R1295" s="8" t="s">
        <v>5919</v>
      </c>
      <c r="S1295" s="8" t="s">
        <v>9354</v>
      </c>
    </row>
    <row r="1296" spans="1:19" ht="93" customHeight="1" x14ac:dyDescent="0.25">
      <c r="A1296" s="8" t="s">
        <v>9355</v>
      </c>
      <c r="B1296" s="8" t="s">
        <v>5693</v>
      </c>
      <c r="C1296" s="8" t="s">
        <v>5918</v>
      </c>
      <c r="D1296" s="10">
        <v>975</v>
      </c>
      <c r="E1296" s="8" t="s">
        <v>9356</v>
      </c>
      <c r="F1296" s="8" t="s">
        <v>9357</v>
      </c>
      <c r="G1296" s="8" t="s">
        <v>4727</v>
      </c>
      <c r="H1296" s="8" t="s">
        <v>9356</v>
      </c>
      <c r="I1296" s="8"/>
      <c r="J1296" s="15" t="s">
        <v>5695</v>
      </c>
      <c r="K1296" s="8"/>
      <c r="L1296" s="15" t="s">
        <v>1685</v>
      </c>
      <c r="M1296" s="8" t="s">
        <v>5578</v>
      </c>
      <c r="N1296" s="8"/>
      <c r="O1296" s="8" t="s">
        <v>5574</v>
      </c>
      <c r="P1296" s="11"/>
      <c r="Q1296" s="8" t="s">
        <v>5696</v>
      </c>
      <c r="R1296" s="8" t="s">
        <v>5919</v>
      </c>
      <c r="S1296" s="8" t="s">
        <v>9358</v>
      </c>
    </row>
    <row r="1297" spans="1:19" ht="107.1" customHeight="1" x14ac:dyDescent="0.25">
      <c r="A1297" s="8" t="s">
        <v>9359</v>
      </c>
      <c r="B1297" s="8" t="s">
        <v>5693</v>
      </c>
      <c r="C1297" s="8" t="s">
        <v>5918</v>
      </c>
      <c r="D1297" s="10">
        <v>976</v>
      </c>
      <c r="E1297" s="8" t="s">
        <v>9360</v>
      </c>
      <c r="F1297" s="8" t="s">
        <v>9361</v>
      </c>
      <c r="G1297" s="8" t="s">
        <v>4727</v>
      </c>
      <c r="H1297" s="8" t="s">
        <v>9360</v>
      </c>
      <c r="I1297" s="8"/>
      <c r="J1297" s="15" t="s">
        <v>5695</v>
      </c>
      <c r="K1297" s="8"/>
      <c r="L1297" s="15" t="s">
        <v>1685</v>
      </c>
      <c r="M1297" s="8" t="s">
        <v>5578</v>
      </c>
      <c r="N1297" s="8"/>
      <c r="O1297" s="8" t="s">
        <v>5574</v>
      </c>
      <c r="P1297" s="11"/>
      <c r="Q1297" s="8" t="s">
        <v>5696</v>
      </c>
      <c r="R1297" s="8" t="s">
        <v>5919</v>
      </c>
      <c r="S1297" s="8" t="s">
        <v>9362</v>
      </c>
    </row>
    <row r="1298" spans="1:19" ht="93" customHeight="1" x14ac:dyDescent="0.25">
      <c r="A1298" s="8" t="s">
        <v>9363</v>
      </c>
      <c r="B1298" s="8" t="s">
        <v>5693</v>
      </c>
      <c r="C1298" s="8" t="s">
        <v>5918</v>
      </c>
      <c r="D1298" s="10">
        <v>977</v>
      </c>
      <c r="E1298" s="8" t="s">
        <v>9364</v>
      </c>
      <c r="F1298" s="8" t="s">
        <v>9365</v>
      </c>
      <c r="G1298" s="8" t="s">
        <v>4727</v>
      </c>
      <c r="H1298" s="8" t="s">
        <v>9364</v>
      </c>
      <c r="I1298" s="8"/>
      <c r="J1298" s="15" t="s">
        <v>5695</v>
      </c>
      <c r="K1298" s="8"/>
      <c r="L1298" s="15" t="s">
        <v>1685</v>
      </c>
      <c r="M1298" s="8" t="s">
        <v>5578</v>
      </c>
      <c r="N1298" s="8"/>
      <c r="O1298" s="8" t="s">
        <v>5574</v>
      </c>
      <c r="P1298" s="11"/>
      <c r="Q1298" s="8" t="s">
        <v>5696</v>
      </c>
      <c r="R1298" s="8" t="s">
        <v>5919</v>
      </c>
      <c r="S1298" s="8" t="s">
        <v>9366</v>
      </c>
    </row>
    <row r="1299" spans="1:19" ht="107.1" customHeight="1" x14ac:dyDescent="0.25">
      <c r="A1299" s="8" t="s">
        <v>9367</v>
      </c>
      <c r="B1299" s="8" t="s">
        <v>5693</v>
      </c>
      <c r="C1299" s="8" t="s">
        <v>5918</v>
      </c>
      <c r="D1299" s="10">
        <v>978</v>
      </c>
      <c r="E1299" s="8" t="s">
        <v>9368</v>
      </c>
      <c r="F1299" s="8" t="s">
        <v>9369</v>
      </c>
      <c r="G1299" s="8" t="s">
        <v>4727</v>
      </c>
      <c r="H1299" s="8" t="s">
        <v>9368</v>
      </c>
      <c r="I1299" s="8"/>
      <c r="J1299" s="15" t="s">
        <v>5695</v>
      </c>
      <c r="K1299" s="8"/>
      <c r="L1299" s="15" t="s">
        <v>1685</v>
      </c>
      <c r="M1299" s="8" t="s">
        <v>5578</v>
      </c>
      <c r="N1299" s="8"/>
      <c r="O1299" s="8" t="s">
        <v>5574</v>
      </c>
      <c r="P1299" s="11"/>
      <c r="Q1299" s="8" t="s">
        <v>5696</v>
      </c>
      <c r="R1299" s="8" t="s">
        <v>5919</v>
      </c>
      <c r="S1299" s="8" t="s">
        <v>9370</v>
      </c>
    </row>
    <row r="1300" spans="1:19" ht="107.1" customHeight="1" x14ac:dyDescent="0.25">
      <c r="A1300" s="8" t="s">
        <v>9371</v>
      </c>
      <c r="B1300" s="8" t="s">
        <v>5693</v>
      </c>
      <c r="C1300" s="8" t="s">
        <v>5918</v>
      </c>
      <c r="D1300" s="10">
        <v>979</v>
      </c>
      <c r="E1300" s="8" t="s">
        <v>9372</v>
      </c>
      <c r="F1300" s="8" t="s">
        <v>9373</v>
      </c>
      <c r="G1300" s="8" t="s">
        <v>4727</v>
      </c>
      <c r="H1300" s="8" t="s">
        <v>9372</v>
      </c>
      <c r="I1300" s="8"/>
      <c r="J1300" s="15" t="s">
        <v>5695</v>
      </c>
      <c r="K1300" s="8"/>
      <c r="L1300" s="15" t="s">
        <v>1685</v>
      </c>
      <c r="M1300" s="8" t="s">
        <v>5578</v>
      </c>
      <c r="N1300" s="8"/>
      <c r="O1300" s="8" t="s">
        <v>5574</v>
      </c>
      <c r="P1300" s="11"/>
      <c r="Q1300" s="8" t="s">
        <v>5696</v>
      </c>
      <c r="R1300" s="8" t="s">
        <v>5919</v>
      </c>
      <c r="S1300" s="8" t="s">
        <v>9374</v>
      </c>
    </row>
    <row r="1301" spans="1:19" ht="107.1" customHeight="1" x14ac:dyDescent="0.25">
      <c r="A1301" s="8" t="s">
        <v>9375</v>
      </c>
      <c r="B1301" s="8" t="s">
        <v>5693</v>
      </c>
      <c r="C1301" s="8" t="s">
        <v>5918</v>
      </c>
      <c r="D1301" s="10">
        <v>980</v>
      </c>
      <c r="E1301" s="8" t="s">
        <v>9376</v>
      </c>
      <c r="F1301" s="8" t="s">
        <v>9377</v>
      </c>
      <c r="G1301" s="8" t="s">
        <v>4727</v>
      </c>
      <c r="H1301" s="8" t="s">
        <v>9376</v>
      </c>
      <c r="I1301" s="8"/>
      <c r="J1301" s="15" t="s">
        <v>5695</v>
      </c>
      <c r="K1301" s="8"/>
      <c r="L1301" s="15" t="s">
        <v>1685</v>
      </c>
      <c r="M1301" s="8" t="s">
        <v>5578</v>
      </c>
      <c r="N1301" s="8"/>
      <c r="O1301" s="8" t="s">
        <v>5574</v>
      </c>
      <c r="P1301" s="11"/>
      <c r="Q1301" s="8" t="s">
        <v>5696</v>
      </c>
      <c r="R1301" s="8" t="s">
        <v>5919</v>
      </c>
      <c r="S1301" s="8" t="s">
        <v>9378</v>
      </c>
    </row>
    <row r="1302" spans="1:19" ht="107.1" customHeight="1" x14ac:dyDescent="0.25">
      <c r="A1302" s="8" t="s">
        <v>9379</v>
      </c>
      <c r="B1302" s="8" t="s">
        <v>5693</v>
      </c>
      <c r="C1302" s="8" t="s">
        <v>5918</v>
      </c>
      <c r="D1302" s="10">
        <v>981</v>
      </c>
      <c r="E1302" s="8" t="s">
        <v>9380</v>
      </c>
      <c r="F1302" s="8" t="s">
        <v>9381</v>
      </c>
      <c r="G1302" s="8" t="s">
        <v>4727</v>
      </c>
      <c r="H1302" s="8" t="s">
        <v>9380</v>
      </c>
      <c r="I1302" s="8"/>
      <c r="J1302" s="15" t="s">
        <v>5695</v>
      </c>
      <c r="K1302" s="8"/>
      <c r="L1302" s="15" t="s">
        <v>1685</v>
      </c>
      <c r="M1302" s="8" t="s">
        <v>5578</v>
      </c>
      <c r="N1302" s="8"/>
      <c r="O1302" s="8" t="s">
        <v>5574</v>
      </c>
      <c r="P1302" s="11"/>
      <c r="Q1302" s="8" t="s">
        <v>5696</v>
      </c>
      <c r="R1302" s="8" t="s">
        <v>5919</v>
      </c>
      <c r="S1302" s="8" t="s">
        <v>9382</v>
      </c>
    </row>
    <row r="1303" spans="1:19" ht="93" customHeight="1" x14ac:dyDescent="0.25">
      <c r="A1303" s="8" t="s">
        <v>9383</v>
      </c>
      <c r="B1303" s="8" t="s">
        <v>5693</v>
      </c>
      <c r="C1303" s="8" t="s">
        <v>5918</v>
      </c>
      <c r="D1303" s="10">
        <v>982</v>
      </c>
      <c r="E1303" s="8" t="s">
        <v>9384</v>
      </c>
      <c r="F1303" s="8" t="s">
        <v>9385</v>
      </c>
      <c r="G1303" s="8" t="s">
        <v>4727</v>
      </c>
      <c r="H1303" s="8" t="s">
        <v>9384</v>
      </c>
      <c r="I1303" s="8"/>
      <c r="J1303" s="15" t="s">
        <v>5695</v>
      </c>
      <c r="K1303" s="8"/>
      <c r="L1303" s="15" t="s">
        <v>1685</v>
      </c>
      <c r="M1303" s="8" t="s">
        <v>5578</v>
      </c>
      <c r="N1303" s="8"/>
      <c r="O1303" s="8" t="s">
        <v>5574</v>
      </c>
      <c r="P1303" s="11"/>
      <c r="Q1303" s="8" t="s">
        <v>5696</v>
      </c>
      <c r="R1303" s="8" t="s">
        <v>5919</v>
      </c>
      <c r="S1303" s="8" t="s">
        <v>9386</v>
      </c>
    </row>
    <row r="1304" spans="1:19" ht="93" customHeight="1" x14ac:dyDescent="0.25">
      <c r="A1304" s="8" t="s">
        <v>9387</v>
      </c>
      <c r="B1304" s="8" t="s">
        <v>5693</v>
      </c>
      <c r="C1304" s="8" t="s">
        <v>5918</v>
      </c>
      <c r="D1304" s="10">
        <v>983</v>
      </c>
      <c r="E1304" s="8" t="s">
        <v>9388</v>
      </c>
      <c r="F1304" s="8" t="s">
        <v>9389</v>
      </c>
      <c r="G1304" s="8" t="s">
        <v>4727</v>
      </c>
      <c r="H1304" s="8" t="s">
        <v>9388</v>
      </c>
      <c r="I1304" s="8"/>
      <c r="J1304" s="15" t="s">
        <v>5695</v>
      </c>
      <c r="K1304" s="8"/>
      <c r="L1304" s="15" t="s">
        <v>1685</v>
      </c>
      <c r="M1304" s="8" t="s">
        <v>5578</v>
      </c>
      <c r="N1304" s="8"/>
      <c r="O1304" s="8" t="s">
        <v>5574</v>
      </c>
      <c r="P1304" s="11"/>
      <c r="Q1304" s="8" t="s">
        <v>5696</v>
      </c>
      <c r="R1304" s="8" t="s">
        <v>5919</v>
      </c>
      <c r="S1304" s="8" t="s">
        <v>9390</v>
      </c>
    </row>
    <row r="1305" spans="1:19" ht="93" customHeight="1" x14ac:dyDescent="0.25">
      <c r="A1305" s="8" t="s">
        <v>9391</v>
      </c>
      <c r="B1305" s="8" t="s">
        <v>5693</v>
      </c>
      <c r="C1305" s="8" t="s">
        <v>5918</v>
      </c>
      <c r="D1305" s="10">
        <v>984</v>
      </c>
      <c r="E1305" s="8" t="s">
        <v>9392</v>
      </c>
      <c r="F1305" s="8" t="s">
        <v>9393</v>
      </c>
      <c r="G1305" s="8" t="s">
        <v>4727</v>
      </c>
      <c r="H1305" s="8" t="s">
        <v>9392</v>
      </c>
      <c r="I1305" s="8"/>
      <c r="J1305" s="15" t="s">
        <v>5695</v>
      </c>
      <c r="K1305" s="8"/>
      <c r="L1305" s="15" t="s">
        <v>1685</v>
      </c>
      <c r="M1305" s="8" t="s">
        <v>5578</v>
      </c>
      <c r="N1305" s="8"/>
      <c r="O1305" s="8" t="s">
        <v>5574</v>
      </c>
      <c r="P1305" s="11"/>
      <c r="Q1305" s="8" t="s">
        <v>5696</v>
      </c>
      <c r="R1305" s="8" t="s">
        <v>5919</v>
      </c>
      <c r="S1305" s="8" t="s">
        <v>9394</v>
      </c>
    </row>
    <row r="1306" spans="1:19" ht="93" customHeight="1" x14ac:dyDescent="0.25">
      <c r="A1306" s="8" t="s">
        <v>9395</v>
      </c>
      <c r="B1306" s="8" t="s">
        <v>5693</v>
      </c>
      <c r="C1306" s="8" t="s">
        <v>5918</v>
      </c>
      <c r="D1306" s="10">
        <v>985</v>
      </c>
      <c r="E1306" s="8" t="s">
        <v>9396</v>
      </c>
      <c r="F1306" s="8" t="s">
        <v>9397</v>
      </c>
      <c r="G1306" s="8" t="s">
        <v>4727</v>
      </c>
      <c r="H1306" s="8" t="s">
        <v>9396</v>
      </c>
      <c r="I1306" s="8"/>
      <c r="J1306" s="15" t="s">
        <v>5695</v>
      </c>
      <c r="K1306" s="8"/>
      <c r="L1306" s="15" t="s">
        <v>1685</v>
      </c>
      <c r="M1306" s="8" t="s">
        <v>5578</v>
      </c>
      <c r="N1306" s="8"/>
      <c r="O1306" s="8" t="s">
        <v>5574</v>
      </c>
      <c r="P1306" s="11"/>
      <c r="Q1306" s="8" t="s">
        <v>5696</v>
      </c>
      <c r="R1306" s="8" t="s">
        <v>5919</v>
      </c>
      <c r="S1306" s="8" t="s">
        <v>9398</v>
      </c>
    </row>
    <row r="1307" spans="1:19" ht="107.1" customHeight="1" x14ac:dyDescent="0.25">
      <c r="A1307" s="8" t="s">
        <v>9399</v>
      </c>
      <c r="B1307" s="8" t="s">
        <v>5693</v>
      </c>
      <c r="C1307" s="8" t="s">
        <v>5918</v>
      </c>
      <c r="D1307" s="10">
        <v>986</v>
      </c>
      <c r="E1307" s="8" t="s">
        <v>9400</v>
      </c>
      <c r="F1307" s="8" t="s">
        <v>9401</v>
      </c>
      <c r="G1307" s="8" t="s">
        <v>4727</v>
      </c>
      <c r="H1307" s="8" t="s">
        <v>9400</v>
      </c>
      <c r="I1307" s="8"/>
      <c r="J1307" s="15" t="s">
        <v>5695</v>
      </c>
      <c r="K1307" s="8"/>
      <c r="L1307" s="15" t="s">
        <v>1685</v>
      </c>
      <c r="M1307" s="8" t="s">
        <v>5578</v>
      </c>
      <c r="N1307" s="8"/>
      <c r="O1307" s="8" t="s">
        <v>5574</v>
      </c>
      <c r="P1307" s="11"/>
      <c r="Q1307" s="8" t="s">
        <v>5696</v>
      </c>
      <c r="R1307" s="8" t="s">
        <v>5919</v>
      </c>
      <c r="S1307" s="8" t="s">
        <v>9402</v>
      </c>
    </row>
    <row r="1308" spans="1:19" ht="93" customHeight="1" x14ac:dyDescent="0.25">
      <c r="A1308" s="8" t="s">
        <v>9403</v>
      </c>
      <c r="B1308" s="8" t="s">
        <v>5693</v>
      </c>
      <c r="C1308" s="8" t="s">
        <v>5918</v>
      </c>
      <c r="D1308" s="10">
        <v>987</v>
      </c>
      <c r="E1308" s="8" t="s">
        <v>9404</v>
      </c>
      <c r="F1308" s="8" t="s">
        <v>9405</v>
      </c>
      <c r="G1308" s="8" t="s">
        <v>4727</v>
      </c>
      <c r="H1308" s="8" t="s">
        <v>9404</v>
      </c>
      <c r="I1308" s="8"/>
      <c r="J1308" s="15" t="s">
        <v>5695</v>
      </c>
      <c r="K1308" s="8"/>
      <c r="L1308" s="15" t="s">
        <v>1685</v>
      </c>
      <c r="M1308" s="8" t="s">
        <v>5578</v>
      </c>
      <c r="N1308" s="8"/>
      <c r="O1308" s="8" t="s">
        <v>5574</v>
      </c>
      <c r="P1308" s="11"/>
      <c r="Q1308" s="8" t="s">
        <v>5696</v>
      </c>
      <c r="R1308" s="8" t="s">
        <v>5919</v>
      </c>
      <c r="S1308" s="8" t="s">
        <v>9406</v>
      </c>
    </row>
    <row r="1309" spans="1:19" ht="107.1" customHeight="1" x14ac:dyDescent="0.25">
      <c r="A1309" s="8" t="s">
        <v>9407</v>
      </c>
      <c r="B1309" s="8" t="s">
        <v>5693</v>
      </c>
      <c r="C1309" s="8" t="s">
        <v>5918</v>
      </c>
      <c r="D1309" s="10">
        <v>988</v>
      </c>
      <c r="E1309" s="8" t="s">
        <v>9408</v>
      </c>
      <c r="F1309" s="8" t="s">
        <v>9409</v>
      </c>
      <c r="G1309" s="8" t="s">
        <v>4727</v>
      </c>
      <c r="H1309" s="8" t="s">
        <v>9408</v>
      </c>
      <c r="I1309" s="8"/>
      <c r="J1309" s="15" t="s">
        <v>5695</v>
      </c>
      <c r="K1309" s="8"/>
      <c r="L1309" s="15" t="s">
        <v>1685</v>
      </c>
      <c r="M1309" s="8" t="s">
        <v>5578</v>
      </c>
      <c r="N1309" s="8"/>
      <c r="O1309" s="8" t="s">
        <v>5574</v>
      </c>
      <c r="P1309" s="11"/>
      <c r="Q1309" s="8" t="s">
        <v>5696</v>
      </c>
      <c r="R1309" s="8" t="s">
        <v>5919</v>
      </c>
      <c r="S1309" s="8" t="s">
        <v>9410</v>
      </c>
    </row>
    <row r="1310" spans="1:19" ht="107.1" customHeight="1" x14ac:dyDescent="0.25">
      <c r="A1310" s="8" t="s">
        <v>9411</v>
      </c>
      <c r="B1310" s="8" t="s">
        <v>5693</v>
      </c>
      <c r="C1310" s="8" t="s">
        <v>5918</v>
      </c>
      <c r="D1310" s="10">
        <v>989</v>
      </c>
      <c r="E1310" s="8" t="s">
        <v>9412</v>
      </c>
      <c r="F1310" s="8" t="s">
        <v>9413</v>
      </c>
      <c r="G1310" s="8" t="s">
        <v>4727</v>
      </c>
      <c r="H1310" s="8" t="s">
        <v>9412</v>
      </c>
      <c r="I1310" s="8"/>
      <c r="J1310" s="15" t="s">
        <v>5695</v>
      </c>
      <c r="K1310" s="8"/>
      <c r="L1310" s="15" t="s">
        <v>1685</v>
      </c>
      <c r="M1310" s="8" t="s">
        <v>5578</v>
      </c>
      <c r="N1310" s="8"/>
      <c r="O1310" s="8" t="s">
        <v>5574</v>
      </c>
      <c r="P1310" s="11"/>
      <c r="Q1310" s="8" t="s">
        <v>5696</v>
      </c>
      <c r="R1310" s="8" t="s">
        <v>5919</v>
      </c>
      <c r="S1310" s="8" t="s">
        <v>9414</v>
      </c>
    </row>
    <row r="1311" spans="1:19" ht="107.1" customHeight="1" x14ac:dyDescent="0.25">
      <c r="A1311" s="8" t="s">
        <v>9415</v>
      </c>
      <c r="B1311" s="8" t="s">
        <v>5693</v>
      </c>
      <c r="C1311" s="8" t="s">
        <v>5918</v>
      </c>
      <c r="D1311" s="10">
        <v>990</v>
      </c>
      <c r="E1311" s="8" t="s">
        <v>9416</v>
      </c>
      <c r="F1311" s="8" t="s">
        <v>9417</v>
      </c>
      <c r="G1311" s="8" t="s">
        <v>4727</v>
      </c>
      <c r="H1311" s="8" t="s">
        <v>9416</v>
      </c>
      <c r="I1311" s="8"/>
      <c r="J1311" s="15" t="s">
        <v>5695</v>
      </c>
      <c r="K1311" s="8"/>
      <c r="L1311" s="15" t="s">
        <v>1685</v>
      </c>
      <c r="M1311" s="8" t="s">
        <v>5578</v>
      </c>
      <c r="N1311" s="8"/>
      <c r="O1311" s="8" t="s">
        <v>5574</v>
      </c>
      <c r="P1311" s="11"/>
      <c r="Q1311" s="8" t="s">
        <v>5696</v>
      </c>
      <c r="R1311" s="8" t="s">
        <v>5919</v>
      </c>
      <c r="S1311" s="8" t="s">
        <v>9418</v>
      </c>
    </row>
    <row r="1312" spans="1:19" ht="107.1" customHeight="1" x14ac:dyDescent="0.25">
      <c r="A1312" s="8" t="s">
        <v>9419</v>
      </c>
      <c r="B1312" s="8" t="s">
        <v>5693</v>
      </c>
      <c r="C1312" s="8" t="s">
        <v>5918</v>
      </c>
      <c r="D1312" s="10">
        <v>991</v>
      </c>
      <c r="E1312" s="8" t="s">
        <v>9420</v>
      </c>
      <c r="F1312" s="8" t="s">
        <v>9421</v>
      </c>
      <c r="G1312" s="8" t="s">
        <v>4727</v>
      </c>
      <c r="H1312" s="8" t="s">
        <v>9420</v>
      </c>
      <c r="I1312" s="8"/>
      <c r="J1312" s="15" t="s">
        <v>5695</v>
      </c>
      <c r="K1312" s="8"/>
      <c r="L1312" s="15" t="s">
        <v>1685</v>
      </c>
      <c r="M1312" s="8" t="s">
        <v>5578</v>
      </c>
      <c r="N1312" s="8"/>
      <c r="O1312" s="8" t="s">
        <v>5574</v>
      </c>
      <c r="P1312" s="11"/>
      <c r="Q1312" s="8" t="s">
        <v>5696</v>
      </c>
      <c r="R1312" s="8" t="s">
        <v>5919</v>
      </c>
      <c r="S1312" s="8" t="s">
        <v>9422</v>
      </c>
    </row>
    <row r="1313" spans="1:19" ht="107.1" customHeight="1" x14ac:dyDescent="0.25">
      <c r="A1313" s="8" t="s">
        <v>9423</v>
      </c>
      <c r="B1313" s="8" t="s">
        <v>5693</v>
      </c>
      <c r="C1313" s="8" t="s">
        <v>5918</v>
      </c>
      <c r="D1313" s="10">
        <v>992</v>
      </c>
      <c r="E1313" s="8" t="s">
        <v>9424</v>
      </c>
      <c r="F1313" s="8" t="s">
        <v>9425</v>
      </c>
      <c r="G1313" s="8" t="s">
        <v>4727</v>
      </c>
      <c r="H1313" s="8" t="s">
        <v>9424</v>
      </c>
      <c r="I1313" s="8"/>
      <c r="J1313" s="15" t="s">
        <v>5695</v>
      </c>
      <c r="K1313" s="8"/>
      <c r="L1313" s="15" t="s">
        <v>1685</v>
      </c>
      <c r="M1313" s="8" t="s">
        <v>5578</v>
      </c>
      <c r="N1313" s="8"/>
      <c r="O1313" s="8" t="s">
        <v>5574</v>
      </c>
      <c r="P1313" s="11"/>
      <c r="Q1313" s="8" t="s">
        <v>5696</v>
      </c>
      <c r="R1313" s="8" t="s">
        <v>5919</v>
      </c>
      <c r="S1313" s="8" t="s">
        <v>9426</v>
      </c>
    </row>
    <row r="1314" spans="1:19" ht="93" customHeight="1" x14ac:dyDescent="0.25">
      <c r="A1314" s="8" t="s">
        <v>9427</v>
      </c>
      <c r="B1314" s="8" t="s">
        <v>5693</v>
      </c>
      <c r="C1314" s="8" t="s">
        <v>5918</v>
      </c>
      <c r="D1314" s="10">
        <v>993</v>
      </c>
      <c r="E1314" s="8" t="s">
        <v>9428</v>
      </c>
      <c r="F1314" s="8" t="s">
        <v>9429</v>
      </c>
      <c r="G1314" s="8" t="s">
        <v>4727</v>
      </c>
      <c r="H1314" s="8" t="s">
        <v>9428</v>
      </c>
      <c r="I1314" s="8"/>
      <c r="J1314" s="15" t="s">
        <v>5695</v>
      </c>
      <c r="K1314" s="8"/>
      <c r="L1314" s="15" t="s">
        <v>1685</v>
      </c>
      <c r="M1314" s="8" t="s">
        <v>5578</v>
      </c>
      <c r="N1314" s="8"/>
      <c r="O1314" s="8" t="s">
        <v>5574</v>
      </c>
      <c r="P1314" s="11"/>
      <c r="Q1314" s="8" t="s">
        <v>5696</v>
      </c>
      <c r="R1314" s="8" t="s">
        <v>5919</v>
      </c>
      <c r="S1314" s="8" t="s">
        <v>9430</v>
      </c>
    </row>
    <row r="1315" spans="1:19" ht="107.1" customHeight="1" x14ac:dyDescent="0.25">
      <c r="A1315" s="8" t="s">
        <v>9431</v>
      </c>
      <c r="B1315" s="8" t="s">
        <v>5693</v>
      </c>
      <c r="C1315" s="8" t="s">
        <v>5918</v>
      </c>
      <c r="D1315" s="10">
        <v>994</v>
      </c>
      <c r="E1315" s="8" t="s">
        <v>9432</v>
      </c>
      <c r="F1315" s="8" t="s">
        <v>9433</v>
      </c>
      <c r="G1315" s="8" t="s">
        <v>4727</v>
      </c>
      <c r="H1315" s="8" t="s">
        <v>9432</v>
      </c>
      <c r="I1315" s="8"/>
      <c r="J1315" s="15" t="s">
        <v>5695</v>
      </c>
      <c r="K1315" s="8"/>
      <c r="L1315" s="15" t="s">
        <v>1685</v>
      </c>
      <c r="M1315" s="8" t="s">
        <v>5578</v>
      </c>
      <c r="N1315" s="8"/>
      <c r="O1315" s="8" t="s">
        <v>5574</v>
      </c>
      <c r="P1315" s="11"/>
      <c r="Q1315" s="8" t="s">
        <v>5696</v>
      </c>
      <c r="R1315" s="8" t="s">
        <v>5919</v>
      </c>
      <c r="S1315" s="8" t="s">
        <v>9434</v>
      </c>
    </row>
    <row r="1316" spans="1:19" ht="107.1" customHeight="1" x14ac:dyDescent="0.25">
      <c r="A1316" s="8" t="s">
        <v>9435</v>
      </c>
      <c r="B1316" s="8" t="s">
        <v>5693</v>
      </c>
      <c r="C1316" s="8" t="s">
        <v>5918</v>
      </c>
      <c r="D1316" s="10">
        <v>995</v>
      </c>
      <c r="E1316" s="8" t="s">
        <v>9436</v>
      </c>
      <c r="F1316" s="8" t="s">
        <v>9437</v>
      </c>
      <c r="G1316" s="8" t="s">
        <v>4727</v>
      </c>
      <c r="H1316" s="8" t="s">
        <v>9436</v>
      </c>
      <c r="I1316" s="8"/>
      <c r="J1316" s="15" t="s">
        <v>5695</v>
      </c>
      <c r="K1316" s="8"/>
      <c r="L1316" s="15" t="s">
        <v>1685</v>
      </c>
      <c r="M1316" s="8" t="s">
        <v>5578</v>
      </c>
      <c r="N1316" s="8"/>
      <c r="O1316" s="8" t="s">
        <v>5574</v>
      </c>
      <c r="P1316" s="11"/>
      <c r="Q1316" s="8" t="s">
        <v>5696</v>
      </c>
      <c r="R1316" s="8" t="s">
        <v>5919</v>
      </c>
      <c r="S1316" s="8" t="s">
        <v>9438</v>
      </c>
    </row>
    <row r="1317" spans="1:19" ht="107.1" customHeight="1" x14ac:dyDescent="0.25">
      <c r="A1317" s="8" t="s">
        <v>9439</v>
      </c>
      <c r="B1317" s="8" t="s">
        <v>5693</v>
      </c>
      <c r="C1317" s="8" t="s">
        <v>5918</v>
      </c>
      <c r="D1317" s="10">
        <v>996</v>
      </c>
      <c r="E1317" s="8" t="s">
        <v>9440</v>
      </c>
      <c r="F1317" s="8" t="s">
        <v>9441</v>
      </c>
      <c r="G1317" s="8" t="s">
        <v>4727</v>
      </c>
      <c r="H1317" s="8" t="s">
        <v>9440</v>
      </c>
      <c r="I1317" s="8"/>
      <c r="J1317" s="15" t="s">
        <v>5695</v>
      </c>
      <c r="K1317" s="8"/>
      <c r="L1317" s="15" t="s">
        <v>1685</v>
      </c>
      <c r="M1317" s="8" t="s">
        <v>5578</v>
      </c>
      <c r="N1317" s="8"/>
      <c r="O1317" s="8" t="s">
        <v>5574</v>
      </c>
      <c r="P1317" s="11"/>
      <c r="Q1317" s="8" t="s">
        <v>5696</v>
      </c>
      <c r="R1317" s="8" t="s">
        <v>5919</v>
      </c>
      <c r="S1317" s="8" t="s">
        <v>9442</v>
      </c>
    </row>
    <row r="1318" spans="1:19" ht="93" customHeight="1" x14ac:dyDescent="0.25">
      <c r="A1318" s="8" t="s">
        <v>9443</v>
      </c>
      <c r="B1318" s="8" t="s">
        <v>5693</v>
      </c>
      <c r="C1318" s="8" t="s">
        <v>5918</v>
      </c>
      <c r="D1318" s="10">
        <v>997</v>
      </c>
      <c r="E1318" s="8" t="s">
        <v>9444</v>
      </c>
      <c r="F1318" s="8" t="s">
        <v>9445</v>
      </c>
      <c r="G1318" s="8" t="s">
        <v>4727</v>
      </c>
      <c r="H1318" s="8" t="s">
        <v>9444</v>
      </c>
      <c r="I1318" s="8"/>
      <c r="J1318" s="15" t="s">
        <v>5695</v>
      </c>
      <c r="K1318" s="8"/>
      <c r="L1318" s="15" t="s">
        <v>1685</v>
      </c>
      <c r="M1318" s="8" t="s">
        <v>5578</v>
      </c>
      <c r="N1318" s="8"/>
      <c r="O1318" s="8" t="s">
        <v>5574</v>
      </c>
      <c r="P1318" s="11"/>
      <c r="Q1318" s="8" t="s">
        <v>5696</v>
      </c>
      <c r="R1318" s="8" t="s">
        <v>5919</v>
      </c>
      <c r="S1318" s="8" t="s">
        <v>9446</v>
      </c>
    </row>
    <row r="1319" spans="1:19" ht="107.1" customHeight="1" x14ac:dyDescent="0.25">
      <c r="A1319" s="8" t="s">
        <v>9447</v>
      </c>
      <c r="B1319" s="8" t="s">
        <v>5693</v>
      </c>
      <c r="C1319" s="8" t="s">
        <v>5918</v>
      </c>
      <c r="D1319" s="10">
        <v>998</v>
      </c>
      <c r="E1319" s="8" t="s">
        <v>9448</v>
      </c>
      <c r="F1319" s="8" t="s">
        <v>9449</v>
      </c>
      <c r="G1319" s="8" t="s">
        <v>4727</v>
      </c>
      <c r="H1319" s="8" t="s">
        <v>9448</v>
      </c>
      <c r="I1319" s="8"/>
      <c r="J1319" s="15" t="s">
        <v>5695</v>
      </c>
      <c r="K1319" s="8"/>
      <c r="L1319" s="15" t="s">
        <v>1685</v>
      </c>
      <c r="M1319" s="8" t="s">
        <v>5578</v>
      </c>
      <c r="N1319" s="8"/>
      <c r="O1319" s="8" t="s">
        <v>5574</v>
      </c>
      <c r="P1319" s="11"/>
      <c r="Q1319" s="8" t="s">
        <v>5696</v>
      </c>
      <c r="R1319" s="8" t="s">
        <v>5919</v>
      </c>
      <c r="S1319" s="8" t="s">
        <v>9450</v>
      </c>
    </row>
    <row r="1320" spans="1:19" ht="107.1" customHeight="1" x14ac:dyDescent="0.25">
      <c r="A1320" s="8" t="s">
        <v>9451</v>
      </c>
      <c r="B1320" s="8" t="s">
        <v>5693</v>
      </c>
      <c r="C1320" s="8" t="s">
        <v>5918</v>
      </c>
      <c r="D1320" s="10">
        <v>999</v>
      </c>
      <c r="E1320" s="8" t="s">
        <v>9452</v>
      </c>
      <c r="F1320" s="8" t="s">
        <v>9453</v>
      </c>
      <c r="G1320" s="8" t="s">
        <v>4727</v>
      </c>
      <c r="H1320" s="8" t="s">
        <v>9452</v>
      </c>
      <c r="I1320" s="8"/>
      <c r="J1320" s="15" t="s">
        <v>5695</v>
      </c>
      <c r="K1320" s="8"/>
      <c r="L1320" s="15" t="s">
        <v>1685</v>
      </c>
      <c r="M1320" s="8" t="s">
        <v>5578</v>
      </c>
      <c r="N1320" s="8"/>
      <c r="O1320" s="8" t="s">
        <v>5574</v>
      </c>
      <c r="P1320" s="11"/>
      <c r="Q1320" s="8" t="s">
        <v>5696</v>
      </c>
      <c r="R1320" s="8" t="s">
        <v>5919</v>
      </c>
      <c r="S1320" s="8" t="s">
        <v>9454</v>
      </c>
    </row>
    <row r="1321" spans="1:19" ht="107.1" customHeight="1" x14ac:dyDescent="0.25">
      <c r="A1321" s="8" t="s">
        <v>9455</v>
      </c>
      <c r="B1321" s="8" t="s">
        <v>5693</v>
      </c>
      <c r="C1321" s="8" t="s">
        <v>5918</v>
      </c>
      <c r="D1321" s="10">
        <v>1000</v>
      </c>
      <c r="E1321" s="8" t="s">
        <v>9456</v>
      </c>
      <c r="F1321" s="8" t="s">
        <v>9457</v>
      </c>
      <c r="G1321" s="8" t="s">
        <v>4727</v>
      </c>
      <c r="H1321" s="8" t="s">
        <v>9456</v>
      </c>
      <c r="I1321" s="8"/>
      <c r="J1321" s="15" t="s">
        <v>5695</v>
      </c>
      <c r="K1321" s="8"/>
      <c r="L1321" s="15" t="s">
        <v>1685</v>
      </c>
      <c r="M1321" s="8" t="s">
        <v>5578</v>
      </c>
      <c r="N1321" s="8"/>
      <c r="O1321" s="8" t="s">
        <v>5574</v>
      </c>
      <c r="P1321" s="11"/>
      <c r="Q1321" s="8" t="s">
        <v>5696</v>
      </c>
      <c r="R1321" s="8" t="s">
        <v>5919</v>
      </c>
      <c r="S1321" s="8" t="s">
        <v>9458</v>
      </c>
    </row>
    <row r="1322" spans="1:19" ht="93" customHeight="1" x14ac:dyDescent="0.25">
      <c r="A1322" s="8" t="s">
        <v>9459</v>
      </c>
      <c r="B1322" s="8" t="s">
        <v>5693</v>
      </c>
      <c r="C1322" s="8" t="s">
        <v>5918</v>
      </c>
      <c r="D1322" s="10">
        <v>1001</v>
      </c>
      <c r="E1322" s="8" t="s">
        <v>9460</v>
      </c>
      <c r="F1322" s="8" t="s">
        <v>9461</v>
      </c>
      <c r="G1322" s="8" t="s">
        <v>4727</v>
      </c>
      <c r="H1322" s="8" t="s">
        <v>9460</v>
      </c>
      <c r="I1322" s="8"/>
      <c r="J1322" s="15" t="s">
        <v>5695</v>
      </c>
      <c r="K1322" s="8"/>
      <c r="L1322" s="15" t="s">
        <v>1685</v>
      </c>
      <c r="M1322" s="8" t="s">
        <v>5578</v>
      </c>
      <c r="N1322" s="8"/>
      <c r="O1322" s="8" t="s">
        <v>5574</v>
      </c>
      <c r="P1322" s="11"/>
      <c r="Q1322" s="8" t="s">
        <v>5696</v>
      </c>
      <c r="R1322" s="8" t="s">
        <v>5919</v>
      </c>
      <c r="S1322" s="8" t="s">
        <v>9462</v>
      </c>
    </row>
    <row r="1323" spans="1:19" ht="93" customHeight="1" x14ac:dyDescent="0.25">
      <c r="A1323" s="8" t="s">
        <v>9463</v>
      </c>
      <c r="B1323" s="8" t="s">
        <v>5693</v>
      </c>
      <c r="C1323" s="8" t="s">
        <v>5918</v>
      </c>
      <c r="D1323" s="10">
        <v>1002</v>
      </c>
      <c r="E1323" s="8" t="s">
        <v>9464</v>
      </c>
      <c r="F1323" s="8" t="s">
        <v>9465</v>
      </c>
      <c r="G1323" s="8" t="s">
        <v>4727</v>
      </c>
      <c r="H1323" s="8" t="s">
        <v>9464</v>
      </c>
      <c r="I1323" s="8"/>
      <c r="J1323" s="15" t="s">
        <v>5695</v>
      </c>
      <c r="K1323" s="8"/>
      <c r="L1323" s="15" t="s">
        <v>1685</v>
      </c>
      <c r="M1323" s="8" t="s">
        <v>5578</v>
      </c>
      <c r="N1323" s="8"/>
      <c r="O1323" s="8" t="s">
        <v>5574</v>
      </c>
      <c r="P1323" s="11"/>
      <c r="Q1323" s="8" t="s">
        <v>5696</v>
      </c>
      <c r="R1323" s="8" t="s">
        <v>5919</v>
      </c>
      <c r="S1323" s="8" t="s">
        <v>9466</v>
      </c>
    </row>
    <row r="1324" spans="1:19" ht="107.1" customHeight="1" x14ac:dyDescent="0.25">
      <c r="A1324" s="8" t="s">
        <v>9467</v>
      </c>
      <c r="B1324" s="8" t="s">
        <v>5693</v>
      </c>
      <c r="C1324" s="8" t="s">
        <v>5918</v>
      </c>
      <c r="D1324" s="10">
        <v>1003</v>
      </c>
      <c r="E1324" s="8" t="s">
        <v>9468</v>
      </c>
      <c r="F1324" s="8" t="s">
        <v>9469</v>
      </c>
      <c r="G1324" s="8" t="s">
        <v>4727</v>
      </c>
      <c r="H1324" s="8" t="s">
        <v>9468</v>
      </c>
      <c r="I1324" s="8"/>
      <c r="J1324" s="15" t="s">
        <v>5695</v>
      </c>
      <c r="K1324" s="8"/>
      <c r="L1324" s="15" t="s">
        <v>1685</v>
      </c>
      <c r="M1324" s="8" t="s">
        <v>5578</v>
      </c>
      <c r="N1324" s="8"/>
      <c r="O1324" s="8" t="s">
        <v>5574</v>
      </c>
      <c r="P1324" s="11"/>
      <c r="Q1324" s="8" t="s">
        <v>5696</v>
      </c>
      <c r="R1324" s="8" t="s">
        <v>5919</v>
      </c>
      <c r="S1324" s="8" t="s">
        <v>9470</v>
      </c>
    </row>
    <row r="1325" spans="1:19" ht="93" customHeight="1" x14ac:dyDescent="0.25">
      <c r="A1325" s="8" t="s">
        <v>9471</v>
      </c>
      <c r="B1325" s="8" t="s">
        <v>5693</v>
      </c>
      <c r="C1325" s="8" t="s">
        <v>5918</v>
      </c>
      <c r="D1325" s="10">
        <v>1004</v>
      </c>
      <c r="E1325" s="8" t="s">
        <v>9472</v>
      </c>
      <c r="F1325" s="8" t="s">
        <v>9473</v>
      </c>
      <c r="G1325" s="8" t="s">
        <v>4727</v>
      </c>
      <c r="H1325" s="8" t="s">
        <v>9472</v>
      </c>
      <c r="I1325" s="8"/>
      <c r="J1325" s="15" t="s">
        <v>5695</v>
      </c>
      <c r="K1325" s="8"/>
      <c r="L1325" s="15" t="s">
        <v>1685</v>
      </c>
      <c r="M1325" s="8" t="s">
        <v>5578</v>
      </c>
      <c r="N1325" s="8"/>
      <c r="O1325" s="8" t="s">
        <v>5574</v>
      </c>
      <c r="P1325" s="11"/>
      <c r="Q1325" s="8" t="s">
        <v>5696</v>
      </c>
      <c r="R1325" s="8" t="s">
        <v>5919</v>
      </c>
      <c r="S1325" s="8" t="s">
        <v>9474</v>
      </c>
    </row>
    <row r="1326" spans="1:19" ht="107.1" customHeight="1" x14ac:dyDescent="0.25">
      <c r="A1326" s="8" t="s">
        <v>9475</v>
      </c>
      <c r="B1326" s="8" t="s">
        <v>5693</v>
      </c>
      <c r="C1326" s="8" t="s">
        <v>5918</v>
      </c>
      <c r="D1326" s="10">
        <v>1005</v>
      </c>
      <c r="E1326" s="8" t="s">
        <v>9476</v>
      </c>
      <c r="F1326" s="8" t="s">
        <v>9477</v>
      </c>
      <c r="G1326" s="8" t="s">
        <v>4727</v>
      </c>
      <c r="H1326" s="8" t="s">
        <v>9476</v>
      </c>
      <c r="I1326" s="8"/>
      <c r="J1326" s="15" t="s">
        <v>5695</v>
      </c>
      <c r="K1326" s="8"/>
      <c r="L1326" s="15" t="s">
        <v>1685</v>
      </c>
      <c r="M1326" s="8" t="s">
        <v>5578</v>
      </c>
      <c r="N1326" s="8"/>
      <c r="O1326" s="8" t="s">
        <v>5574</v>
      </c>
      <c r="P1326" s="11"/>
      <c r="Q1326" s="8" t="s">
        <v>5696</v>
      </c>
      <c r="R1326" s="8" t="s">
        <v>5919</v>
      </c>
      <c r="S1326" s="8" t="s">
        <v>9478</v>
      </c>
    </row>
    <row r="1327" spans="1:19" ht="93" customHeight="1" x14ac:dyDescent="0.25">
      <c r="A1327" s="8" t="s">
        <v>9479</v>
      </c>
      <c r="B1327" s="8" t="s">
        <v>5693</v>
      </c>
      <c r="C1327" s="8" t="s">
        <v>5918</v>
      </c>
      <c r="D1327" s="10">
        <v>1006</v>
      </c>
      <c r="E1327" s="8" t="s">
        <v>9480</v>
      </c>
      <c r="F1327" s="8" t="s">
        <v>9481</v>
      </c>
      <c r="G1327" s="8" t="s">
        <v>4727</v>
      </c>
      <c r="H1327" s="8" t="s">
        <v>9480</v>
      </c>
      <c r="I1327" s="8"/>
      <c r="J1327" s="15" t="s">
        <v>5695</v>
      </c>
      <c r="K1327" s="8"/>
      <c r="L1327" s="15" t="s">
        <v>1685</v>
      </c>
      <c r="M1327" s="8" t="s">
        <v>5578</v>
      </c>
      <c r="N1327" s="8"/>
      <c r="O1327" s="8" t="s">
        <v>5574</v>
      </c>
      <c r="P1327" s="11"/>
      <c r="Q1327" s="8" t="s">
        <v>5696</v>
      </c>
      <c r="R1327" s="8" t="s">
        <v>5919</v>
      </c>
      <c r="S1327" s="8" t="s">
        <v>9482</v>
      </c>
    </row>
    <row r="1328" spans="1:19" ht="107.1" customHeight="1" x14ac:dyDescent="0.25">
      <c r="A1328" s="8" t="s">
        <v>9483</v>
      </c>
      <c r="B1328" s="8" t="s">
        <v>5693</v>
      </c>
      <c r="C1328" s="8" t="s">
        <v>5918</v>
      </c>
      <c r="D1328" s="10">
        <v>1007</v>
      </c>
      <c r="E1328" s="8" t="s">
        <v>9484</v>
      </c>
      <c r="F1328" s="8" t="s">
        <v>9485</v>
      </c>
      <c r="G1328" s="8" t="s">
        <v>4727</v>
      </c>
      <c r="H1328" s="8" t="s">
        <v>9484</v>
      </c>
      <c r="I1328" s="8"/>
      <c r="J1328" s="15" t="s">
        <v>5695</v>
      </c>
      <c r="K1328" s="8"/>
      <c r="L1328" s="15" t="s">
        <v>1685</v>
      </c>
      <c r="M1328" s="8" t="s">
        <v>5578</v>
      </c>
      <c r="N1328" s="8"/>
      <c r="O1328" s="8" t="s">
        <v>5574</v>
      </c>
      <c r="P1328" s="11"/>
      <c r="Q1328" s="8" t="s">
        <v>5696</v>
      </c>
      <c r="R1328" s="8" t="s">
        <v>5919</v>
      </c>
      <c r="S1328" s="8" t="s">
        <v>9486</v>
      </c>
    </row>
    <row r="1329" spans="1:19" ht="93" customHeight="1" x14ac:dyDescent="0.25">
      <c r="A1329" s="8" t="s">
        <v>9487</v>
      </c>
      <c r="B1329" s="8" t="s">
        <v>5693</v>
      </c>
      <c r="C1329" s="8" t="s">
        <v>5918</v>
      </c>
      <c r="D1329" s="10">
        <v>1008</v>
      </c>
      <c r="E1329" s="8" t="s">
        <v>9488</v>
      </c>
      <c r="F1329" s="8" t="s">
        <v>9489</v>
      </c>
      <c r="G1329" s="8" t="s">
        <v>4727</v>
      </c>
      <c r="H1329" s="8" t="s">
        <v>9488</v>
      </c>
      <c r="I1329" s="8"/>
      <c r="J1329" s="15" t="s">
        <v>5695</v>
      </c>
      <c r="K1329" s="8"/>
      <c r="L1329" s="15" t="s">
        <v>1685</v>
      </c>
      <c r="M1329" s="8" t="s">
        <v>5578</v>
      </c>
      <c r="N1329" s="8"/>
      <c r="O1329" s="8" t="s">
        <v>5574</v>
      </c>
      <c r="P1329" s="11"/>
      <c r="Q1329" s="8" t="s">
        <v>5696</v>
      </c>
      <c r="R1329" s="8" t="s">
        <v>5919</v>
      </c>
      <c r="S1329" s="8" t="s">
        <v>9490</v>
      </c>
    </row>
    <row r="1330" spans="1:19" ht="107.1" customHeight="1" x14ac:dyDescent="0.25">
      <c r="A1330" s="8" t="s">
        <v>9491</v>
      </c>
      <c r="B1330" s="8" t="s">
        <v>5693</v>
      </c>
      <c r="C1330" s="8" t="s">
        <v>5918</v>
      </c>
      <c r="D1330" s="10">
        <v>1009</v>
      </c>
      <c r="E1330" s="8" t="s">
        <v>9492</v>
      </c>
      <c r="F1330" s="8" t="s">
        <v>9493</v>
      </c>
      <c r="G1330" s="8" t="s">
        <v>4727</v>
      </c>
      <c r="H1330" s="8" t="s">
        <v>9492</v>
      </c>
      <c r="I1330" s="8"/>
      <c r="J1330" s="15" t="s">
        <v>5695</v>
      </c>
      <c r="K1330" s="8"/>
      <c r="L1330" s="15" t="s">
        <v>1685</v>
      </c>
      <c r="M1330" s="8" t="s">
        <v>5578</v>
      </c>
      <c r="N1330" s="8"/>
      <c r="O1330" s="8" t="s">
        <v>5574</v>
      </c>
      <c r="P1330" s="11"/>
      <c r="Q1330" s="8" t="s">
        <v>5696</v>
      </c>
      <c r="R1330" s="8" t="s">
        <v>5919</v>
      </c>
      <c r="S1330" s="8" t="s">
        <v>9494</v>
      </c>
    </row>
    <row r="1331" spans="1:19" ht="93" customHeight="1" x14ac:dyDescent="0.25">
      <c r="A1331" s="8" t="s">
        <v>9495</v>
      </c>
      <c r="B1331" s="8" t="s">
        <v>5693</v>
      </c>
      <c r="C1331" s="8" t="s">
        <v>5918</v>
      </c>
      <c r="D1331" s="10">
        <v>1010</v>
      </c>
      <c r="E1331" s="8" t="s">
        <v>9496</v>
      </c>
      <c r="F1331" s="8" t="s">
        <v>9497</v>
      </c>
      <c r="G1331" s="8" t="s">
        <v>4727</v>
      </c>
      <c r="H1331" s="8" t="s">
        <v>9496</v>
      </c>
      <c r="I1331" s="8"/>
      <c r="J1331" s="15" t="s">
        <v>5695</v>
      </c>
      <c r="K1331" s="8"/>
      <c r="L1331" s="15" t="s">
        <v>1685</v>
      </c>
      <c r="M1331" s="8" t="s">
        <v>5578</v>
      </c>
      <c r="N1331" s="8"/>
      <c r="O1331" s="8" t="s">
        <v>5574</v>
      </c>
      <c r="P1331" s="11"/>
      <c r="Q1331" s="8" t="s">
        <v>5696</v>
      </c>
      <c r="R1331" s="8" t="s">
        <v>5919</v>
      </c>
      <c r="S1331" s="8" t="s">
        <v>9498</v>
      </c>
    </row>
    <row r="1332" spans="1:19" ht="107.1" customHeight="1" x14ac:dyDescent="0.25">
      <c r="A1332" s="8" t="s">
        <v>9499</v>
      </c>
      <c r="B1332" s="8" t="s">
        <v>5693</v>
      </c>
      <c r="C1332" s="8" t="s">
        <v>5918</v>
      </c>
      <c r="D1332" s="10">
        <v>1011</v>
      </c>
      <c r="E1332" s="8" t="s">
        <v>9500</v>
      </c>
      <c r="F1332" s="8" t="s">
        <v>9501</v>
      </c>
      <c r="G1332" s="8" t="s">
        <v>4727</v>
      </c>
      <c r="H1332" s="8" t="s">
        <v>9500</v>
      </c>
      <c r="I1332" s="8"/>
      <c r="J1332" s="15" t="s">
        <v>5695</v>
      </c>
      <c r="K1332" s="8"/>
      <c r="L1332" s="15" t="s">
        <v>1685</v>
      </c>
      <c r="M1332" s="8" t="s">
        <v>5578</v>
      </c>
      <c r="N1332" s="8"/>
      <c r="O1332" s="8" t="s">
        <v>5574</v>
      </c>
      <c r="P1332" s="11"/>
      <c r="Q1332" s="8" t="s">
        <v>5696</v>
      </c>
      <c r="R1332" s="8" t="s">
        <v>5919</v>
      </c>
      <c r="S1332" s="8" t="s">
        <v>9502</v>
      </c>
    </row>
    <row r="1333" spans="1:19" ht="107.1" customHeight="1" x14ac:dyDescent="0.25">
      <c r="A1333" s="8" t="s">
        <v>9503</v>
      </c>
      <c r="B1333" s="8" t="s">
        <v>5693</v>
      </c>
      <c r="C1333" s="8" t="s">
        <v>5918</v>
      </c>
      <c r="D1333" s="10">
        <v>1012</v>
      </c>
      <c r="E1333" s="8" t="s">
        <v>9504</v>
      </c>
      <c r="F1333" s="8" t="s">
        <v>9505</v>
      </c>
      <c r="G1333" s="8" t="s">
        <v>4727</v>
      </c>
      <c r="H1333" s="8" t="s">
        <v>9504</v>
      </c>
      <c r="I1333" s="8"/>
      <c r="J1333" s="15" t="s">
        <v>5695</v>
      </c>
      <c r="K1333" s="8"/>
      <c r="L1333" s="15" t="s">
        <v>1685</v>
      </c>
      <c r="M1333" s="8" t="s">
        <v>5578</v>
      </c>
      <c r="N1333" s="8"/>
      <c r="O1333" s="8" t="s">
        <v>5574</v>
      </c>
      <c r="P1333" s="11"/>
      <c r="Q1333" s="8" t="s">
        <v>5696</v>
      </c>
      <c r="R1333" s="8" t="s">
        <v>5919</v>
      </c>
      <c r="S1333" s="8" t="s">
        <v>9506</v>
      </c>
    </row>
    <row r="1334" spans="1:19" ht="107.1" customHeight="1" x14ac:dyDescent="0.25">
      <c r="A1334" s="8" t="s">
        <v>9507</v>
      </c>
      <c r="B1334" s="8" t="s">
        <v>5693</v>
      </c>
      <c r="C1334" s="8" t="s">
        <v>5918</v>
      </c>
      <c r="D1334" s="10">
        <v>1013</v>
      </c>
      <c r="E1334" s="8" t="s">
        <v>9508</v>
      </c>
      <c r="F1334" s="8" t="s">
        <v>9509</v>
      </c>
      <c r="G1334" s="8" t="s">
        <v>4727</v>
      </c>
      <c r="H1334" s="8" t="s">
        <v>9508</v>
      </c>
      <c r="I1334" s="8"/>
      <c r="J1334" s="15" t="s">
        <v>5695</v>
      </c>
      <c r="K1334" s="8"/>
      <c r="L1334" s="15" t="s">
        <v>1685</v>
      </c>
      <c r="M1334" s="8" t="s">
        <v>5578</v>
      </c>
      <c r="N1334" s="8"/>
      <c r="O1334" s="8" t="s">
        <v>5574</v>
      </c>
      <c r="P1334" s="11"/>
      <c r="Q1334" s="8" t="s">
        <v>5696</v>
      </c>
      <c r="R1334" s="8" t="s">
        <v>5919</v>
      </c>
      <c r="S1334" s="8" t="s">
        <v>9510</v>
      </c>
    </row>
    <row r="1335" spans="1:19" ht="107.1" customHeight="1" x14ac:dyDescent="0.25">
      <c r="A1335" s="8" t="s">
        <v>9511</v>
      </c>
      <c r="B1335" s="8" t="s">
        <v>5693</v>
      </c>
      <c r="C1335" s="8" t="s">
        <v>5918</v>
      </c>
      <c r="D1335" s="10">
        <v>1014</v>
      </c>
      <c r="E1335" s="8" t="s">
        <v>9512</v>
      </c>
      <c r="F1335" s="8" t="s">
        <v>9513</v>
      </c>
      <c r="G1335" s="8" t="s">
        <v>4727</v>
      </c>
      <c r="H1335" s="8" t="s">
        <v>9512</v>
      </c>
      <c r="I1335" s="8"/>
      <c r="J1335" s="15" t="s">
        <v>5695</v>
      </c>
      <c r="K1335" s="8"/>
      <c r="L1335" s="15" t="s">
        <v>1685</v>
      </c>
      <c r="M1335" s="8" t="s">
        <v>5578</v>
      </c>
      <c r="N1335" s="8"/>
      <c r="O1335" s="8" t="s">
        <v>5574</v>
      </c>
      <c r="P1335" s="11"/>
      <c r="Q1335" s="8" t="s">
        <v>5696</v>
      </c>
      <c r="R1335" s="8" t="s">
        <v>5919</v>
      </c>
      <c r="S1335" s="8" t="s">
        <v>9514</v>
      </c>
    </row>
    <row r="1336" spans="1:19" ht="107.1" customHeight="1" x14ac:dyDescent="0.25">
      <c r="A1336" s="8" t="s">
        <v>9515</v>
      </c>
      <c r="B1336" s="8" t="s">
        <v>5693</v>
      </c>
      <c r="C1336" s="8" t="s">
        <v>5918</v>
      </c>
      <c r="D1336" s="10">
        <v>1015</v>
      </c>
      <c r="E1336" s="8" t="s">
        <v>9516</v>
      </c>
      <c r="F1336" s="8" t="s">
        <v>9517</v>
      </c>
      <c r="G1336" s="8" t="s">
        <v>4727</v>
      </c>
      <c r="H1336" s="8" t="s">
        <v>9516</v>
      </c>
      <c r="I1336" s="8"/>
      <c r="J1336" s="15" t="s">
        <v>5695</v>
      </c>
      <c r="K1336" s="8"/>
      <c r="L1336" s="15" t="s">
        <v>1685</v>
      </c>
      <c r="M1336" s="8" t="s">
        <v>5578</v>
      </c>
      <c r="N1336" s="8"/>
      <c r="O1336" s="8" t="s">
        <v>5574</v>
      </c>
      <c r="P1336" s="11"/>
      <c r="Q1336" s="8" t="s">
        <v>5696</v>
      </c>
      <c r="R1336" s="8" t="s">
        <v>5919</v>
      </c>
      <c r="S1336" s="8" t="s">
        <v>9518</v>
      </c>
    </row>
    <row r="1337" spans="1:19" ht="93" customHeight="1" x14ac:dyDescent="0.25">
      <c r="A1337" s="8" t="s">
        <v>9519</v>
      </c>
      <c r="B1337" s="8" t="s">
        <v>5693</v>
      </c>
      <c r="C1337" s="8" t="s">
        <v>5918</v>
      </c>
      <c r="D1337" s="10">
        <v>1016</v>
      </c>
      <c r="E1337" s="8" t="s">
        <v>9520</v>
      </c>
      <c r="F1337" s="8" t="s">
        <v>9521</v>
      </c>
      <c r="G1337" s="8" t="s">
        <v>4727</v>
      </c>
      <c r="H1337" s="8" t="s">
        <v>9520</v>
      </c>
      <c r="I1337" s="8"/>
      <c r="J1337" s="15" t="s">
        <v>5695</v>
      </c>
      <c r="K1337" s="8"/>
      <c r="L1337" s="15" t="s">
        <v>1685</v>
      </c>
      <c r="M1337" s="8" t="s">
        <v>5578</v>
      </c>
      <c r="N1337" s="8"/>
      <c r="O1337" s="8" t="s">
        <v>5574</v>
      </c>
      <c r="P1337" s="11"/>
      <c r="Q1337" s="8" t="s">
        <v>5696</v>
      </c>
      <c r="R1337" s="8" t="s">
        <v>5919</v>
      </c>
      <c r="S1337" s="8" t="s">
        <v>9522</v>
      </c>
    </row>
    <row r="1338" spans="1:19" ht="93" customHeight="1" x14ac:dyDescent="0.25">
      <c r="A1338" s="8" t="s">
        <v>9523</v>
      </c>
      <c r="B1338" s="8" t="s">
        <v>5693</v>
      </c>
      <c r="C1338" s="8" t="s">
        <v>5918</v>
      </c>
      <c r="D1338" s="10">
        <v>1017</v>
      </c>
      <c r="E1338" s="8" t="s">
        <v>9524</v>
      </c>
      <c r="F1338" s="8" t="s">
        <v>9525</v>
      </c>
      <c r="G1338" s="8" t="s">
        <v>4727</v>
      </c>
      <c r="H1338" s="8" t="s">
        <v>9524</v>
      </c>
      <c r="I1338" s="8"/>
      <c r="J1338" s="15" t="s">
        <v>5695</v>
      </c>
      <c r="K1338" s="8"/>
      <c r="L1338" s="15" t="s">
        <v>1685</v>
      </c>
      <c r="M1338" s="8" t="s">
        <v>5578</v>
      </c>
      <c r="N1338" s="8"/>
      <c r="O1338" s="8" t="s">
        <v>5574</v>
      </c>
      <c r="P1338" s="11"/>
      <c r="Q1338" s="8" t="s">
        <v>5696</v>
      </c>
      <c r="R1338" s="8" t="s">
        <v>5919</v>
      </c>
      <c r="S1338" s="8" t="s">
        <v>9526</v>
      </c>
    </row>
    <row r="1339" spans="1:19" ht="93" customHeight="1" x14ac:dyDescent="0.25">
      <c r="A1339" s="8" t="s">
        <v>9527</v>
      </c>
      <c r="B1339" s="8" t="s">
        <v>5693</v>
      </c>
      <c r="C1339" s="8" t="s">
        <v>5918</v>
      </c>
      <c r="D1339" s="10">
        <v>1018</v>
      </c>
      <c r="E1339" s="8" t="s">
        <v>9528</v>
      </c>
      <c r="F1339" s="8" t="s">
        <v>9529</v>
      </c>
      <c r="G1339" s="8" t="s">
        <v>4727</v>
      </c>
      <c r="H1339" s="8" t="s">
        <v>9528</v>
      </c>
      <c r="I1339" s="8"/>
      <c r="J1339" s="15" t="s">
        <v>5695</v>
      </c>
      <c r="K1339" s="8"/>
      <c r="L1339" s="15" t="s">
        <v>1685</v>
      </c>
      <c r="M1339" s="8" t="s">
        <v>5578</v>
      </c>
      <c r="N1339" s="8"/>
      <c r="O1339" s="8" t="s">
        <v>5574</v>
      </c>
      <c r="P1339" s="11"/>
      <c r="Q1339" s="8" t="s">
        <v>5696</v>
      </c>
      <c r="R1339" s="8" t="s">
        <v>5919</v>
      </c>
      <c r="S1339" s="8" t="s">
        <v>9530</v>
      </c>
    </row>
    <row r="1340" spans="1:19" ht="107.1" customHeight="1" x14ac:dyDescent="0.25">
      <c r="A1340" s="8" t="s">
        <v>9531</v>
      </c>
      <c r="B1340" s="8" t="s">
        <v>5693</v>
      </c>
      <c r="C1340" s="8" t="s">
        <v>5918</v>
      </c>
      <c r="D1340" s="10">
        <v>1019</v>
      </c>
      <c r="E1340" s="8" t="s">
        <v>9532</v>
      </c>
      <c r="F1340" s="8" t="s">
        <v>9533</v>
      </c>
      <c r="G1340" s="8" t="s">
        <v>4727</v>
      </c>
      <c r="H1340" s="8" t="s">
        <v>9532</v>
      </c>
      <c r="I1340" s="8"/>
      <c r="J1340" s="15" t="s">
        <v>5695</v>
      </c>
      <c r="K1340" s="8"/>
      <c r="L1340" s="15" t="s">
        <v>1685</v>
      </c>
      <c r="M1340" s="8" t="s">
        <v>5578</v>
      </c>
      <c r="N1340" s="8"/>
      <c r="O1340" s="8" t="s">
        <v>5574</v>
      </c>
      <c r="P1340" s="11"/>
      <c r="Q1340" s="8" t="s">
        <v>5696</v>
      </c>
      <c r="R1340" s="8" t="s">
        <v>5919</v>
      </c>
      <c r="S1340" s="8" t="s">
        <v>9534</v>
      </c>
    </row>
    <row r="1341" spans="1:19" ht="107.1" customHeight="1" x14ac:dyDescent="0.25">
      <c r="A1341" s="8" t="s">
        <v>9535</v>
      </c>
      <c r="B1341" s="8" t="s">
        <v>5693</v>
      </c>
      <c r="C1341" s="8" t="s">
        <v>5918</v>
      </c>
      <c r="D1341" s="10">
        <v>1020</v>
      </c>
      <c r="E1341" s="8" t="s">
        <v>9536</v>
      </c>
      <c r="F1341" s="8" t="s">
        <v>9537</v>
      </c>
      <c r="G1341" s="8" t="s">
        <v>4727</v>
      </c>
      <c r="H1341" s="8" t="s">
        <v>9536</v>
      </c>
      <c r="I1341" s="8"/>
      <c r="J1341" s="15" t="s">
        <v>5695</v>
      </c>
      <c r="K1341" s="8"/>
      <c r="L1341" s="15" t="s">
        <v>1685</v>
      </c>
      <c r="M1341" s="8" t="s">
        <v>5578</v>
      </c>
      <c r="N1341" s="8"/>
      <c r="O1341" s="8" t="s">
        <v>5574</v>
      </c>
      <c r="P1341" s="11"/>
      <c r="Q1341" s="8" t="s">
        <v>5696</v>
      </c>
      <c r="R1341" s="8" t="s">
        <v>5919</v>
      </c>
      <c r="S1341" s="8" t="s">
        <v>9538</v>
      </c>
    </row>
    <row r="1342" spans="1:19" ht="107.1" customHeight="1" x14ac:dyDescent="0.25">
      <c r="A1342" s="8" t="s">
        <v>9539</v>
      </c>
      <c r="B1342" s="8" t="s">
        <v>5693</v>
      </c>
      <c r="C1342" s="8" t="s">
        <v>5918</v>
      </c>
      <c r="D1342" s="10">
        <v>1021</v>
      </c>
      <c r="E1342" s="8" t="s">
        <v>9540</v>
      </c>
      <c r="F1342" s="8" t="s">
        <v>9541</v>
      </c>
      <c r="G1342" s="8" t="s">
        <v>4727</v>
      </c>
      <c r="H1342" s="8" t="s">
        <v>9540</v>
      </c>
      <c r="I1342" s="8"/>
      <c r="J1342" s="15" t="s">
        <v>5695</v>
      </c>
      <c r="K1342" s="8"/>
      <c r="L1342" s="15" t="s">
        <v>1685</v>
      </c>
      <c r="M1342" s="8" t="s">
        <v>5578</v>
      </c>
      <c r="N1342" s="8"/>
      <c r="O1342" s="8" t="s">
        <v>5574</v>
      </c>
      <c r="P1342" s="11"/>
      <c r="Q1342" s="8" t="s">
        <v>5696</v>
      </c>
      <c r="R1342" s="8" t="s">
        <v>5919</v>
      </c>
      <c r="S1342" s="8" t="s">
        <v>9542</v>
      </c>
    </row>
    <row r="1343" spans="1:19" ht="107.1" customHeight="1" x14ac:dyDescent="0.25">
      <c r="A1343" s="8" t="s">
        <v>9543</v>
      </c>
      <c r="B1343" s="8" t="s">
        <v>5693</v>
      </c>
      <c r="C1343" s="8" t="s">
        <v>5918</v>
      </c>
      <c r="D1343" s="10">
        <v>1022</v>
      </c>
      <c r="E1343" s="8" t="s">
        <v>9544</v>
      </c>
      <c r="F1343" s="8" t="s">
        <v>9545</v>
      </c>
      <c r="G1343" s="8" t="s">
        <v>4727</v>
      </c>
      <c r="H1343" s="8" t="s">
        <v>9544</v>
      </c>
      <c r="I1343" s="8"/>
      <c r="J1343" s="15" t="s">
        <v>5695</v>
      </c>
      <c r="K1343" s="8"/>
      <c r="L1343" s="15" t="s">
        <v>1685</v>
      </c>
      <c r="M1343" s="8" t="s">
        <v>5578</v>
      </c>
      <c r="N1343" s="8"/>
      <c r="O1343" s="8" t="s">
        <v>5574</v>
      </c>
      <c r="P1343" s="11"/>
      <c r="Q1343" s="8" t="s">
        <v>5696</v>
      </c>
      <c r="R1343" s="8" t="s">
        <v>5919</v>
      </c>
      <c r="S1343" s="8" t="s">
        <v>9546</v>
      </c>
    </row>
    <row r="1344" spans="1:19" ht="107.1" customHeight="1" x14ac:dyDescent="0.25">
      <c r="A1344" s="8" t="s">
        <v>9547</v>
      </c>
      <c r="B1344" s="8" t="s">
        <v>5693</v>
      </c>
      <c r="C1344" s="8" t="s">
        <v>5918</v>
      </c>
      <c r="D1344" s="10">
        <v>1023</v>
      </c>
      <c r="E1344" s="8" t="s">
        <v>9548</v>
      </c>
      <c r="F1344" s="8" t="s">
        <v>9549</v>
      </c>
      <c r="G1344" s="8" t="s">
        <v>4727</v>
      </c>
      <c r="H1344" s="8" t="s">
        <v>9548</v>
      </c>
      <c r="I1344" s="8"/>
      <c r="J1344" s="15" t="s">
        <v>5695</v>
      </c>
      <c r="K1344" s="8"/>
      <c r="L1344" s="15" t="s">
        <v>1685</v>
      </c>
      <c r="M1344" s="8" t="s">
        <v>5578</v>
      </c>
      <c r="N1344" s="8"/>
      <c r="O1344" s="8" t="s">
        <v>5574</v>
      </c>
      <c r="P1344" s="11"/>
      <c r="Q1344" s="8" t="s">
        <v>5696</v>
      </c>
      <c r="R1344" s="8" t="s">
        <v>5919</v>
      </c>
      <c r="S1344" s="8" t="s">
        <v>9550</v>
      </c>
    </row>
    <row r="1345" spans="1:19" ht="107.1" customHeight="1" x14ac:dyDescent="0.25">
      <c r="A1345" s="8" t="s">
        <v>9551</v>
      </c>
      <c r="B1345" s="8" t="s">
        <v>5693</v>
      </c>
      <c r="C1345" s="8" t="s">
        <v>5918</v>
      </c>
      <c r="D1345" s="10">
        <v>1024</v>
      </c>
      <c r="E1345" s="8" t="s">
        <v>9552</v>
      </c>
      <c r="F1345" s="8" t="s">
        <v>9553</v>
      </c>
      <c r="G1345" s="8" t="s">
        <v>4727</v>
      </c>
      <c r="H1345" s="8" t="s">
        <v>9552</v>
      </c>
      <c r="I1345" s="8"/>
      <c r="J1345" s="15" t="s">
        <v>5695</v>
      </c>
      <c r="K1345" s="8"/>
      <c r="L1345" s="15" t="s">
        <v>1685</v>
      </c>
      <c r="M1345" s="8" t="s">
        <v>5578</v>
      </c>
      <c r="N1345" s="8"/>
      <c r="O1345" s="8" t="s">
        <v>5574</v>
      </c>
      <c r="P1345" s="11"/>
      <c r="Q1345" s="8" t="s">
        <v>5696</v>
      </c>
      <c r="R1345" s="8" t="s">
        <v>5919</v>
      </c>
      <c r="S1345" s="8" t="s">
        <v>9554</v>
      </c>
    </row>
    <row r="1346" spans="1:19" ht="107.1" customHeight="1" x14ac:dyDescent="0.25">
      <c r="A1346" s="8" t="s">
        <v>9555</v>
      </c>
      <c r="B1346" s="8" t="s">
        <v>5693</v>
      </c>
      <c r="C1346" s="8" t="s">
        <v>5918</v>
      </c>
      <c r="D1346" s="10">
        <v>1025</v>
      </c>
      <c r="E1346" s="8" t="s">
        <v>9556</v>
      </c>
      <c r="F1346" s="8" t="s">
        <v>9557</v>
      </c>
      <c r="G1346" s="8" t="s">
        <v>4727</v>
      </c>
      <c r="H1346" s="8" t="s">
        <v>9556</v>
      </c>
      <c r="I1346" s="8"/>
      <c r="J1346" s="15" t="s">
        <v>5695</v>
      </c>
      <c r="K1346" s="8"/>
      <c r="L1346" s="15" t="s">
        <v>1685</v>
      </c>
      <c r="M1346" s="8" t="s">
        <v>5578</v>
      </c>
      <c r="N1346" s="8"/>
      <c r="O1346" s="8" t="s">
        <v>5574</v>
      </c>
      <c r="P1346" s="11"/>
      <c r="Q1346" s="8" t="s">
        <v>5696</v>
      </c>
      <c r="R1346" s="8" t="s">
        <v>5919</v>
      </c>
      <c r="S1346" s="8" t="s">
        <v>9558</v>
      </c>
    </row>
    <row r="1347" spans="1:19" ht="107.1" customHeight="1" x14ac:dyDescent="0.25">
      <c r="A1347" s="8" t="s">
        <v>9559</v>
      </c>
      <c r="B1347" s="8" t="s">
        <v>5693</v>
      </c>
      <c r="C1347" s="8" t="s">
        <v>5918</v>
      </c>
      <c r="D1347" s="10">
        <v>1026</v>
      </c>
      <c r="E1347" s="8" t="s">
        <v>9560</v>
      </c>
      <c r="F1347" s="8" t="s">
        <v>9561</v>
      </c>
      <c r="G1347" s="8" t="s">
        <v>4727</v>
      </c>
      <c r="H1347" s="8" t="s">
        <v>9560</v>
      </c>
      <c r="I1347" s="8"/>
      <c r="J1347" s="15" t="s">
        <v>5695</v>
      </c>
      <c r="K1347" s="8"/>
      <c r="L1347" s="15" t="s">
        <v>1685</v>
      </c>
      <c r="M1347" s="8" t="s">
        <v>5578</v>
      </c>
      <c r="N1347" s="8"/>
      <c r="O1347" s="8" t="s">
        <v>5574</v>
      </c>
      <c r="P1347" s="11"/>
      <c r="Q1347" s="8" t="s">
        <v>5696</v>
      </c>
      <c r="R1347" s="8" t="s">
        <v>5919</v>
      </c>
      <c r="S1347" s="8" t="s">
        <v>9562</v>
      </c>
    </row>
    <row r="1348" spans="1:19" ht="107.1" customHeight="1" x14ac:dyDescent="0.25">
      <c r="A1348" s="8" t="s">
        <v>9563</v>
      </c>
      <c r="B1348" s="8" t="s">
        <v>5693</v>
      </c>
      <c r="C1348" s="8" t="s">
        <v>5918</v>
      </c>
      <c r="D1348" s="10">
        <v>1027</v>
      </c>
      <c r="E1348" s="8" t="s">
        <v>9564</v>
      </c>
      <c r="F1348" s="8" t="s">
        <v>9565</v>
      </c>
      <c r="G1348" s="8" t="s">
        <v>4727</v>
      </c>
      <c r="H1348" s="8" t="s">
        <v>9564</v>
      </c>
      <c r="I1348" s="8"/>
      <c r="J1348" s="15" t="s">
        <v>5695</v>
      </c>
      <c r="K1348" s="8"/>
      <c r="L1348" s="15" t="s">
        <v>1685</v>
      </c>
      <c r="M1348" s="8" t="s">
        <v>5578</v>
      </c>
      <c r="N1348" s="8"/>
      <c r="O1348" s="8" t="s">
        <v>5574</v>
      </c>
      <c r="P1348" s="11"/>
      <c r="Q1348" s="8" t="s">
        <v>5696</v>
      </c>
      <c r="R1348" s="8" t="s">
        <v>5919</v>
      </c>
      <c r="S1348" s="8" t="s">
        <v>9566</v>
      </c>
    </row>
    <row r="1349" spans="1:19" ht="107.1" customHeight="1" x14ac:dyDescent="0.25">
      <c r="A1349" s="8" t="s">
        <v>9567</v>
      </c>
      <c r="B1349" s="8" t="s">
        <v>5693</v>
      </c>
      <c r="C1349" s="8" t="s">
        <v>5918</v>
      </c>
      <c r="D1349" s="10">
        <v>1028</v>
      </c>
      <c r="E1349" s="8" t="s">
        <v>9568</v>
      </c>
      <c r="F1349" s="8" t="s">
        <v>9569</v>
      </c>
      <c r="G1349" s="8" t="s">
        <v>4727</v>
      </c>
      <c r="H1349" s="8" t="s">
        <v>9568</v>
      </c>
      <c r="I1349" s="8"/>
      <c r="J1349" s="15" t="s">
        <v>5695</v>
      </c>
      <c r="K1349" s="8"/>
      <c r="L1349" s="15" t="s">
        <v>1685</v>
      </c>
      <c r="M1349" s="8" t="s">
        <v>5578</v>
      </c>
      <c r="N1349" s="8"/>
      <c r="O1349" s="8" t="s">
        <v>5574</v>
      </c>
      <c r="P1349" s="11"/>
      <c r="Q1349" s="8" t="s">
        <v>5696</v>
      </c>
      <c r="R1349" s="8" t="s">
        <v>5919</v>
      </c>
      <c r="S1349" s="8" t="s">
        <v>9570</v>
      </c>
    </row>
    <row r="1350" spans="1:19" ht="107.1" customHeight="1" x14ac:dyDescent="0.25">
      <c r="A1350" s="8" t="s">
        <v>9571</v>
      </c>
      <c r="B1350" s="8" t="s">
        <v>5693</v>
      </c>
      <c r="C1350" s="8" t="s">
        <v>5918</v>
      </c>
      <c r="D1350" s="10">
        <v>1029</v>
      </c>
      <c r="E1350" s="8" t="s">
        <v>9572</v>
      </c>
      <c r="F1350" s="8" t="s">
        <v>9573</v>
      </c>
      <c r="G1350" s="8" t="s">
        <v>4727</v>
      </c>
      <c r="H1350" s="8" t="s">
        <v>9572</v>
      </c>
      <c r="I1350" s="8"/>
      <c r="J1350" s="15" t="s">
        <v>5695</v>
      </c>
      <c r="K1350" s="8"/>
      <c r="L1350" s="15" t="s">
        <v>1685</v>
      </c>
      <c r="M1350" s="8" t="s">
        <v>5578</v>
      </c>
      <c r="N1350" s="8"/>
      <c r="O1350" s="8" t="s">
        <v>5574</v>
      </c>
      <c r="P1350" s="11"/>
      <c r="Q1350" s="8" t="s">
        <v>5696</v>
      </c>
      <c r="R1350" s="8" t="s">
        <v>5919</v>
      </c>
      <c r="S1350" s="8" t="s">
        <v>9574</v>
      </c>
    </row>
    <row r="1351" spans="1:19" ht="107.1" customHeight="1" x14ac:dyDescent="0.25">
      <c r="A1351" s="8" t="s">
        <v>9575</v>
      </c>
      <c r="B1351" s="8" t="s">
        <v>5693</v>
      </c>
      <c r="C1351" s="8" t="s">
        <v>5918</v>
      </c>
      <c r="D1351" s="10">
        <v>1030</v>
      </c>
      <c r="E1351" s="8" t="s">
        <v>9576</v>
      </c>
      <c r="F1351" s="8" t="s">
        <v>9577</v>
      </c>
      <c r="G1351" s="8" t="s">
        <v>4727</v>
      </c>
      <c r="H1351" s="8" t="s">
        <v>9576</v>
      </c>
      <c r="I1351" s="8"/>
      <c r="J1351" s="15" t="s">
        <v>5695</v>
      </c>
      <c r="K1351" s="8"/>
      <c r="L1351" s="15" t="s">
        <v>1685</v>
      </c>
      <c r="M1351" s="8" t="s">
        <v>5578</v>
      </c>
      <c r="N1351" s="8"/>
      <c r="O1351" s="8" t="s">
        <v>5574</v>
      </c>
      <c r="P1351" s="11"/>
      <c r="Q1351" s="8" t="s">
        <v>5696</v>
      </c>
      <c r="R1351" s="8" t="s">
        <v>5919</v>
      </c>
      <c r="S1351" s="8" t="s">
        <v>9578</v>
      </c>
    </row>
    <row r="1352" spans="1:19" ht="107.1" customHeight="1" x14ac:dyDescent="0.25">
      <c r="A1352" s="8" t="s">
        <v>9579</v>
      </c>
      <c r="B1352" s="8" t="s">
        <v>5693</v>
      </c>
      <c r="C1352" s="8" t="s">
        <v>5918</v>
      </c>
      <c r="D1352" s="10">
        <v>1031</v>
      </c>
      <c r="E1352" s="8" t="s">
        <v>9580</v>
      </c>
      <c r="F1352" s="8" t="s">
        <v>9581</v>
      </c>
      <c r="G1352" s="8" t="s">
        <v>4727</v>
      </c>
      <c r="H1352" s="8" t="s">
        <v>9580</v>
      </c>
      <c r="I1352" s="8"/>
      <c r="J1352" s="15" t="s">
        <v>5695</v>
      </c>
      <c r="K1352" s="8"/>
      <c r="L1352" s="15" t="s">
        <v>1685</v>
      </c>
      <c r="M1352" s="8" t="s">
        <v>5578</v>
      </c>
      <c r="N1352" s="8"/>
      <c r="O1352" s="8" t="s">
        <v>5574</v>
      </c>
      <c r="P1352" s="11"/>
      <c r="Q1352" s="8" t="s">
        <v>5696</v>
      </c>
      <c r="R1352" s="8" t="s">
        <v>5919</v>
      </c>
      <c r="S1352" s="8" t="s">
        <v>9582</v>
      </c>
    </row>
    <row r="1353" spans="1:19" ht="107.1" customHeight="1" x14ac:dyDescent="0.25">
      <c r="A1353" s="8" t="s">
        <v>9583</v>
      </c>
      <c r="B1353" s="8" t="s">
        <v>5693</v>
      </c>
      <c r="C1353" s="8" t="s">
        <v>5918</v>
      </c>
      <c r="D1353" s="10">
        <v>1032</v>
      </c>
      <c r="E1353" s="8" t="s">
        <v>9584</v>
      </c>
      <c r="F1353" s="8" t="s">
        <v>9585</v>
      </c>
      <c r="G1353" s="8" t="s">
        <v>4727</v>
      </c>
      <c r="H1353" s="8" t="s">
        <v>9584</v>
      </c>
      <c r="I1353" s="8"/>
      <c r="J1353" s="15" t="s">
        <v>5695</v>
      </c>
      <c r="K1353" s="8"/>
      <c r="L1353" s="15" t="s">
        <v>1685</v>
      </c>
      <c r="M1353" s="8" t="s">
        <v>5578</v>
      </c>
      <c r="N1353" s="8"/>
      <c r="O1353" s="8" t="s">
        <v>5574</v>
      </c>
      <c r="P1353" s="11"/>
      <c r="Q1353" s="8" t="s">
        <v>5696</v>
      </c>
      <c r="R1353" s="8" t="s">
        <v>5919</v>
      </c>
      <c r="S1353" s="8" t="s">
        <v>9586</v>
      </c>
    </row>
    <row r="1354" spans="1:19" ht="107.1" customHeight="1" x14ac:dyDescent="0.25">
      <c r="A1354" s="8" t="s">
        <v>9587</v>
      </c>
      <c r="B1354" s="8" t="s">
        <v>5693</v>
      </c>
      <c r="C1354" s="8" t="s">
        <v>5918</v>
      </c>
      <c r="D1354" s="10">
        <v>1033</v>
      </c>
      <c r="E1354" s="8" t="s">
        <v>9588</v>
      </c>
      <c r="F1354" s="8" t="s">
        <v>9589</v>
      </c>
      <c r="G1354" s="8" t="s">
        <v>4727</v>
      </c>
      <c r="H1354" s="8" t="s">
        <v>9588</v>
      </c>
      <c r="I1354" s="8"/>
      <c r="J1354" s="15" t="s">
        <v>5695</v>
      </c>
      <c r="K1354" s="8"/>
      <c r="L1354" s="15" t="s">
        <v>1685</v>
      </c>
      <c r="M1354" s="8" t="s">
        <v>5578</v>
      </c>
      <c r="N1354" s="8"/>
      <c r="O1354" s="8" t="s">
        <v>5574</v>
      </c>
      <c r="P1354" s="11"/>
      <c r="Q1354" s="8" t="s">
        <v>5696</v>
      </c>
      <c r="R1354" s="8" t="s">
        <v>5919</v>
      </c>
      <c r="S1354" s="8" t="s">
        <v>9590</v>
      </c>
    </row>
    <row r="1355" spans="1:19" ht="93" customHeight="1" x14ac:dyDescent="0.25">
      <c r="A1355" s="8" t="s">
        <v>9591</v>
      </c>
      <c r="B1355" s="8" t="s">
        <v>5693</v>
      </c>
      <c r="C1355" s="8" t="s">
        <v>5918</v>
      </c>
      <c r="D1355" s="10">
        <v>1034</v>
      </c>
      <c r="E1355" s="8" t="s">
        <v>9592</v>
      </c>
      <c r="F1355" s="8" t="s">
        <v>9593</v>
      </c>
      <c r="G1355" s="8" t="s">
        <v>4727</v>
      </c>
      <c r="H1355" s="8" t="s">
        <v>9592</v>
      </c>
      <c r="I1355" s="8"/>
      <c r="J1355" s="15" t="s">
        <v>5695</v>
      </c>
      <c r="K1355" s="8"/>
      <c r="L1355" s="15" t="s">
        <v>1685</v>
      </c>
      <c r="M1355" s="8" t="s">
        <v>5578</v>
      </c>
      <c r="N1355" s="8"/>
      <c r="O1355" s="8" t="s">
        <v>5574</v>
      </c>
      <c r="P1355" s="11"/>
      <c r="Q1355" s="8" t="s">
        <v>5696</v>
      </c>
      <c r="R1355" s="8" t="s">
        <v>5919</v>
      </c>
      <c r="S1355" s="8" t="s">
        <v>9594</v>
      </c>
    </row>
    <row r="1356" spans="1:19" ht="107.1" customHeight="1" x14ac:dyDescent="0.25">
      <c r="A1356" s="8" t="s">
        <v>9595</v>
      </c>
      <c r="B1356" s="8" t="s">
        <v>5693</v>
      </c>
      <c r="C1356" s="8" t="s">
        <v>5918</v>
      </c>
      <c r="D1356" s="10">
        <v>1035</v>
      </c>
      <c r="E1356" s="8" t="s">
        <v>9596</v>
      </c>
      <c r="F1356" s="8" t="s">
        <v>9597</v>
      </c>
      <c r="G1356" s="8" t="s">
        <v>4727</v>
      </c>
      <c r="H1356" s="8" t="s">
        <v>9596</v>
      </c>
      <c r="I1356" s="8"/>
      <c r="J1356" s="15" t="s">
        <v>5695</v>
      </c>
      <c r="K1356" s="8"/>
      <c r="L1356" s="15" t="s">
        <v>1685</v>
      </c>
      <c r="M1356" s="8" t="s">
        <v>5578</v>
      </c>
      <c r="N1356" s="8"/>
      <c r="O1356" s="8" t="s">
        <v>5574</v>
      </c>
      <c r="P1356" s="11"/>
      <c r="Q1356" s="8" t="s">
        <v>5696</v>
      </c>
      <c r="R1356" s="8" t="s">
        <v>5919</v>
      </c>
      <c r="S1356" s="8" t="s">
        <v>9598</v>
      </c>
    </row>
    <row r="1357" spans="1:19" ht="107.1" customHeight="1" x14ac:dyDescent="0.25">
      <c r="A1357" s="8" t="s">
        <v>9599</v>
      </c>
      <c r="B1357" s="8" t="s">
        <v>5693</v>
      </c>
      <c r="C1357" s="8" t="s">
        <v>5918</v>
      </c>
      <c r="D1357" s="10">
        <v>1036</v>
      </c>
      <c r="E1357" s="8" t="s">
        <v>9600</v>
      </c>
      <c r="F1357" s="8" t="s">
        <v>9601</v>
      </c>
      <c r="G1357" s="8" t="s">
        <v>4727</v>
      </c>
      <c r="H1357" s="8" t="s">
        <v>9600</v>
      </c>
      <c r="I1357" s="8"/>
      <c r="J1357" s="15" t="s">
        <v>5695</v>
      </c>
      <c r="K1357" s="8"/>
      <c r="L1357" s="15" t="s">
        <v>1685</v>
      </c>
      <c r="M1357" s="8" t="s">
        <v>5578</v>
      </c>
      <c r="N1357" s="8"/>
      <c r="O1357" s="8" t="s">
        <v>5574</v>
      </c>
      <c r="P1357" s="11"/>
      <c r="Q1357" s="8" t="s">
        <v>5696</v>
      </c>
      <c r="R1357" s="8" t="s">
        <v>5919</v>
      </c>
      <c r="S1357" s="8" t="s">
        <v>9602</v>
      </c>
    </row>
    <row r="1358" spans="1:19" ht="107.1" customHeight="1" x14ac:dyDescent="0.25">
      <c r="A1358" s="8" t="s">
        <v>9603</v>
      </c>
      <c r="B1358" s="8" t="s">
        <v>5693</v>
      </c>
      <c r="C1358" s="8" t="s">
        <v>5918</v>
      </c>
      <c r="D1358" s="10">
        <v>1037</v>
      </c>
      <c r="E1358" s="8" t="s">
        <v>9604</v>
      </c>
      <c r="F1358" s="8" t="s">
        <v>9605</v>
      </c>
      <c r="G1358" s="8" t="s">
        <v>4727</v>
      </c>
      <c r="H1358" s="8" t="s">
        <v>9604</v>
      </c>
      <c r="I1358" s="8"/>
      <c r="J1358" s="15" t="s">
        <v>5695</v>
      </c>
      <c r="K1358" s="8"/>
      <c r="L1358" s="15" t="s">
        <v>1685</v>
      </c>
      <c r="M1358" s="8" t="s">
        <v>5578</v>
      </c>
      <c r="N1358" s="8"/>
      <c r="O1358" s="8" t="s">
        <v>5574</v>
      </c>
      <c r="P1358" s="11"/>
      <c r="Q1358" s="8" t="s">
        <v>5696</v>
      </c>
      <c r="R1358" s="8" t="s">
        <v>5919</v>
      </c>
      <c r="S1358" s="8" t="s">
        <v>9606</v>
      </c>
    </row>
    <row r="1359" spans="1:19" ht="93" customHeight="1" x14ac:dyDescent="0.25">
      <c r="A1359" s="8" t="s">
        <v>9607</v>
      </c>
      <c r="B1359" s="8" t="s">
        <v>5693</v>
      </c>
      <c r="C1359" s="8" t="s">
        <v>5918</v>
      </c>
      <c r="D1359" s="10">
        <v>1038</v>
      </c>
      <c r="E1359" s="8" t="s">
        <v>9608</v>
      </c>
      <c r="F1359" s="8" t="s">
        <v>9609</v>
      </c>
      <c r="G1359" s="8" t="s">
        <v>4727</v>
      </c>
      <c r="H1359" s="8" t="s">
        <v>9608</v>
      </c>
      <c r="I1359" s="8"/>
      <c r="J1359" s="15" t="s">
        <v>5695</v>
      </c>
      <c r="K1359" s="8"/>
      <c r="L1359" s="15" t="s">
        <v>1685</v>
      </c>
      <c r="M1359" s="8" t="s">
        <v>5578</v>
      </c>
      <c r="N1359" s="8"/>
      <c r="O1359" s="8" t="s">
        <v>5574</v>
      </c>
      <c r="P1359" s="11"/>
      <c r="Q1359" s="8" t="s">
        <v>5696</v>
      </c>
      <c r="R1359" s="8" t="s">
        <v>5919</v>
      </c>
      <c r="S1359" s="8" t="s">
        <v>9610</v>
      </c>
    </row>
    <row r="1360" spans="1:19" ht="107.1" customHeight="1" x14ac:dyDescent="0.25">
      <c r="A1360" s="8" t="s">
        <v>9611</v>
      </c>
      <c r="B1360" s="8" t="s">
        <v>5693</v>
      </c>
      <c r="C1360" s="8" t="s">
        <v>5918</v>
      </c>
      <c r="D1360" s="10">
        <v>1039</v>
      </c>
      <c r="E1360" s="8" t="s">
        <v>9612</v>
      </c>
      <c r="F1360" s="8" t="s">
        <v>9613</v>
      </c>
      <c r="G1360" s="8" t="s">
        <v>4727</v>
      </c>
      <c r="H1360" s="8" t="s">
        <v>9612</v>
      </c>
      <c r="I1360" s="8"/>
      <c r="J1360" s="15" t="s">
        <v>5695</v>
      </c>
      <c r="K1360" s="8"/>
      <c r="L1360" s="15" t="s">
        <v>1685</v>
      </c>
      <c r="M1360" s="8" t="s">
        <v>5578</v>
      </c>
      <c r="N1360" s="8"/>
      <c r="O1360" s="8" t="s">
        <v>5574</v>
      </c>
      <c r="P1360" s="11"/>
      <c r="Q1360" s="8" t="s">
        <v>5696</v>
      </c>
      <c r="R1360" s="8" t="s">
        <v>5919</v>
      </c>
      <c r="S1360" s="8" t="s">
        <v>9614</v>
      </c>
    </row>
    <row r="1361" spans="1:19" ht="107.1" customHeight="1" x14ac:dyDescent="0.25">
      <c r="A1361" s="8" t="s">
        <v>9615</v>
      </c>
      <c r="B1361" s="8" t="s">
        <v>5693</v>
      </c>
      <c r="C1361" s="8" t="s">
        <v>5918</v>
      </c>
      <c r="D1361" s="10">
        <v>1040</v>
      </c>
      <c r="E1361" s="8" t="s">
        <v>9616</v>
      </c>
      <c r="F1361" s="8" t="s">
        <v>9617</v>
      </c>
      <c r="G1361" s="8" t="s">
        <v>4727</v>
      </c>
      <c r="H1361" s="8" t="s">
        <v>9616</v>
      </c>
      <c r="I1361" s="8"/>
      <c r="J1361" s="15" t="s">
        <v>5695</v>
      </c>
      <c r="K1361" s="8"/>
      <c r="L1361" s="15" t="s">
        <v>1685</v>
      </c>
      <c r="M1361" s="8" t="s">
        <v>5578</v>
      </c>
      <c r="N1361" s="8"/>
      <c r="O1361" s="8" t="s">
        <v>5574</v>
      </c>
      <c r="P1361" s="11"/>
      <c r="Q1361" s="8" t="s">
        <v>5696</v>
      </c>
      <c r="R1361" s="8" t="s">
        <v>5919</v>
      </c>
      <c r="S1361" s="8" t="s">
        <v>9618</v>
      </c>
    </row>
    <row r="1362" spans="1:19" ht="107.1" customHeight="1" x14ac:dyDescent="0.25">
      <c r="A1362" s="8" t="s">
        <v>9619</v>
      </c>
      <c r="B1362" s="8" t="s">
        <v>5693</v>
      </c>
      <c r="C1362" s="8" t="s">
        <v>5918</v>
      </c>
      <c r="D1362" s="10">
        <v>1041</v>
      </c>
      <c r="E1362" s="8" t="s">
        <v>9620</v>
      </c>
      <c r="F1362" s="8" t="s">
        <v>9621</v>
      </c>
      <c r="G1362" s="8" t="s">
        <v>4727</v>
      </c>
      <c r="H1362" s="8" t="s">
        <v>9620</v>
      </c>
      <c r="I1362" s="8"/>
      <c r="J1362" s="15" t="s">
        <v>5695</v>
      </c>
      <c r="K1362" s="8"/>
      <c r="L1362" s="15" t="s">
        <v>1685</v>
      </c>
      <c r="M1362" s="8" t="s">
        <v>5578</v>
      </c>
      <c r="N1362" s="8"/>
      <c r="O1362" s="8" t="s">
        <v>5574</v>
      </c>
      <c r="P1362" s="11"/>
      <c r="Q1362" s="8" t="s">
        <v>5696</v>
      </c>
      <c r="R1362" s="8" t="s">
        <v>5919</v>
      </c>
      <c r="S1362" s="8" t="s">
        <v>9622</v>
      </c>
    </row>
    <row r="1363" spans="1:19" ht="107.1" customHeight="1" x14ac:dyDescent="0.25">
      <c r="A1363" s="8" t="s">
        <v>9623</v>
      </c>
      <c r="B1363" s="8" t="s">
        <v>5693</v>
      </c>
      <c r="C1363" s="8" t="s">
        <v>5918</v>
      </c>
      <c r="D1363" s="10">
        <v>1042</v>
      </c>
      <c r="E1363" s="8" t="s">
        <v>9624</v>
      </c>
      <c r="F1363" s="8" t="s">
        <v>9625</v>
      </c>
      <c r="G1363" s="8" t="s">
        <v>4727</v>
      </c>
      <c r="H1363" s="8" t="s">
        <v>9624</v>
      </c>
      <c r="I1363" s="8"/>
      <c r="J1363" s="15" t="s">
        <v>5695</v>
      </c>
      <c r="K1363" s="8"/>
      <c r="L1363" s="15" t="s">
        <v>1685</v>
      </c>
      <c r="M1363" s="8" t="s">
        <v>5578</v>
      </c>
      <c r="N1363" s="8"/>
      <c r="O1363" s="8" t="s">
        <v>5574</v>
      </c>
      <c r="P1363" s="11"/>
      <c r="Q1363" s="8" t="s">
        <v>5696</v>
      </c>
      <c r="R1363" s="8" t="s">
        <v>5919</v>
      </c>
      <c r="S1363" s="8" t="s">
        <v>9626</v>
      </c>
    </row>
    <row r="1364" spans="1:19" ht="107.1" customHeight="1" x14ac:dyDescent="0.25">
      <c r="A1364" s="8" t="s">
        <v>9627</v>
      </c>
      <c r="B1364" s="8" t="s">
        <v>5693</v>
      </c>
      <c r="C1364" s="8" t="s">
        <v>5918</v>
      </c>
      <c r="D1364" s="10">
        <v>1043</v>
      </c>
      <c r="E1364" s="8" t="s">
        <v>9628</v>
      </c>
      <c r="F1364" s="8" t="s">
        <v>9629</v>
      </c>
      <c r="G1364" s="8" t="s">
        <v>4727</v>
      </c>
      <c r="H1364" s="8" t="s">
        <v>9628</v>
      </c>
      <c r="I1364" s="8"/>
      <c r="J1364" s="15" t="s">
        <v>5695</v>
      </c>
      <c r="K1364" s="8"/>
      <c r="L1364" s="15" t="s">
        <v>1685</v>
      </c>
      <c r="M1364" s="8" t="s">
        <v>5578</v>
      </c>
      <c r="N1364" s="8"/>
      <c r="O1364" s="8" t="s">
        <v>5574</v>
      </c>
      <c r="P1364" s="11"/>
      <c r="Q1364" s="8" t="s">
        <v>5696</v>
      </c>
      <c r="R1364" s="8" t="s">
        <v>5919</v>
      </c>
      <c r="S1364" s="8" t="s">
        <v>9630</v>
      </c>
    </row>
    <row r="1365" spans="1:19" ht="93" customHeight="1" x14ac:dyDescent="0.25">
      <c r="A1365" s="8" t="s">
        <v>9631</v>
      </c>
      <c r="B1365" s="8" t="s">
        <v>5693</v>
      </c>
      <c r="C1365" s="8" t="s">
        <v>5918</v>
      </c>
      <c r="D1365" s="10">
        <v>1044</v>
      </c>
      <c r="E1365" s="8" t="s">
        <v>9632</v>
      </c>
      <c r="F1365" s="8" t="s">
        <v>9633</v>
      </c>
      <c r="G1365" s="8" t="s">
        <v>4727</v>
      </c>
      <c r="H1365" s="8" t="s">
        <v>9632</v>
      </c>
      <c r="I1365" s="8"/>
      <c r="J1365" s="15" t="s">
        <v>5695</v>
      </c>
      <c r="K1365" s="8"/>
      <c r="L1365" s="15" t="s">
        <v>1685</v>
      </c>
      <c r="M1365" s="8" t="s">
        <v>5578</v>
      </c>
      <c r="N1365" s="8"/>
      <c r="O1365" s="8" t="s">
        <v>5574</v>
      </c>
      <c r="P1365" s="11"/>
      <c r="Q1365" s="8" t="s">
        <v>5696</v>
      </c>
      <c r="R1365" s="8" t="s">
        <v>5919</v>
      </c>
      <c r="S1365" s="8" t="s">
        <v>9634</v>
      </c>
    </row>
    <row r="1366" spans="1:19" ht="107.1" customHeight="1" x14ac:dyDescent="0.25">
      <c r="A1366" s="8" t="s">
        <v>9635</v>
      </c>
      <c r="B1366" s="8" t="s">
        <v>5693</v>
      </c>
      <c r="C1366" s="8" t="s">
        <v>5918</v>
      </c>
      <c r="D1366" s="10">
        <v>1045</v>
      </c>
      <c r="E1366" s="8" t="s">
        <v>9636</v>
      </c>
      <c r="F1366" s="8" t="s">
        <v>9637</v>
      </c>
      <c r="G1366" s="8" t="s">
        <v>4727</v>
      </c>
      <c r="H1366" s="8" t="s">
        <v>9636</v>
      </c>
      <c r="I1366" s="8"/>
      <c r="J1366" s="15" t="s">
        <v>5695</v>
      </c>
      <c r="K1366" s="8"/>
      <c r="L1366" s="15" t="s">
        <v>1685</v>
      </c>
      <c r="M1366" s="8" t="s">
        <v>5578</v>
      </c>
      <c r="N1366" s="8"/>
      <c r="O1366" s="8" t="s">
        <v>5574</v>
      </c>
      <c r="P1366" s="11"/>
      <c r="Q1366" s="8" t="s">
        <v>5696</v>
      </c>
      <c r="R1366" s="8" t="s">
        <v>5919</v>
      </c>
      <c r="S1366" s="8" t="s">
        <v>9638</v>
      </c>
    </row>
    <row r="1367" spans="1:19" ht="93" customHeight="1" x14ac:dyDescent="0.25">
      <c r="A1367" s="8" t="s">
        <v>9639</v>
      </c>
      <c r="B1367" s="8" t="s">
        <v>5693</v>
      </c>
      <c r="C1367" s="8" t="s">
        <v>5918</v>
      </c>
      <c r="D1367" s="10">
        <v>1046</v>
      </c>
      <c r="E1367" s="8" t="s">
        <v>9640</v>
      </c>
      <c r="F1367" s="8" t="s">
        <v>9641</v>
      </c>
      <c r="G1367" s="8" t="s">
        <v>4727</v>
      </c>
      <c r="H1367" s="8" t="s">
        <v>9640</v>
      </c>
      <c r="I1367" s="8"/>
      <c r="J1367" s="15" t="s">
        <v>5695</v>
      </c>
      <c r="K1367" s="8"/>
      <c r="L1367" s="15" t="s">
        <v>1685</v>
      </c>
      <c r="M1367" s="8" t="s">
        <v>5578</v>
      </c>
      <c r="N1367" s="8"/>
      <c r="O1367" s="8" t="s">
        <v>5574</v>
      </c>
      <c r="P1367" s="11"/>
      <c r="Q1367" s="8" t="s">
        <v>5696</v>
      </c>
      <c r="R1367" s="8" t="s">
        <v>5919</v>
      </c>
      <c r="S1367" s="8" t="s">
        <v>9642</v>
      </c>
    </row>
    <row r="1368" spans="1:19" ht="107.1" customHeight="1" x14ac:dyDescent="0.25">
      <c r="A1368" s="8" t="s">
        <v>9643</v>
      </c>
      <c r="B1368" s="8" t="s">
        <v>5693</v>
      </c>
      <c r="C1368" s="8" t="s">
        <v>5918</v>
      </c>
      <c r="D1368" s="10">
        <v>1047</v>
      </c>
      <c r="E1368" s="8" t="s">
        <v>9644</v>
      </c>
      <c r="F1368" s="8" t="s">
        <v>9645</v>
      </c>
      <c r="G1368" s="8" t="s">
        <v>4727</v>
      </c>
      <c r="H1368" s="8" t="s">
        <v>9644</v>
      </c>
      <c r="I1368" s="8"/>
      <c r="J1368" s="15" t="s">
        <v>5695</v>
      </c>
      <c r="K1368" s="8"/>
      <c r="L1368" s="15" t="s">
        <v>1685</v>
      </c>
      <c r="M1368" s="8" t="s">
        <v>5578</v>
      </c>
      <c r="N1368" s="8"/>
      <c r="O1368" s="8" t="s">
        <v>5574</v>
      </c>
      <c r="P1368" s="11"/>
      <c r="Q1368" s="8" t="s">
        <v>5696</v>
      </c>
      <c r="R1368" s="8" t="s">
        <v>5919</v>
      </c>
      <c r="S1368" s="8" t="s">
        <v>9646</v>
      </c>
    </row>
    <row r="1369" spans="1:19" ht="107.1" customHeight="1" x14ac:dyDescent="0.25">
      <c r="A1369" s="8" t="s">
        <v>9647</v>
      </c>
      <c r="B1369" s="8" t="s">
        <v>5693</v>
      </c>
      <c r="C1369" s="8" t="s">
        <v>5918</v>
      </c>
      <c r="D1369" s="10">
        <v>1048</v>
      </c>
      <c r="E1369" s="8" t="s">
        <v>9648</v>
      </c>
      <c r="F1369" s="8" t="s">
        <v>9649</v>
      </c>
      <c r="G1369" s="8" t="s">
        <v>4727</v>
      </c>
      <c r="H1369" s="8" t="s">
        <v>9648</v>
      </c>
      <c r="I1369" s="8"/>
      <c r="J1369" s="15" t="s">
        <v>5695</v>
      </c>
      <c r="K1369" s="8"/>
      <c r="L1369" s="15" t="s">
        <v>1685</v>
      </c>
      <c r="M1369" s="8" t="s">
        <v>5578</v>
      </c>
      <c r="N1369" s="8"/>
      <c r="O1369" s="8" t="s">
        <v>5574</v>
      </c>
      <c r="P1369" s="11"/>
      <c r="Q1369" s="8" t="s">
        <v>5696</v>
      </c>
      <c r="R1369" s="8" t="s">
        <v>5919</v>
      </c>
      <c r="S1369" s="8" t="s">
        <v>9650</v>
      </c>
    </row>
    <row r="1370" spans="1:19" ht="93" customHeight="1" x14ac:dyDescent="0.25">
      <c r="A1370" s="8" t="s">
        <v>9651</v>
      </c>
      <c r="B1370" s="8" t="s">
        <v>5693</v>
      </c>
      <c r="C1370" s="8" t="s">
        <v>5918</v>
      </c>
      <c r="D1370" s="10">
        <v>1049</v>
      </c>
      <c r="E1370" s="8" t="s">
        <v>9652</v>
      </c>
      <c r="F1370" s="8" t="s">
        <v>9653</v>
      </c>
      <c r="G1370" s="8" t="s">
        <v>4727</v>
      </c>
      <c r="H1370" s="8" t="s">
        <v>9652</v>
      </c>
      <c r="I1370" s="8"/>
      <c r="J1370" s="15" t="s">
        <v>5695</v>
      </c>
      <c r="K1370" s="8"/>
      <c r="L1370" s="15" t="s">
        <v>1685</v>
      </c>
      <c r="M1370" s="8" t="s">
        <v>5578</v>
      </c>
      <c r="N1370" s="8"/>
      <c r="O1370" s="8" t="s">
        <v>5574</v>
      </c>
      <c r="P1370" s="11"/>
      <c r="Q1370" s="8" t="s">
        <v>5696</v>
      </c>
      <c r="R1370" s="8" t="s">
        <v>5919</v>
      </c>
      <c r="S1370" s="8" t="s">
        <v>9654</v>
      </c>
    </row>
    <row r="1371" spans="1:19" ht="93" customHeight="1" x14ac:dyDescent="0.25">
      <c r="A1371" s="8" t="s">
        <v>9655</v>
      </c>
      <c r="B1371" s="8" t="s">
        <v>5693</v>
      </c>
      <c r="C1371" s="8" t="s">
        <v>5918</v>
      </c>
      <c r="D1371" s="10">
        <v>1050</v>
      </c>
      <c r="E1371" s="8" t="s">
        <v>9656</v>
      </c>
      <c r="F1371" s="8" t="s">
        <v>9657</v>
      </c>
      <c r="G1371" s="8" t="s">
        <v>4727</v>
      </c>
      <c r="H1371" s="8" t="s">
        <v>9656</v>
      </c>
      <c r="I1371" s="8"/>
      <c r="J1371" s="15" t="s">
        <v>5695</v>
      </c>
      <c r="K1371" s="8"/>
      <c r="L1371" s="15" t="s">
        <v>1685</v>
      </c>
      <c r="M1371" s="8" t="s">
        <v>5578</v>
      </c>
      <c r="N1371" s="8"/>
      <c r="O1371" s="8" t="s">
        <v>5574</v>
      </c>
      <c r="P1371" s="11"/>
      <c r="Q1371" s="8" t="s">
        <v>5696</v>
      </c>
      <c r="R1371" s="8" t="s">
        <v>5919</v>
      </c>
      <c r="S1371" s="8" t="s">
        <v>9658</v>
      </c>
    </row>
    <row r="1372" spans="1:19" ht="93" customHeight="1" x14ac:dyDescent="0.25">
      <c r="A1372" s="8" t="s">
        <v>9659</v>
      </c>
      <c r="B1372" s="8" t="s">
        <v>5693</v>
      </c>
      <c r="C1372" s="8" t="s">
        <v>5918</v>
      </c>
      <c r="D1372" s="10">
        <v>1051</v>
      </c>
      <c r="E1372" s="8" t="s">
        <v>9660</v>
      </c>
      <c r="F1372" s="8" t="s">
        <v>9661</v>
      </c>
      <c r="G1372" s="8" t="s">
        <v>4727</v>
      </c>
      <c r="H1372" s="8" t="s">
        <v>9660</v>
      </c>
      <c r="I1372" s="8"/>
      <c r="J1372" s="15" t="s">
        <v>5695</v>
      </c>
      <c r="K1372" s="8"/>
      <c r="L1372" s="15" t="s">
        <v>1685</v>
      </c>
      <c r="M1372" s="8" t="s">
        <v>5578</v>
      </c>
      <c r="N1372" s="8"/>
      <c r="O1372" s="8" t="s">
        <v>5574</v>
      </c>
      <c r="P1372" s="11"/>
      <c r="Q1372" s="8" t="s">
        <v>5696</v>
      </c>
      <c r="R1372" s="8" t="s">
        <v>5919</v>
      </c>
      <c r="S1372" s="8" t="s">
        <v>9662</v>
      </c>
    </row>
    <row r="1373" spans="1:19" ht="107.1" customHeight="1" x14ac:dyDescent="0.25">
      <c r="A1373" s="8" t="s">
        <v>9663</v>
      </c>
      <c r="B1373" s="8" t="s">
        <v>5693</v>
      </c>
      <c r="C1373" s="8" t="s">
        <v>5918</v>
      </c>
      <c r="D1373" s="10">
        <v>1052</v>
      </c>
      <c r="E1373" s="8" t="s">
        <v>9664</v>
      </c>
      <c r="F1373" s="8" t="s">
        <v>9665</v>
      </c>
      <c r="G1373" s="8" t="s">
        <v>4727</v>
      </c>
      <c r="H1373" s="8" t="s">
        <v>9664</v>
      </c>
      <c r="I1373" s="8"/>
      <c r="J1373" s="15" t="s">
        <v>5695</v>
      </c>
      <c r="K1373" s="8"/>
      <c r="L1373" s="15" t="s">
        <v>1685</v>
      </c>
      <c r="M1373" s="8" t="s">
        <v>5578</v>
      </c>
      <c r="N1373" s="8"/>
      <c r="O1373" s="8" t="s">
        <v>5574</v>
      </c>
      <c r="P1373" s="11"/>
      <c r="Q1373" s="8" t="s">
        <v>5696</v>
      </c>
      <c r="R1373" s="8" t="s">
        <v>5919</v>
      </c>
      <c r="S1373" s="8" t="s">
        <v>9666</v>
      </c>
    </row>
    <row r="1374" spans="1:19" ht="107.1" customHeight="1" x14ac:dyDescent="0.25">
      <c r="A1374" s="8" t="s">
        <v>9667</v>
      </c>
      <c r="B1374" s="8" t="s">
        <v>5693</v>
      </c>
      <c r="C1374" s="8" t="s">
        <v>5918</v>
      </c>
      <c r="D1374" s="10">
        <v>1053</v>
      </c>
      <c r="E1374" s="8" t="s">
        <v>9668</v>
      </c>
      <c r="F1374" s="8" t="s">
        <v>9669</v>
      </c>
      <c r="G1374" s="8" t="s">
        <v>4727</v>
      </c>
      <c r="H1374" s="8" t="s">
        <v>9668</v>
      </c>
      <c r="I1374" s="8"/>
      <c r="J1374" s="15" t="s">
        <v>5695</v>
      </c>
      <c r="K1374" s="8"/>
      <c r="L1374" s="15" t="s">
        <v>1685</v>
      </c>
      <c r="M1374" s="8" t="s">
        <v>5578</v>
      </c>
      <c r="N1374" s="8"/>
      <c r="O1374" s="8" t="s">
        <v>5574</v>
      </c>
      <c r="P1374" s="11"/>
      <c r="Q1374" s="8" t="s">
        <v>5696</v>
      </c>
      <c r="R1374" s="8" t="s">
        <v>5919</v>
      </c>
      <c r="S1374" s="8" t="s">
        <v>9670</v>
      </c>
    </row>
    <row r="1375" spans="1:19" ht="93" customHeight="1" x14ac:dyDescent="0.25">
      <c r="A1375" s="8" t="s">
        <v>9671</v>
      </c>
      <c r="B1375" s="8" t="s">
        <v>5693</v>
      </c>
      <c r="C1375" s="8" t="s">
        <v>5918</v>
      </c>
      <c r="D1375" s="10">
        <v>1054</v>
      </c>
      <c r="E1375" s="8" t="s">
        <v>9672</v>
      </c>
      <c r="F1375" s="8" t="s">
        <v>9673</v>
      </c>
      <c r="G1375" s="8" t="s">
        <v>4727</v>
      </c>
      <c r="H1375" s="8" t="s">
        <v>9672</v>
      </c>
      <c r="I1375" s="8"/>
      <c r="J1375" s="15" t="s">
        <v>5695</v>
      </c>
      <c r="K1375" s="8"/>
      <c r="L1375" s="15" t="s">
        <v>1685</v>
      </c>
      <c r="M1375" s="8" t="s">
        <v>5578</v>
      </c>
      <c r="N1375" s="8"/>
      <c r="O1375" s="8" t="s">
        <v>5574</v>
      </c>
      <c r="P1375" s="11"/>
      <c r="Q1375" s="8" t="s">
        <v>5696</v>
      </c>
      <c r="R1375" s="8" t="s">
        <v>5919</v>
      </c>
      <c r="S1375" s="8" t="s">
        <v>9674</v>
      </c>
    </row>
    <row r="1376" spans="1:19" ht="93" customHeight="1" x14ac:dyDescent="0.25">
      <c r="A1376" s="8" t="s">
        <v>9675</v>
      </c>
      <c r="B1376" s="8" t="s">
        <v>5693</v>
      </c>
      <c r="C1376" s="8" t="s">
        <v>5918</v>
      </c>
      <c r="D1376" s="10">
        <v>1055</v>
      </c>
      <c r="E1376" s="8" t="s">
        <v>9676</v>
      </c>
      <c r="F1376" s="8" t="s">
        <v>9677</v>
      </c>
      <c r="G1376" s="8" t="s">
        <v>4727</v>
      </c>
      <c r="H1376" s="8" t="s">
        <v>9676</v>
      </c>
      <c r="I1376" s="8"/>
      <c r="J1376" s="15" t="s">
        <v>5695</v>
      </c>
      <c r="K1376" s="8"/>
      <c r="L1376" s="15" t="s">
        <v>1685</v>
      </c>
      <c r="M1376" s="8" t="s">
        <v>5578</v>
      </c>
      <c r="N1376" s="8"/>
      <c r="O1376" s="8" t="s">
        <v>5574</v>
      </c>
      <c r="P1376" s="11"/>
      <c r="Q1376" s="8" t="s">
        <v>5696</v>
      </c>
      <c r="R1376" s="8" t="s">
        <v>5919</v>
      </c>
      <c r="S1376" s="8" t="s">
        <v>9678</v>
      </c>
    </row>
    <row r="1377" spans="1:19" ht="93" customHeight="1" x14ac:dyDescent="0.25">
      <c r="A1377" s="8" t="s">
        <v>9679</v>
      </c>
      <c r="B1377" s="8" t="s">
        <v>5693</v>
      </c>
      <c r="C1377" s="8" t="s">
        <v>5918</v>
      </c>
      <c r="D1377" s="10">
        <v>1056</v>
      </c>
      <c r="E1377" s="8" t="s">
        <v>9680</v>
      </c>
      <c r="F1377" s="8" t="s">
        <v>9681</v>
      </c>
      <c r="G1377" s="8" t="s">
        <v>4727</v>
      </c>
      <c r="H1377" s="8" t="s">
        <v>9680</v>
      </c>
      <c r="I1377" s="8"/>
      <c r="J1377" s="15" t="s">
        <v>5695</v>
      </c>
      <c r="K1377" s="8"/>
      <c r="L1377" s="15" t="s">
        <v>1685</v>
      </c>
      <c r="M1377" s="8" t="s">
        <v>5578</v>
      </c>
      <c r="N1377" s="8"/>
      <c r="O1377" s="8" t="s">
        <v>5574</v>
      </c>
      <c r="P1377" s="11"/>
      <c r="Q1377" s="8" t="s">
        <v>5696</v>
      </c>
      <c r="R1377" s="8" t="s">
        <v>5919</v>
      </c>
      <c r="S1377" s="8" t="s">
        <v>9682</v>
      </c>
    </row>
    <row r="1378" spans="1:19" ht="107.1" customHeight="1" x14ac:dyDescent="0.25">
      <c r="A1378" s="8" t="s">
        <v>9683</v>
      </c>
      <c r="B1378" s="8" t="s">
        <v>5693</v>
      </c>
      <c r="C1378" s="8" t="s">
        <v>5918</v>
      </c>
      <c r="D1378" s="10">
        <v>1057</v>
      </c>
      <c r="E1378" s="8" t="s">
        <v>9684</v>
      </c>
      <c r="F1378" s="8" t="s">
        <v>9685</v>
      </c>
      <c r="G1378" s="8" t="s">
        <v>4727</v>
      </c>
      <c r="H1378" s="8" t="s">
        <v>9684</v>
      </c>
      <c r="I1378" s="8"/>
      <c r="J1378" s="15" t="s">
        <v>5695</v>
      </c>
      <c r="K1378" s="8"/>
      <c r="L1378" s="15" t="s">
        <v>1685</v>
      </c>
      <c r="M1378" s="8" t="s">
        <v>5578</v>
      </c>
      <c r="N1378" s="8"/>
      <c r="O1378" s="8" t="s">
        <v>5574</v>
      </c>
      <c r="P1378" s="11"/>
      <c r="Q1378" s="8" t="s">
        <v>5696</v>
      </c>
      <c r="R1378" s="8" t="s">
        <v>5919</v>
      </c>
      <c r="S1378" s="8" t="s">
        <v>9686</v>
      </c>
    </row>
    <row r="1379" spans="1:19" ht="107.1" customHeight="1" x14ac:dyDescent="0.25">
      <c r="A1379" s="8" t="s">
        <v>9687</v>
      </c>
      <c r="B1379" s="8" t="s">
        <v>5693</v>
      </c>
      <c r="C1379" s="8" t="s">
        <v>5918</v>
      </c>
      <c r="D1379" s="10">
        <v>1058</v>
      </c>
      <c r="E1379" s="8" t="s">
        <v>9688</v>
      </c>
      <c r="F1379" s="8" t="s">
        <v>9689</v>
      </c>
      <c r="G1379" s="8" t="s">
        <v>4727</v>
      </c>
      <c r="H1379" s="8" t="s">
        <v>9688</v>
      </c>
      <c r="I1379" s="8"/>
      <c r="J1379" s="15" t="s">
        <v>5695</v>
      </c>
      <c r="K1379" s="8"/>
      <c r="L1379" s="15" t="s">
        <v>1685</v>
      </c>
      <c r="M1379" s="8" t="s">
        <v>5578</v>
      </c>
      <c r="N1379" s="8"/>
      <c r="O1379" s="8" t="s">
        <v>5574</v>
      </c>
      <c r="P1379" s="11"/>
      <c r="Q1379" s="8" t="s">
        <v>5696</v>
      </c>
      <c r="R1379" s="8" t="s">
        <v>5919</v>
      </c>
      <c r="S1379" s="8" t="s">
        <v>9690</v>
      </c>
    </row>
    <row r="1380" spans="1:19" ht="107.1" customHeight="1" x14ac:dyDescent="0.25">
      <c r="A1380" s="8" t="s">
        <v>9691</v>
      </c>
      <c r="B1380" s="8" t="s">
        <v>5693</v>
      </c>
      <c r="C1380" s="8" t="s">
        <v>5918</v>
      </c>
      <c r="D1380" s="10">
        <v>1059</v>
      </c>
      <c r="E1380" s="8" t="s">
        <v>9692</v>
      </c>
      <c r="F1380" s="8" t="s">
        <v>9693</v>
      </c>
      <c r="G1380" s="8" t="s">
        <v>4727</v>
      </c>
      <c r="H1380" s="8" t="s">
        <v>9692</v>
      </c>
      <c r="I1380" s="8"/>
      <c r="J1380" s="15" t="s">
        <v>5695</v>
      </c>
      <c r="K1380" s="8"/>
      <c r="L1380" s="15" t="s">
        <v>1685</v>
      </c>
      <c r="M1380" s="8" t="s">
        <v>5578</v>
      </c>
      <c r="N1380" s="8"/>
      <c r="O1380" s="8" t="s">
        <v>5574</v>
      </c>
      <c r="P1380" s="11"/>
      <c r="Q1380" s="8" t="s">
        <v>5696</v>
      </c>
      <c r="R1380" s="8" t="s">
        <v>5919</v>
      </c>
      <c r="S1380" s="8" t="s">
        <v>9694</v>
      </c>
    </row>
    <row r="1381" spans="1:19" ht="107.1" customHeight="1" x14ac:dyDescent="0.25">
      <c r="A1381" s="8" t="s">
        <v>9695</v>
      </c>
      <c r="B1381" s="8" t="s">
        <v>5693</v>
      </c>
      <c r="C1381" s="8" t="s">
        <v>5918</v>
      </c>
      <c r="D1381" s="10">
        <v>1060</v>
      </c>
      <c r="E1381" s="8" t="s">
        <v>9696</v>
      </c>
      <c r="F1381" s="8" t="s">
        <v>9697</v>
      </c>
      <c r="G1381" s="8" t="s">
        <v>4727</v>
      </c>
      <c r="H1381" s="8" t="s">
        <v>9696</v>
      </c>
      <c r="I1381" s="8"/>
      <c r="J1381" s="15" t="s">
        <v>5695</v>
      </c>
      <c r="K1381" s="8"/>
      <c r="L1381" s="15" t="s">
        <v>1685</v>
      </c>
      <c r="M1381" s="8" t="s">
        <v>5578</v>
      </c>
      <c r="N1381" s="8"/>
      <c r="O1381" s="8" t="s">
        <v>5574</v>
      </c>
      <c r="P1381" s="11"/>
      <c r="Q1381" s="8" t="s">
        <v>5696</v>
      </c>
      <c r="R1381" s="8" t="s">
        <v>5919</v>
      </c>
      <c r="S1381" s="8" t="s">
        <v>9698</v>
      </c>
    </row>
    <row r="1382" spans="1:19" ht="93" customHeight="1" x14ac:dyDescent="0.25">
      <c r="A1382" s="8" t="s">
        <v>9699</v>
      </c>
      <c r="B1382" s="8" t="s">
        <v>5693</v>
      </c>
      <c r="C1382" s="8" t="s">
        <v>5918</v>
      </c>
      <c r="D1382" s="10">
        <v>1061</v>
      </c>
      <c r="E1382" s="8" t="s">
        <v>9700</v>
      </c>
      <c r="F1382" s="8" t="s">
        <v>9701</v>
      </c>
      <c r="G1382" s="8" t="s">
        <v>4727</v>
      </c>
      <c r="H1382" s="8" t="s">
        <v>9700</v>
      </c>
      <c r="I1382" s="8"/>
      <c r="J1382" s="15" t="s">
        <v>5695</v>
      </c>
      <c r="K1382" s="8"/>
      <c r="L1382" s="15" t="s">
        <v>1685</v>
      </c>
      <c r="M1382" s="8" t="s">
        <v>5578</v>
      </c>
      <c r="N1382" s="8"/>
      <c r="O1382" s="8" t="s">
        <v>5574</v>
      </c>
      <c r="P1382" s="11"/>
      <c r="Q1382" s="8" t="s">
        <v>5696</v>
      </c>
      <c r="R1382" s="8" t="s">
        <v>5919</v>
      </c>
      <c r="S1382" s="8" t="s">
        <v>9702</v>
      </c>
    </row>
    <row r="1383" spans="1:19" ht="93" customHeight="1" x14ac:dyDescent="0.25">
      <c r="A1383" s="8" t="s">
        <v>9703</v>
      </c>
      <c r="B1383" s="8" t="s">
        <v>5693</v>
      </c>
      <c r="C1383" s="8" t="s">
        <v>5918</v>
      </c>
      <c r="D1383" s="10">
        <v>1062</v>
      </c>
      <c r="E1383" s="8" t="s">
        <v>9704</v>
      </c>
      <c r="F1383" s="8" t="s">
        <v>9705</v>
      </c>
      <c r="G1383" s="8" t="s">
        <v>4727</v>
      </c>
      <c r="H1383" s="8" t="s">
        <v>9704</v>
      </c>
      <c r="I1383" s="8"/>
      <c r="J1383" s="15" t="s">
        <v>5695</v>
      </c>
      <c r="K1383" s="8"/>
      <c r="L1383" s="15" t="s">
        <v>1685</v>
      </c>
      <c r="M1383" s="8" t="s">
        <v>5578</v>
      </c>
      <c r="N1383" s="8"/>
      <c r="O1383" s="8" t="s">
        <v>5574</v>
      </c>
      <c r="P1383" s="11"/>
      <c r="Q1383" s="8" t="s">
        <v>5696</v>
      </c>
      <c r="R1383" s="8" t="s">
        <v>5919</v>
      </c>
      <c r="S1383" s="8" t="s">
        <v>9706</v>
      </c>
    </row>
    <row r="1384" spans="1:19" ht="107.1" customHeight="1" x14ac:dyDescent="0.25">
      <c r="A1384" s="8" t="s">
        <v>9707</v>
      </c>
      <c r="B1384" s="8" t="s">
        <v>5693</v>
      </c>
      <c r="C1384" s="8" t="s">
        <v>5918</v>
      </c>
      <c r="D1384" s="10">
        <v>1063</v>
      </c>
      <c r="E1384" s="8" t="s">
        <v>9708</v>
      </c>
      <c r="F1384" s="8" t="s">
        <v>9709</v>
      </c>
      <c r="G1384" s="8" t="s">
        <v>4727</v>
      </c>
      <c r="H1384" s="8" t="s">
        <v>9708</v>
      </c>
      <c r="I1384" s="8"/>
      <c r="J1384" s="15" t="s">
        <v>5695</v>
      </c>
      <c r="K1384" s="8"/>
      <c r="L1384" s="15" t="s">
        <v>1685</v>
      </c>
      <c r="M1384" s="8" t="s">
        <v>5578</v>
      </c>
      <c r="N1384" s="8"/>
      <c r="O1384" s="8" t="s">
        <v>5574</v>
      </c>
      <c r="P1384" s="11"/>
      <c r="Q1384" s="8" t="s">
        <v>5696</v>
      </c>
      <c r="R1384" s="8" t="s">
        <v>5919</v>
      </c>
      <c r="S1384" s="8" t="s">
        <v>9710</v>
      </c>
    </row>
    <row r="1385" spans="1:19" ht="107.1" customHeight="1" x14ac:dyDescent="0.25">
      <c r="A1385" s="8" t="s">
        <v>9711</v>
      </c>
      <c r="B1385" s="8" t="s">
        <v>5693</v>
      </c>
      <c r="C1385" s="8" t="s">
        <v>5918</v>
      </c>
      <c r="D1385" s="10">
        <v>1064</v>
      </c>
      <c r="E1385" s="8" t="s">
        <v>9712</v>
      </c>
      <c r="F1385" s="8" t="s">
        <v>9713</v>
      </c>
      <c r="G1385" s="8" t="s">
        <v>4727</v>
      </c>
      <c r="H1385" s="8" t="s">
        <v>9712</v>
      </c>
      <c r="I1385" s="8"/>
      <c r="J1385" s="15" t="s">
        <v>5695</v>
      </c>
      <c r="K1385" s="8"/>
      <c r="L1385" s="15" t="s">
        <v>1685</v>
      </c>
      <c r="M1385" s="8" t="s">
        <v>5578</v>
      </c>
      <c r="N1385" s="8"/>
      <c r="O1385" s="8" t="s">
        <v>5574</v>
      </c>
      <c r="P1385" s="11"/>
      <c r="Q1385" s="8" t="s">
        <v>5696</v>
      </c>
      <c r="R1385" s="8" t="s">
        <v>5919</v>
      </c>
      <c r="S1385" s="8" t="s">
        <v>9714</v>
      </c>
    </row>
    <row r="1386" spans="1:19" ht="107.1" customHeight="1" x14ac:dyDescent="0.25">
      <c r="A1386" s="8" t="s">
        <v>9715</v>
      </c>
      <c r="B1386" s="8" t="s">
        <v>5693</v>
      </c>
      <c r="C1386" s="8" t="s">
        <v>5918</v>
      </c>
      <c r="D1386" s="10">
        <v>1065</v>
      </c>
      <c r="E1386" s="8" t="s">
        <v>9716</v>
      </c>
      <c r="F1386" s="8" t="s">
        <v>9717</v>
      </c>
      <c r="G1386" s="8" t="s">
        <v>4727</v>
      </c>
      <c r="H1386" s="8" t="s">
        <v>9716</v>
      </c>
      <c r="I1386" s="8"/>
      <c r="J1386" s="15" t="s">
        <v>5695</v>
      </c>
      <c r="K1386" s="8"/>
      <c r="L1386" s="15" t="s">
        <v>1685</v>
      </c>
      <c r="M1386" s="8" t="s">
        <v>5578</v>
      </c>
      <c r="N1386" s="8"/>
      <c r="O1386" s="8" t="s">
        <v>5574</v>
      </c>
      <c r="P1386" s="11"/>
      <c r="Q1386" s="8" t="s">
        <v>5696</v>
      </c>
      <c r="R1386" s="8" t="s">
        <v>5919</v>
      </c>
      <c r="S1386" s="8" t="s">
        <v>9718</v>
      </c>
    </row>
    <row r="1387" spans="1:19" ht="93" customHeight="1" x14ac:dyDescent="0.25">
      <c r="A1387" s="8" t="s">
        <v>9719</v>
      </c>
      <c r="B1387" s="8" t="s">
        <v>5693</v>
      </c>
      <c r="C1387" s="8" t="s">
        <v>5918</v>
      </c>
      <c r="D1387" s="10">
        <v>1066</v>
      </c>
      <c r="E1387" s="8" t="s">
        <v>9720</v>
      </c>
      <c r="F1387" s="8" t="s">
        <v>9721</v>
      </c>
      <c r="G1387" s="8" t="s">
        <v>4727</v>
      </c>
      <c r="H1387" s="8" t="s">
        <v>9720</v>
      </c>
      <c r="I1387" s="8"/>
      <c r="J1387" s="15" t="s">
        <v>5695</v>
      </c>
      <c r="K1387" s="8"/>
      <c r="L1387" s="15" t="s">
        <v>1685</v>
      </c>
      <c r="M1387" s="8" t="s">
        <v>5578</v>
      </c>
      <c r="N1387" s="8"/>
      <c r="O1387" s="8" t="s">
        <v>5574</v>
      </c>
      <c r="P1387" s="11"/>
      <c r="Q1387" s="8" t="s">
        <v>5696</v>
      </c>
      <c r="R1387" s="8" t="s">
        <v>5919</v>
      </c>
      <c r="S1387" s="8" t="s">
        <v>9722</v>
      </c>
    </row>
    <row r="1388" spans="1:19" ht="93" customHeight="1" x14ac:dyDescent="0.25">
      <c r="A1388" s="8" t="s">
        <v>9723</v>
      </c>
      <c r="B1388" s="8" t="s">
        <v>5693</v>
      </c>
      <c r="C1388" s="8" t="s">
        <v>5918</v>
      </c>
      <c r="D1388" s="10">
        <v>1067</v>
      </c>
      <c r="E1388" s="8" t="s">
        <v>9724</v>
      </c>
      <c r="F1388" s="8" t="s">
        <v>9725</v>
      </c>
      <c r="G1388" s="8" t="s">
        <v>4727</v>
      </c>
      <c r="H1388" s="8" t="s">
        <v>9724</v>
      </c>
      <c r="I1388" s="8"/>
      <c r="J1388" s="15" t="s">
        <v>5695</v>
      </c>
      <c r="K1388" s="8"/>
      <c r="L1388" s="15" t="s">
        <v>1685</v>
      </c>
      <c r="M1388" s="8" t="s">
        <v>5578</v>
      </c>
      <c r="N1388" s="8"/>
      <c r="O1388" s="8" t="s">
        <v>5574</v>
      </c>
      <c r="P1388" s="11"/>
      <c r="Q1388" s="8" t="s">
        <v>5696</v>
      </c>
      <c r="R1388" s="8" t="s">
        <v>5919</v>
      </c>
      <c r="S1388" s="8" t="s">
        <v>9726</v>
      </c>
    </row>
    <row r="1389" spans="1:19" ht="107.1" customHeight="1" x14ac:dyDescent="0.25">
      <c r="A1389" s="8" t="s">
        <v>9727</v>
      </c>
      <c r="B1389" s="8" t="s">
        <v>5693</v>
      </c>
      <c r="C1389" s="8" t="s">
        <v>5918</v>
      </c>
      <c r="D1389" s="10">
        <v>1068</v>
      </c>
      <c r="E1389" s="8" t="s">
        <v>9728</v>
      </c>
      <c r="F1389" s="8" t="s">
        <v>9729</v>
      </c>
      <c r="G1389" s="8" t="s">
        <v>4727</v>
      </c>
      <c r="H1389" s="8" t="s">
        <v>9728</v>
      </c>
      <c r="I1389" s="8"/>
      <c r="J1389" s="15" t="s">
        <v>5695</v>
      </c>
      <c r="K1389" s="8"/>
      <c r="L1389" s="15" t="s">
        <v>1685</v>
      </c>
      <c r="M1389" s="8" t="s">
        <v>5578</v>
      </c>
      <c r="N1389" s="8"/>
      <c r="O1389" s="8" t="s">
        <v>5574</v>
      </c>
      <c r="P1389" s="11"/>
      <c r="Q1389" s="8" t="s">
        <v>5696</v>
      </c>
      <c r="R1389" s="8" t="s">
        <v>5919</v>
      </c>
      <c r="S1389" s="8" t="s">
        <v>9730</v>
      </c>
    </row>
    <row r="1390" spans="1:19" ht="107.1" customHeight="1" x14ac:dyDescent="0.25">
      <c r="A1390" s="8" t="s">
        <v>9731</v>
      </c>
      <c r="B1390" s="8" t="s">
        <v>5693</v>
      </c>
      <c r="C1390" s="8" t="s">
        <v>5918</v>
      </c>
      <c r="D1390" s="10">
        <v>1069</v>
      </c>
      <c r="E1390" s="8" t="s">
        <v>9732</v>
      </c>
      <c r="F1390" s="8" t="s">
        <v>9733</v>
      </c>
      <c r="G1390" s="8" t="s">
        <v>4727</v>
      </c>
      <c r="H1390" s="8" t="s">
        <v>9732</v>
      </c>
      <c r="I1390" s="8"/>
      <c r="J1390" s="15" t="s">
        <v>5695</v>
      </c>
      <c r="K1390" s="8"/>
      <c r="L1390" s="15" t="s">
        <v>1685</v>
      </c>
      <c r="M1390" s="8" t="s">
        <v>5578</v>
      </c>
      <c r="N1390" s="8"/>
      <c r="O1390" s="8" t="s">
        <v>5574</v>
      </c>
      <c r="P1390" s="11"/>
      <c r="Q1390" s="8" t="s">
        <v>5696</v>
      </c>
      <c r="R1390" s="8" t="s">
        <v>5919</v>
      </c>
      <c r="S1390" s="8" t="s">
        <v>9734</v>
      </c>
    </row>
    <row r="1391" spans="1:19" ht="107.1" customHeight="1" x14ac:dyDescent="0.25">
      <c r="A1391" s="8" t="s">
        <v>9735</v>
      </c>
      <c r="B1391" s="8" t="s">
        <v>5693</v>
      </c>
      <c r="C1391" s="8" t="s">
        <v>5918</v>
      </c>
      <c r="D1391" s="10">
        <v>1070</v>
      </c>
      <c r="E1391" s="8" t="s">
        <v>9736</v>
      </c>
      <c r="F1391" s="8" t="s">
        <v>9737</v>
      </c>
      <c r="G1391" s="8" t="s">
        <v>4727</v>
      </c>
      <c r="H1391" s="8" t="s">
        <v>9736</v>
      </c>
      <c r="I1391" s="8"/>
      <c r="J1391" s="15" t="s">
        <v>5695</v>
      </c>
      <c r="K1391" s="8"/>
      <c r="L1391" s="15" t="s">
        <v>1685</v>
      </c>
      <c r="M1391" s="8" t="s">
        <v>5578</v>
      </c>
      <c r="N1391" s="8"/>
      <c r="O1391" s="8" t="s">
        <v>5574</v>
      </c>
      <c r="P1391" s="11"/>
      <c r="Q1391" s="8" t="s">
        <v>5696</v>
      </c>
      <c r="R1391" s="8" t="s">
        <v>5919</v>
      </c>
      <c r="S1391" s="8" t="s">
        <v>9738</v>
      </c>
    </row>
    <row r="1392" spans="1:19" ht="107.1" customHeight="1" x14ac:dyDescent="0.25">
      <c r="A1392" s="8" t="s">
        <v>9739</v>
      </c>
      <c r="B1392" s="8" t="s">
        <v>5693</v>
      </c>
      <c r="C1392" s="8" t="s">
        <v>5918</v>
      </c>
      <c r="D1392" s="10">
        <v>1071</v>
      </c>
      <c r="E1392" s="8" t="s">
        <v>9740</v>
      </c>
      <c r="F1392" s="8" t="s">
        <v>9741</v>
      </c>
      <c r="G1392" s="8" t="s">
        <v>4727</v>
      </c>
      <c r="H1392" s="8" t="s">
        <v>9740</v>
      </c>
      <c r="I1392" s="8"/>
      <c r="J1392" s="15" t="s">
        <v>5695</v>
      </c>
      <c r="K1392" s="8"/>
      <c r="L1392" s="15" t="s">
        <v>1685</v>
      </c>
      <c r="M1392" s="8" t="s">
        <v>5578</v>
      </c>
      <c r="N1392" s="8"/>
      <c r="O1392" s="8" t="s">
        <v>5574</v>
      </c>
      <c r="P1392" s="11"/>
      <c r="Q1392" s="8" t="s">
        <v>5696</v>
      </c>
      <c r="R1392" s="8" t="s">
        <v>5919</v>
      </c>
      <c r="S1392" s="8" t="s">
        <v>9742</v>
      </c>
    </row>
    <row r="1393" spans="1:19" ht="107.1" customHeight="1" x14ac:dyDescent="0.25">
      <c r="A1393" s="8" t="s">
        <v>9743</v>
      </c>
      <c r="B1393" s="8" t="s">
        <v>5693</v>
      </c>
      <c r="C1393" s="8" t="s">
        <v>5918</v>
      </c>
      <c r="D1393" s="10">
        <v>1072</v>
      </c>
      <c r="E1393" s="8" t="s">
        <v>9744</v>
      </c>
      <c r="F1393" s="8" t="s">
        <v>9745</v>
      </c>
      <c r="G1393" s="8" t="s">
        <v>4727</v>
      </c>
      <c r="H1393" s="8" t="s">
        <v>9744</v>
      </c>
      <c r="I1393" s="8"/>
      <c r="J1393" s="15" t="s">
        <v>5695</v>
      </c>
      <c r="K1393" s="8"/>
      <c r="L1393" s="15" t="s">
        <v>1685</v>
      </c>
      <c r="M1393" s="8" t="s">
        <v>5578</v>
      </c>
      <c r="N1393" s="8"/>
      <c r="O1393" s="8" t="s">
        <v>5574</v>
      </c>
      <c r="P1393" s="11"/>
      <c r="Q1393" s="8" t="s">
        <v>5696</v>
      </c>
      <c r="R1393" s="8" t="s">
        <v>5919</v>
      </c>
      <c r="S1393" s="8" t="s">
        <v>9746</v>
      </c>
    </row>
    <row r="1394" spans="1:19" ht="107.1" customHeight="1" x14ac:dyDescent="0.25">
      <c r="A1394" s="8" t="s">
        <v>9747</v>
      </c>
      <c r="B1394" s="8" t="s">
        <v>5693</v>
      </c>
      <c r="C1394" s="8" t="s">
        <v>5918</v>
      </c>
      <c r="D1394" s="10">
        <v>1073</v>
      </c>
      <c r="E1394" s="8" t="s">
        <v>9748</v>
      </c>
      <c r="F1394" s="8" t="s">
        <v>9749</v>
      </c>
      <c r="G1394" s="8" t="s">
        <v>4727</v>
      </c>
      <c r="H1394" s="8" t="s">
        <v>9748</v>
      </c>
      <c r="I1394" s="8"/>
      <c r="J1394" s="15" t="s">
        <v>5695</v>
      </c>
      <c r="K1394" s="8"/>
      <c r="L1394" s="15" t="s">
        <v>1685</v>
      </c>
      <c r="M1394" s="8" t="s">
        <v>5578</v>
      </c>
      <c r="N1394" s="8"/>
      <c r="O1394" s="8" t="s">
        <v>5574</v>
      </c>
      <c r="P1394" s="11"/>
      <c r="Q1394" s="8" t="s">
        <v>5696</v>
      </c>
      <c r="R1394" s="8" t="s">
        <v>5919</v>
      </c>
      <c r="S1394" s="8" t="s">
        <v>9750</v>
      </c>
    </row>
    <row r="1395" spans="1:19" ht="107.1" customHeight="1" x14ac:dyDescent="0.25">
      <c r="A1395" s="8" t="s">
        <v>9751</v>
      </c>
      <c r="B1395" s="8" t="s">
        <v>5693</v>
      </c>
      <c r="C1395" s="8" t="s">
        <v>5918</v>
      </c>
      <c r="D1395" s="10">
        <v>1074</v>
      </c>
      <c r="E1395" s="8" t="s">
        <v>9752</v>
      </c>
      <c r="F1395" s="8" t="s">
        <v>9753</v>
      </c>
      <c r="G1395" s="8" t="s">
        <v>4727</v>
      </c>
      <c r="H1395" s="8" t="s">
        <v>9752</v>
      </c>
      <c r="I1395" s="8"/>
      <c r="J1395" s="15" t="s">
        <v>5695</v>
      </c>
      <c r="K1395" s="8"/>
      <c r="L1395" s="15" t="s">
        <v>1685</v>
      </c>
      <c r="M1395" s="8" t="s">
        <v>5578</v>
      </c>
      <c r="N1395" s="8"/>
      <c r="O1395" s="8" t="s">
        <v>5574</v>
      </c>
      <c r="P1395" s="11"/>
      <c r="Q1395" s="8" t="s">
        <v>5696</v>
      </c>
      <c r="R1395" s="8" t="s">
        <v>5919</v>
      </c>
      <c r="S1395" s="8" t="s">
        <v>9754</v>
      </c>
    </row>
    <row r="1396" spans="1:19" ht="107.1" customHeight="1" x14ac:dyDescent="0.25">
      <c r="A1396" s="8" t="s">
        <v>9755</v>
      </c>
      <c r="B1396" s="8" t="s">
        <v>5693</v>
      </c>
      <c r="C1396" s="8" t="s">
        <v>5918</v>
      </c>
      <c r="D1396" s="10">
        <v>1075</v>
      </c>
      <c r="E1396" s="8" t="s">
        <v>9756</v>
      </c>
      <c r="F1396" s="8" t="s">
        <v>9757</v>
      </c>
      <c r="G1396" s="8" t="s">
        <v>4727</v>
      </c>
      <c r="H1396" s="8" t="s">
        <v>9756</v>
      </c>
      <c r="I1396" s="8"/>
      <c r="J1396" s="15" t="s">
        <v>5695</v>
      </c>
      <c r="K1396" s="8"/>
      <c r="L1396" s="15" t="s">
        <v>1685</v>
      </c>
      <c r="M1396" s="8" t="s">
        <v>5578</v>
      </c>
      <c r="N1396" s="8"/>
      <c r="O1396" s="8" t="s">
        <v>5574</v>
      </c>
      <c r="P1396" s="11"/>
      <c r="Q1396" s="8" t="s">
        <v>5696</v>
      </c>
      <c r="R1396" s="8" t="s">
        <v>5919</v>
      </c>
      <c r="S1396" s="8" t="s">
        <v>9758</v>
      </c>
    </row>
    <row r="1397" spans="1:19" ht="107.1" customHeight="1" x14ac:dyDescent="0.25">
      <c r="A1397" s="8" t="s">
        <v>9759</v>
      </c>
      <c r="B1397" s="8" t="s">
        <v>5693</v>
      </c>
      <c r="C1397" s="8" t="s">
        <v>5918</v>
      </c>
      <c r="D1397" s="10">
        <v>1076</v>
      </c>
      <c r="E1397" s="8" t="s">
        <v>9760</v>
      </c>
      <c r="F1397" s="8" t="s">
        <v>9761</v>
      </c>
      <c r="G1397" s="8" t="s">
        <v>4727</v>
      </c>
      <c r="H1397" s="8" t="s">
        <v>9760</v>
      </c>
      <c r="I1397" s="8"/>
      <c r="J1397" s="15" t="s">
        <v>5695</v>
      </c>
      <c r="K1397" s="8"/>
      <c r="L1397" s="15" t="s">
        <v>1685</v>
      </c>
      <c r="M1397" s="8" t="s">
        <v>5578</v>
      </c>
      <c r="N1397" s="8"/>
      <c r="O1397" s="8" t="s">
        <v>5574</v>
      </c>
      <c r="P1397" s="11"/>
      <c r="Q1397" s="8" t="s">
        <v>5696</v>
      </c>
      <c r="R1397" s="8" t="s">
        <v>5919</v>
      </c>
      <c r="S1397" s="8" t="s">
        <v>9762</v>
      </c>
    </row>
    <row r="1398" spans="1:19" ht="93" customHeight="1" x14ac:dyDescent="0.25">
      <c r="A1398" s="8" t="s">
        <v>9763</v>
      </c>
      <c r="B1398" s="8" t="s">
        <v>5693</v>
      </c>
      <c r="C1398" s="8" t="s">
        <v>5918</v>
      </c>
      <c r="D1398" s="10">
        <v>1077</v>
      </c>
      <c r="E1398" s="8" t="s">
        <v>9764</v>
      </c>
      <c r="F1398" s="8" t="s">
        <v>9765</v>
      </c>
      <c r="G1398" s="8" t="s">
        <v>4727</v>
      </c>
      <c r="H1398" s="8" t="s">
        <v>9764</v>
      </c>
      <c r="I1398" s="8"/>
      <c r="J1398" s="15" t="s">
        <v>5695</v>
      </c>
      <c r="K1398" s="8"/>
      <c r="L1398" s="15" t="s">
        <v>1685</v>
      </c>
      <c r="M1398" s="8" t="s">
        <v>5578</v>
      </c>
      <c r="N1398" s="8"/>
      <c r="O1398" s="8" t="s">
        <v>5574</v>
      </c>
      <c r="P1398" s="11"/>
      <c r="Q1398" s="8" t="s">
        <v>5696</v>
      </c>
      <c r="R1398" s="8" t="s">
        <v>5919</v>
      </c>
      <c r="S1398" s="8" t="s">
        <v>9766</v>
      </c>
    </row>
    <row r="1399" spans="1:19" ht="107.1" customHeight="1" x14ac:dyDescent="0.25">
      <c r="A1399" s="8" t="s">
        <v>9767</v>
      </c>
      <c r="B1399" s="8" t="s">
        <v>5693</v>
      </c>
      <c r="C1399" s="8" t="s">
        <v>5918</v>
      </c>
      <c r="D1399" s="10">
        <v>1078</v>
      </c>
      <c r="E1399" s="8" t="s">
        <v>9768</v>
      </c>
      <c r="F1399" s="8" t="s">
        <v>9769</v>
      </c>
      <c r="G1399" s="8" t="s">
        <v>4727</v>
      </c>
      <c r="H1399" s="8" t="s">
        <v>9768</v>
      </c>
      <c r="I1399" s="8"/>
      <c r="J1399" s="15" t="s">
        <v>5695</v>
      </c>
      <c r="K1399" s="8"/>
      <c r="L1399" s="15" t="s">
        <v>1685</v>
      </c>
      <c r="M1399" s="8" t="s">
        <v>5578</v>
      </c>
      <c r="N1399" s="8"/>
      <c r="O1399" s="8" t="s">
        <v>5574</v>
      </c>
      <c r="P1399" s="11"/>
      <c r="Q1399" s="8" t="s">
        <v>5696</v>
      </c>
      <c r="R1399" s="8" t="s">
        <v>5919</v>
      </c>
      <c r="S1399" s="8" t="s">
        <v>9770</v>
      </c>
    </row>
    <row r="1400" spans="1:19" ht="93" customHeight="1" x14ac:dyDescent="0.25">
      <c r="A1400" s="8" t="s">
        <v>9771</v>
      </c>
      <c r="B1400" s="8" t="s">
        <v>5693</v>
      </c>
      <c r="C1400" s="8" t="s">
        <v>5918</v>
      </c>
      <c r="D1400" s="10">
        <v>1079</v>
      </c>
      <c r="E1400" s="8" t="s">
        <v>9772</v>
      </c>
      <c r="F1400" s="8" t="s">
        <v>9773</v>
      </c>
      <c r="G1400" s="8" t="s">
        <v>4727</v>
      </c>
      <c r="H1400" s="8" t="s">
        <v>9772</v>
      </c>
      <c r="I1400" s="8"/>
      <c r="J1400" s="15" t="s">
        <v>5695</v>
      </c>
      <c r="K1400" s="8"/>
      <c r="L1400" s="15" t="s">
        <v>1685</v>
      </c>
      <c r="M1400" s="8" t="s">
        <v>5578</v>
      </c>
      <c r="N1400" s="8"/>
      <c r="O1400" s="8" t="s">
        <v>5574</v>
      </c>
      <c r="P1400" s="11"/>
      <c r="Q1400" s="8" t="s">
        <v>5696</v>
      </c>
      <c r="R1400" s="8" t="s">
        <v>5919</v>
      </c>
      <c r="S1400" s="8" t="s">
        <v>9774</v>
      </c>
    </row>
    <row r="1401" spans="1:19" ht="93" customHeight="1" x14ac:dyDescent="0.25">
      <c r="A1401" s="8" t="s">
        <v>9775</v>
      </c>
      <c r="B1401" s="8" t="s">
        <v>5693</v>
      </c>
      <c r="C1401" s="8" t="s">
        <v>5918</v>
      </c>
      <c r="D1401" s="10">
        <v>1080</v>
      </c>
      <c r="E1401" s="8" t="s">
        <v>9776</v>
      </c>
      <c r="F1401" s="8" t="s">
        <v>9777</v>
      </c>
      <c r="G1401" s="8" t="s">
        <v>4727</v>
      </c>
      <c r="H1401" s="8" t="s">
        <v>9776</v>
      </c>
      <c r="I1401" s="8"/>
      <c r="J1401" s="15" t="s">
        <v>5695</v>
      </c>
      <c r="K1401" s="8"/>
      <c r="L1401" s="15" t="s">
        <v>1685</v>
      </c>
      <c r="M1401" s="8" t="s">
        <v>5578</v>
      </c>
      <c r="N1401" s="8"/>
      <c r="O1401" s="8" t="s">
        <v>5574</v>
      </c>
      <c r="P1401" s="11"/>
      <c r="Q1401" s="8" t="s">
        <v>5696</v>
      </c>
      <c r="R1401" s="8" t="s">
        <v>5919</v>
      </c>
      <c r="S1401" s="8" t="s">
        <v>9778</v>
      </c>
    </row>
    <row r="1402" spans="1:19" ht="107.1" customHeight="1" x14ac:dyDescent="0.25">
      <c r="A1402" s="8" t="s">
        <v>9779</v>
      </c>
      <c r="B1402" s="8" t="s">
        <v>5693</v>
      </c>
      <c r="C1402" s="8" t="s">
        <v>5918</v>
      </c>
      <c r="D1402" s="10">
        <v>1081</v>
      </c>
      <c r="E1402" s="8" t="s">
        <v>9780</v>
      </c>
      <c r="F1402" s="8" t="s">
        <v>9781</v>
      </c>
      <c r="G1402" s="8" t="s">
        <v>4727</v>
      </c>
      <c r="H1402" s="8" t="s">
        <v>9780</v>
      </c>
      <c r="I1402" s="8"/>
      <c r="J1402" s="15" t="s">
        <v>5695</v>
      </c>
      <c r="K1402" s="8"/>
      <c r="L1402" s="15" t="s">
        <v>1685</v>
      </c>
      <c r="M1402" s="8" t="s">
        <v>5578</v>
      </c>
      <c r="N1402" s="8"/>
      <c r="O1402" s="8" t="s">
        <v>5574</v>
      </c>
      <c r="P1402" s="11"/>
      <c r="Q1402" s="8" t="s">
        <v>5696</v>
      </c>
      <c r="R1402" s="8" t="s">
        <v>5919</v>
      </c>
      <c r="S1402" s="8" t="s">
        <v>9782</v>
      </c>
    </row>
    <row r="1403" spans="1:19" ht="107.1" customHeight="1" x14ac:dyDescent="0.25">
      <c r="A1403" s="8" t="s">
        <v>9783</v>
      </c>
      <c r="B1403" s="8" t="s">
        <v>5693</v>
      </c>
      <c r="C1403" s="8" t="s">
        <v>5918</v>
      </c>
      <c r="D1403" s="10">
        <v>1082</v>
      </c>
      <c r="E1403" s="8" t="s">
        <v>9784</v>
      </c>
      <c r="F1403" s="8" t="s">
        <v>9785</v>
      </c>
      <c r="G1403" s="8" t="s">
        <v>4727</v>
      </c>
      <c r="H1403" s="8" t="s">
        <v>9784</v>
      </c>
      <c r="I1403" s="8"/>
      <c r="J1403" s="15" t="s">
        <v>5695</v>
      </c>
      <c r="K1403" s="8"/>
      <c r="L1403" s="15" t="s">
        <v>1685</v>
      </c>
      <c r="M1403" s="8" t="s">
        <v>5578</v>
      </c>
      <c r="N1403" s="8"/>
      <c r="O1403" s="8" t="s">
        <v>5574</v>
      </c>
      <c r="P1403" s="11"/>
      <c r="Q1403" s="8" t="s">
        <v>5696</v>
      </c>
      <c r="R1403" s="8" t="s">
        <v>5919</v>
      </c>
      <c r="S1403" s="8" t="s">
        <v>9786</v>
      </c>
    </row>
    <row r="1404" spans="1:19" ht="107.1" customHeight="1" x14ac:dyDescent="0.25">
      <c r="A1404" s="8" t="s">
        <v>9787</v>
      </c>
      <c r="B1404" s="8" t="s">
        <v>5693</v>
      </c>
      <c r="C1404" s="8" t="s">
        <v>5918</v>
      </c>
      <c r="D1404" s="10">
        <v>1083</v>
      </c>
      <c r="E1404" s="8" t="s">
        <v>9788</v>
      </c>
      <c r="F1404" s="8" t="s">
        <v>9789</v>
      </c>
      <c r="G1404" s="8" t="s">
        <v>4727</v>
      </c>
      <c r="H1404" s="8" t="s">
        <v>9788</v>
      </c>
      <c r="I1404" s="8"/>
      <c r="J1404" s="15" t="s">
        <v>5695</v>
      </c>
      <c r="K1404" s="8"/>
      <c r="L1404" s="15" t="s">
        <v>1685</v>
      </c>
      <c r="M1404" s="8" t="s">
        <v>5578</v>
      </c>
      <c r="N1404" s="8"/>
      <c r="O1404" s="8" t="s">
        <v>5574</v>
      </c>
      <c r="P1404" s="11"/>
      <c r="Q1404" s="8" t="s">
        <v>5696</v>
      </c>
      <c r="R1404" s="8" t="s">
        <v>5919</v>
      </c>
      <c r="S1404" s="8" t="s">
        <v>9790</v>
      </c>
    </row>
    <row r="1405" spans="1:19" ht="93" customHeight="1" x14ac:dyDescent="0.25">
      <c r="A1405" s="8" t="s">
        <v>9791</v>
      </c>
      <c r="B1405" s="8" t="s">
        <v>5693</v>
      </c>
      <c r="C1405" s="8" t="s">
        <v>5918</v>
      </c>
      <c r="D1405" s="10">
        <v>1084</v>
      </c>
      <c r="E1405" s="8" t="s">
        <v>9792</v>
      </c>
      <c r="F1405" s="8" t="s">
        <v>9793</v>
      </c>
      <c r="G1405" s="8" t="s">
        <v>4727</v>
      </c>
      <c r="H1405" s="8" t="s">
        <v>9792</v>
      </c>
      <c r="I1405" s="8"/>
      <c r="J1405" s="15" t="s">
        <v>5695</v>
      </c>
      <c r="K1405" s="8"/>
      <c r="L1405" s="15" t="s">
        <v>1685</v>
      </c>
      <c r="M1405" s="8" t="s">
        <v>5578</v>
      </c>
      <c r="N1405" s="8"/>
      <c r="O1405" s="8" t="s">
        <v>5574</v>
      </c>
      <c r="P1405" s="11"/>
      <c r="Q1405" s="8" t="s">
        <v>5696</v>
      </c>
      <c r="R1405" s="8" t="s">
        <v>5919</v>
      </c>
      <c r="S1405" s="8" t="s">
        <v>9794</v>
      </c>
    </row>
    <row r="1406" spans="1:19" ht="107.1" customHeight="1" x14ac:dyDescent="0.25">
      <c r="A1406" s="8" t="s">
        <v>9795</v>
      </c>
      <c r="B1406" s="8" t="s">
        <v>5693</v>
      </c>
      <c r="C1406" s="8" t="s">
        <v>5918</v>
      </c>
      <c r="D1406" s="10">
        <v>1085</v>
      </c>
      <c r="E1406" s="8" t="s">
        <v>9796</v>
      </c>
      <c r="F1406" s="8" t="s">
        <v>9797</v>
      </c>
      <c r="G1406" s="8" t="s">
        <v>4727</v>
      </c>
      <c r="H1406" s="8" t="s">
        <v>9796</v>
      </c>
      <c r="I1406" s="8"/>
      <c r="J1406" s="15" t="s">
        <v>5695</v>
      </c>
      <c r="K1406" s="8"/>
      <c r="L1406" s="15" t="s">
        <v>1685</v>
      </c>
      <c r="M1406" s="8" t="s">
        <v>5578</v>
      </c>
      <c r="N1406" s="8"/>
      <c r="O1406" s="8" t="s">
        <v>5574</v>
      </c>
      <c r="P1406" s="11"/>
      <c r="Q1406" s="8" t="s">
        <v>5696</v>
      </c>
      <c r="R1406" s="8" t="s">
        <v>5919</v>
      </c>
      <c r="S1406" s="8" t="s">
        <v>9798</v>
      </c>
    </row>
    <row r="1407" spans="1:19" ht="93" customHeight="1" x14ac:dyDescent="0.25">
      <c r="A1407" s="8" t="s">
        <v>9799</v>
      </c>
      <c r="B1407" s="8" t="s">
        <v>5693</v>
      </c>
      <c r="C1407" s="8" t="s">
        <v>5918</v>
      </c>
      <c r="D1407" s="10">
        <v>1086</v>
      </c>
      <c r="E1407" s="8" t="s">
        <v>9800</v>
      </c>
      <c r="F1407" s="8" t="s">
        <v>9801</v>
      </c>
      <c r="G1407" s="8" t="s">
        <v>4727</v>
      </c>
      <c r="H1407" s="8" t="s">
        <v>9800</v>
      </c>
      <c r="I1407" s="8"/>
      <c r="J1407" s="15" t="s">
        <v>5695</v>
      </c>
      <c r="K1407" s="8"/>
      <c r="L1407" s="15" t="s">
        <v>1685</v>
      </c>
      <c r="M1407" s="8" t="s">
        <v>5578</v>
      </c>
      <c r="N1407" s="8"/>
      <c r="O1407" s="8" t="s">
        <v>5574</v>
      </c>
      <c r="P1407" s="11"/>
      <c r="Q1407" s="8" t="s">
        <v>5696</v>
      </c>
      <c r="R1407" s="8" t="s">
        <v>5919</v>
      </c>
      <c r="S1407" s="8" t="s">
        <v>9802</v>
      </c>
    </row>
    <row r="1408" spans="1:19" ht="107.1" customHeight="1" x14ac:dyDescent="0.25">
      <c r="A1408" s="8" t="s">
        <v>9803</v>
      </c>
      <c r="B1408" s="8" t="s">
        <v>5693</v>
      </c>
      <c r="C1408" s="8" t="s">
        <v>5918</v>
      </c>
      <c r="D1408" s="10">
        <v>1087</v>
      </c>
      <c r="E1408" s="8" t="s">
        <v>9804</v>
      </c>
      <c r="F1408" s="8" t="s">
        <v>9805</v>
      </c>
      <c r="G1408" s="8" t="s">
        <v>4727</v>
      </c>
      <c r="H1408" s="8" t="s">
        <v>9804</v>
      </c>
      <c r="I1408" s="8"/>
      <c r="J1408" s="15" t="s">
        <v>5695</v>
      </c>
      <c r="K1408" s="8"/>
      <c r="L1408" s="15" t="s">
        <v>1685</v>
      </c>
      <c r="M1408" s="8" t="s">
        <v>5578</v>
      </c>
      <c r="N1408" s="8"/>
      <c r="O1408" s="8" t="s">
        <v>5574</v>
      </c>
      <c r="P1408" s="11"/>
      <c r="Q1408" s="8" t="s">
        <v>5696</v>
      </c>
      <c r="R1408" s="8" t="s">
        <v>5919</v>
      </c>
      <c r="S1408" s="8" t="s">
        <v>9806</v>
      </c>
    </row>
    <row r="1409" spans="1:19" ht="107.1" customHeight="1" x14ac:dyDescent="0.25">
      <c r="A1409" s="8" t="s">
        <v>9807</v>
      </c>
      <c r="B1409" s="8" t="s">
        <v>5693</v>
      </c>
      <c r="C1409" s="8" t="s">
        <v>5918</v>
      </c>
      <c r="D1409" s="10">
        <v>1088</v>
      </c>
      <c r="E1409" s="8" t="s">
        <v>9808</v>
      </c>
      <c r="F1409" s="8" t="s">
        <v>9809</v>
      </c>
      <c r="G1409" s="8" t="s">
        <v>4727</v>
      </c>
      <c r="H1409" s="8" t="s">
        <v>9808</v>
      </c>
      <c r="I1409" s="8"/>
      <c r="J1409" s="15" t="s">
        <v>5695</v>
      </c>
      <c r="K1409" s="8"/>
      <c r="L1409" s="15" t="s">
        <v>1685</v>
      </c>
      <c r="M1409" s="8" t="s">
        <v>5578</v>
      </c>
      <c r="N1409" s="8"/>
      <c r="O1409" s="8" t="s">
        <v>5574</v>
      </c>
      <c r="P1409" s="11"/>
      <c r="Q1409" s="8" t="s">
        <v>5696</v>
      </c>
      <c r="R1409" s="8" t="s">
        <v>5919</v>
      </c>
      <c r="S1409" s="8" t="s">
        <v>9810</v>
      </c>
    </row>
    <row r="1410" spans="1:19" ht="107.1" customHeight="1" x14ac:dyDescent="0.25">
      <c r="A1410" s="8" t="s">
        <v>9811</v>
      </c>
      <c r="B1410" s="8" t="s">
        <v>5693</v>
      </c>
      <c r="C1410" s="8" t="s">
        <v>5918</v>
      </c>
      <c r="D1410" s="10">
        <v>1089</v>
      </c>
      <c r="E1410" s="8" t="s">
        <v>9812</v>
      </c>
      <c r="F1410" s="8" t="s">
        <v>9813</v>
      </c>
      <c r="G1410" s="8" t="s">
        <v>4727</v>
      </c>
      <c r="H1410" s="8" t="s">
        <v>9812</v>
      </c>
      <c r="I1410" s="8"/>
      <c r="J1410" s="15" t="s">
        <v>5695</v>
      </c>
      <c r="K1410" s="8"/>
      <c r="L1410" s="15" t="s">
        <v>1685</v>
      </c>
      <c r="M1410" s="8" t="s">
        <v>5578</v>
      </c>
      <c r="N1410" s="8"/>
      <c r="O1410" s="8" t="s">
        <v>5574</v>
      </c>
      <c r="P1410" s="11"/>
      <c r="Q1410" s="8" t="s">
        <v>5696</v>
      </c>
      <c r="R1410" s="8" t="s">
        <v>5919</v>
      </c>
      <c r="S1410" s="8" t="s">
        <v>9814</v>
      </c>
    </row>
    <row r="1411" spans="1:19" ht="107.1" customHeight="1" x14ac:dyDescent="0.25">
      <c r="A1411" s="8" t="s">
        <v>9815</v>
      </c>
      <c r="B1411" s="8" t="s">
        <v>5693</v>
      </c>
      <c r="C1411" s="8" t="s">
        <v>5918</v>
      </c>
      <c r="D1411" s="10">
        <v>1090</v>
      </c>
      <c r="E1411" s="8" t="s">
        <v>9816</v>
      </c>
      <c r="F1411" s="8" t="s">
        <v>9817</v>
      </c>
      <c r="G1411" s="8" t="s">
        <v>4727</v>
      </c>
      <c r="H1411" s="8" t="s">
        <v>9816</v>
      </c>
      <c r="I1411" s="8"/>
      <c r="J1411" s="15" t="s">
        <v>5695</v>
      </c>
      <c r="K1411" s="8"/>
      <c r="L1411" s="15" t="s">
        <v>1685</v>
      </c>
      <c r="M1411" s="8" t="s">
        <v>5578</v>
      </c>
      <c r="N1411" s="8"/>
      <c r="O1411" s="8" t="s">
        <v>5574</v>
      </c>
      <c r="P1411" s="11"/>
      <c r="Q1411" s="8" t="s">
        <v>5696</v>
      </c>
      <c r="R1411" s="8" t="s">
        <v>5919</v>
      </c>
      <c r="S1411" s="8" t="s">
        <v>9818</v>
      </c>
    </row>
    <row r="1412" spans="1:19" ht="93" customHeight="1" x14ac:dyDescent="0.25">
      <c r="A1412" s="8" t="s">
        <v>9819</v>
      </c>
      <c r="B1412" s="8" t="s">
        <v>5693</v>
      </c>
      <c r="C1412" s="8" t="s">
        <v>5918</v>
      </c>
      <c r="D1412" s="10">
        <v>1091</v>
      </c>
      <c r="E1412" s="8" t="s">
        <v>9820</v>
      </c>
      <c r="F1412" s="8" t="s">
        <v>9821</v>
      </c>
      <c r="G1412" s="8" t="s">
        <v>4727</v>
      </c>
      <c r="H1412" s="8" t="s">
        <v>9820</v>
      </c>
      <c r="I1412" s="8"/>
      <c r="J1412" s="15" t="s">
        <v>5695</v>
      </c>
      <c r="K1412" s="8"/>
      <c r="L1412" s="15" t="s">
        <v>1685</v>
      </c>
      <c r="M1412" s="8" t="s">
        <v>5578</v>
      </c>
      <c r="N1412" s="8"/>
      <c r="O1412" s="8" t="s">
        <v>5574</v>
      </c>
      <c r="P1412" s="11"/>
      <c r="Q1412" s="8" t="s">
        <v>5696</v>
      </c>
      <c r="R1412" s="8" t="s">
        <v>5919</v>
      </c>
      <c r="S1412" s="8" t="s">
        <v>9822</v>
      </c>
    </row>
    <row r="1413" spans="1:19" ht="93" customHeight="1" x14ac:dyDescent="0.25">
      <c r="A1413" s="8" t="s">
        <v>9823</v>
      </c>
      <c r="B1413" s="8" t="s">
        <v>5693</v>
      </c>
      <c r="C1413" s="8" t="s">
        <v>5918</v>
      </c>
      <c r="D1413" s="10">
        <v>1092</v>
      </c>
      <c r="E1413" s="8" t="s">
        <v>9824</v>
      </c>
      <c r="F1413" s="8" t="s">
        <v>9825</v>
      </c>
      <c r="G1413" s="8" t="s">
        <v>4727</v>
      </c>
      <c r="H1413" s="8" t="s">
        <v>9824</v>
      </c>
      <c r="I1413" s="8"/>
      <c r="J1413" s="15" t="s">
        <v>5695</v>
      </c>
      <c r="K1413" s="8"/>
      <c r="L1413" s="15" t="s">
        <v>1685</v>
      </c>
      <c r="M1413" s="8" t="s">
        <v>5578</v>
      </c>
      <c r="N1413" s="8"/>
      <c r="O1413" s="8" t="s">
        <v>5574</v>
      </c>
      <c r="P1413" s="11"/>
      <c r="Q1413" s="8" t="s">
        <v>5696</v>
      </c>
      <c r="R1413" s="8" t="s">
        <v>5919</v>
      </c>
      <c r="S1413" s="8" t="s">
        <v>9826</v>
      </c>
    </row>
    <row r="1414" spans="1:19" ht="107.1" customHeight="1" x14ac:dyDescent="0.25">
      <c r="A1414" s="8" t="s">
        <v>9827</v>
      </c>
      <c r="B1414" s="8" t="s">
        <v>5693</v>
      </c>
      <c r="C1414" s="8" t="s">
        <v>5918</v>
      </c>
      <c r="D1414" s="10">
        <v>1093</v>
      </c>
      <c r="E1414" s="8" t="s">
        <v>9828</v>
      </c>
      <c r="F1414" s="8" t="s">
        <v>9829</v>
      </c>
      <c r="G1414" s="8" t="s">
        <v>4727</v>
      </c>
      <c r="H1414" s="8" t="s">
        <v>9828</v>
      </c>
      <c r="I1414" s="8"/>
      <c r="J1414" s="15" t="s">
        <v>5695</v>
      </c>
      <c r="K1414" s="8"/>
      <c r="L1414" s="15" t="s">
        <v>1685</v>
      </c>
      <c r="M1414" s="8" t="s">
        <v>5578</v>
      </c>
      <c r="N1414" s="8"/>
      <c r="O1414" s="8" t="s">
        <v>5574</v>
      </c>
      <c r="P1414" s="11"/>
      <c r="Q1414" s="8" t="s">
        <v>5696</v>
      </c>
      <c r="R1414" s="8" t="s">
        <v>5919</v>
      </c>
      <c r="S1414" s="8" t="s">
        <v>9830</v>
      </c>
    </row>
    <row r="1415" spans="1:19" ht="107.1" customHeight="1" x14ac:dyDescent="0.25">
      <c r="A1415" s="8" t="s">
        <v>9831</v>
      </c>
      <c r="B1415" s="8" t="s">
        <v>5693</v>
      </c>
      <c r="C1415" s="8" t="s">
        <v>5918</v>
      </c>
      <c r="D1415" s="10">
        <v>1094</v>
      </c>
      <c r="E1415" s="8" t="s">
        <v>9832</v>
      </c>
      <c r="F1415" s="8" t="s">
        <v>9833</v>
      </c>
      <c r="G1415" s="8" t="s">
        <v>4727</v>
      </c>
      <c r="H1415" s="8" t="s">
        <v>9832</v>
      </c>
      <c r="I1415" s="8"/>
      <c r="J1415" s="15" t="s">
        <v>5695</v>
      </c>
      <c r="K1415" s="8"/>
      <c r="L1415" s="15" t="s">
        <v>1685</v>
      </c>
      <c r="M1415" s="8" t="s">
        <v>5578</v>
      </c>
      <c r="N1415" s="8"/>
      <c r="O1415" s="8" t="s">
        <v>5574</v>
      </c>
      <c r="P1415" s="11"/>
      <c r="Q1415" s="8" t="s">
        <v>5696</v>
      </c>
      <c r="R1415" s="8" t="s">
        <v>5919</v>
      </c>
      <c r="S1415" s="8" t="s">
        <v>9834</v>
      </c>
    </row>
    <row r="1416" spans="1:19" ht="107.1" customHeight="1" x14ac:dyDescent="0.25">
      <c r="A1416" s="8" t="s">
        <v>9835</v>
      </c>
      <c r="B1416" s="8" t="s">
        <v>5693</v>
      </c>
      <c r="C1416" s="8" t="s">
        <v>5918</v>
      </c>
      <c r="D1416" s="10">
        <v>1095</v>
      </c>
      <c r="E1416" s="8" t="s">
        <v>9836</v>
      </c>
      <c r="F1416" s="8" t="s">
        <v>9837</v>
      </c>
      <c r="G1416" s="8" t="s">
        <v>4727</v>
      </c>
      <c r="H1416" s="8" t="s">
        <v>9836</v>
      </c>
      <c r="I1416" s="8"/>
      <c r="J1416" s="15" t="s">
        <v>5695</v>
      </c>
      <c r="K1416" s="8"/>
      <c r="L1416" s="15" t="s">
        <v>1685</v>
      </c>
      <c r="M1416" s="8" t="s">
        <v>5578</v>
      </c>
      <c r="N1416" s="8"/>
      <c r="O1416" s="8" t="s">
        <v>5574</v>
      </c>
      <c r="P1416" s="11"/>
      <c r="Q1416" s="8" t="s">
        <v>5696</v>
      </c>
      <c r="R1416" s="8" t="s">
        <v>5919</v>
      </c>
      <c r="S1416" s="8" t="s">
        <v>9838</v>
      </c>
    </row>
    <row r="1417" spans="1:19" ht="93" customHeight="1" x14ac:dyDescent="0.25">
      <c r="A1417" s="8" t="s">
        <v>9839</v>
      </c>
      <c r="B1417" s="8" t="s">
        <v>5693</v>
      </c>
      <c r="C1417" s="8" t="s">
        <v>5918</v>
      </c>
      <c r="D1417" s="10">
        <v>1096</v>
      </c>
      <c r="E1417" s="8" t="s">
        <v>9840</v>
      </c>
      <c r="F1417" s="8" t="s">
        <v>9841</v>
      </c>
      <c r="G1417" s="8" t="s">
        <v>4727</v>
      </c>
      <c r="H1417" s="8" t="s">
        <v>9840</v>
      </c>
      <c r="I1417" s="8"/>
      <c r="J1417" s="15" t="s">
        <v>5695</v>
      </c>
      <c r="K1417" s="8"/>
      <c r="L1417" s="15" t="s">
        <v>1685</v>
      </c>
      <c r="M1417" s="8" t="s">
        <v>5578</v>
      </c>
      <c r="N1417" s="8"/>
      <c r="O1417" s="8" t="s">
        <v>5574</v>
      </c>
      <c r="P1417" s="11"/>
      <c r="Q1417" s="8" t="s">
        <v>5696</v>
      </c>
      <c r="R1417" s="8" t="s">
        <v>5919</v>
      </c>
      <c r="S1417" s="8" t="s">
        <v>9842</v>
      </c>
    </row>
    <row r="1418" spans="1:19" ht="107.1" customHeight="1" x14ac:dyDescent="0.25">
      <c r="A1418" s="8" t="s">
        <v>9843</v>
      </c>
      <c r="B1418" s="8" t="s">
        <v>5693</v>
      </c>
      <c r="C1418" s="8" t="s">
        <v>5918</v>
      </c>
      <c r="D1418" s="10">
        <v>1097</v>
      </c>
      <c r="E1418" s="8" t="s">
        <v>9844</v>
      </c>
      <c r="F1418" s="8" t="s">
        <v>9845</v>
      </c>
      <c r="G1418" s="8" t="s">
        <v>4727</v>
      </c>
      <c r="H1418" s="8" t="s">
        <v>9844</v>
      </c>
      <c r="I1418" s="8"/>
      <c r="J1418" s="15" t="s">
        <v>5695</v>
      </c>
      <c r="K1418" s="8"/>
      <c r="L1418" s="15" t="s">
        <v>1685</v>
      </c>
      <c r="M1418" s="8" t="s">
        <v>5578</v>
      </c>
      <c r="N1418" s="8"/>
      <c r="O1418" s="8" t="s">
        <v>5574</v>
      </c>
      <c r="P1418" s="11"/>
      <c r="Q1418" s="8" t="s">
        <v>5696</v>
      </c>
      <c r="R1418" s="8" t="s">
        <v>5919</v>
      </c>
      <c r="S1418" s="8" t="s">
        <v>9846</v>
      </c>
    </row>
    <row r="1419" spans="1:19" ht="93" customHeight="1" x14ac:dyDescent="0.25">
      <c r="A1419" s="8" t="s">
        <v>9847</v>
      </c>
      <c r="B1419" s="8" t="s">
        <v>5693</v>
      </c>
      <c r="C1419" s="8" t="s">
        <v>5918</v>
      </c>
      <c r="D1419" s="10">
        <v>1098</v>
      </c>
      <c r="E1419" s="8" t="s">
        <v>9848</v>
      </c>
      <c r="F1419" s="8" t="s">
        <v>9849</v>
      </c>
      <c r="G1419" s="8" t="s">
        <v>4727</v>
      </c>
      <c r="H1419" s="8" t="s">
        <v>9848</v>
      </c>
      <c r="I1419" s="8"/>
      <c r="J1419" s="15" t="s">
        <v>5695</v>
      </c>
      <c r="K1419" s="8"/>
      <c r="L1419" s="15" t="s">
        <v>1685</v>
      </c>
      <c r="M1419" s="8" t="s">
        <v>5578</v>
      </c>
      <c r="N1419" s="8"/>
      <c r="O1419" s="8" t="s">
        <v>5574</v>
      </c>
      <c r="P1419" s="11"/>
      <c r="Q1419" s="8" t="s">
        <v>5696</v>
      </c>
      <c r="R1419" s="8" t="s">
        <v>5919</v>
      </c>
      <c r="S1419" s="8" t="s">
        <v>9850</v>
      </c>
    </row>
    <row r="1420" spans="1:19" ht="93" customHeight="1" x14ac:dyDescent="0.25">
      <c r="A1420" s="8" t="s">
        <v>9851</v>
      </c>
      <c r="B1420" s="8" t="s">
        <v>5693</v>
      </c>
      <c r="C1420" s="8" t="s">
        <v>5918</v>
      </c>
      <c r="D1420" s="10">
        <v>1099</v>
      </c>
      <c r="E1420" s="8" t="s">
        <v>9852</v>
      </c>
      <c r="F1420" s="8" t="s">
        <v>9853</v>
      </c>
      <c r="G1420" s="8" t="s">
        <v>4727</v>
      </c>
      <c r="H1420" s="8" t="s">
        <v>9852</v>
      </c>
      <c r="I1420" s="8"/>
      <c r="J1420" s="15" t="s">
        <v>5695</v>
      </c>
      <c r="K1420" s="8"/>
      <c r="L1420" s="15" t="s">
        <v>1685</v>
      </c>
      <c r="M1420" s="8" t="s">
        <v>5578</v>
      </c>
      <c r="N1420" s="8"/>
      <c r="O1420" s="8" t="s">
        <v>5574</v>
      </c>
      <c r="P1420" s="11"/>
      <c r="Q1420" s="8" t="s">
        <v>5696</v>
      </c>
      <c r="R1420" s="8" t="s">
        <v>5919</v>
      </c>
      <c r="S1420" s="8" t="s">
        <v>9854</v>
      </c>
    </row>
    <row r="1421" spans="1:19" ht="93" customHeight="1" x14ac:dyDescent="0.25">
      <c r="A1421" s="8" t="s">
        <v>9855</v>
      </c>
      <c r="B1421" s="8" t="s">
        <v>5693</v>
      </c>
      <c r="C1421" s="8" t="s">
        <v>5918</v>
      </c>
      <c r="D1421" s="10">
        <v>1100</v>
      </c>
      <c r="E1421" s="8" t="s">
        <v>9856</v>
      </c>
      <c r="F1421" s="8" t="s">
        <v>9857</v>
      </c>
      <c r="G1421" s="8" t="s">
        <v>4727</v>
      </c>
      <c r="H1421" s="8" t="s">
        <v>9856</v>
      </c>
      <c r="I1421" s="8"/>
      <c r="J1421" s="15" t="s">
        <v>5695</v>
      </c>
      <c r="K1421" s="8"/>
      <c r="L1421" s="15" t="s">
        <v>1685</v>
      </c>
      <c r="M1421" s="8" t="s">
        <v>5578</v>
      </c>
      <c r="N1421" s="8"/>
      <c r="O1421" s="8" t="s">
        <v>5574</v>
      </c>
      <c r="P1421" s="11"/>
      <c r="Q1421" s="8" t="s">
        <v>5696</v>
      </c>
      <c r="R1421" s="8" t="s">
        <v>5919</v>
      </c>
      <c r="S1421" s="8" t="s">
        <v>9858</v>
      </c>
    </row>
    <row r="1422" spans="1:19" ht="107.1" customHeight="1" x14ac:dyDescent="0.25">
      <c r="A1422" s="8" t="s">
        <v>9859</v>
      </c>
      <c r="B1422" s="8" t="s">
        <v>5693</v>
      </c>
      <c r="C1422" s="8" t="s">
        <v>5918</v>
      </c>
      <c r="D1422" s="10">
        <v>1101</v>
      </c>
      <c r="E1422" s="8" t="s">
        <v>9860</v>
      </c>
      <c r="F1422" s="8" t="s">
        <v>9861</v>
      </c>
      <c r="G1422" s="8" t="s">
        <v>4727</v>
      </c>
      <c r="H1422" s="8" t="s">
        <v>9860</v>
      </c>
      <c r="I1422" s="8"/>
      <c r="J1422" s="15" t="s">
        <v>5695</v>
      </c>
      <c r="K1422" s="8"/>
      <c r="L1422" s="15" t="s">
        <v>1685</v>
      </c>
      <c r="M1422" s="8" t="s">
        <v>5578</v>
      </c>
      <c r="N1422" s="8"/>
      <c r="O1422" s="8" t="s">
        <v>5574</v>
      </c>
      <c r="P1422" s="11"/>
      <c r="Q1422" s="8" t="s">
        <v>5696</v>
      </c>
      <c r="R1422" s="8" t="s">
        <v>5919</v>
      </c>
      <c r="S1422" s="8" t="s">
        <v>9862</v>
      </c>
    </row>
    <row r="1423" spans="1:19" ht="107.1" customHeight="1" x14ac:dyDescent="0.25">
      <c r="A1423" s="8" t="s">
        <v>9863</v>
      </c>
      <c r="B1423" s="8" t="s">
        <v>5693</v>
      </c>
      <c r="C1423" s="8" t="s">
        <v>5918</v>
      </c>
      <c r="D1423" s="10">
        <v>1102</v>
      </c>
      <c r="E1423" s="8" t="s">
        <v>9864</v>
      </c>
      <c r="F1423" s="8" t="s">
        <v>9865</v>
      </c>
      <c r="G1423" s="8" t="s">
        <v>4727</v>
      </c>
      <c r="H1423" s="8" t="s">
        <v>9864</v>
      </c>
      <c r="I1423" s="8"/>
      <c r="J1423" s="15" t="s">
        <v>5695</v>
      </c>
      <c r="K1423" s="8"/>
      <c r="L1423" s="15" t="s">
        <v>1685</v>
      </c>
      <c r="M1423" s="8" t="s">
        <v>5578</v>
      </c>
      <c r="N1423" s="8"/>
      <c r="O1423" s="8" t="s">
        <v>5574</v>
      </c>
      <c r="P1423" s="11"/>
      <c r="Q1423" s="8" t="s">
        <v>5696</v>
      </c>
      <c r="R1423" s="8" t="s">
        <v>5919</v>
      </c>
      <c r="S1423" s="8" t="s">
        <v>9866</v>
      </c>
    </row>
    <row r="1424" spans="1:19" ht="93" customHeight="1" x14ac:dyDescent="0.25">
      <c r="A1424" s="8" t="s">
        <v>9867</v>
      </c>
      <c r="B1424" s="8" t="s">
        <v>5693</v>
      </c>
      <c r="C1424" s="8" t="s">
        <v>5918</v>
      </c>
      <c r="D1424" s="10">
        <v>1103</v>
      </c>
      <c r="E1424" s="8" t="s">
        <v>9868</v>
      </c>
      <c r="F1424" s="8" t="s">
        <v>9869</v>
      </c>
      <c r="G1424" s="8" t="s">
        <v>4727</v>
      </c>
      <c r="H1424" s="8" t="s">
        <v>9868</v>
      </c>
      <c r="I1424" s="8"/>
      <c r="J1424" s="15" t="s">
        <v>5695</v>
      </c>
      <c r="K1424" s="8"/>
      <c r="L1424" s="15" t="s">
        <v>1685</v>
      </c>
      <c r="M1424" s="8" t="s">
        <v>5578</v>
      </c>
      <c r="N1424" s="8"/>
      <c r="O1424" s="8" t="s">
        <v>5574</v>
      </c>
      <c r="P1424" s="11"/>
      <c r="Q1424" s="8" t="s">
        <v>5696</v>
      </c>
      <c r="R1424" s="8" t="s">
        <v>5919</v>
      </c>
      <c r="S1424" s="8" t="s">
        <v>9870</v>
      </c>
    </row>
    <row r="1425" spans="1:19" ht="107.1" customHeight="1" x14ac:dyDescent="0.25">
      <c r="A1425" s="8" t="s">
        <v>9871</v>
      </c>
      <c r="B1425" s="8" t="s">
        <v>5693</v>
      </c>
      <c r="C1425" s="8" t="s">
        <v>5918</v>
      </c>
      <c r="D1425" s="10">
        <v>1104</v>
      </c>
      <c r="E1425" s="8" t="s">
        <v>9872</v>
      </c>
      <c r="F1425" s="8" t="s">
        <v>9873</v>
      </c>
      <c r="G1425" s="8" t="s">
        <v>4727</v>
      </c>
      <c r="H1425" s="8" t="s">
        <v>9872</v>
      </c>
      <c r="I1425" s="8"/>
      <c r="J1425" s="15" t="s">
        <v>5695</v>
      </c>
      <c r="K1425" s="8"/>
      <c r="L1425" s="15" t="s">
        <v>1685</v>
      </c>
      <c r="M1425" s="8" t="s">
        <v>5578</v>
      </c>
      <c r="N1425" s="8"/>
      <c r="O1425" s="8" t="s">
        <v>5574</v>
      </c>
      <c r="P1425" s="11"/>
      <c r="Q1425" s="8" t="s">
        <v>5696</v>
      </c>
      <c r="R1425" s="8" t="s">
        <v>5919</v>
      </c>
      <c r="S1425" s="8" t="s">
        <v>9874</v>
      </c>
    </row>
    <row r="1426" spans="1:19" ht="107.1" customHeight="1" x14ac:dyDescent="0.25">
      <c r="A1426" s="8" t="s">
        <v>9875</v>
      </c>
      <c r="B1426" s="8" t="s">
        <v>5693</v>
      </c>
      <c r="C1426" s="8" t="s">
        <v>5918</v>
      </c>
      <c r="D1426" s="10">
        <v>1105</v>
      </c>
      <c r="E1426" s="8" t="s">
        <v>9876</v>
      </c>
      <c r="F1426" s="8" t="s">
        <v>9877</v>
      </c>
      <c r="G1426" s="8" t="s">
        <v>4727</v>
      </c>
      <c r="H1426" s="8" t="s">
        <v>9876</v>
      </c>
      <c r="I1426" s="8"/>
      <c r="J1426" s="15" t="s">
        <v>5695</v>
      </c>
      <c r="K1426" s="8"/>
      <c r="L1426" s="15" t="s">
        <v>1685</v>
      </c>
      <c r="M1426" s="8" t="s">
        <v>5578</v>
      </c>
      <c r="N1426" s="8"/>
      <c r="O1426" s="8" t="s">
        <v>5574</v>
      </c>
      <c r="P1426" s="11"/>
      <c r="Q1426" s="8" t="s">
        <v>5696</v>
      </c>
      <c r="R1426" s="8" t="s">
        <v>5919</v>
      </c>
      <c r="S1426" s="8" t="s">
        <v>9878</v>
      </c>
    </row>
    <row r="1427" spans="1:19" ht="107.1" customHeight="1" x14ac:dyDescent="0.25">
      <c r="A1427" s="8" t="s">
        <v>9879</v>
      </c>
      <c r="B1427" s="8" t="s">
        <v>5693</v>
      </c>
      <c r="C1427" s="8" t="s">
        <v>5918</v>
      </c>
      <c r="D1427" s="10">
        <v>1106</v>
      </c>
      <c r="E1427" s="8" t="s">
        <v>9880</v>
      </c>
      <c r="F1427" s="8" t="s">
        <v>9881</v>
      </c>
      <c r="G1427" s="8" t="s">
        <v>4727</v>
      </c>
      <c r="H1427" s="8" t="s">
        <v>9880</v>
      </c>
      <c r="I1427" s="8"/>
      <c r="J1427" s="15" t="s">
        <v>5695</v>
      </c>
      <c r="K1427" s="8"/>
      <c r="L1427" s="15" t="s">
        <v>1685</v>
      </c>
      <c r="M1427" s="8" t="s">
        <v>5578</v>
      </c>
      <c r="N1427" s="8"/>
      <c r="O1427" s="8" t="s">
        <v>5574</v>
      </c>
      <c r="P1427" s="11"/>
      <c r="Q1427" s="8" t="s">
        <v>5696</v>
      </c>
      <c r="R1427" s="8" t="s">
        <v>5919</v>
      </c>
      <c r="S1427" s="8" t="s">
        <v>9882</v>
      </c>
    </row>
    <row r="1428" spans="1:19" ht="93" customHeight="1" x14ac:dyDescent="0.25">
      <c r="A1428" s="8" t="s">
        <v>9883</v>
      </c>
      <c r="B1428" s="8" t="s">
        <v>5693</v>
      </c>
      <c r="C1428" s="8" t="s">
        <v>5918</v>
      </c>
      <c r="D1428" s="10">
        <v>1107</v>
      </c>
      <c r="E1428" s="8" t="s">
        <v>9884</v>
      </c>
      <c r="F1428" s="8" t="s">
        <v>9885</v>
      </c>
      <c r="G1428" s="8" t="s">
        <v>4727</v>
      </c>
      <c r="H1428" s="8" t="s">
        <v>9884</v>
      </c>
      <c r="I1428" s="8"/>
      <c r="J1428" s="15" t="s">
        <v>5695</v>
      </c>
      <c r="K1428" s="8"/>
      <c r="L1428" s="15" t="s">
        <v>1685</v>
      </c>
      <c r="M1428" s="8" t="s">
        <v>5578</v>
      </c>
      <c r="N1428" s="8"/>
      <c r="O1428" s="8" t="s">
        <v>5574</v>
      </c>
      <c r="P1428" s="11"/>
      <c r="Q1428" s="8" t="s">
        <v>5696</v>
      </c>
      <c r="R1428" s="8" t="s">
        <v>5919</v>
      </c>
      <c r="S1428" s="8" t="s">
        <v>9886</v>
      </c>
    </row>
    <row r="1429" spans="1:19" ht="107.1" customHeight="1" x14ac:dyDescent="0.25">
      <c r="A1429" s="8" t="s">
        <v>9887</v>
      </c>
      <c r="B1429" s="8" t="s">
        <v>5693</v>
      </c>
      <c r="C1429" s="8" t="s">
        <v>5918</v>
      </c>
      <c r="D1429" s="10">
        <v>1108</v>
      </c>
      <c r="E1429" s="8" t="s">
        <v>9888</v>
      </c>
      <c r="F1429" s="8" t="s">
        <v>9889</v>
      </c>
      <c r="G1429" s="8" t="s">
        <v>4727</v>
      </c>
      <c r="H1429" s="8" t="s">
        <v>9888</v>
      </c>
      <c r="I1429" s="8"/>
      <c r="J1429" s="15" t="s">
        <v>5695</v>
      </c>
      <c r="K1429" s="8"/>
      <c r="L1429" s="15" t="s">
        <v>1685</v>
      </c>
      <c r="M1429" s="8" t="s">
        <v>5578</v>
      </c>
      <c r="N1429" s="8"/>
      <c r="O1429" s="8" t="s">
        <v>5574</v>
      </c>
      <c r="P1429" s="11"/>
      <c r="Q1429" s="8" t="s">
        <v>5696</v>
      </c>
      <c r="R1429" s="8" t="s">
        <v>5919</v>
      </c>
      <c r="S1429" s="8" t="s">
        <v>9890</v>
      </c>
    </row>
    <row r="1430" spans="1:19" ht="93" customHeight="1" x14ac:dyDescent="0.25">
      <c r="A1430" s="8" t="s">
        <v>9891</v>
      </c>
      <c r="B1430" s="8" t="s">
        <v>5693</v>
      </c>
      <c r="C1430" s="8" t="s">
        <v>5918</v>
      </c>
      <c r="D1430" s="10">
        <v>1109</v>
      </c>
      <c r="E1430" s="8" t="s">
        <v>9892</v>
      </c>
      <c r="F1430" s="8" t="s">
        <v>9893</v>
      </c>
      <c r="G1430" s="8" t="s">
        <v>4727</v>
      </c>
      <c r="H1430" s="8" t="s">
        <v>9892</v>
      </c>
      <c r="I1430" s="8"/>
      <c r="J1430" s="15" t="s">
        <v>5695</v>
      </c>
      <c r="K1430" s="8"/>
      <c r="L1430" s="15" t="s">
        <v>1685</v>
      </c>
      <c r="M1430" s="8" t="s">
        <v>5578</v>
      </c>
      <c r="N1430" s="8"/>
      <c r="O1430" s="8" t="s">
        <v>5574</v>
      </c>
      <c r="P1430" s="11"/>
      <c r="Q1430" s="8" t="s">
        <v>5696</v>
      </c>
      <c r="R1430" s="8" t="s">
        <v>5919</v>
      </c>
      <c r="S1430" s="8" t="s">
        <v>9894</v>
      </c>
    </row>
    <row r="1431" spans="1:19" ht="107.1" customHeight="1" x14ac:dyDescent="0.25">
      <c r="A1431" s="8" t="s">
        <v>9895</v>
      </c>
      <c r="B1431" s="8" t="s">
        <v>5693</v>
      </c>
      <c r="C1431" s="8" t="s">
        <v>5918</v>
      </c>
      <c r="D1431" s="10">
        <v>1110</v>
      </c>
      <c r="E1431" s="8" t="s">
        <v>9896</v>
      </c>
      <c r="F1431" s="8" t="s">
        <v>9897</v>
      </c>
      <c r="G1431" s="8" t="s">
        <v>4727</v>
      </c>
      <c r="H1431" s="8" t="s">
        <v>9896</v>
      </c>
      <c r="I1431" s="8"/>
      <c r="J1431" s="15" t="s">
        <v>5695</v>
      </c>
      <c r="K1431" s="8"/>
      <c r="L1431" s="15" t="s">
        <v>1685</v>
      </c>
      <c r="M1431" s="8" t="s">
        <v>5578</v>
      </c>
      <c r="N1431" s="8"/>
      <c r="O1431" s="8" t="s">
        <v>5574</v>
      </c>
      <c r="P1431" s="11"/>
      <c r="Q1431" s="8" t="s">
        <v>5696</v>
      </c>
      <c r="R1431" s="8" t="s">
        <v>5919</v>
      </c>
      <c r="S1431" s="8" t="s">
        <v>9898</v>
      </c>
    </row>
    <row r="1432" spans="1:19" ht="107.1" customHeight="1" x14ac:dyDescent="0.25">
      <c r="A1432" s="8" t="s">
        <v>9899</v>
      </c>
      <c r="B1432" s="8" t="s">
        <v>5693</v>
      </c>
      <c r="C1432" s="8" t="s">
        <v>5918</v>
      </c>
      <c r="D1432" s="10">
        <v>1111</v>
      </c>
      <c r="E1432" s="8" t="s">
        <v>9900</v>
      </c>
      <c r="F1432" s="8" t="s">
        <v>9901</v>
      </c>
      <c r="G1432" s="8" t="s">
        <v>4727</v>
      </c>
      <c r="H1432" s="8" t="s">
        <v>9900</v>
      </c>
      <c r="I1432" s="8"/>
      <c r="J1432" s="15" t="s">
        <v>5695</v>
      </c>
      <c r="K1432" s="8"/>
      <c r="L1432" s="15" t="s">
        <v>1685</v>
      </c>
      <c r="M1432" s="8" t="s">
        <v>5578</v>
      </c>
      <c r="N1432" s="8"/>
      <c r="O1432" s="8" t="s">
        <v>5574</v>
      </c>
      <c r="P1432" s="11"/>
      <c r="Q1432" s="8" t="s">
        <v>5696</v>
      </c>
      <c r="R1432" s="8" t="s">
        <v>5919</v>
      </c>
      <c r="S1432" s="8" t="s">
        <v>9902</v>
      </c>
    </row>
    <row r="1433" spans="1:19" ht="107.1" customHeight="1" x14ac:dyDescent="0.25">
      <c r="A1433" s="8" t="s">
        <v>9903</v>
      </c>
      <c r="B1433" s="8" t="s">
        <v>5693</v>
      </c>
      <c r="C1433" s="8" t="s">
        <v>5918</v>
      </c>
      <c r="D1433" s="10">
        <v>1112</v>
      </c>
      <c r="E1433" s="8" t="s">
        <v>9904</v>
      </c>
      <c r="F1433" s="8" t="s">
        <v>9905</v>
      </c>
      <c r="G1433" s="8" t="s">
        <v>4727</v>
      </c>
      <c r="H1433" s="8" t="s">
        <v>9904</v>
      </c>
      <c r="I1433" s="8"/>
      <c r="J1433" s="15" t="s">
        <v>5695</v>
      </c>
      <c r="K1433" s="8"/>
      <c r="L1433" s="15" t="s">
        <v>1685</v>
      </c>
      <c r="M1433" s="8" t="s">
        <v>5578</v>
      </c>
      <c r="N1433" s="8"/>
      <c r="O1433" s="8" t="s">
        <v>5574</v>
      </c>
      <c r="P1433" s="11"/>
      <c r="Q1433" s="8" t="s">
        <v>5696</v>
      </c>
      <c r="R1433" s="8" t="s">
        <v>5919</v>
      </c>
      <c r="S1433" s="8" t="s">
        <v>9906</v>
      </c>
    </row>
    <row r="1434" spans="1:19" ht="107.1" customHeight="1" x14ac:dyDescent="0.25">
      <c r="A1434" s="8" t="s">
        <v>9907</v>
      </c>
      <c r="B1434" s="8" t="s">
        <v>5693</v>
      </c>
      <c r="C1434" s="8" t="s">
        <v>5918</v>
      </c>
      <c r="D1434" s="10">
        <v>1113</v>
      </c>
      <c r="E1434" s="8" t="s">
        <v>9908</v>
      </c>
      <c r="F1434" s="8" t="s">
        <v>9909</v>
      </c>
      <c r="G1434" s="8" t="s">
        <v>4727</v>
      </c>
      <c r="H1434" s="8" t="s">
        <v>9908</v>
      </c>
      <c r="I1434" s="8"/>
      <c r="J1434" s="15" t="s">
        <v>5695</v>
      </c>
      <c r="K1434" s="8"/>
      <c r="L1434" s="15" t="s">
        <v>1685</v>
      </c>
      <c r="M1434" s="8" t="s">
        <v>5578</v>
      </c>
      <c r="N1434" s="8"/>
      <c r="O1434" s="8" t="s">
        <v>5574</v>
      </c>
      <c r="P1434" s="11"/>
      <c r="Q1434" s="8" t="s">
        <v>5696</v>
      </c>
      <c r="R1434" s="8" t="s">
        <v>5919</v>
      </c>
      <c r="S1434" s="8" t="s">
        <v>9910</v>
      </c>
    </row>
    <row r="1435" spans="1:19" ht="107.1" customHeight="1" x14ac:dyDescent="0.25">
      <c r="A1435" s="8" t="s">
        <v>9911</v>
      </c>
      <c r="B1435" s="8" t="s">
        <v>5693</v>
      </c>
      <c r="C1435" s="8" t="s">
        <v>5918</v>
      </c>
      <c r="D1435" s="10">
        <v>1114</v>
      </c>
      <c r="E1435" s="8" t="s">
        <v>9912</v>
      </c>
      <c r="F1435" s="8" t="s">
        <v>9913</v>
      </c>
      <c r="G1435" s="8" t="s">
        <v>4727</v>
      </c>
      <c r="H1435" s="8" t="s">
        <v>9912</v>
      </c>
      <c r="I1435" s="8"/>
      <c r="J1435" s="15" t="s">
        <v>5695</v>
      </c>
      <c r="K1435" s="8"/>
      <c r="L1435" s="15" t="s">
        <v>1685</v>
      </c>
      <c r="M1435" s="8" t="s">
        <v>5578</v>
      </c>
      <c r="N1435" s="8"/>
      <c r="O1435" s="8" t="s">
        <v>5574</v>
      </c>
      <c r="P1435" s="11"/>
      <c r="Q1435" s="8" t="s">
        <v>5696</v>
      </c>
      <c r="R1435" s="8" t="s">
        <v>5919</v>
      </c>
      <c r="S1435" s="8" t="s">
        <v>9914</v>
      </c>
    </row>
    <row r="1436" spans="1:19" ht="107.1" customHeight="1" x14ac:dyDescent="0.25">
      <c r="A1436" s="8" t="s">
        <v>9915</v>
      </c>
      <c r="B1436" s="8" t="s">
        <v>5693</v>
      </c>
      <c r="C1436" s="8" t="s">
        <v>5918</v>
      </c>
      <c r="D1436" s="10">
        <v>1115</v>
      </c>
      <c r="E1436" s="8" t="s">
        <v>9916</v>
      </c>
      <c r="F1436" s="8" t="s">
        <v>9917</v>
      </c>
      <c r="G1436" s="8" t="s">
        <v>4727</v>
      </c>
      <c r="H1436" s="8" t="s">
        <v>9916</v>
      </c>
      <c r="I1436" s="8"/>
      <c r="J1436" s="15" t="s">
        <v>5695</v>
      </c>
      <c r="K1436" s="8"/>
      <c r="L1436" s="15" t="s">
        <v>1685</v>
      </c>
      <c r="M1436" s="8" t="s">
        <v>5578</v>
      </c>
      <c r="N1436" s="8"/>
      <c r="O1436" s="8" t="s">
        <v>5574</v>
      </c>
      <c r="P1436" s="11"/>
      <c r="Q1436" s="8" t="s">
        <v>5696</v>
      </c>
      <c r="R1436" s="8" t="s">
        <v>5919</v>
      </c>
      <c r="S1436" s="8" t="s">
        <v>9918</v>
      </c>
    </row>
    <row r="1437" spans="1:19" ht="107.1" customHeight="1" x14ac:dyDescent="0.25">
      <c r="A1437" s="8" t="s">
        <v>9919</v>
      </c>
      <c r="B1437" s="8" t="s">
        <v>5693</v>
      </c>
      <c r="C1437" s="8" t="s">
        <v>5918</v>
      </c>
      <c r="D1437" s="10">
        <v>1116</v>
      </c>
      <c r="E1437" s="8" t="s">
        <v>9920</v>
      </c>
      <c r="F1437" s="8" t="s">
        <v>9921</v>
      </c>
      <c r="G1437" s="8" t="s">
        <v>4727</v>
      </c>
      <c r="H1437" s="8" t="s">
        <v>9920</v>
      </c>
      <c r="I1437" s="8"/>
      <c r="J1437" s="15" t="s">
        <v>5695</v>
      </c>
      <c r="K1437" s="8"/>
      <c r="L1437" s="15" t="s">
        <v>1685</v>
      </c>
      <c r="M1437" s="8" t="s">
        <v>5578</v>
      </c>
      <c r="N1437" s="8"/>
      <c r="O1437" s="8" t="s">
        <v>5574</v>
      </c>
      <c r="P1437" s="11"/>
      <c r="Q1437" s="8" t="s">
        <v>5696</v>
      </c>
      <c r="R1437" s="8" t="s">
        <v>5919</v>
      </c>
      <c r="S1437" s="8" t="s">
        <v>9922</v>
      </c>
    </row>
    <row r="1438" spans="1:19" ht="107.1" customHeight="1" x14ac:dyDescent="0.25">
      <c r="A1438" s="8" t="s">
        <v>9923</v>
      </c>
      <c r="B1438" s="8" t="s">
        <v>5693</v>
      </c>
      <c r="C1438" s="8" t="s">
        <v>5918</v>
      </c>
      <c r="D1438" s="10">
        <v>1117</v>
      </c>
      <c r="E1438" s="8" t="s">
        <v>9924</v>
      </c>
      <c r="F1438" s="8" t="s">
        <v>9925</v>
      </c>
      <c r="G1438" s="8" t="s">
        <v>4727</v>
      </c>
      <c r="H1438" s="8" t="s">
        <v>9924</v>
      </c>
      <c r="I1438" s="8"/>
      <c r="J1438" s="15" t="s">
        <v>5695</v>
      </c>
      <c r="K1438" s="8"/>
      <c r="L1438" s="15" t="s">
        <v>1685</v>
      </c>
      <c r="M1438" s="8" t="s">
        <v>5578</v>
      </c>
      <c r="N1438" s="8"/>
      <c r="O1438" s="8" t="s">
        <v>5574</v>
      </c>
      <c r="P1438" s="11"/>
      <c r="Q1438" s="8" t="s">
        <v>5696</v>
      </c>
      <c r="R1438" s="8" t="s">
        <v>5919</v>
      </c>
      <c r="S1438" s="8" t="s">
        <v>9926</v>
      </c>
    </row>
    <row r="1439" spans="1:19" ht="107.1" customHeight="1" x14ac:dyDescent="0.25">
      <c r="A1439" s="8" t="s">
        <v>9927</v>
      </c>
      <c r="B1439" s="8" t="s">
        <v>5693</v>
      </c>
      <c r="C1439" s="8" t="s">
        <v>5918</v>
      </c>
      <c r="D1439" s="10">
        <v>1118</v>
      </c>
      <c r="E1439" s="8" t="s">
        <v>9928</v>
      </c>
      <c r="F1439" s="8" t="s">
        <v>9929</v>
      </c>
      <c r="G1439" s="8" t="s">
        <v>4727</v>
      </c>
      <c r="H1439" s="8" t="s">
        <v>9928</v>
      </c>
      <c r="I1439" s="8"/>
      <c r="J1439" s="15" t="s">
        <v>5695</v>
      </c>
      <c r="K1439" s="8"/>
      <c r="L1439" s="15" t="s">
        <v>1685</v>
      </c>
      <c r="M1439" s="8" t="s">
        <v>5578</v>
      </c>
      <c r="N1439" s="8"/>
      <c r="O1439" s="8" t="s">
        <v>5574</v>
      </c>
      <c r="P1439" s="11"/>
      <c r="Q1439" s="8" t="s">
        <v>5696</v>
      </c>
      <c r="R1439" s="8" t="s">
        <v>5919</v>
      </c>
      <c r="S1439" s="8" t="s">
        <v>9930</v>
      </c>
    </row>
    <row r="1440" spans="1:19" ht="107.1" customHeight="1" x14ac:dyDescent="0.25">
      <c r="A1440" s="8" t="s">
        <v>9931</v>
      </c>
      <c r="B1440" s="8" t="s">
        <v>5693</v>
      </c>
      <c r="C1440" s="8" t="s">
        <v>5918</v>
      </c>
      <c r="D1440" s="10">
        <v>1119</v>
      </c>
      <c r="E1440" s="8" t="s">
        <v>9932</v>
      </c>
      <c r="F1440" s="8" t="s">
        <v>9933</v>
      </c>
      <c r="G1440" s="8" t="s">
        <v>4727</v>
      </c>
      <c r="H1440" s="8" t="s">
        <v>9932</v>
      </c>
      <c r="I1440" s="8"/>
      <c r="J1440" s="15" t="s">
        <v>5695</v>
      </c>
      <c r="K1440" s="8"/>
      <c r="L1440" s="15" t="s">
        <v>1685</v>
      </c>
      <c r="M1440" s="8" t="s">
        <v>5578</v>
      </c>
      <c r="N1440" s="8"/>
      <c r="O1440" s="8" t="s">
        <v>5574</v>
      </c>
      <c r="P1440" s="11"/>
      <c r="Q1440" s="8" t="s">
        <v>5696</v>
      </c>
      <c r="R1440" s="8" t="s">
        <v>5919</v>
      </c>
      <c r="S1440" s="8" t="s">
        <v>9934</v>
      </c>
    </row>
    <row r="1441" spans="1:19" ht="107.1" customHeight="1" x14ac:dyDescent="0.25">
      <c r="A1441" s="8" t="s">
        <v>9935</v>
      </c>
      <c r="B1441" s="8" t="s">
        <v>5693</v>
      </c>
      <c r="C1441" s="8" t="s">
        <v>5918</v>
      </c>
      <c r="D1441" s="10">
        <v>1120</v>
      </c>
      <c r="E1441" s="8" t="s">
        <v>9936</v>
      </c>
      <c r="F1441" s="8" t="s">
        <v>9937</v>
      </c>
      <c r="G1441" s="8" t="s">
        <v>4727</v>
      </c>
      <c r="H1441" s="8" t="s">
        <v>9936</v>
      </c>
      <c r="I1441" s="8"/>
      <c r="J1441" s="15" t="s">
        <v>5695</v>
      </c>
      <c r="K1441" s="8"/>
      <c r="L1441" s="15" t="s">
        <v>1685</v>
      </c>
      <c r="M1441" s="8" t="s">
        <v>5578</v>
      </c>
      <c r="N1441" s="8"/>
      <c r="O1441" s="8" t="s">
        <v>5574</v>
      </c>
      <c r="P1441" s="11"/>
      <c r="Q1441" s="8" t="s">
        <v>5696</v>
      </c>
      <c r="R1441" s="8" t="s">
        <v>5919</v>
      </c>
      <c r="S1441" s="8" t="s">
        <v>9938</v>
      </c>
    </row>
    <row r="1442" spans="1:19" ht="107.1" customHeight="1" x14ac:dyDescent="0.25">
      <c r="A1442" s="8" t="s">
        <v>9939</v>
      </c>
      <c r="B1442" s="8" t="s">
        <v>5693</v>
      </c>
      <c r="C1442" s="8" t="s">
        <v>5918</v>
      </c>
      <c r="D1442" s="10">
        <v>1121</v>
      </c>
      <c r="E1442" s="8" t="s">
        <v>9940</v>
      </c>
      <c r="F1442" s="8" t="s">
        <v>9941</v>
      </c>
      <c r="G1442" s="8" t="s">
        <v>4727</v>
      </c>
      <c r="H1442" s="8" t="s">
        <v>9940</v>
      </c>
      <c r="I1442" s="8"/>
      <c r="J1442" s="15" t="s">
        <v>5695</v>
      </c>
      <c r="K1442" s="8"/>
      <c r="L1442" s="15" t="s">
        <v>1685</v>
      </c>
      <c r="M1442" s="8" t="s">
        <v>5578</v>
      </c>
      <c r="N1442" s="8"/>
      <c r="O1442" s="8" t="s">
        <v>5574</v>
      </c>
      <c r="P1442" s="11"/>
      <c r="Q1442" s="8" t="s">
        <v>5696</v>
      </c>
      <c r="R1442" s="8" t="s">
        <v>5919</v>
      </c>
      <c r="S1442" s="8" t="s">
        <v>9942</v>
      </c>
    </row>
    <row r="1443" spans="1:19" ht="107.1" customHeight="1" x14ac:dyDescent="0.25">
      <c r="A1443" s="8" t="s">
        <v>9943</v>
      </c>
      <c r="B1443" s="8" t="s">
        <v>5693</v>
      </c>
      <c r="C1443" s="8" t="s">
        <v>5918</v>
      </c>
      <c r="D1443" s="10">
        <v>1122</v>
      </c>
      <c r="E1443" s="8" t="s">
        <v>4353</v>
      </c>
      <c r="F1443" s="8" t="s">
        <v>9944</v>
      </c>
      <c r="G1443" s="8" t="s">
        <v>4727</v>
      </c>
      <c r="H1443" s="8" t="s">
        <v>4353</v>
      </c>
      <c r="I1443" s="8"/>
      <c r="J1443" s="15" t="s">
        <v>5695</v>
      </c>
      <c r="K1443" s="8"/>
      <c r="L1443" s="15" t="s">
        <v>1685</v>
      </c>
      <c r="M1443" s="8" t="s">
        <v>5578</v>
      </c>
      <c r="N1443" s="8"/>
      <c r="O1443" s="8" t="s">
        <v>5574</v>
      </c>
      <c r="P1443" s="11"/>
      <c r="Q1443" s="8" t="s">
        <v>5696</v>
      </c>
      <c r="R1443" s="8" t="s">
        <v>5919</v>
      </c>
      <c r="S1443" s="8" t="s">
        <v>9945</v>
      </c>
    </row>
    <row r="1444" spans="1:19" ht="107.1" customHeight="1" x14ac:dyDescent="0.25">
      <c r="A1444" s="8" t="s">
        <v>9946</v>
      </c>
      <c r="B1444" s="8" t="s">
        <v>5693</v>
      </c>
      <c r="C1444" s="8" t="s">
        <v>5918</v>
      </c>
      <c r="D1444" s="10">
        <v>1123</v>
      </c>
      <c r="E1444" s="8" t="s">
        <v>9947</v>
      </c>
      <c r="F1444" s="8" t="s">
        <v>9948</v>
      </c>
      <c r="G1444" s="8" t="s">
        <v>4727</v>
      </c>
      <c r="H1444" s="8" t="s">
        <v>9947</v>
      </c>
      <c r="I1444" s="8"/>
      <c r="J1444" s="15" t="s">
        <v>5695</v>
      </c>
      <c r="K1444" s="8"/>
      <c r="L1444" s="15" t="s">
        <v>1685</v>
      </c>
      <c r="M1444" s="8" t="s">
        <v>5578</v>
      </c>
      <c r="N1444" s="8"/>
      <c r="O1444" s="8" t="s">
        <v>5574</v>
      </c>
      <c r="P1444" s="11"/>
      <c r="Q1444" s="8" t="s">
        <v>5696</v>
      </c>
      <c r="R1444" s="8" t="s">
        <v>5919</v>
      </c>
      <c r="S1444" s="8" t="s">
        <v>9949</v>
      </c>
    </row>
    <row r="1445" spans="1:19" ht="93" customHeight="1" x14ac:dyDescent="0.25">
      <c r="A1445" s="8" t="s">
        <v>9950</v>
      </c>
      <c r="B1445" s="8" t="s">
        <v>5693</v>
      </c>
      <c r="C1445" s="8" t="s">
        <v>5918</v>
      </c>
      <c r="D1445" s="10">
        <v>1124</v>
      </c>
      <c r="E1445" s="8" t="s">
        <v>9951</v>
      </c>
      <c r="F1445" s="8" t="s">
        <v>9952</v>
      </c>
      <c r="G1445" s="8" t="s">
        <v>4727</v>
      </c>
      <c r="H1445" s="8" t="s">
        <v>9951</v>
      </c>
      <c r="I1445" s="8"/>
      <c r="J1445" s="15" t="s">
        <v>5695</v>
      </c>
      <c r="K1445" s="8"/>
      <c r="L1445" s="15" t="s">
        <v>1685</v>
      </c>
      <c r="M1445" s="8" t="s">
        <v>5578</v>
      </c>
      <c r="N1445" s="8"/>
      <c r="O1445" s="8" t="s">
        <v>5574</v>
      </c>
      <c r="P1445" s="11"/>
      <c r="Q1445" s="8" t="s">
        <v>5696</v>
      </c>
      <c r="R1445" s="8" t="s">
        <v>5919</v>
      </c>
      <c r="S1445" s="8" t="s">
        <v>9953</v>
      </c>
    </row>
    <row r="1446" spans="1:19" ht="93" customHeight="1" x14ac:dyDescent="0.25">
      <c r="A1446" s="8" t="s">
        <v>9954</v>
      </c>
      <c r="B1446" s="8" t="s">
        <v>5693</v>
      </c>
      <c r="C1446" s="8" t="s">
        <v>5918</v>
      </c>
      <c r="D1446" s="10">
        <v>1125</v>
      </c>
      <c r="E1446" s="8" t="s">
        <v>9955</v>
      </c>
      <c r="F1446" s="8" t="s">
        <v>9956</v>
      </c>
      <c r="G1446" s="8" t="s">
        <v>4727</v>
      </c>
      <c r="H1446" s="8" t="s">
        <v>9955</v>
      </c>
      <c r="I1446" s="8"/>
      <c r="J1446" s="15" t="s">
        <v>5695</v>
      </c>
      <c r="K1446" s="8"/>
      <c r="L1446" s="15" t="s">
        <v>1685</v>
      </c>
      <c r="M1446" s="8" t="s">
        <v>5578</v>
      </c>
      <c r="N1446" s="8"/>
      <c r="O1446" s="8" t="s">
        <v>5574</v>
      </c>
      <c r="P1446" s="11"/>
      <c r="Q1446" s="8" t="s">
        <v>5696</v>
      </c>
      <c r="R1446" s="8" t="s">
        <v>5919</v>
      </c>
      <c r="S1446" s="8" t="s">
        <v>9957</v>
      </c>
    </row>
    <row r="1447" spans="1:19" ht="93" customHeight="1" x14ac:dyDescent="0.25">
      <c r="A1447" s="8" t="s">
        <v>9958</v>
      </c>
      <c r="B1447" s="8" t="s">
        <v>5693</v>
      </c>
      <c r="C1447" s="8" t="s">
        <v>5918</v>
      </c>
      <c r="D1447" s="10">
        <v>1126</v>
      </c>
      <c r="E1447" s="8" t="s">
        <v>9959</v>
      </c>
      <c r="F1447" s="8" t="s">
        <v>9960</v>
      </c>
      <c r="G1447" s="8" t="s">
        <v>4727</v>
      </c>
      <c r="H1447" s="8" t="s">
        <v>9959</v>
      </c>
      <c r="I1447" s="8"/>
      <c r="J1447" s="15" t="s">
        <v>5695</v>
      </c>
      <c r="K1447" s="8"/>
      <c r="L1447" s="15" t="s">
        <v>1685</v>
      </c>
      <c r="M1447" s="8" t="s">
        <v>5578</v>
      </c>
      <c r="N1447" s="8"/>
      <c r="O1447" s="8" t="s">
        <v>5574</v>
      </c>
      <c r="P1447" s="11"/>
      <c r="Q1447" s="8" t="s">
        <v>5696</v>
      </c>
      <c r="R1447" s="8" t="s">
        <v>5919</v>
      </c>
      <c r="S1447" s="8" t="s">
        <v>9961</v>
      </c>
    </row>
    <row r="1448" spans="1:19" ht="107.1" customHeight="1" x14ac:dyDescent="0.25">
      <c r="A1448" s="8" t="s">
        <v>9962</v>
      </c>
      <c r="B1448" s="8" t="s">
        <v>5693</v>
      </c>
      <c r="C1448" s="8" t="s">
        <v>5918</v>
      </c>
      <c r="D1448" s="10">
        <v>1127</v>
      </c>
      <c r="E1448" s="8" t="s">
        <v>9963</v>
      </c>
      <c r="F1448" s="8" t="s">
        <v>9964</v>
      </c>
      <c r="G1448" s="8" t="s">
        <v>4727</v>
      </c>
      <c r="H1448" s="8" t="s">
        <v>9963</v>
      </c>
      <c r="I1448" s="8"/>
      <c r="J1448" s="15" t="s">
        <v>5695</v>
      </c>
      <c r="K1448" s="8"/>
      <c r="L1448" s="15" t="s">
        <v>1685</v>
      </c>
      <c r="M1448" s="8" t="s">
        <v>5578</v>
      </c>
      <c r="N1448" s="8"/>
      <c r="O1448" s="8" t="s">
        <v>5574</v>
      </c>
      <c r="P1448" s="11"/>
      <c r="Q1448" s="8" t="s">
        <v>5696</v>
      </c>
      <c r="R1448" s="8" t="s">
        <v>5919</v>
      </c>
      <c r="S1448" s="8" t="s">
        <v>9965</v>
      </c>
    </row>
    <row r="1449" spans="1:19" ht="107.1" customHeight="1" x14ac:dyDescent="0.25">
      <c r="A1449" s="8" t="s">
        <v>9966</v>
      </c>
      <c r="B1449" s="8" t="s">
        <v>5693</v>
      </c>
      <c r="C1449" s="8" t="s">
        <v>5918</v>
      </c>
      <c r="D1449" s="10">
        <v>1128</v>
      </c>
      <c r="E1449" s="8" t="s">
        <v>9967</v>
      </c>
      <c r="F1449" s="8" t="s">
        <v>9968</v>
      </c>
      <c r="G1449" s="8" t="s">
        <v>4727</v>
      </c>
      <c r="H1449" s="8" t="s">
        <v>9967</v>
      </c>
      <c r="I1449" s="8"/>
      <c r="J1449" s="15" t="s">
        <v>5695</v>
      </c>
      <c r="K1449" s="8"/>
      <c r="L1449" s="15" t="s">
        <v>1685</v>
      </c>
      <c r="M1449" s="8" t="s">
        <v>5578</v>
      </c>
      <c r="N1449" s="8"/>
      <c r="O1449" s="8" t="s">
        <v>5574</v>
      </c>
      <c r="P1449" s="11"/>
      <c r="Q1449" s="8" t="s">
        <v>5696</v>
      </c>
      <c r="R1449" s="8" t="s">
        <v>5919</v>
      </c>
      <c r="S1449" s="8" t="s">
        <v>9969</v>
      </c>
    </row>
    <row r="1450" spans="1:19" ht="107.1" customHeight="1" x14ac:dyDescent="0.25">
      <c r="A1450" s="8" t="s">
        <v>9970</v>
      </c>
      <c r="B1450" s="8" t="s">
        <v>5693</v>
      </c>
      <c r="C1450" s="8" t="s">
        <v>5918</v>
      </c>
      <c r="D1450" s="10">
        <v>1129</v>
      </c>
      <c r="E1450" s="8" t="s">
        <v>9971</v>
      </c>
      <c r="F1450" s="8" t="s">
        <v>9972</v>
      </c>
      <c r="G1450" s="8" t="s">
        <v>4727</v>
      </c>
      <c r="H1450" s="8" t="s">
        <v>9971</v>
      </c>
      <c r="I1450" s="8"/>
      <c r="J1450" s="15" t="s">
        <v>5695</v>
      </c>
      <c r="K1450" s="8"/>
      <c r="L1450" s="15" t="s">
        <v>1685</v>
      </c>
      <c r="M1450" s="8" t="s">
        <v>5578</v>
      </c>
      <c r="N1450" s="8"/>
      <c r="O1450" s="8" t="s">
        <v>5574</v>
      </c>
      <c r="P1450" s="11"/>
      <c r="Q1450" s="8" t="s">
        <v>5696</v>
      </c>
      <c r="R1450" s="8" t="s">
        <v>5919</v>
      </c>
      <c r="S1450" s="8" t="s">
        <v>9973</v>
      </c>
    </row>
    <row r="1451" spans="1:19" ht="107.1" customHeight="1" x14ac:dyDescent="0.25">
      <c r="A1451" s="8" t="s">
        <v>9974</v>
      </c>
      <c r="B1451" s="8" t="s">
        <v>5693</v>
      </c>
      <c r="C1451" s="8" t="s">
        <v>5918</v>
      </c>
      <c r="D1451" s="10">
        <v>1130</v>
      </c>
      <c r="E1451" s="8" t="s">
        <v>9975</v>
      </c>
      <c r="F1451" s="8" t="s">
        <v>9976</v>
      </c>
      <c r="G1451" s="8" t="s">
        <v>4727</v>
      </c>
      <c r="H1451" s="8" t="s">
        <v>9975</v>
      </c>
      <c r="I1451" s="8"/>
      <c r="J1451" s="15" t="s">
        <v>5695</v>
      </c>
      <c r="K1451" s="8"/>
      <c r="L1451" s="15" t="s">
        <v>1685</v>
      </c>
      <c r="M1451" s="8" t="s">
        <v>5578</v>
      </c>
      <c r="N1451" s="8"/>
      <c r="O1451" s="8" t="s">
        <v>5574</v>
      </c>
      <c r="P1451" s="11"/>
      <c r="Q1451" s="8" t="s">
        <v>5696</v>
      </c>
      <c r="R1451" s="8" t="s">
        <v>5919</v>
      </c>
      <c r="S1451" s="8" t="s">
        <v>9977</v>
      </c>
    </row>
    <row r="1452" spans="1:19" ht="93" customHeight="1" x14ac:dyDescent="0.25">
      <c r="A1452" s="8" t="s">
        <v>9978</v>
      </c>
      <c r="B1452" s="8" t="s">
        <v>5693</v>
      </c>
      <c r="C1452" s="8" t="s">
        <v>5918</v>
      </c>
      <c r="D1452" s="10">
        <v>1131</v>
      </c>
      <c r="E1452" s="8" t="s">
        <v>9979</v>
      </c>
      <c r="F1452" s="8" t="s">
        <v>9980</v>
      </c>
      <c r="G1452" s="8" t="s">
        <v>4727</v>
      </c>
      <c r="H1452" s="8" t="s">
        <v>9979</v>
      </c>
      <c r="I1452" s="8"/>
      <c r="J1452" s="15" t="s">
        <v>5695</v>
      </c>
      <c r="K1452" s="8"/>
      <c r="L1452" s="15" t="s">
        <v>1685</v>
      </c>
      <c r="M1452" s="8" t="s">
        <v>5578</v>
      </c>
      <c r="N1452" s="8"/>
      <c r="O1452" s="8" t="s">
        <v>5574</v>
      </c>
      <c r="P1452" s="11"/>
      <c r="Q1452" s="8" t="s">
        <v>5696</v>
      </c>
      <c r="R1452" s="8" t="s">
        <v>5919</v>
      </c>
      <c r="S1452" s="8" t="s">
        <v>9981</v>
      </c>
    </row>
    <row r="1453" spans="1:19" ht="107.1" customHeight="1" x14ac:dyDescent="0.25">
      <c r="A1453" s="8" t="s">
        <v>9982</v>
      </c>
      <c r="B1453" s="8" t="s">
        <v>5693</v>
      </c>
      <c r="C1453" s="8" t="s">
        <v>5918</v>
      </c>
      <c r="D1453" s="10">
        <v>1132</v>
      </c>
      <c r="E1453" s="8" t="s">
        <v>9983</v>
      </c>
      <c r="F1453" s="8" t="s">
        <v>9984</v>
      </c>
      <c r="G1453" s="8" t="s">
        <v>4727</v>
      </c>
      <c r="H1453" s="8" t="s">
        <v>9983</v>
      </c>
      <c r="I1453" s="8"/>
      <c r="J1453" s="15" t="s">
        <v>5695</v>
      </c>
      <c r="K1453" s="8"/>
      <c r="L1453" s="15" t="s">
        <v>1685</v>
      </c>
      <c r="M1453" s="8" t="s">
        <v>5578</v>
      </c>
      <c r="N1453" s="8"/>
      <c r="O1453" s="8" t="s">
        <v>5574</v>
      </c>
      <c r="P1453" s="11"/>
      <c r="Q1453" s="8" t="s">
        <v>5696</v>
      </c>
      <c r="R1453" s="8" t="s">
        <v>5919</v>
      </c>
      <c r="S1453" s="8" t="s">
        <v>9985</v>
      </c>
    </row>
    <row r="1454" spans="1:19" ht="93" customHeight="1" x14ac:dyDescent="0.25">
      <c r="A1454" s="8" t="s">
        <v>9986</v>
      </c>
      <c r="B1454" s="8" t="s">
        <v>5693</v>
      </c>
      <c r="C1454" s="8" t="s">
        <v>5918</v>
      </c>
      <c r="D1454" s="10">
        <v>1133</v>
      </c>
      <c r="E1454" s="8" t="s">
        <v>9987</v>
      </c>
      <c r="F1454" s="8" t="s">
        <v>9988</v>
      </c>
      <c r="G1454" s="8" t="s">
        <v>4727</v>
      </c>
      <c r="H1454" s="8" t="s">
        <v>9987</v>
      </c>
      <c r="I1454" s="8"/>
      <c r="J1454" s="15" t="s">
        <v>5695</v>
      </c>
      <c r="K1454" s="8"/>
      <c r="L1454" s="15" t="s">
        <v>1685</v>
      </c>
      <c r="M1454" s="8" t="s">
        <v>5578</v>
      </c>
      <c r="N1454" s="8"/>
      <c r="O1454" s="8" t="s">
        <v>5574</v>
      </c>
      <c r="P1454" s="11"/>
      <c r="Q1454" s="8" t="s">
        <v>5696</v>
      </c>
      <c r="R1454" s="8" t="s">
        <v>5919</v>
      </c>
      <c r="S1454" s="8" t="s">
        <v>9989</v>
      </c>
    </row>
    <row r="1455" spans="1:19" ht="107.1" customHeight="1" x14ac:dyDescent="0.25">
      <c r="A1455" s="8" t="s">
        <v>9990</v>
      </c>
      <c r="B1455" s="8" t="s">
        <v>5693</v>
      </c>
      <c r="C1455" s="8" t="s">
        <v>5918</v>
      </c>
      <c r="D1455" s="10">
        <v>1134</v>
      </c>
      <c r="E1455" s="8" t="s">
        <v>9991</v>
      </c>
      <c r="F1455" s="8" t="s">
        <v>9992</v>
      </c>
      <c r="G1455" s="8" t="s">
        <v>4727</v>
      </c>
      <c r="H1455" s="8" t="s">
        <v>9991</v>
      </c>
      <c r="I1455" s="8"/>
      <c r="J1455" s="15" t="s">
        <v>5695</v>
      </c>
      <c r="K1455" s="8"/>
      <c r="L1455" s="15" t="s">
        <v>1685</v>
      </c>
      <c r="M1455" s="8" t="s">
        <v>5578</v>
      </c>
      <c r="N1455" s="8"/>
      <c r="O1455" s="8" t="s">
        <v>5574</v>
      </c>
      <c r="P1455" s="11"/>
      <c r="Q1455" s="8" t="s">
        <v>5696</v>
      </c>
      <c r="R1455" s="8" t="s">
        <v>5919</v>
      </c>
      <c r="S1455" s="8" t="s">
        <v>9993</v>
      </c>
    </row>
    <row r="1456" spans="1:19" ht="107.1" customHeight="1" x14ac:dyDescent="0.25">
      <c r="A1456" s="8" t="s">
        <v>9994</v>
      </c>
      <c r="B1456" s="8" t="s">
        <v>5693</v>
      </c>
      <c r="C1456" s="8" t="s">
        <v>5918</v>
      </c>
      <c r="D1456" s="10">
        <v>1135</v>
      </c>
      <c r="E1456" s="8" t="s">
        <v>9995</v>
      </c>
      <c r="F1456" s="8" t="s">
        <v>9996</v>
      </c>
      <c r="G1456" s="8" t="s">
        <v>4727</v>
      </c>
      <c r="H1456" s="8" t="s">
        <v>9995</v>
      </c>
      <c r="I1456" s="8"/>
      <c r="J1456" s="15" t="s">
        <v>5695</v>
      </c>
      <c r="K1456" s="8"/>
      <c r="L1456" s="15" t="s">
        <v>1685</v>
      </c>
      <c r="M1456" s="8" t="s">
        <v>5578</v>
      </c>
      <c r="N1456" s="8"/>
      <c r="O1456" s="8" t="s">
        <v>5574</v>
      </c>
      <c r="P1456" s="11"/>
      <c r="Q1456" s="8" t="s">
        <v>5696</v>
      </c>
      <c r="R1456" s="8" t="s">
        <v>5919</v>
      </c>
      <c r="S1456" s="8" t="s">
        <v>9997</v>
      </c>
    </row>
    <row r="1457" spans="1:19" ht="107.1" customHeight="1" x14ac:dyDescent="0.25">
      <c r="A1457" s="8" t="s">
        <v>9998</v>
      </c>
      <c r="B1457" s="8" t="s">
        <v>5693</v>
      </c>
      <c r="C1457" s="8" t="s">
        <v>5918</v>
      </c>
      <c r="D1457" s="10">
        <v>1136</v>
      </c>
      <c r="E1457" s="8" t="s">
        <v>9999</v>
      </c>
      <c r="F1457" s="8" t="s">
        <v>10000</v>
      </c>
      <c r="G1457" s="8" t="s">
        <v>4727</v>
      </c>
      <c r="H1457" s="8" t="s">
        <v>9999</v>
      </c>
      <c r="I1457" s="8"/>
      <c r="J1457" s="15" t="s">
        <v>5695</v>
      </c>
      <c r="K1457" s="8"/>
      <c r="L1457" s="15" t="s">
        <v>1685</v>
      </c>
      <c r="M1457" s="8" t="s">
        <v>5578</v>
      </c>
      <c r="N1457" s="8"/>
      <c r="O1457" s="8" t="s">
        <v>5574</v>
      </c>
      <c r="P1457" s="11"/>
      <c r="Q1457" s="8" t="s">
        <v>5696</v>
      </c>
      <c r="R1457" s="8" t="s">
        <v>5919</v>
      </c>
      <c r="S1457" s="8" t="s">
        <v>10001</v>
      </c>
    </row>
    <row r="1458" spans="1:19" ht="93" customHeight="1" x14ac:dyDescent="0.25">
      <c r="A1458" s="8" t="s">
        <v>10002</v>
      </c>
      <c r="B1458" s="8" t="s">
        <v>5693</v>
      </c>
      <c r="C1458" s="8" t="s">
        <v>5918</v>
      </c>
      <c r="D1458" s="10">
        <v>1137</v>
      </c>
      <c r="E1458" s="8" t="s">
        <v>10003</v>
      </c>
      <c r="F1458" s="8" t="s">
        <v>10004</v>
      </c>
      <c r="G1458" s="8" t="s">
        <v>4727</v>
      </c>
      <c r="H1458" s="8" t="s">
        <v>10003</v>
      </c>
      <c r="I1458" s="8"/>
      <c r="J1458" s="15" t="s">
        <v>5695</v>
      </c>
      <c r="K1458" s="8"/>
      <c r="L1458" s="15" t="s">
        <v>1685</v>
      </c>
      <c r="M1458" s="8" t="s">
        <v>5578</v>
      </c>
      <c r="N1458" s="8"/>
      <c r="O1458" s="8" t="s">
        <v>5574</v>
      </c>
      <c r="P1458" s="11"/>
      <c r="Q1458" s="8" t="s">
        <v>5696</v>
      </c>
      <c r="R1458" s="8" t="s">
        <v>5919</v>
      </c>
      <c r="S1458" s="8" t="s">
        <v>10005</v>
      </c>
    </row>
    <row r="1459" spans="1:19" ht="107.1" customHeight="1" x14ac:dyDescent="0.25">
      <c r="A1459" s="8" t="s">
        <v>10006</v>
      </c>
      <c r="B1459" s="8" t="s">
        <v>5693</v>
      </c>
      <c r="C1459" s="8" t="s">
        <v>5918</v>
      </c>
      <c r="D1459" s="10">
        <v>1138</v>
      </c>
      <c r="E1459" s="8" t="s">
        <v>10007</v>
      </c>
      <c r="F1459" s="8" t="s">
        <v>10008</v>
      </c>
      <c r="G1459" s="8" t="s">
        <v>4727</v>
      </c>
      <c r="H1459" s="8" t="s">
        <v>10007</v>
      </c>
      <c r="I1459" s="8"/>
      <c r="J1459" s="15" t="s">
        <v>5695</v>
      </c>
      <c r="K1459" s="8"/>
      <c r="L1459" s="15" t="s">
        <v>1685</v>
      </c>
      <c r="M1459" s="8" t="s">
        <v>5578</v>
      </c>
      <c r="N1459" s="8"/>
      <c r="O1459" s="8" t="s">
        <v>5574</v>
      </c>
      <c r="P1459" s="11"/>
      <c r="Q1459" s="8" t="s">
        <v>5696</v>
      </c>
      <c r="R1459" s="8" t="s">
        <v>5919</v>
      </c>
      <c r="S1459" s="8" t="s">
        <v>10009</v>
      </c>
    </row>
    <row r="1460" spans="1:19" ht="107.1" customHeight="1" x14ac:dyDescent="0.25">
      <c r="A1460" s="8" t="s">
        <v>10010</v>
      </c>
      <c r="B1460" s="8" t="s">
        <v>5693</v>
      </c>
      <c r="C1460" s="8" t="s">
        <v>5918</v>
      </c>
      <c r="D1460" s="10">
        <v>1139</v>
      </c>
      <c r="E1460" s="8" t="s">
        <v>10011</v>
      </c>
      <c r="F1460" s="8" t="s">
        <v>10012</v>
      </c>
      <c r="G1460" s="8" t="s">
        <v>4727</v>
      </c>
      <c r="H1460" s="8" t="s">
        <v>10011</v>
      </c>
      <c r="I1460" s="8"/>
      <c r="J1460" s="15" t="s">
        <v>5695</v>
      </c>
      <c r="K1460" s="8"/>
      <c r="L1460" s="15" t="s">
        <v>1685</v>
      </c>
      <c r="M1460" s="8" t="s">
        <v>5578</v>
      </c>
      <c r="N1460" s="8"/>
      <c r="O1460" s="8" t="s">
        <v>5574</v>
      </c>
      <c r="P1460" s="11"/>
      <c r="Q1460" s="8" t="s">
        <v>5696</v>
      </c>
      <c r="R1460" s="8" t="s">
        <v>5919</v>
      </c>
      <c r="S1460" s="8" t="s">
        <v>10013</v>
      </c>
    </row>
    <row r="1461" spans="1:19" ht="107.1" customHeight="1" x14ac:dyDescent="0.25">
      <c r="A1461" s="8" t="s">
        <v>10014</v>
      </c>
      <c r="B1461" s="8" t="s">
        <v>5693</v>
      </c>
      <c r="C1461" s="8" t="s">
        <v>5918</v>
      </c>
      <c r="D1461" s="10">
        <v>1140</v>
      </c>
      <c r="E1461" s="8" t="s">
        <v>10015</v>
      </c>
      <c r="F1461" s="8" t="s">
        <v>10016</v>
      </c>
      <c r="G1461" s="8" t="s">
        <v>4727</v>
      </c>
      <c r="H1461" s="8" t="s">
        <v>10015</v>
      </c>
      <c r="I1461" s="8"/>
      <c r="J1461" s="15" t="s">
        <v>5695</v>
      </c>
      <c r="K1461" s="8"/>
      <c r="L1461" s="15" t="s">
        <v>1685</v>
      </c>
      <c r="M1461" s="8" t="s">
        <v>5578</v>
      </c>
      <c r="N1461" s="8"/>
      <c r="O1461" s="8" t="s">
        <v>5574</v>
      </c>
      <c r="P1461" s="11"/>
      <c r="Q1461" s="8" t="s">
        <v>5696</v>
      </c>
      <c r="R1461" s="8" t="s">
        <v>5919</v>
      </c>
      <c r="S1461" s="8" t="s">
        <v>10017</v>
      </c>
    </row>
    <row r="1462" spans="1:19" ht="107.1" customHeight="1" x14ac:dyDescent="0.25">
      <c r="A1462" s="8" t="s">
        <v>10018</v>
      </c>
      <c r="B1462" s="8" t="s">
        <v>5693</v>
      </c>
      <c r="C1462" s="8" t="s">
        <v>5918</v>
      </c>
      <c r="D1462" s="10">
        <v>1141</v>
      </c>
      <c r="E1462" s="8" t="s">
        <v>10019</v>
      </c>
      <c r="F1462" s="8" t="s">
        <v>10020</v>
      </c>
      <c r="G1462" s="8" t="s">
        <v>4727</v>
      </c>
      <c r="H1462" s="8" t="s">
        <v>10019</v>
      </c>
      <c r="I1462" s="8"/>
      <c r="J1462" s="15" t="s">
        <v>5695</v>
      </c>
      <c r="K1462" s="8"/>
      <c r="L1462" s="15" t="s">
        <v>1685</v>
      </c>
      <c r="M1462" s="8" t="s">
        <v>5578</v>
      </c>
      <c r="N1462" s="8"/>
      <c r="O1462" s="8" t="s">
        <v>5574</v>
      </c>
      <c r="P1462" s="11"/>
      <c r="Q1462" s="8" t="s">
        <v>5696</v>
      </c>
      <c r="R1462" s="8" t="s">
        <v>5919</v>
      </c>
      <c r="S1462" s="8" t="s">
        <v>10021</v>
      </c>
    </row>
    <row r="1463" spans="1:19" ht="107.1" customHeight="1" x14ac:dyDescent="0.25">
      <c r="A1463" s="8" t="s">
        <v>10022</v>
      </c>
      <c r="B1463" s="8" t="s">
        <v>5693</v>
      </c>
      <c r="C1463" s="8" t="s">
        <v>5918</v>
      </c>
      <c r="D1463" s="10">
        <v>1142</v>
      </c>
      <c r="E1463" s="8" t="s">
        <v>10023</v>
      </c>
      <c r="F1463" s="8" t="s">
        <v>10024</v>
      </c>
      <c r="G1463" s="8" t="s">
        <v>4727</v>
      </c>
      <c r="H1463" s="8" t="s">
        <v>10023</v>
      </c>
      <c r="I1463" s="8"/>
      <c r="J1463" s="15" t="s">
        <v>5695</v>
      </c>
      <c r="K1463" s="8"/>
      <c r="L1463" s="15" t="s">
        <v>1685</v>
      </c>
      <c r="M1463" s="8" t="s">
        <v>5578</v>
      </c>
      <c r="N1463" s="8"/>
      <c r="O1463" s="8" t="s">
        <v>5574</v>
      </c>
      <c r="P1463" s="11"/>
      <c r="Q1463" s="8" t="s">
        <v>5696</v>
      </c>
      <c r="R1463" s="8" t="s">
        <v>5919</v>
      </c>
      <c r="S1463" s="8" t="s">
        <v>10025</v>
      </c>
    </row>
    <row r="1464" spans="1:19" ht="107.1" customHeight="1" x14ac:dyDescent="0.25">
      <c r="A1464" s="8" t="s">
        <v>10026</v>
      </c>
      <c r="B1464" s="8" t="s">
        <v>5693</v>
      </c>
      <c r="C1464" s="8" t="s">
        <v>5918</v>
      </c>
      <c r="D1464" s="10">
        <v>1143</v>
      </c>
      <c r="E1464" s="8" t="s">
        <v>10027</v>
      </c>
      <c r="F1464" s="8" t="s">
        <v>10028</v>
      </c>
      <c r="G1464" s="8" t="s">
        <v>4727</v>
      </c>
      <c r="H1464" s="8" t="s">
        <v>10027</v>
      </c>
      <c r="I1464" s="8"/>
      <c r="J1464" s="15" t="s">
        <v>5695</v>
      </c>
      <c r="K1464" s="8"/>
      <c r="L1464" s="15" t="s">
        <v>1685</v>
      </c>
      <c r="M1464" s="8" t="s">
        <v>5578</v>
      </c>
      <c r="N1464" s="8"/>
      <c r="O1464" s="8" t="s">
        <v>5574</v>
      </c>
      <c r="P1464" s="11"/>
      <c r="Q1464" s="8" t="s">
        <v>5696</v>
      </c>
      <c r="R1464" s="8" t="s">
        <v>5919</v>
      </c>
      <c r="S1464" s="8" t="s">
        <v>10029</v>
      </c>
    </row>
    <row r="1465" spans="1:19" ht="107.1" customHeight="1" x14ac:dyDescent="0.25">
      <c r="A1465" s="8" t="s">
        <v>10030</v>
      </c>
      <c r="B1465" s="8" t="s">
        <v>5693</v>
      </c>
      <c r="C1465" s="8" t="s">
        <v>5918</v>
      </c>
      <c r="D1465" s="10">
        <v>1144</v>
      </c>
      <c r="E1465" s="8" t="s">
        <v>10031</v>
      </c>
      <c r="F1465" s="8" t="s">
        <v>10032</v>
      </c>
      <c r="G1465" s="8" t="s">
        <v>4727</v>
      </c>
      <c r="H1465" s="8" t="s">
        <v>10031</v>
      </c>
      <c r="I1465" s="8"/>
      <c r="J1465" s="15" t="s">
        <v>5695</v>
      </c>
      <c r="K1465" s="8"/>
      <c r="L1465" s="15" t="s">
        <v>1685</v>
      </c>
      <c r="M1465" s="8" t="s">
        <v>5578</v>
      </c>
      <c r="N1465" s="8"/>
      <c r="O1465" s="8" t="s">
        <v>5574</v>
      </c>
      <c r="P1465" s="11"/>
      <c r="Q1465" s="8" t="s">
        <v>5696</v>
      </c>
      <c r="R1465" s="8" t="s">
        <v>5919</v>
      </c>
      <c r="S1465" s="8" t="s">
        <v>10033</v>
      </c>
    </row>
    <row r="1466" spans="1:19" ht="93" customHeight="1" x14ac:dyDescent="0.25">
      <c r="A1466" s="8" t="s">
        <v>10034</v>
      </c>
      <c r="B1466" s="8" t="s">
        <v>5693</v>
      </c>
      <c r="C1466" s="8" t="s">
        <v>5918</v>
      </c>
      <c r="D1466" s="10">
        <v>1145</v>
      </c>
      <c r="E1466" s="8" t="s">
        <v>10035</v>
      </c>
      <c r="F1466" s="8" t="s">
        <v>10036</v>
      </c>
      <c r="G1466" s="8" t="s">
        <v>4727</v>
      </c>
      <c r="H1466" s="8" t="s">
        <v>10035</v>
      </c>
      <c r="I1466" s="8"/>
      <c r="J1466" s="15" t="s">
        <v>5695</v>
      </c>
      <c r="K1466" s="8"/>
      <c r="L1466" s="15" t="s">
        <v>1685</v>
      </c>
      <c r="M1466" s="8" t="s">
        <v>5578</v>
      </c>
      <c r="N1466" s="8"/>
      <c r="O1466" s="8" t="s">
        <v>5574</v>
      </c>
      <c r="P1466" s="11"/>
      <c r="Q1466" s="8" t="s">
        <v>5696</v>
      </c>
      <c r="R1466" s="8" t="s">
        <v>5919</v>
      </c>
      <c r="S1466" s="8" t="s">
        <v>10037</v>
      </c>
    </row>
    <row r="1467" spans="1:19" ht="93" customHeight="1" x14ac:dyDescent="0.25">
      <c r="A1467" s="8" t="s">
        <v>10038</v>
      </c>
      <c r="B1467" s="8" t="s">
        <v>5693</v>
      </c>
      <c r="C1467" s="8" t="s">
        <v>5918</v>
      </c>
      <c r="D1467" s="10">
        <v>1146</v>
      </c>
      <c r="E1467" s="8" t="s">
        <v>10039</v>
      </c>
      <c r="F1467" s="8" t="s">
        <v>10040</v>
      </c>
      <c r="G1467" s="8" t="s">
        <v>4727</v>
      </c>
      <c r="H1467" s="8" t="s">
        <v>10039</v>
      </c>
      <c r="I1467" s="8"/>
      <c r="J1467" s="15" t="s">
        <v>5695</v>
      </c>
      <c r="K1467" s="8"/>
      <c r="L1467" s="15" t="s">
        <v>1685</v>
      </c>
      <c r="M1467" s="8" t="s">
        <v>5578</v>
      </c>
      <c r="N1467" s="8"/>
      <c r="O1467" s="8" t="s">
        <v>5574</v>
      </c>
      <c r="P1467" s="11"/>
      <c r="Q1467" s="8" t="s">
        <v>5696</v>
      </c>
      <c r="R1467" s="8" t="s">
        <v>5919</v>
      </c>
      <c r="S1467" s="8" t="s">
        <v>10041</v>
      </c>
    </row>
    <row r="1468" spans="1:19" ht="107.1" customHeight="1" x14ac:dyDescent="0.25">
      <c r="A1468" s="8" t="s">
        <v>10042</v>
      </c>
      <c r="B1468" s="8" t="s">
        <v>5693</v>
      </c>
      <c r="C1468" s="8" t="s">
        <v>5918</v>
      </c>
      <c r="D1468" s="10">
        <v>1147</v>
      </c>
      <c r="E1468" s="8" t="s">
        <v>10043</v>
      </c>
      <c r="F1468" s="8" t="s">
        <v>10044</v>
      </c>
      <c r="G1468" s="8" t="s">
        <v>4727</v>
      </c>
      <c r="H1468" s="8" t="s">
        <v>10043</v>
      </c>
      <c r="I1468" s="8"/>
      <c r="J1468" s="15" t="s">
        <v>5695</v>
      </c>
      <c r="K1468" s="8"/>
      <c r="L1468" s="15" t="s">
        <v>1685</v>
      </c>
      <c r="M1468" s="8" t="s">
        <v>5578</v>
      </c>
      <c r="N1468" s="8"/>
      <c r="O1468" s="8" t="s">
        <v>5574</v>
      </c>
      <c r="P1468" s="11"/>
      <c r="Q1468" s="8" t="s">
        <v>5696</v>
      </c>
      <c r="R1468" s="8" t="s">
        <v>5919</v>
      </c>
      <c r="S1468" s="8" t="s">
        <v>10045</v>
      </c>
    </row>
    <row r="1469" spans="1:19" ht="107.1" customHeight="1" x14ac:dyDescent="0.25">
      <c r="A1469" s="8" t="s">
        <v>10046</v>
      </c>
      <c r="B1469" s="8" t="s">
        <v>5693</v>
      </c>
      <c r="C1469" s="8" t="s">
        <v>5918</v>
      </c>
      <c r="D1469" s="10">
        <v>1148</v>
      </c>
      <c r="E1469" s="8" t="s">
        <v>10047</v>
      </c>
      <c r="F1469" s="8" t="s">
        <v>10048</v>
      </c>
      <c r="G1469" s="8" t="s">
        <v>4727</v>
      </c>
      <c r="H1469" s="8" t="s">
        <v>10047</v>
      </c>
      <c r="I1469" s="8"/>
      <c r="J1469" s="15" t="s">
        <v>5695</v>
      </c>
      <c r="K1469" s="8"/>
      <c r="L1469" s="15" t="s">
        <v>1685</v>
      </c>
      <c r="M1469" s="8" t="s">
        <v>5578</v>
      </c>
      <c r="N1469" s="8"/>
      <c r="O1469" s="8" t="s">
        <v>5574</v>
      </c>
      <c r="P1469" s="11"/>
      <c r="Q1469" s="8" t="s">
        <v>5696</v>
      </c>
      <c r="R1469" s="8" t="s">
        <v>5919</v>
      </c>
      <c r="S1469" s="8" t="s">
        <v>10049</v>
      </c>
    </row>
    <row r="1470" spans="1:19" ht="107.1" customHeight="1" x14ac:dyDescent="0.25">
      <c r="A1470" s="8" t="s">
        <v>10050</v>
      </c>
      <c r="B1470" s="8" t="s">
        <v>5693</v>
      </c>
      <c r="C1470" s="8" t="s">
        <v>5918</v>
      </c>
      <c r="D1470" s="10">
        <v>1149</v>
      </c>
      <c r="E1470" s="8" t="s">
        <v>10051</v>
      </c>
      <c r="F1470" s="8" t="s">
        <v>10052</v>
      </c>
      <c r="G1470" s="8" t="s">
        <v>4727</v>
      </c>
      <c r="H1470" s="8" t="s">
        <v>10051</v>
      </c>
      <c r="I1470" s="8"/>
      <c r="J1470" s="15" t="s">
        <v>5695</v>
      </c>
      <c r="K1470" s="8"/>
      <c r="L1470" s="15" t="s">
        <v>1685</v>
      </c>
      <c r="M1470" s="8" t="s">
        <v>5578</v>
      </c>
      <c r="N1470" s="8"/>
      <c r="O1470" s="8" t="s">
        <v>5574</v>
      </c>
      <c r="P1470" s="11"/>
      <c r="Q1470" s="8" t="s">
        <v>5696</v>
      </c>
      <c r="R1470" s="8" t="s">
        <v>5919</v>
      </c>
      <c r="S1470" s="8" t="s">
        <v>10053</v>
      </c>
    </row>
    <row r="1471" spans="1:19" ht="107.1" customHeight="1" x14ac:dyDescent="0.25">
      <c r="A1471" s="8" t="s">
        <v>10054</v>
      </c>
      <c r="B1471" s="8" t="s">
        <v>5693</v>
      </c>
      <c r="C1471" s="8" t="s">
        <v>5918</v>
      </c>
      <c r="D1471" s="10">
        <v>1150</v>
      </c>
      <c r="E1471" s="8" t="s">
        <v>10055</v>
      </c>
      <c r="F1471" s="8" t="s">
        <v>10056</v>
      </c>
      <c r="G1471" s="8" t="s">
        <v>4727</v>
      </c>
      <c r="H1471" s="8" t="s">
        <v>10055</v>
      </c>
      <c r="I1471" s="8"/>
      <c r="J1471" s="15" t="s">
        <v>5695</v>
      </c>
      <c r="K1471" s="8"/>
      <c r="L1471" s="15" t="s">
        <v>1685</v>
      </c>
      <c r="M1471" s="8" t="s">
        <v>5578</v>
      </c>
      <c r="N1471" s="8"/>
      <c r="O1471" s="8" t="s">
        <v>5574</v>
      </c>
      <c r="P1471" s="11"/>
      <c r="Q1471" s="8" t="s">
        <v>5696</v>
      </c>
      <c r="R1471" s="8" t="s">
        <v>5919</v>
      </c>
      <c r="S1471" s="8" t="s">
        <v>10057</v>
      </c>
    </row>
    <row r="1472" spans="1:19" ht="93" customHeight="1" x14ac:dyDescent="0.25">
      <c r="A1472" s="8" t="s">
        <v>10058</v>
      </c>
      <c r="B1472" s="8" t="s">
        <v>5693</v>
      </c>
      <c r="C1472" s="8" t="s">
        <v>5918</v>
      </c>
      <c r="D1472" s="10">
        <v>1151</v>
      </c>
      <c r="E1472" s="8" t="s">
        <v>10059</v>
      </c>
      <c r="F1472" s="8" t="s">
        <v>10060</v>
      </c>
      <c r="G1472" s="8" t="s">
        <v>4727</v>
      </c>
      <c r="H1472" s="8" t="s">
        <v>10059</v>
      </c>
      <c r="I1472" s="8"/>
      <c r="J1472" s="15" t="s">
        <v>5695</v>
      </c>
      <c r="K1472" s="8"/>
      <c r="L1472" s="15" t="s">
        <v>1685</v>
      </c>
      <c r="M1472" s="8" t="s">
        <v>5578</v>
      </c>
      <c r="N1472" s="8"/>
      <c r="O1472" s="8" t="s">
        <v>5574</v>
      </c>
      <c r="P1472" s="11"/>
      <c r="Q1472" s="8" t="s">
        <v>5696</v>
      </c>
      <c r="R1472" s="8" t="s">
        <v>5919</v>
      </c>
      <c r="S1472" s="8" t="s">
        <v>10061</v>
      </c>
    </row>
    <row r="1473" spans="1:19" ht="107.1" customHeight="1" x14ac:dyDescent="0.25">
      <c r="A1473" s="8" t="s">
        <v>10062</v>
      </c>
      <c r="B1473" s="8" t="s">
        <v>5693</v>
      </c>
      <c r="C1473" s="8" t="s">
        <v>5918</v>
      </c>
      <c r="D1473" s="10">
        <v>1152</v>
      </c>
      <c r="E1473" s="8" t="s">
        <v>10063</v>
      </c>
      <c r="F1473" s="8" t="s">
        <v>10064</v>
      </c>
      <c r="G1473" s="8" t="s">
        <v>4727</v>
      </c>
      <c r="H1473" s="8" t="s">
        <v>10063</v>
      </c>
      <c r="I1473" s="8"/>
      <c r="J1473" s="15" t="s">
        <v>5695</v>
      </c>
      <c r="K1473" s="8"/>
      <c r="L1473" s="15" t="s">
        <v>1685</v>
      </c>
      <c r="M1473" s="8" t="s">
        <v>5578</v>
      </c>
      <c r="N1473" s="8"/>
      <c r="O1473" s="8" t="s">
        <v>5574</v>
      </c>
      <c r="P1473" s="11"/>
      <c r="Q1473" s="8" t="s">
        <v>5696</v>
      </c>
      <c r="R1473" s="8" t="s">
        <v>5919</v>
      </c>
      <c r="S1473" s="8" t="s">
        <v>10065</v>
      </c>
    </row>
    <row r="1474" spans="1:19" ht="107.1" customHeight="1" x14ac:dyDescent="0.25">
      <c r="A1474" s="8" t="s">
        <v>10066</v>
      </c>
      <c r="B1474" s="8" t="s">
        <v>5693</v>
      </c>
      <c r="C1474" s="8" t="s">
        <v>5918</v>
      </c>
      <c r="D1474" s="10">
        <v>1153</v>
      </c>
      <c r="E1474" s="8" t="s">
        <v>10067</v>
      </c>
      <c r="F1474" s="8" t="s">
        <v>10068</v>
      </c>
      <c r="G1474" s="8" t="s">
        <v>4727</v>
      </c>
      <c r="H1474" s="8" t="s">
        <v>10067</v>
      </c>
      <c r="I1474" s="8"/>
      <c r="J1474" s="15" t="s">
        <v>5695</v>
      </c>
      <c r="K1474" s="8"/>
      <c r="L1474" s="15" t="s">
        <v>1685</v>
      </c>
      <c r="M1474" s="8" t="s">
        <v>5578</v>
      </c>
      <c r="N1474" s="8"/>
      <c r="O1474" s="8" t="s">
        <v>5574</v>
      </c>
      <c r="P1474" s="11"/>
      <c r="Q1474" s="8" t="s">
        <v>5696</v>
      </c>
      <c r="R1474" s="8" t="s">
        <v>5919</v>
      </c>
      <c r="S1474" s="8" t="s">
        <v>10069</v>
      </c>
    </row>
    <row r="1475" spans="1:19" ht="107.1" customHeight="1" x14ac:dyDescent="0.25">
      <c r="A1475" s="8" t="s">
        <v>10070</v>
      </c>
      <c r="B1475" s="8" t="s">
        <v>5693</v>
      </c>
      <c r="C1475" s="8" t="s">
        <v>5918</v>
      </c>
      <c r="D1475" s="10">
        <v>1154</v>
      </c>
      <c r="E1475" s="8" t="s">
        <v>10071</v>
      </c>
      <c r="F1475" s="8" t="s">
        <v>10072</v>
      </c>
      <c r="G1475" s="8" t="s">
        <v>4727</v>
      </c>
      <c r="H1475" s="8" t="s">
        <v>10071</v>
      </c>
      <c r="I1475" s="8"/>
      <c r="J1475" s="15" t="s">
        <v>5695</v>
      </c>
      <c r="K1475" s="8"/>
      <c r="L1475" s="15" t="s">
        <v>1685</v>
      </c>
      <c r="M1475" s="8" t="s">
        <v>5578</v>
      </c>
      <c r="N1475" s="8"/>
      <c r="O1475" s="8" t="s">
        <v>5574</v>
      </c>
      <c r="P1475" s="11"/>
      <c r="Q1475" s="8" t="s">
        <v>5696</v>
      </c>
      <c r="R1475" s="8" t="s">
        <v>5919</v>
      </c>
      <c r="S1475" s="8" t="s">
        <v>10073</v>
      </c>
    </row>
    <row r="1476" spans="1:19" ht="93" customHeight="1" x14ac:dyDescent="0.25">
      <c r="A1476" s="8" t="s">
        <v>10074</v>
      </c>
      <c r="B1476" s="8" t="s">
        <v>5693</v>
      </c>
      <c r="C1476" s="8" t="s">
        <v>5918</v>
      </c>
      <c r="D1476" s="10">
        <v>1155</v>
      </c>
      <c r="E1476" s="8" t="s">
        <v>10075</v>
      </c>
      <c r="F1476" s="8" t="s">
        <v>10076</v>
      </c>
      <c r="G1476" s="8" t="s">
        <v>4727</v>
      </c>
      <c r="H1476" s="8" t="s">
        <v>10075</v>
      </c>
      <c r="I1476" s="8"/>
      <c r="J1476" s="15" t="s">
        <v>5695</v>
      </c>
      <c r="K1476" s="8"/>
      <c r="L1476" s="15" t="s">
        <v>1685</v>
      </c>
      <c r="M1476" s="8" t="s">
        <v>5578</v>
      </c>
      <c r="N1476" s="8"/>
      <c r="O1476" s="8" t="s">
        <v>5574</v>
      </c>
      <c r="P1476" s="11"/>
      <c r="Q1476" s="8" t="s">
        <v>5696</v>
      </c>
      <c r="R1476" s="8" t="s">
        <v>5919</v>
      </c>
      <c r="S1476" s="8" t="s">
        <v>10077</v>
      </c>
    </row>
    <row r="1477" spans="1:19" ht="93" customHeight="1" x14ac:dyDescent="0.25">
      <c r="A1477" s="8" t="s">
        <v>10078</v>
      </c>
      <c r="B1477" s="8" t="s">
        <v>5693</v>
      </c>
      <c r="C1477" s="8" t="s">
        <v>5918</v>
      </c>
      <c r="D1477" s="10">
        <v>1156</v>
      </c>
      <c r="E1477" s="8" t="s">
        <v>10079</v>
      </c>
      <c r="F1477" s="8" t="s">
        <v>10080</v>
      </c>
      <c r="G1477" s="8" t="s">
        <v>4727</v>
      </c>
      <c r="H1477" s="8" t="s">
        <v>10079</v>
      </c>
      <c r="I1477" s="8"/>
      <c r="J1477" s="15" t="s">
        <v>5695</v>
      </c>
      <c r="K1477" s="8"/>
      <c r="L1477" s="15" t="s">
        <v>1685</v>
      </c>
      <c r="M1477" s="8" t="s">
        <v>5578</v>
      </c>
      <c r="N1477" s="8"/>
      <c r="O1477" s="8" t="s">
        <v>5574</v>
      </c>
      <c r="P1477" s="11"/>
      <c r="Q1477" s="8" t="s">
        <v>5696</v>
      </c>
      <c r="R1477" s="8" t="s">
        <v>5919</v>
      </c>
      <c r="S1477" s="8" t="s">
        <v>10081</v>
      </c>
    </row>
    <row r="1478" spans="1:19" ht="107.1" customHeight="1" x14ac:dyDescent="0.25">
      <c r="A1478" s="8" t="s">
        <v>10082</v>
      </c>
      <c r="B1478" s="8" t="s">
        <v>5693</v>
      </c>
      <c r="C1478" s="8" t="s">
        <v>5918</v>
      </c>
      <c r="D1478" s="10">
        <v>1157</v>
      </c>
      <c r="E1478" s="8" t="s">
        <v>10083</v>
      </c>
      <c r="F1478" s="8" t="s">
        <v>10084</v>
      </c>
      <c r="G1478" s="8" t="s">
        <v>4727</v>
      </c>
      <c r="H1478" s="8" t="s">
        <v>10083</v>
      </c>
      <c r="I1478" s="8"/>
      <c r="J1478" s="15" t="s">
        <v>5695</v>
      </c>
      <c r="K1478" s="8"/>
      <c r="L1478" s="15" t="s">
        <v>1685</v>
      </c>
      <c r="M1478" s="8" t="s">
        <v>5578</v>
      </c>
      <c r="N1478" s="8"/>
      <c r="O1478" s="8" t="s">
        <v>5574</v>
      </c>
      <c r="P1478" s="11"/>
      <c r="Q1478" s="8" t="s">
        <v>5696</v>
      </c>
      <c r="R1478" s="8" t="s">
        <v>5919</v>
      </c>
      <c r="S1478" s="8" t="s">
        <v>10085</v>
      </c>
    </row>
    <row r="1479" spans="1:19" ht="107.1" customHeight="1" x14ac:dyDescent="0.25">
      <c r="A1479" s="8" t="s">
        <v>10086</v>
      </c>
      <c r="B1479" s="8" t="s">
        <v>5693</v>
      </c>
      <c r="C1479" s="8" t="s">
        <v>5918</v>
      </c>
      <c r="D1479" s="10">
        <v>1158</v>
      </c>
      <c r="E1479" s="8" t="s">
        <v>10087</v>
      </c>
      <c r="F1479" s="8" t="s">
        <v>10088</v>
      </c>
      <c r="G1479" s="8" t="s">
        <v>4727</v>
      </c>
      <c r="H1479" s="8" t="s">
        <v>10087</v>
      </c>
      <c r="I1479" s="8"/>
      <c r="J1479" s="15" t="s">
        <v>5695</v>
      </c>
      <c r="K1479" s="8"/>
      <c r="L1479" s="15" t="s">
        <v>1685</v>
      </c>
      <c r="M1479" s="8" t="s">
        <v>5578</v>
      </c>
      <c r="N1479" s="8"/>
      <c r="O1479" s="8" t="s">
        <v>5574</v>
      </c>
      <c r="P1479" s="11"/>
      <c r="Q1479" s="8" t="s">
        <v>5696</v>
      </c>
      <c r="R1479" s="8" t="s">
        <v>5919</v>
      </c>
      <c r="S1479" s="8" t="s">
        <v>10089</v>
      </c>
    </row>
    <row r="1480" spans="1:19" ht="107.1" customHeight="1" x14ac:dyDescent="0.25">
      <c r="A1480" s="8" t="s">
        <v>10090</v>
      </c>
      <c r="B1480" s="8" t="s">
        <v>5693</v>
      </c>
      <c r="C1480" s="8" t="s">
        <v>5918</v>
      </c>
      <c r="D1480" s="10">
        <v>1159</v>
      </c>
      <c r="E1480" s="8" t="s">
        <v>10091</v>
      </c>
      <c r="F1480" s="8" t="s">
        <v>10092</v>
      </c>
      <c r="G1480" s="8" t="s">
        <v>4727</v>
      </c>
      <c r="H1480" s="8" t="s">
        <v>10091</v>
      </c>
      <c r="I1480" s="8"/>
      <c r="J1480" s="15" t="s">
        <v>5695</v>
      </c>
      <c r="K1480" s="8"/>
      <c r="L1480" s="15" t="s">
        <v>1685</v>
      </c>
      <c r="M1480" s="8" t="s">
        <v>5578</v>
      </c>
      <c r="N1480" s="8"/>
      <c r="O1480" s="8" t="s">
        <v>5574</v>
      </c>
      <c r="P1480" s="11"/>
      <c r="Q1480" s="8" t="s">
        <v>5696</v>
      </c>
      <c r="R1480" s="8" t="s">
        <v>5919</v>
      </c>
      <c r="S1480" s="8" t="s">
        <v>10093</v>
      </c>
    </row>
    <row r="1481" spans="1:19" ht="93" customHeight="1" x14ac:dyDescent="0.25">
      <c r="A1481" s="8" t="s">
        <v>10094</v>
      </c>
      <c r="B1481" s="8" t="s">
        <v>5693</v>
      </c>
      <c r="C1481" s="8" t="s">
        <v>5918</v>
      </c>
      <c r="D1481" s="10">
        <v>1160</v>
      </c>
      <c r="E1481" s="8" t="s">
        <v>10095</v>
      </c>
      <c r="F1481" s="8" t="s">
        <v>10096</v>
      </c>
      <c r="G1481" s="8" t="s">
        <v>4727</v>
      </c>
      <c r="H1481" s="8" t="s">
        <v>10095</v>
      </c>
      <c r="I1481" s="8"/>
      <c r="J1481" s="15" t="s">
        <v>5695</v>
      </c>
      <c r="K1481" s="8"/>
      <c r="L1481" s="15" t="s">
        <v>1685</v>
      </c>
      <c r="M1481" s="8" t="s">
        <v>5578</v>
      </c>
      <c r="N1481" s="8"/>
      <c r="O1481" s="8" t="s">
        <v>5574</v>
      </c>
      <c r="P1481" s="11"/>
      <c r="Q1481" s="8" t="s">
        <v>5696</v>
      </c>
      <c r="R1481" s="8" t="s">
        <v>5919</v>
      </c>
      <c r="S1481" s="8" t="s">
        <v>10097</v>
      </c>
    </row>
    <row r="1482" spans="1:19" ht="107.1" customHeight="1" x14ac:dyDescent="0.25">
      <c r="A1482" s="8" t="s">
        <v>10098</v>
      </c>
      <c r="B1482" s="8" t="s">
        <v>5693</v>
      </c>
      <c r="C1482" s="8" t="s">
        <v>5918</v>
      </c>
      <c r="D1482" s="10">
        <v>1161</v>
      </c>
      <c r="E1482" s="8" t="s">
        <v>10099</v>
      </c>
      <c r="F1482" s="8" t="s">
        <v>10100</v>
      </c>
      <c r="G1482" s="8" t="s">
        <v>4727</v>
      </c>
      <c r="H1482" s="8" t="s">
        <v>10099</v>
      </c>
      <c r="I1482" s="8"/>
      <c r="J1482" s="15" t="s">
        <v>5695</v>
      </c>
      <c r="K1482" s="8"/>
      <c r="L1482" s="15" t="s">
        <v>1685</v>
      </c>
      <c r="M1482" s="8" t="s">
        <v>5578</v>
      </c>
      <c r="N1482" s="8"/>
      <c r="O1482" s="8" t="s">
        <v>5574</v>
      </c>
      <c r="P1482" s="11"/>
      <c r="Q1482" s="8" t="s">
        <v>5696</v>
      </c>
      <c r="R1482" s="8" t="s">
        <v>5919</v>
      </c>
      <c r="S1482" s="8" t="s">
        <v>10101</v>
      </c>
    </row>
    <row r="1483" spans="1:19" ht="107.1" customHeight="1" x14ac:dyDescent="0.25">
      <c r="A1483" s="8" t="s">
        <v>10102</v>
      </c>
      <c r="B1483" s="8" t="s">
        <v>5693</v>
      </c>
      <c r="C1483" s="8" t="s">
        <v>5918</v>
      </c>
      <c r="D1483" s="10">
        <v>1162</v>
      </c>
      <c r="E1483" s="8" t="s">
        <v>10103</v>
      </c>
      <c r="F1483" s="8" t="s">
        <v>10104</v>
      </c>
      <c r="G1483" s="8" t="s">
        <v>4727</v>
      </c>
      <c r="H1483" s="8" t="s">
        <v>10103</v>
      </c>
      <c r="I1483" s="8"/>
      <c r="J1483" s="15" t="s">
        <v>5695</v>
      </c>
      <c r="K1483" s="8"/>
      <c r="L1483" s="15" t="s">
        <v>1685</v>
      </c>
      <c r="M1483" s="8" t="s">
        <v>5578</v>
      </c>
      <c r="N1483" s="8"/>
      <c r="O1483" s="8" t="s">
        <v>5574</v>
      </c>
      <c r="P1483" s="11"/>
      <c r="Q1483" s="8" t="s">
        <v>5696</v>
      </c>
      <c r="R1483" s="8" t="s">
        <v>5919</v>
      </c>
      <c r="S1483" s="8" t="s">
        <v>10105</v>
      </c>
    </row>
    <row r="1484" spans="1:19" ht="93" customHeight="1" x14ac:dyDescent="0.25">
      <c r="A1484" s="8" t="s">
        <v>10106</v>
      </c>
      <c r="B1484" s="8" t="s">
        <v>5693</v>
      </c>
      <c r="C1484" s="8" t="s">
        <v>5918</v>
      </c>
      <c r="D1484" s="10">
        <v>1163</v>
      </c>
      <c r="E1484" s="8" t="s">
        <v>10107</v>
      </c>
      <c r="F1484" s="8" t="s">
        <v>10108</v>
      </c>
      <c r="G1484" s="8" t="s">
        <v>4727</v>
      </c>
      <c r="H1484" s="8" t="s">
        <v>10107</v>
      </c>
      <c r="I1484" s="8"/>
      <c r="J1484" s="15" t="s">
        <v>5695</v>
      </c>
      <c r="K1484" s="8"/>
      <c r="L1484" s="15" t="s">
        <v>1685</v>
      </c>
      <c r="M1484" s="8" t="s">
        <v>5578</v>
      </c>
      <c r="N1484" s="8"/>
      <c r="O1484" s="8" t="s">
        <v>5574</v>
      </c>
      <c r="P1484" s="11"/>
      <c r="Q1484" s="8" t="s">
        <v>5696</v>
      </c>
      <c r="R1484" s="8" t="s">
        <v>5919</v>
      </c>
      <c r="S1484" s="8" t="s">
        <v>10109</v>
      </c>
    </row>
    <row r="1485" spans="1:19" ht="107.1" customHeight="1" x14ac:dyDescent="0.25">
      <c r="A1485" s="8" t="s">
        <v>10110</v>
      </c>
      <c r="B1485" s="8" t="s">
        <v>5693</v>
      </c>
      <c r="C1485" s="8" t="s">
        <v>5918</v>
      </c>
      <c r="D1485" s="10">
        <v>1164</v>
      </c>
      <c r="E1485" s="8" t="s">
        <v>10111</v>
      </c>
      <c r="F1485" s="8" t="s">
        <v>10112</v>
      </c>
      <c r="G1485" s="8" t="s">
        <v>4727</v>
      </c>
      <c r="H1485" s="8" t="s">
        <v>10111</v>
      </c>
      <c r="I1485" s="8"/>
      <c r="J1485" s="15" t="s">
        <v>5695</v>
      </c>
      <c r="K1485" s="8"/>
      <c r="L1485" s="15" t="s">
        <v>1685</v>
      </c>
      <c r="M1485" s="8" t="s">
        <v>5578</v>
      </c>
      <c r="N1485" s="8"/>
      <c r="O1485" s="8" t="s">
        <v>5574</v>
      </c>
      <c r="P1485" s="11"/>
      <c r="Q1485" s="8" t="s">
        <v>5696</v>
      </c>
      <c r="R1485" s="8" t="s">
        <v>5919</v>
      </c>
      <c r="S1485" s="8" t="s">
        <v>10113</v>
      </c>
    </row>
    <row r="1486" spans="1:19" ht="107.1" customHeight="1" x14ac:dyDescent="0.25">
      <c r="A1486" s="8" t="s">
        <v>10114</v>
      </c>
      <c r="B1486" s="8" t="s">
        <v>5693</v>
      </c>
      <c r="C1486" s="8" t="s">
        <v>5918</v>
      </c>
      <c r="D1486" s="10">
        <v>1165</v>
      </c>
      <c r="E1486" s="8" t="s">
        <v>10115</v>
      </c>
      <c r="F1486" s="8" t="s">
        <v>10116</v>
      </c>
      <c r="G1486" s="8" t="s">
        <v>4727</v>
      </c>
      <c r="H1486" s="8" t="s">
        <v>10115</v>
      </c>
      <c r="I1486" s="8"/>
      <c r="J1486" s="15" t="s">
        <v>5695</v>
      </c>
      <c r="K1486" s="8"/>
      <c r="L1486" s="15" t="s">
        <v>1685</v>
      </c>
      <c r="M1486" s="8" t="s">
        <v>5578</v>
      </c>
      <c r="N1486" s="8"/>
      <c r="O1486" s="8" t="s">
        <v>5574</v>
      </c>
      <c r="P1486" s="11"/>
      <c r="Q1486" s="8" t="s">
        <v>5696</v>
      </c>
      <c r="R1486" s="8" t="s">
        <v>5919</v>
      </c>
      <c r="S1486" s="8" t="s">
        <v>10117</v>
      </c>
    </row>
    <row r="1487" spans="1:19" ht="93" customHeight="1" x14ac:dyDescent="0.25">
      <c r="A1487" s="8" t="s">
        <v>10118</v>
      </c>
      <c r="B1487" s="8" t="s">
        <v>5693</v>
      </c>
      <c r="C1487" s="8" t="s">
        <v>5918</v>
      </c>
      <c r="D1487" s="10">
        <v>1166</v>
      </c>
      <c r="E1487" s="8" t="s">
        <v>10119</v>
      </c>
      <c r="F1487" s="8" t="s">
        <v>10120</v>
      </c>
      <c r="G1487" s="8" t="s">
        <v>4727</v>
      </c>
      <c r="H1487" s="8" t="s">
        <v>10119</v>
      </c>
      <c r="I1487" s="8"/>
      <c r="J1487" s="15" t="s">
        <v>5695</v>
      </c>
      <c r="K1487" s="8"/>
      <c r="L1487" s="15" t="s">
        <v>1685</v>
      </c>
      <c r="M1487" s="8" t="s">
        <v>5578</v>
      </c>
      <c r="N1487" s="8"/>
      <c r="O1487" s="8" t="s">
        <v>5574</v>
      </c>
      <c r="P1487" s="11"/>
      <c r="Q1487" s="8" t="s">
        <v>5696</v>
      </c>
      <c r="R1487" s="8" t="s">
        <v>5919</v>
      </c>
      <c r="S1487" s="8" t="s">
        <v>10121</v>
      </c>
    </row>
    <row r="1488" spans="1:19" ht="93" customHeight="1" x14ac:dyDescent="0.25">
      <c r="A1488" s="8" t="s">
        <v>10122</v>
      </c>
      <c r="B1488" s="8" t="s">
        <v>5693</v>
      </c>
      <c r="C1488" s="8" t="s">
        <v>5918</v>
      </c>
      <c r="D1488" s="10">
        <v>1167</v>
      </c>
      <c r="E1488" s="8" t="s">
        <v>10123</v>
      </c>
      <c r="F1488" s="8" t="s">
        <v>10124</v>
      </c>
      <c r="G1488" s="8" t="s">
        <v>4727</v>
      </c>
      <c r="H1488" s="8" t="s">
        <v>10123</v>
      </c>
      <c r="I1488" s="8"/>
      <c r="J1488" s="15" t="s">
        <v>5695</v>
      </c>
      <c r="K1488" s="8"/>
      <c r="L1488" s="15" t="s">
        <v>1685</v>
      </c>
      <c r="M1488" s="8" t="s">
        <v>5578</v>
      </c>
      <c r="N1488" s="8"/>
      <c r="O1488" s="8" t="s">
        <v>5574</v>
      </c>
      <c r="P1488" s="11"/>
      <c r="Q1488" s="8" t="s">
        <v>5696</v>
      </c>
      <c r="R1488" s="8" t="s">
        <v>5919</v>
      </c>
      <c r="S1488" s="8" t="s">
        <v>10125</v>
      </c>
    </row>
    <row r="1489" spans="1:19" ht="107.1" customHeight="1" x14ac:dyDescent="0.25">
      <c r="A1489" s="8" t="s">
        <v>10126</v>
      </c>
      <c r="B1489" s="8" t="s">
        <v>5693</v>
      </c>
      <c r="C1489" s="8" t="s">
        <v>5918</v>
      </c>
      <c r="D1489" s="10">
        <v>1168</v>
      </c>
      <c r="E1489" s="8" t="s">
        <v>10127</v>
      </c>
      <c r="F1489" s="8" t="s">
        <v>10128</v>
      </c>
      <c r="G1489" s="8" t="s">
        <v>4727</v>
      </c>
      <c r="H1489" s="8" t="s">
        <v>10127</v>
      </c>
      <c r="I1489" s="8"/>
      <c r="J1489" s="15" t="s">
        <v>5695</v>
      </c>
      <c r="K1489" s="8"/>
      <c r="L1489" s="15" t="s">
        <v>1685</v>
      </c>
      <c r="M1489" s="8" t="s">
        <v>5578</v>
      </c>
      <c r="N1489" s="8"/>
      <c r="O1489" s="8" t="s">
        <v>5574</v>
      </c>
      <c r="P1489" s="11"/>
      <c r="Q1489" s="8" t="s">
        <v>5696</v>
      </c>
      <c r="R1489" s="8" t="s">
        <v>5919</v>
      </c>
      <c r="S1489" s="8" t="s">
        <v>10129</v>
      </c>
    </row>
    <row r="1490" spans="1:19" ht="93" customHeight="1" x14ac:dyDescent="0.25">
      <c r="A1490" s="8" t="s">
        <v>10130</v>
      </c>
      <c r="B1490" s="8" t="s">
        <v>5693</v>
      </c>
      <c r="C1490" s="8" t="s">
        <v>5918</v>
      </c>
      <c r="D1490" s="10">
        <v>1169</v>
      </c>
      <c r="E1490" s="8" t="s">
        <v>10131</v>
      </c>
      <c r="F1490" s="8" t="s">
        <v>10132</v>
      </c>
      <c r="G1490" s="8" t="s">
        <v>4727</v>
      </c>
      <c r="H1490" s="8" t="s">
        <v>10131</v>
      </c>
      <c r="I1490" s="8"/>
      <c r="J1490" s="15" t="s">
        <v>5695</v>
      </c>
      <c r="K1490" s="8"/>
      <c r="L1490" s="15" t="s">
        <v>1685</v>
      </c>
      <c r="M1490" s="8" t="s">
        <v>5578</v>
      </c>
      <c r="N1490" s="8"/>
      <c r="O1490" s="8" t="s">
        <v>5574</v>
      </c>
      <c r="P1490" s="11"/>
      <c r="Q1490" s="8" t="s">
        <v>5696</v>
      </c>
      <c r="R1490" s="8" t="s">
        <v>5919</v>
      </c>
      <c r="S1490" s="8" t="s">
        <v>10133</v>
      </c>
    </row>
    <row r="1491" spans="1:19" ht="93" customHeight="1" x14ac:dyDescent="0.25">
      <c r="A1491" s="8" t="s">
        <v>10134</v>
      </c>
      <c r="B1491" s="8" t="s">
        <v>5693</v>
      </c>
      <c r="C1491" s="8" t="s">
        <v>5918</v>
      </c>
      <c r="D1491" s="10">
        <v>1170</v>
      </c>
      <c r="E1491" s="8" t="s">
        <v>10135</v>
      </c>
      <c r="F1491" s="8" t="s">
        <v>10136</v>
      </c>
      <c r="G1491" s="8" t="s">
        <v>4727</v>
      </c>
      <c r="H1491" s="8" t="s">
        <v>10135</v>
      </c>
      <c r="I1491" s="8"/>
      <c r="J1491" s="15" t="s">
        <v>5695</v>
      </c>
      <c r="K1491" s="8"/>
      <c r="L1491" s="15" t="s">
        <v>1685</v>
      </c>
      <c r="M1491" s="8" t="s">
        <v>5578</v>
      </c>
      <c r="N1491" s="8"/>
      <c r="O1491" s="8" t="s">
        <v>5574</v>
      </c>
      <c r="P1491" s="11"/>
      <c r="Q1491" s="8" t="s">
        <v>5696</v>
      </c>
      <c r="R1491" s="8" t="s">
        <v>5919</v>
      </c>
      <c r="S1491" s="8" t="s">
        <v>10137</v>
      </c>
    </row>
    <row r="1492" spans="1:19" ht="93" customHeight="1" x14ac:dyDescent="0.25">
      <c r="A1492" s="8" t="s">
        <v>10138</v>
      </c>
      <c r="B1492" s="8" t="s">
        <v>5693</v>
      </c>
      <c r="C1492" s="8" t="s">
        <v>5918</v>
      </c>
      <c r="D1492" s="10">
        <v>1171</v>
      </c>
      <c r="E1492" s="8" t="s">
        <v>10139</v>
      </c>
      <c r="F1492" s="8" t="s">
        <v>10140</v>
      </c>
      <c r="G1492" s="8" t="s">
        <v>4727</v>
      </c>
      <c r="H1492" s="8" t="s">
        <v>10139</v>
      </c>
      <c r="I1492" s="8"/>
      <c r="J1492" s="15" t="s">
        <v>5695</v>
      </c>
      <c r="K1492" s="8"/>
      <c r="L1492" s="15" t="s">
        <v>1685</v>
      </c>
      <c r="M1492" s="8" t="s">
        <v>5578</v>
      </c>
      <c r="N1492" s="8"/>
      <c r="O1492" s="8" t="s">
        <v>5574</v>
      </c>
      <c r="P1492" s="11"/>
      <c r="Q1492" s="8" t="s">
        <v>5696</v>
      </c>
      <c r="R1492" s="8" t="s">
        <v>5919</v>
      </c>
      <c r="S1492" s="8" t="s">
        <v>10141</v>
      </c>
    </row>
    <row r="1493" spans="1:19" ht="107.1" customHeight="1" x14ac:dyDescent="0.25">
      <c r="A1493" s="8" t="s">
        <v>10142</v>
      </c>
      <c r="B1493" s="8" t="s">
        <v>5693</v>
      </c>
      <c r="C1493" s="8" t="s">
        <v>5918</v>
      </c>
      <c r="D1493" s="10">
        <v>1172</v>
      </c>
      <c r="E1493" s="8" t="s">
        <v>10143</v>
      </c>
      <c r="F1493" s="8" t="s">
        <v>10144</v>
      </c>
      <c r="G1493" s="8" t="s">
        <v>4727</v>
      </c>
      <c r="H1493" s="8" t="s">
        <v>10143</v>
      </c>
      <c r="I1493" s="8"/>
      <c r="J1493" s="15" t="s">
        <v>5695</v>
      </c>
      <c r="K1493" s="8"/>
      <c r="L1493" s="15" t="s">
        <v>1685</v>
      </c>
      <c r="M1493" s="8" t="s">
        <v>5578</v>
      </c>
      <c r="N1493" s="8"/>
      <c r="O1493" s="8" t="s">
        <v>5574</v>
      </c>
      <c r="P1493" s="11"/>
      <c r="Q1493" s="8" t="s">
        <v>5696</v>
      </c>
      <c r="R1493" s="8" t="s">
        <v>5919</v>
      </c>
      <c r="S1493" s="8" t="s">
        <v>10145</v>
      </c>
    </row>
    <row r="1494" spans="1:19" ht="107.1" customHeight="1" x14ac:dyDescent="0.25">
      <c r="A1494" s="8" t="s">
        <v>10146</v>
      </c>
      <c r="B1494" s="8" t="s">
        <v>5693</v>
      </c>
      <c r="C1494" s="8" t="s">
        <v>5918</v>
      </c>
      <c r="D1494" s="10">
        <v>1173</v>
      </c>
      <c r="E1494" s="8" t="s">
        <v>10147</v>
      </c>
      <c r="F1494" s="8" t="s">
        <v>10148</v>
      </c>
      <c r="G1494" s="8" t="s">
        <v>4727</v>
      </c>
      <c r="H1494" s="8" t="s">
        <v>10147</v>
      </c>
      <c r="I1494" s="8"/>
      <c r="J1494" s="15" t="s">
        <v>5695</v>
      </c>
      <c r="K1494" s="8"/>
      <c r="L1494" s="15" t="s">
        <v>1685</v>
      </c>
      <c r="M1494" s="8" t="s">
        <v>5578</v>
      </c>
      <c r="N1494" s="8"/>
      <c r="O1494" s="8" t="s">
        <v>5574</v>
      </c>
      <c r="P1494" s="11"/>
      <c r="Q1494" s="8" t="s">
        <v>5696</v>
      </c>
      <c r="R1494" s="8" t="s">
        <v>5919</v>
      </c>
      <c r="S1494" s="8" t="s">
        <v>10149</v>
      </c>
    </row>
    <row r="1495" spans="1:19" ht="107.1" customHeight="1" x14ac:dyDescent="0.25">
      <c r="A1495" s="8" t="s">
        <v>10150</v>
      </c>
      <c r="B1495" s="8" t="s">
        <v>5693</v>
      </c>
      <c r="C1495" s="8" t="s">
        <v>5918</v>
      </c>
      <c r="D1495" s="10">
        <v>1174</v>
      </c>
      <c r="E1495" s="8" t="s">
        <v>10151</v>
      </c>
      <c r="F1495" s="8" t="s">
        <v>10152</v>
      </c>
      <c r="G1495" s="8" t="s">
        <v>4727</v>
      </c>
      <c r="H1495" s="8" t="s">
        <v>10151</v>
      </c>
      <c r="I1495" s="8"/>
      <c r="J1495" s="15" t="s">
        <v>5695</v>
      </c>
      <c r="K1495" s="8"/>
      <c r="L1495" s="15" t="s">
        <v>1685</v>
      </c>
      <c r="M1495" s="8" t="s">
        <v>5578</v>
      </c>
      <c r="N1495" s="8"/>
      <c r="O1495" s="8" t="s">
        <v>5574</v>
      </c>
      <c r="P1495" s="11"/>
      <c r="Q1495" s="8" t="s">
        <v>5696</v>
      </c>
      <c r="R1495" s="8" t="s">
        <v>5919</v>
      </c>
      <c r="S1495" s="8" t="s">
        <v>10153</v>
      </c>
    </row>
    <row r="1496" spans="1:19" ht="107.1" customHeight="1" x14ac:dyDescent="0.25">
      <c r="A1496" s="8" t="s">
        <v>10154</v>
      </c>
      <c r="B1496" s="8" t="s">
        <v>5693</v>
      </c>
      <c r="C1496" s="8" t="s">
        <v>5918</v>
      </c>
      <c r="D1496" s="10">
        <v>1175</v>
      </c>
      <c r="E1496" s="8" t="s">
        <v>10155</v>
      </c>
      <c r="F1496" s="8" t="s">
        <v>10156</v>
      </c>
      <c r="G1496" s="8" t="s">
        <v>4727</v>
      </c>
      <c r="H1496" s="8" t="s">
        <v>10155</v>
      </c>
      <c r="I1496" s="8"/>
      <c r="J1496" s="15" t="s">
        <v>5695</v>
      </c>
      <c r="K1496" s="8"/>
      <c r="L1496" s="15" t="s">
        <v>1685</v>
      </c>
      <c r="M1496" s="8" t="s">
        <v>5578</v>
      </c>
      <c r="N1496" s="8"/>
      <c r="O1496" s="8" t="s">
        <v>5574</v>
      </c>
      <c r="P1496" s="11"/>
      <c r="Q1496" s="8" t="s">
        <v>5696</v>
      </c>
      <c r="R1496" s="8" t="s">
        <v>5919</v>
      </c>
      <c r="S1496" s="8" t="s">
        <v>10157</v>
      </c>
    </row>
    <row r="1497" spans="1:19" ht="107.1" customHeight="1" x14ac:dyDescent="0.25">
      <c r="A1497" s="8" t="s">
        <v>10158</v>
      </c>
      <c r="B1497" s="8" t="s">
        <v>5693</v>
      </c>
      <c r="C1497" s="8" t="s">
        <v>5918</v>
      </c>
      <c r="D1497" s="10">
        <v>1176</v>
      </c>
      <c r="E1497" s="8" t="s">
        <v>10159</v>
      </c>
      <c r="F1497" s="8" t="s">
        <v>10160</v>
      </c>
      <c r="G1497" s="8" t="s">
        <v>4727</v>
      </c>
      <c r="H1497" s="8" t="s">
        <v>10159</v>
      </c>
      <c r="I1497" s="8"/>
      <c r="J1497" s="15" t="s">
        <v>5695</v>
      </c>
      <c r="K1497" s="8"/>
      <c r="L1497" s="15" t="s">
        <v>1685</v>
      </c>
      <c r="M1497" s="8" t="s">
        <v>5578</v>
      </c>
      <c r="N1497" s="8"/>
      <c r="O1497" s="8" t="s">
        <v>5574</v>
      </c>
      <c r="P1497" s="11"/>
      <c r="Q1497" s="8" t="s">
        <v>5696</v>
      </c>
      <c r="R1497" s="8" t="s">
        <v>5919</v>
      </c>
      <c r="S1497" s="8" t="s">
        <v>10161</v>
      </c>
    </row>
    <row r="1498" spans="1:19" ht="107.1" customHeight="1" x14ac:dyDescent="0.25">
      <c r="A1498" s="8" t="s">
        <v>10162</v>
      </c>
      <c r="B1498" s="8" t="s">
        <v>5693</v>
      </c>
      <c r="C1498" s="8" t="s">
        <v>5918</v>
      </c>
      <c r="D1498" s="10">
        <v>1177</v>
      </c>
      <c r="E1498" s="8" t="s">
        <v>10163</v>
      </c>
      <c r="F1498" s="8" t="s">
        <v>10164</v>
      </c>
      <c r="G1498" s="8" t="s">
        <v>4727</v>
      </c>
      <c r="H1498" s="8" t="s">
        <v>10163</v>
      </c>
      <c r="I1498" s="8"/>
      <c r="J1498" s="15" t="s">
        <v>5695</v>
      </c>
      <c r="K1498" s="8"/>
      <c r="L1498" s="15" t="s">
        <v>1685</v>
      </c>
      <c r="M1498" s="8" t="s">
        <v>5578</v>
      </c>
      <c r="N1498" s="8"/>
      <c r="O1498" s="8" t="s">
        <v>5574</v>
      </c>
      <c r="P1498" s="11"/>
      <c r="Q1498" s="8" t="s">
        <v>5696</v>
      </c>
      <c r="R1498" s="8" t="s">
        <v>5919</v>
      </c>
      <c r="S1498" s="8" t="s">
        <v>10165</v>
      </c>
    </row>
    <row r="1499" spans="1:19" ht="93" customHeight="1" x14ac:dyDescent="0.25">
      <c r="A1499" s="8" t="s">
        <v>10166</v>
      </c>
      <c r="B1499" s="8" t="s">
        <v>5693</v>
      </c>
      <c r="C1499" s="8" t="s">
        <v>5918</v>
      </c>
      <c r="D1499" s="10">
        <v>1178</v>
      </c>
      <c r="E1499" s="8" t="s">
        <v>10167</v>
      </c>
      <c r="F1499" s="8" t="s">
        <v>10168</v>
      </c>
      <c r="G1499" s="8" t="s">
        <v>4727</v>
      </c>
      <c r="H1499" s="8" t="s">
        <v>10167</v>
      </c>
      <c r="I1499" s="8"/>
      <c r="J1499" s="15" t="s">
        <v>5695</v>
      </c>
      <c r="K1499" s="8"/>
      <c r="L1499" s="15" t="s">
        <v>1685</v>
      </c>
      <c r="M1499" s="8" t="s">
        <v>5578</v>
      </c>
      <c r="N1499" s="8"/>
      <c r="O1499" s="8" t="s">
        <v>5574</v>
      </c>
      <c r="P1499" s="11"/>
      <c r="Q1499" s="8" t="s">
        <v>5696</v>
      </c>
      <c r="R1499" s="8" t="s">
        <v>5919</v>
      </c>
      <c r="S1499" s="8" t="s">
        <v>10169</v>
      </c>
    </row>
    <row r="1500" spans="1:19" ht="107.1" customHeight="1" x14ac:dyDescent="0.25">
      <c r="A1500" s="8" t="s">
        <v>10170</v>
      </c>
      <c r="B1500" s="8" t="s">
        <v>5693</v>
      </c>
      <c r="C1500" s="8" t="s">
        <v>5918</v>
      </c>
      <c r="D1500" s="10">
        <v>1179</v>
      </c>
      <c r="E1500" s="8" t="s">
        <v>10171</v>
      </c>
      <c r="F1500" s="8" t="s">
        <v>10172</v>
      </c>
      <c r="G1500" s="8" t="s">
        <v>4727</v>
      </c>
      <c r="H1500" s="8" t="s">
        <v>10171</v>
      </c>
      <c r="I1500" s="8"/>
      <c r="J1500" s="15" t="s">
        <v>5695</v>
      </c>
      <c r="K1500" s="8"/>
      <c r="L1500" s="15" t="s">
        <v>1685</v>
      </c>
      <c r="M1500" s="8" t="s">
        <v>5578</v>
      </c>
      <c r="N1500" s="8"/>
      <c r="O1500" s="8" t="s">
        <v>5574</v>
      </c>
      <c r="P1500" s="11"/>
      <c r="Q1500" s="8" t="s">
        <v>5696</v>
      </c>
      <c r="R1500" s="8" t="s">
        <v>5919</v>
      </c>
      <c r="S1500" s="8" t="s">
        <v>10173</v>
      </c>
    </row>
    <row r="1501" spans="1:19" ht="93" customHeight="1" x14ac:dyDescent="0.25">
      <c r="A1501" s="8" t="s">
        <v>10174</v>
      </c>
      <c r="B1501" s="8" t="s">
        <v>5693</v>
      </c>
      <c r="C1501" s="8" t="s">
        <v>5918</v>
      </c>
      <c r="D1501" s="10">
        <v>1180</v>
      </c>
      <c r="E1501" s="8" t="s">
        <v>10175</v>
      </c>
      <c r="F1501" s="8" t="s">
        <v>10176</v>
      </c>
      <c r="G1501" s="8" t="s">
        <v>4727</v>
      </c>
      <c r="H1501" s="8" t="s">
        <v>10175</v>
      </c>
      <c r="I1501" s="8"/>
      <c r="J1501" s="15" t="s">
        <v>5695</v>
      </c>
      <c r="K1501" s="8"/>
      <c r="L1501" s="15" t="s">
        <v>1685</v>
      </c>
      <c r="M1501" s="8" t="s">
        <v>5578</v>
      </c>
      <c r="N1501" s="8"/>
      <c r="O1501" s="8" t="s">
        <v>5574</v>
      </c>
      <c r="P1501" s="11"/>
      <c r="Q1501" s="8" t="s">
        <v>5696</v>
      </c>
      <c r="R1501" s="8" t="s">
        <v>5919</v>
      </c>
      <c r="S1501" s="8" t="s">
        <v>10177</v>
      </c>
    </row>
    <row r="1502" spans="1:19" ht="93" customHeight="1" x14ac:dyDescent="0.25">
      <c r="A1502" s="8" t="s">
        <v>10178</v>
      </c>
      <c r="B1502" s="8" t="s">
        <v>5693</v>
      </c>
      <c r="C1502" s="8" t="s">
        <v>5918</v>
      </c>
      <c r="D1502" s="10">
        <v>1181</v>
      </c>
      <c r="E1502" s="8" t="s">
        <v>10179</v>
      </c>
      <c r="F1502" s="8" t="s">
        <v>10180</v>
      </c>
      <c r="G1502" s="8" t="s">
        <v>4727</v>
      </c>
      <c r="H1502" s="8" t="s">
        <v>10179</v>
      </c>
      <c r="I1502" s="8"/>
      <c r="J1502" s="15" t="s">
        <v>5695</v>
      </c>
      <c r="K1502" s="8"/>
      <c r="L1502" s="15" t="s">
        <v>1685</v>
      </c>
      <c r="M1502" s="8" t="s">
        <v>5578</v>
      </c>
      <c r="N1502" s="8"/>
      <c r="O1502" s="8" t="s">
        <v>5574</v>
      </c>
      <c r="P1502" s="11"/>
      <c r="Q1502" s="8" t="s">
        <v>5696</v>
      </c>
      <c r="R1502" s="8" t="s">
        <v>5919</v>
      </c>
      <c r="S1502" s="8" t="s">
        <v>10181</v>
      </c>
    </row>
    <row r="1503" spans="1:19" ht="93" customHeight="1" x14ac:dyDescent="0.25">
      <c r="A1503" s="8" t="s">
        <v>10182</v>
      </c>
      <c r="B1503" s="8" t="s">
        <v>5693</v>
      </c>
      <c r="C1503" s="8" t="s">
        <v>5918</v>
      </c>
      <c r="D1503" s="10">
        <v>1182</v>
      </c>
      <c r="E1503" s="8" t="s">
        <v>10183</v>
      </c>
      <c r="F1503" s="8" t="s">
        <v>10184</v>
      </c>
      <c r="G1503" s="8" t="s">
        <v>4727</v>
      </c>
      <c r="H1503" s="8" t="s">
        <v>10183</v>
      </c>
      <c r="I1503" s="8"/>
      <c r="J1503" s="15" t="s">
        <v>5695</v>
      </c>
      <c r="K1503" s="8"/>
      <c r="L1503" s="15" t="s">
        <v>1685</v>
      </c>
      <c r="M1503" s="8" t="s">
        <v>5578</v>
      </c>
      <c r="N1503" s="8"/>
      <c r="O1503" s="8" t="s">
        <v>5574</v>
      </c>
      <c r="P1503" s="11"/>
      <c r="Q1503" s="8" t="s">
        <v>5696</v>
      </c>
      <c r="R1503" s="8" t="s">
        <v>5919</v>
      </c>
      <c r="S1503" s="8" t="s">
        <v>10185</v>
      </c>
    </row>
    <row r="1504" spans="1:19" ht="93" customHeight="1" x14ac:dyDescent="0.25">
      <c r="A1504" s="8" t="s">
        <v>10186</v>
      </c>
      <c r="B1504" s="8" t="s">
        <v>5693</v>
      </c>
      <c r="C1504" s="8" t="s">
        <v>5918</v>
      </c>
      <c r="D1504" s="10">
        <v>1183</v>
      </c>
      <c r="E1504" s="8" t="s">
        <v>10187</v>
      </c>
      <c r="F1504" s="8" t="s">
        <v>10188</v>
      </c>
      <c r="G1504" s="8" t="s">
        <v>4727</v>
      </c>
      <c r="H1504" s="8" t="s">
        <v>10187</v>
      </c>
      <c r="I1504" s="8"/>
      <c r="J1504" s="15" t="s">
        <v>5695</v>
      </c>
      <c r="K1504" s="8"/>
      <c r="L1504" s="15" t="s">
        <v>1685</v>
      </c>
      <c r="M1504" s="8" t="s">
        <v>5578</v>
      </c>
      <c r="N1504" s="8"/>
      <c r="O1504" s="8" t="s">
        <v>5574</v>
      </c>
      <c r="P1504" s="11"/>
      <c r="Q1504" s="8" t="s">
        <v>5696</v>
      </c>
      <c r="R1504" s="8" t="s">
        <v>5919</v>
      </c>
      <c r="S1504" s="8" t="s">
        <v>10189</v>
      </c>
    </row>
    <row r="1505" spans="1:19" ht="93" customHeight="1" x14ac:dyDescent="0.25">
      <c r="A1505" s="8" t="s">
        <v>10190</v>
      </c>
      <c r="B1505" s="8" t="s">
        <v>5693</v>
      </c>
      <c r="C1505" s="8" t="s">
        <v>5918</v>
      </c>
      <c r="D1505" s="10">
        <v>1184</v>
      </c>
      <c r="E1505" s="8" t="s">
        <v>10191</v>
      </c>
      <c r="F1505" s="8" t="s">
        <v>10192</v>
      </c>
      <c r="G1505" s="8" t="s">
        <v>4727</v>
      </c>
      <c r="H1505" s="8" t="s">
        <v>10191</v>
      </c>
      <c r="I1505" s="8"/>
      <c r="J1505" s="15" t="s">
        <v>5695</v>
      </c>
      <c r="K1505" s="8"/>
      <c r="L1505" s="15" t="s">
        <v>1685</v>
      </c>
      <c r="M1505" s="8" t="s">
        <v>5578</v>
      </c>
      <c r="N1505" s="8"/>
      <c r="O1505" s="8" t="s">
        <v>5574</v>
      </c>
      <c r="P1505" s="11"/>
      <c r="Q1505" s="8" t="s">
        <v>5696</v>
      </c>
      <c r="R1505" s="8" t="s">
        <v>5919</v>
      </c>
      <c r="S1505" s="8" t="s">
        <v>10193</v>
      </c>
    </row>
    <row r="1506" spans="1:19" ht="93" customHeight="1" x14ac:dyDescent="0.25">
      <c r="A1506" s="8" t="s">
        <v>10194</v>
      </c>
      <c r="B1506" s="8" t="s">
        <v>5693</v>
      </c>
      <c r="C1506" s="8" t="s">
        <v>5918</v>
      </c>
      <c r="D1506" s="10">
        <v>1185</v>
      </c>
      <c r="E1506" s="8" t="s">
        <v>10195</v>
      </c>
      <c r="F1506" s="8" t="s">
        <v>10196</v>
      </c>
      <c r="G1506" s="8" t="s">
        <v>4727</v>
      </c>
      <c r="H1506" s="8" t="s">
        <v>10195</v>
      </c>
      <c r="I1506" s="8"/>
      <c r="J1506" s="15" t="s">
        <v>5695</v>
      </c>
      <c r="K1506" s="8"/>
      <c r="L1506" s="15" t="s">
        <v>1685</v>
      </c>
      <c r="M1506" s="8" t="s">
        <v>5578</v>
      </c>
      <c r="N1506" s="8"/>
      <c r="O1506" s="8" t="s">
        <v>5574</v>
      </c>
      <c r="P1506" s="11"/>
      <c r="Q1506" s="8" t="s">
        <v>5696</v>
      </c>
      <c r="R1506" s="8" t="s">
        <v>5919</v>
      </c>
      <c r="S1506" s="8" t="s">
        <v>10197</v>
      </c>
    </row>
    <row r="1507" spans="1:19" ht="93" customHeight="1" x14ac:dyDescent="0.25">
      <c r="A1507" s="8" t="s">
        <v>10198</v>
      </c>
      <c r="B1507" s="8" t="s">
        <v>5693</v>
      </c>
      <c r="C1507" s="8" t="s">
        <v>5918</v>
      </c>
      <c r="D1507" s="10">
        <v>1186</v>
      </c>
      <c r="E1507" s="8" t="s">
        <v>10199</v>
      </c>
      <c r="F1507" s="8" t="s">
        <v>10200</v>
      </c>
      <c r="G1507" s="8" t="s">
        <v>4727</v>
      </c>
      <c r="H1507" s="8" t="s">
        <v>10199</v>
      </c>
      <c r="I1507" s="8"/>
      <c r="J1507" s="15" t="s">
        <v>5695</v>
      </c>
      <c r="K1507" s="8"/>
      <c r="L1507" s="15" t="s">
        <v>1685</v>
      </c>
      <c r="M1507" s="8" t="s">
        <v>5578</v>
      </c>
      <c r="N1507" s="8"/>
      <c r="O1507" s="8" t="s">
        <v>5574</v>
      </c>
      <c r="P1507" s="11"/>
      <c r="Q1507" s="8" t="s">
        <v>5696</v>
      </c>
      <c r="R1507" s="8" t="s">
        <v>5919</v>
      </c>
      <c r="S1507" s="8" t="s">
        <v>10201</v>
      </c>
    </row>
    <row r="1508" spans="1:19" ht="93" customHeight="1" x14ac:dyDescent="0.25">
      <c r="A1508" s="8" t="s">
        <v>10202</v>
      </c>
      <c r="B1508" s="8" t="s">
        <v>5693</v>
      </c>
      <c r="C1508" s="8" t="s">
        <v>5918</v>
      </c>
      <c r="D1508" s="10">
        <v>1187</v>
      </c>
      <c r="E1508" s="8" t="s">
        <v>10203</v>
      </c>
      <c r="F1508" s="8" t="s">
        <v>10204</v>
      </c>
      <c r="G1508" s="8" t="s">
        <v>4727</v>
      </c>
      <c r="H1508" s="8" t="s">
        <v>10203</v>
      </c>
      <c r="I1508" s="8"/>
      <c r="J1508" s="15" t="s">
        <v>5695</v>
      </c>
      <c r="K1508" s="8"/>
      <c r="L1508" s="15" t="s">
        <v>1685</v>
      </c>
      <c r="M1508" s="8" t="s">
        <v>5578</v>
      </c>
      <c r="N1508" s="8"/>
      <c r="O1508" s="8" t="s">
        <v>5574</v>
      </c>
      <c r="P1508" s="11"/>
      <c r="Q1508" s="8" t="s">
        <v>5696</v>
      </c>
      <c r="R1508" s="8" t="s">
        <v>5919</v>
      </c>
      <c r="S1508" s="8" t="s">
        <v>10205</v>
      </c>
    </row>
    <row r="1509" spans="1:19" ht="93" customHeight="1" x14ac:dyDescent="0.25">
      <c r="A1509" s="8" t="s">
        <v>10206</v>
      </c>
      <c r="B1509" s="8" t="s">
        <v>5693</v>
      </c>
      <c r="C1509" s="8" t="s">
        <v>5918</v>
      </c>
      <c r="D1509" s="10">
        <v>1188</v>
      </c>
      <c r="E1509" s="8" t="s">
        <v>10207</v>
      </c>
      <c r="F1509" s="8" t="s">
        <v>10208</v>
      </c>
      <c r="G1509" s="8" t="s">
        <v>4727</v>
      </c>
      <c r="H1509" s="8" t="s">
        <v>10207</v>
      </c>
      <c r="I1509" s="8"/>
      <c r="J1509" s="15" t="s">
        <v>5695</v>
      </c>
      <c r="K1509" s="8"/>
      <c r="L1509" s="15" t="s">
        <v>1685</v>
      </c>
      <c r="M1509" s="8" t="s">
        <v>5578</v>
      </c>
      <c r="N1509" s="8"/>
      <c r="O1509" s="8" t="s">
        <v>5574</v>
      </c>
      <c r="P1509" s="11"/>
      <c r="Q1509" s="8" t="s">
        <v>5696</v>
      </c>
      <c r="R1509" s="8" t="s">
        <v>5919</v>
      </c>
      <c r="S1509" s="8" t="s">
        <v>10209</v>
      </c>
    </row>
    <row r="1510" spans="1:19" ht="93" customHeight="1" x14ac:dyDescent="0.25">
      <c r="A1510" s="8" t="s">
        <v>10210</v>
      </c>
      <c r="B1510" s="8" t="s">
        <v>5693</v>
      </c>
      <c r="C1510" s="8" t="s">
        <v>5918</v>
      </c>
      <c r="D1510" s="10">
        <v>1189</v>
      </c>
      <c r="E1510" s="8" t="s">
        <v>10211</v>
      </c>
      <c r="F1510" s="8" t="s">
        <v>10212</v>
      </c>
      <c r="G1510" s="8" t="s">
        <v>4727</v>
      </c>
      <c r="H1510" s="8" t="s">
        <v>10211</v>
      </c>
      <c r="I1510" s="8"/>
      <c r="J1510" s="15" t="s">
        <v>5695</v>
      </c>
      <c r="K1510" s="8"/>
      <c r="L1510" s="15" t="s">
        <v>1685</v>
      </c>
      <c r="M1510" s="8" t="s">
        <v>5578</v>
      </c>
      <c r="N1510" s="8"/>
      <c r="O1510" s="8" t="s">
        <v>5574</v>
      </c>
      <c r="P1510" s="11"/>
      <c r="Q1510" s="8" t="s">
        <v>5696</v>
      </c>
      <c r="R1510" s="8" t="s">
        <v>5919</v>
      </c>
      <c r="S1510" s="8" t="s">
        <v>10213</v>
      </c>
    </row>
    <row r="1511" spans="1:19" ht="93" customHeight="1" x14ac:dyDescent="0.25">
      <c r="A1511" s="8" t="s">
        <v>10214</v>
      </c>
      <c r="B1511" s="8" t="s">
        <v>5693</v>
      </c>
      <c r="C1511" s="8" t="s">
        <v>5918</v>
      </c>
      <c r="D1511" s="10">
        <v>1190</v>
      </c>
      <c r="E1511" s="8" t="s">
        <v>10215</v>
      </c>
      <c r="F1511" s="8" t="s">
        <v>10216</v>
      </c>
      <c r="G1511" s="8" t="s">
        <v>4727</v>
      </c>
      <c r="H1511" s="8" t="s">
        <v>10215</v>
      </c>
      <c r="I1511" s="8"/>
      <c r="J1511" s="15" t="s">
        <v>5695</v>
      </c>
      <c r="K1511" s="8"/>
      <c r="L1511" s="15" t="s">
        <v>1685</v>
      </c>
      <c r="M1511" s="8" t="s">
        <v>5578</v>
      </c>
      <c r="N1511" s="8"/>
      <c r="O1511" s="8" t="s">
        <v>5574</v>
      </c>
      <c r="P1511" s="11"/>
      <c r="Q1511" s="8" t="s">
        <v>5696</v>
      </c>
      <c r="R1511" s="8" t="s">
        <v>5919</v>
      </c>
      <c r="S1511" s="8" t="s">
        <v>10217</v>
      </c>
    </row>
    <row r="1512" spans="1:19" ht="93" customHeight="1" x14ac:dyDescent="0.25">
      <c r="A1512" s="8" t="s">
        <v>10218</v>
      </c>
      <c r="B1512" s="8" t="s">
        <v>5693</v>
      </c>
      <c r="C1512" s="8" t="s">
        <v>5918</v>
      </c>
      <c r="D1512" s="10">
        <v>1191</v>
      </c>
      <c r="E1512" s="8" t="s">
        <v>10219</v>
      </c>
      <c r="F1512" s="8" t="s">
        <v>10220</v>
      </c>
      <c r="G1512" s="8" t="s">
        <v>4727</v>
      </c>
      <c r="H1512" s="8" t="s">
        <v>10219</v>
      </c>
      <c r="I1512" s="8"/>
      <c r="J1512" s="15" t="s">
        <v>5695</v>
      </c>
      <c r="K1512" s="8"/>
      <c r="L1512" s="15" t="s">
        <v>1685</v>
      </c>
      <c r="M1512" s="8" t="s">
        <v>5578</v>
      </c>
      <c r="N1512" s="8"/>
      <c r="O1512" s="8" t="s">
        <v>5574</v>
      </c>
      <c r="P1512" s="11"/>
      <c r="Q1512" s="8" t="s">
        <v>5696</v>
      </c>
      <c r="R1512" s="8" t="s">
        <v>5919</v>
      </c>
      <c r="S1512" s="8" t="s">
        <v>10221</v>
      </c>
    </row>
    <row r="1513" spans="1:19" ht="93" customHeight="1" x14ac:dyDescent="0.25">
      <c r="A1513" s="8" t="s">
        <v>10222</v>
      </c>
      <c r="B1513" s="8" t="s">
        <v>5693</v>
      </c>
      <c r="C1513" s="8" t="s">
        <v>5918</v>
      </c>
      <c r="D1513" s="10">
        <v>1192</v>
      </c>
      <c r="E1513" s="8" t="s">
        <v>10223</v>
      </c>
      <c r="F1513" s="8" t="s">
        <v>10224</v>
      </c>
      <c r="G1513" s="8" t="s">
        <v>4727</v>
      </c>
      <c r="H1513" s="8" t="s">
        <v>10223</v>
      </c>
      <c r="I1513" s="8"/>
      <c r="J1513" s="15" t="s">
        <v>5695</v>
      </c>
      <c r="K1513" s="8"/>
      <c r="L1513" s="15" t="s">
        <v>1685</v>
      </c>
      <c r="M1513" s="8" t="s">
        <v>5578</v>
      </c>
      <c r="N1513" s="8"/>
      <c r="O1513" s="8" t="s">
        <v>5574</v>
      </c>
      <c r="P1513" s="11"/>
      <c r="Q1513" s="8" t="s">
        <v>5696</v>
      </c>
      <c r="R1513" s="8" t="s">
        <v>5919</v>
      </c>
      <c r="S1513" s="8" t="s">
        <v>10225</v>
      </c>
    </row>
    <row r="1514" spans="1:19" ht="93" customHeight="1" x14ac:dyDescent="0.25">
      <c r="A1514" s="8" t="s">
        <v>10226</v>
      </c>
      <c r="B1514" s="8" t="s">
        <v>5693</v>
      </c>
      <c r="C1514" s="8" t="s">
        <v>5918</v>
      </c>
      <c r="D1514" s="10">
        <v>1193</v>
      </c>
      <c r="E1514" s="8" t="s">
        <v>10227</v>
      </c>
      <c r="F1514" s="8" t="s">
        <v>10228</v>
      </c>
      <c r="G1514" s="8" t="s">
        <v>4727</v>
      </c>
      <c r="H1514" s="8" t="s">
        <v>10227</v>
      </c>
      <c r="I1514" s="8"/>
      <c r="J1514" s="15" t="s">
        <v>5695</v>
      </c>
      <c r="K1514" s="8"/>
      <c r="L1514" s="15" t="s">
        <v>1685</v>
      </c>
      <c r="M1514" s="8" t="s">
        <v>5578</v>
      </c>
      <c r="N1514" s="8"/>
      <c r="O1514" s="8" t="s">
        <v>5574</v>
      </c>
      <c r="P1514" s="11"/>
      <c r="Q1514" s="8" t="s">
        <v>5696</v>
      </c>
      <c r="R1514" s="8" t="s">
        <v>5919</v>
      </c>
      <c r="S1514" s="8" t="s">
        <v>10229</v>
      </c>
    </row>
    <row r="1515" spans="1:19" ht="93" customHeight="1" x14ac:dyDescent="0.25">
      <c r="A1515" s="8" t="s">
        <v>10230</v>
      </c>
      <c r="B1515" s="8" t="s">
        <v>5693</v>
      </c>
      <c r="C1515" s="8" t="s">
        <v>5918</v>
      </c>
      <c r="D1515" s="10">
        <v>1194</v>
      </c>
      <c r="E1515" s="8" t="s">
        <v>10231</v>
      </c>
      <c r="F1515" s="8" t="s">
        <v>10232</v>
      </c>
      <c r="G1515" s="8" t="s">
        <v>4727</v>
      </c>
      <c r="H1515" s="8" t="s">
        <v>10231</v>
      </c>
      <c r="I1515" s="8"/>
      <c r="J1515" s="15" t="s">
        <v>5695</v>
      </c>
      <c r="K1515" s="8"/>
      <c r="L1515" s="15" t="s">
        <v>1685</v>
      </c>
      <c r="M1515" s="8" t="s">
        <v>5578</v>
      </c>
      <c r="N1515" s="8"/>
      <c r="O1515" s="8" t="s">
        <v>5574</v>
      </c>
      <c r="P1515" s="11"/>
      <c r="Q1515" s="8" t="s">
        <v>5696</v>
      </c>
      <c r="R1515" s="8" t="s">
        <v>5919</v>
      </c>
      <c r="S1515" s="8" t="s">
        <v>10233</v>
      </c>
    </row>
    <row r="1516" spans="1:19" ht="93" customHeight="1" x14ac:dyDescent="0.25">
      <c r="A1516" s="8" t="s">
        <v>10234</v>
      </c>
      <c r="B1516" s="8" t="s">
        <v>5693</v>
      </c>
      <c r="C1516" s="8" t="s">
        <v>5918</v>
      </c>
      <c r="D1516" s="10">
        <v>1195</v>
      </c>
      <c r="E1516" s="8" t="s">
        <v>10235</v>
      </c>
      <c r="F1516" s="8" t="s">
        <v>10236</v>
      </c>
      <c r="G1516" s="8" t="s">
        <v>4727</v>
      </c>
      <c r="H1516" s="8" t="s">
        <v>10235</v>
      </c>
      <c r="I1516" s="8"/>
      <c r="J1516" s="15" t="s">
        <v>5695</v>
      </c>
      <c r="K1516" s="8"/>
      <c r="L1516" s="15" t="s">
        <v>1685</v>
      </c>
      <c r="M1516" s="8" t="s">
        <v>5578</v>
      </c>
      <c r="N1516" s="8"/>
      <c r="O1516" s="8" t="s">
        <v>5574</v>
      </c>
      <c r="P1516" s="11"/>
      <c r="Q1516" s="8" t="s">
        <v>5696</v>
      </c>
      <c r="R1516" s="8" t="s">
        <v>5919</v>
      </c>
      <c r="S1516" s="8" t="s">
        <v>10237</v>
      </c>
    </row>
    <row r="1517" spans="1:19" ht="93" customHeight="1" x14ac:dyDescent="0.25">
      <c r="A1517" s="8" t="s">
        <v>10238</v>
      </c>
      <c r="B1517" s="8" t="s">
        <v>5693</v>
      </c>
      <c r="C1517" s="8" t="s">
        <v>5918</v>
      </c>
      <c r="D1517" s="10">
        <v>1196</v>
      </c>
      <c r="E1517" s="8" t="s">
        <v>10239</v>
      </c>
      <c r="F1517" s="8" t="s">
        <v>10240</v>
      </c>
      <c r="G1517" s="8" t="s">
        <v>4727</v>
      </c>
      <c r="H1517" s="8" t="s">
        <v>10239</v>
      </c>
      <c r="I1517" s="8"/>
      <c r="J1517" s="15" t="s">
        <v>5695</v>
      </c>
      <c r="K1517" s="8"/>
      <c r="L1517" s="15" t="s">
        <v>1685</v>
      </c>
      <c r="M1517" s="8" t="s">
        <v>5578</v>
      </c>
      <c r="N1517" s="8"/>
      <c r="O1517" s="8" t="s">
        <v>5574</v>
      </c>
      <c r="P1517" s="11"/>
      <c r="Q1517" s="8" t="s">
        <v>5696</v>
      </c>
      <c r="R1517" s="8" t="s">
        <v>5919</v>
      </c>
      <c r="S1517" s="8" t="s">
        <v>10241</v>
      </c>
    </row>
    <row r="1518" spans="1:19" ht="93" customHeight="1" x14ac:dyDescent="0.25">
      <c r="A1518" s="8" t="s">
        <v>10242</v>
      </c>
      <c r="B1518" s="8" t="s">
        <v>5693</v>
      </c>
      <c r="C1518" s="8" t="s">
        <v>5918</v>
      </c>
      <c r="D1518" s="10">
        <v>1197</v>
      </c>
      <c r="E1518" s="8" t="s">
        <v>10243</v>
      </c>
      <c r="F1518" s="8" t="s">
        <v>10244</v>
      </c>
      <c r="G1518" s="8" t="s">
        <v>4727</v>
      </c>
      <c r="H1518" s="8" t="s">
        <v>10243</v>
      </c>
      <c r="I1518" s="8"/>
      <c r="J1518" s="15" t="s">
        <v>5695</v>
      </c>
      <c r="K1518" s="8"/>
      <c r="L1518" s="15" t="s">
        <v>1685</v>
      </c>
      <c r="M1518" s="8" t="s">
        <v>5578</v>
      </c>
      <c r="N1518" s="8"/>
      <c r="O1518" s="8" t="s">
        <v>5574</v>
      </c>
      <c r="P1518" s="11"/>
      <c r="Q1518" s="8" t="s">
        <v>5696</v>
      </c>
      <c r="R1518" s="8" t="s">
        <v>5919</v>
      </c>
      <c r="S1518" s="8" t="s">
        <v>10245</v>
      </c>
    </row>
    <row r="1519" spans="1:19" ht="93" customHeight="1" x14ac:dyDescent="0.25">
      <c r="A1519" s="8" t="s">
        <v>10246</v>
      </c>
      <c r="B1519" s="8" t="s">
        <v>5693</v>
      </c>
      <c r="C1519" s="8" t="s">
        <v>5918</v>
      </c>
      <c r="D1519" s="10">
        <v>1198</v>
      </c>
      <c r="E1519" s="8" t="s">
        <v>10247</v>
      </c>
      <c r="F1519" s="8" t="s">
        <v>10248</v>
      </c>
      <c r="G1519" s="8" t="s">
        <v>4727</v>
      </c>
      <c r="H1519" s="8" t="s">
        <v>10247</v>
      </c>
      <c r="I1519" s="8"/>
      <c r="J1519" s="15" t="s">
        <v>5695</v>
      </c>
      <c r="K1519" s="8"/>
      <c r="L1519" s="15" t="s">
        <v>1685</v>
      </c>
      <c r="M1519" s="8" t="s">
        <v>5578</v>
      </c>
      <c r="N1519" s="8"/>
      <c r="O1519" s="8" t="s">
        <v>5574</v>
      </c>
      <c r="P1519" s="11"/>
      <c r="Q1519" s="8" t="s">
        <v>5696</v>
      </c>
      <c r="R1519" s="8" t="s">
        <v>5919</v>
      </c>
      <c r="S1519" s="8" t="s">
        <v>10249</v>
      </c>
    </row>
    <row r="1520" spans="1:19" ht="93" customHeight="1" x14ac:dyDescent="0.25">
      <c r="A1520" s="8" t="s">
        <v>10250</v>
      </c>
      <c r="B1520" s="8" t="s">
        <v>5693</v>
      </c>
      <c r="C1520" s="8" t="s">
        <v>5918</v>
      </c>
      <c r="D1520" s="10">
        <v>1199</v>
      </c>
      <c r="E1520" s="8" t="s">
        <v>10251</v>
      </c>
      <c r="F1520" s="8" t="s">
        <v>10252</v>
      </c>
      <c r="G1520" s="8" t="s">
        <v>4727</v>
      </c>
      <c r="H1520" s="8" t="s">
        <v>10251</v>
      </c>
      <c r="I1520" s="8"/>
      <c r="J1520" s="15" t="s">
        <v>5695</v>
      </c>
      <c r="K1520" s="8"/>
      <c r="L1520" s="15" t="s">
        <v>1685</v>
      </c>
      <c r="M1520" s="8" t="s">
        <v>5578</v>
      </c>
      <c r="N1520" s="8"/>
      <c r="O1520" s="8" t="s">
        <v>5574</v>
      </c>
      <c r="P1520" s="11"/>
      <c r="Q1520" s="8" t="s">
        <v>5696</v>
      </c>
      <c r="R1520" s="8" t="s">
        <v>5919</v>
      </c>
      <c r="S1520" s="8" t="s">
        <v>10253</v>
      </c>
    </row>
    <row r="1521" spans="1:19" ht="107.1" customHeight="1" x14ac:dyDescent="0.25">
      <c r="A1521" s="8" t="s">
        <v>10254</v>
      </c>
      <c r="B1521" s="8" t="s">
        <v>5693</v>
      </c>
      <c r="C1521" s="8" t="s">
        <v>5918</v>
      </c>
      <c r="D1521" s="10">
        <v>1200</v>
      </c>
      <c r="E1521" s="8" t="s">
        <v>10255</v>
      </c>
      <c r="F1521" s="8" t="s">
        <v>10256</v>
      </c>
      <c r="G1521" s="8" t="s">
        <v>4727</v>
      </c>
      <c r="H1521" s="8" t="s">
        <v>10255</v>
      </c>
      <c r="I1521" s="8"/>
      <c r="J1521" s="15" t="s">
        <v>5695</v>
      </c>
      <c r="K1521" s="8"/>
      <c r="L1521" s="15" t="s">
        <v>1685</v>
      </c>
      <c r="M1521" s="8" t="s">
        <v>5578</v>
      </c>
      <c r="N1521" s="8"/>
      <c r="O1521" s="8" t="s">
        <v>5574</v>
      </c>
      <c r="P1521" s="11"/>
      <c r="Q1521" s="8" t="s">
        <v>5696</v>
      </c>
      <c r="R1521" s="8" t="s">
        <v>5919</v>
      </c>
      <c r="S1521" s="8" t="s">
        <v>10257</v>
      </c>
    </row>
    <row r="1522" spans="1:19" ht="93" customHeight="1" x14ac:dyDescent="0.25">
      <c r="A1522" s="8" t="s">
        <v>10258</v>
      </c>
      <c r="B1522" s="8" t="s">
        <v>5693</v>
      </c>
      <c r="C1522" s="8" t="s">
        <v>5918</v>
      </c>
      <c r="D1522" s="10">
        <v>1201</v>
      </c>
      <c r="E1522" s="8" t="s">
        <v>10259</v>
      </c>
      <c r="F1522" s="8" t="s">
        <v>10260</v>
      </c>
      <c r="G1522" s="8" t="s">
        <v>4727</v>
      </c>
      <c r="H1522" s="8" t="s">
        <v>10259</v>
      </c>
      <c r="I1522" s="8"/>
      <c r="J1522" s="15" t="s">
        <v>5695</v>
      </c>
      <c r="K1522" s="8"/>
      <c r="L1522" s="15" t="s">
        <v>1685</v>
      </c>
      <c r="M1522" s="8" t="s">
        <v>5578</v>
      </c>
      <c r="N1522" s="8"/>
      <c r="O1522" s="8" t="s">
        <v>5574</v>
      </c>
      <c r="P1522" s="11"/>
      <c r="Q1522" s="8" t="s">
        <v>5696</v>
      </c>
      <c r="R1522" s="8" t="s">
        <v>5919</v>
      </c>
      <c r="S1522" s="8" t="s">
        <v>10261</v>
      </c>
    </row>
    <row r="1523" spans="1:19" ht="93" customHeight="1" x14ac:dyDescent="0.25">
      <c r="A1523" s="8" t="s">
        <v>10262</v>
      </c>
      <c r="B1523" s="8" t="s">
        <v>5693</v>
      </c>
      <c r="C1523" s="8" t="s">
        <v>5918</v>
      </c>
      <c r="D1523" s="10">
        <v>1202</v>
      </c>
      <c r="E1523" s="8" t="s">
        <v>10263</v>
      </c>
      <c r="F1523" s="8" t="s">
        <v>10264</v>
      </c>
      <c r="G1523" s="8" t="s">
        <v>4727</v>
      </c>
      <c r="H1523" s="8" t="s">
        <v>10263</v>
      </c>
      <c r="I1523" s="8"/>
      <c r="J1523" s="15" t="s">
        <v>5695</v>
      </c>
      <c r="K1523" s="8"/>
      <c r="L1523" s="15" t="s">
        <v>1685</v>
      </c>
      <c r="M1523" s="8" t="s">
        <v>5578</v>
      </c>
      <c r="N1523" s="8"/>
      <c r="O1523" s="8" t="s">
        <v>5574</v>
      </c>
      <c r="P1523" s="11"/>
      <c r="Q1523" s="8" t="s">
        <v>5696</v>
      </c>
      <c r="R1523" s="8" t="s">
        <v>5919</v>
      </c>
      <c r="S1523" s="8" t="s">
        <v>10265</v>
      </c>
    </row>
    <row r="1524" spans="1:19" ht="93" customHeight="1" x14ac:dyDescent="0.25">
      <c r="A1524" s="8" t="s">
        <v>10266</v>
      </c>
      <c r="B1524" s="8" t="s">
        <v>5693</v>
      </c>
      <c r="C1524" s="8" t="s">
        <v>5918</v>
      </c>
      <c r="D1524" s="10">
        <v>1203</v>
      </c>
      <c r="E1524" s="8" t="s">
        <v>10267</v>
      </c>
      <c r="F1524" s="8" t="s">
        <v>10268</v>
      </c>
      <c r="G1524" s="8" t="s">
        <v>4727</v>
      </c>
      <c r="H1524" s="8" t="s">
        <v>10267</v>
      </c>
      <c r="I1524" s="8"/>
      <c r="J1524" s="15" t="s">
        <v>5695</v>
      </c>
      <c r="K1524" s="8"/>
      <c r="L1524" s="15" t="s">
        <v>1685</v>
      </c>
      <c r="M1524" s="8" t="s">
        <v>5578</v>
      </c>
      <c r="N1524" s="8"/>
      <c r="O1524" s="8" t="s">
        <v>5574</v>
      </c>
      <c r="P1524" s="11"/>
      <c r="Q1524" s="8" t="s">
        <v>5696</v>
      </c>
      <c r="R1524" s="8" t="s">
        <v>5919</v>
      </c>
      <c r="S1524" s="8" t="s">
        <v>10269</v>
      </c>
    </row>
    <row r="1525" spans="1:19" ht="93" customHeight="1" x14ac:dyDescent="0.25">
      <c r="A1525" s="8" t="s">
        <v>10270</v>
      </c>
      <c r="B1525" s="8" t="s">
        <v>5693</v>
      </c>
      <c r="C1525" s="8" t="s">
        <v>5918</v>
      </c>
      <c r="D1525" s="10">
        <v>1204</v>
      </c>
      <c r="E1525" s="8" t="s">
        <v>10271</v>
      </c>
      <c r="F1525" s="8" t="s">
        <v>10272</v>
      </c>
      <c r="G1525" s="8" t="s">
        <v>4727</v>
      </c>
      <c r="H1525" s="8" t="s">
        <v>10271</v>
      </c>
      <c r="I1525" s="8"/>
      <c r="J1525" s="15" t="s">
        <v>5695</v>
      </c>
      <c r="K1525" s="8"/>
      <c r="L1525" s="15" t="s">
        <v>1685</v>
      </c>
      <c r="M1525" s="8" t="s">
        <v>5578</v>
      </c>
      <c r="N1525" s="8"/>
      <c r="O1525" s="8" t="s">
        <v>5574</v>
      </c>
      <c r="P1525" s="11"/>
      <c r="Q1525" s="8" t="s">
        <v>5696</v>
      </c>
      <c r="R1525" s="8" t="s">
        <v>5919</v>
      </c>
      <c r="S1525" s="8" t="s">
        <v>10273</v>
      </c>
    </row>
    <row r="1526" spans="1:19" ht="93" customHeight="1" x14ac:dyDescent="0.25">
      <c r="A1526" s="8" t="s">
        <v>10274</v>
      </c>
      <c r="B1526" s="8" t="s">
        <v>5693</v>
      </c>
      <c r="C1526" s="8" t="s">
        <v>5918</v>
      </c>
      <c r="D1526" s="10">
        <v>1205</v>
      </c>
      <c r="E1526" s="8" t="s">
        <v>10275</v>
      </c>
      <c r="F1526" s="8" t="s">
        <v>10276</v>
      </c>
      <c r="G1526" s="8" t="s">
        <v>4727</v>
      </c>
      <c r="H1526" s="8" t="s">
        <v>10275</v>
      </c>
      <c r="I1526" s="8"/>
      <c r="J1526" s="15" t="s">
        <v>5695</v>
      </c>
      <c r="K1526" s="8"/>
      <c r="L1526" s="15" t="s">
        <v>1685</v>
      </c>
      <c r="M1526" s="8" t="s">
        <v>5578</v>
      </c>
      <c r="N1526" s="8"/>
      <c r="O1526" s="8" t="s">
        <v>5574</v>
      </c>
      <c r="P1526" s="11"/>
      <c r="Q1526" s="8" t="s">
        <v>5696</v>
      </c>
      <c r="R1526" s="8" t="s">
        <v>5919</v>
      </c>
      <c r="S1526" s="8" t="s">
        <v>10277</v>
      </c>
    </row>
    <row r="1527" spans="1:19" ht="93" customHeight="1" x14ac:dyDescent="0.25">
      <c r="A1527" s="8" t="s">
        <v>10278</v>
      </c>
      <c r="B1527" s="8" t="s">
        <v>5693</v>
      </c>
      <c r="C1527" s="8" t="s">
        <v>5918</v>
      </c>
      <c r="D1527" s="10">
        <v>1206</v>
      </c>
      <c r="E1527" s="8" t="s">
        <v>10279</v>
      </c>
      <c r="F1527" s="8" t="s">
        <v>10280</v>
      </c>
      <c r="G1527" s="8" t="s">
        <v>4727</v>
      </c>
      <c r="H1527" s="8" t="s">
        <v>10279</v>
      </c>
      <c r="I1527" s="8"/>
      <c r="J1527" s="15" t="s">
        <v>5695</v>
      </c>
      <c r="K1527" s="8"/>
      <c r="L1527" s="15" t="s">
        <v>1685</v>
      </c>
      <c r="M1527" s="8" t="s">
        <v>5578</v>
      </c>
      <c r="N1527" s="8"/>
      <c r="O1527" s="8" t="s">
        <v>5574</v>
      </c>
      <c r="P1527" s="11"/>
      <c r="Q1527" s="8" t="s">
        <v>5696</v>
      </c>
      <c r="R1527" s="8" t="s">
        <v>5919</v>
      </c>
      <c r="S1527" s="8" t="s">
        <v>10281</v>
      </c>
    </row>
    <row r="1528" spans="1:19" ht="93" customHeight="1" x14ac:dyDescent="0.25">
      <c r="A1528" s="8" t="s">
        <v>10282</v>
      </c>
      <c r="B1528" s="8" t="s">
        <v>5693</v>
      </c>
      <c r="C1528" s="8" t="s">
        <v>5918</v>
      </c>
      <c r="D1528" s="10">
        <v>1207</v>
      </c>
      <c r="E1528" s="8" t="s">
        <v>10283</v>
      </c>
      <c r="F1528" s="8" t="s">
        <v>10284</v>
      </c>
      <c r="G1528" s="8" t="s">
        <v>4727</v>
      </c>
      <c r="H1528" s="8" t="s">
        <v>10283</v>
      </c>
      <c r="I1528" s="8"/>
      <c r="J1528" s="15" t="s">
        <v>5695</v>
      </c>
      <c r="K1528" s="8"/>
      <c r="L1528" s="15" t="s">
        <v>1685</v>
      </c>
      <c r="M1528" s="8" t="s">
        <v>5578</v>
      </c>
      <c r="N1528" s="8"/>
      <c r="O1528" s="8" t="s">
        <v>5574</v>
      </c>
      <c r="P1528" s="11"/>
      <c r="Q1528" s="8" t="s">
        <v>5696</v>
      </c>
      <c r="R1528" s="8" t="s">
        <v>5919</v>
      </c>
      <c r="S1528" s="8" t="s">
        <v>10285</v>
      </c>
    </row>
    <row r="1529" spans="1:19" ht="93" customHeight="1" x14ac:dyDescent="0.25">
      <c r="A1529" s="8" t="s">
        <v>10286</v>
      </c>
      <c r="B1529" s="8" t="s">
        <v>5693</v>
      </c>
      <c r="C1529" s="8" t="s">
        <v>5918</v>
      </c>
      <c r="D1529" s="10">
        <v>1208</v>
      </c>
      <c r="E1529" s="8" t="s">
        <v>10287</v>
      </c>
      <c r="F1529" s="8" t="s">
        <v>10288</v>
      </c>
      <c r="G1529" s="8" t="s">
        <v>4727</v>
      </c>
      <c r="H1529" s="8" t="s">
        <v>10287</v>
      </c>
      <c r="I1529" s="8"/>
      <c r="J1529" s="15" t="s">
        <v>5695</v>
      </c>
      <c r="K1529" s="8"/>
      <c r="L1529" s="15" t="s">
        <v>1685</v>
      </c>
      <c r="M1529" s="8" t="s">
        <v>5578</v>
      </c>
      <c r="N1529" s="8"/>
      <c r="O1529" s="8" t="s">
        <v>5574</v>
      </c>
      <c r="P1529" s="11"/>
      <c r="Q1529" s="8" t="s">
        <v>5696</v>
      </c>
      <c r="R1529" s="8" t="s">
        <v>5919</v>
      </c>
      <c r="S1529" s="8" t="s">
        <v>10289</v>
      </c>
    </row>
    <row r="1530" spans="1:19" ht="107.1" customHeight="1" x14ac:dyDescent="0.25">
      <c r="A1530" s="8" t="s">
        <v>10290</v>
      </c>
      <c r="B1530" s="8" t="s">
        <v>5693</v>
      </c>
      <c r="C1530" s="8" t="s">
        <v>5918</v>
      </c>
      <c r="D1530" s="10">
        <v>1209</v>
      </c>
      <c r="E1530" s="8" t="s">
        <v>10291</v>
      </c>
      <c r="F1530" s="8" t="s">
        <v>10292</v>
      </c>
      <c r="G1530" s="8" t="s">
        <v>4727</v>
      </c>
      <c r="H1530" s="8" t="s">
        <v>10291</v>
      </c>
      <c r="I1530" s="8"/>
      <c r="J1530" s="15" t="s">
        <v>5695</v>
      </c>
      <c r="K1530" s="8"/>
      <c r="L1530" s="15" t="s">
        <v>1685</v>
      </c>
      <c r="M1530" s="8" t="s">
        <v>5578</v>
      </c>
      <c r="N1530" s="8"/>
      <c r="O1530" s="8" t="s">
        <v>5574</v>
      </c>
      <c r="P1530" s="11"/>
      <c r="Q1530" s="8" t="s">
        <v>5696</v>
      </c>
      <c r="R1530" s="8" t="s">
        <v>5919</v>
      </c>
      <c r="S1530" s="8" t="s">
        <v>10293</v>
      </c>
    </row>
    <row r="1531" spans="1:19" ht="93" customHeight="1" x14ac:dyDescent="0.25">
      <c r="A1531" s="8" t="s">
        <v>10294</v>
      </c>
      <c r="B1531" s="8" t="s">
        <v>5693</v>
      </c>
      <c r="C1531" s="8" t="s">
        <v>5918</v>
      </c>
      <c r="D1531" s="10">
        <v>1210</v>
      </c>
      <c r="E1531" s="8" t="s">
        <v>10295</v>
      </c>
      <c r="F1531" s="8" t="s">
        <v>10296</v>
      </c>
      <c r="G1531" s="8" t="s">
        <v>4727</v>
      </c>
      <c r="H1531" s="8" t="s">
        <v>10295</v>
      </c>
      <c r="I1531" s="8"/>
      <c r="J1531" s="15" t="s">
        <v>5695</v>
      </c>
      <c r="K1531" s="8"/>
      <c r="L1531" s="15" t="s">
        <v>1685</v>
      </c>
      <c r="M1531" s="8" t="s">
        <v>5578</v>
      </c>
      <c r="N1531" s="8"/>
      <c r="O1531" s="8" t="s">
        <v>5574</v>
      </c>
      <c r="P1531" s="11"/>
      <c r="Q1531" s="8" t="s">
        <v>5696</v>
      </c>
      <c r="R1531" s="8" t="s">
        <v>5919</v>
      </c>
      <c r="S1531" s="8" t="s">
        <v>10297</v>
      </c>
    </row>
    <row r="1532" spans="1:19" ht="93" customHeight="1" x14ac:dyDescent="0.25">
      <c r="A1532" s="8" t="s">
        <v>10298</v>
      </c>
      <c r="B1532" s="8" t="s">
        <v>5693</v>
      </c>
      <c r="C1532" s="8" t="s">
        <v>5918</v>
      </c>
      <c r="D1532" s="10">
        <v>1211</v>
      </c>
      <c r="E1532" s="8" t="s">
        <v>10299</v>
      </c>
      <c r="F1532" s="8" t="s">
        <v>10300</v>
      </c>
      <c r="G1532" s="8" t="s">
        <v>4727</v>
      </c>
      <c r="H1532" s="8" t="s">
        <v>10299</v>
      </c>
      <c r="I1532" s="8"/>
      <c r="J1532" s="15" t="s">
        <v>5695</v>
      </c>
      <c r="K1532" s="8"/>
      <c r="L1532" s="15" t="s">
        <v>1685</v>
      </c>
      <c r="M1532" s="8" t="s">
        <v>5578</v>
      </c>
      <c r="N1532" s="8"/>
      <c r="O1532" s="8" t="s">
        <v>5574</v>
      </c>
      <c r="P1532" s="11"/>
      <c r="Q1532" s="8" t="s">
        <v>5696</v>
      </c>
      <c r="R1532" s="8" t="s">
        <v>5919</v>
      </c>
      <c r="S1532" s="8" t="s">
        <v>10301</v>
      </c>
    </row>
    <row r="1533" spans="1:19" ht="93" customHeight="1" x14ac:dyDescent="0.25">
      <c r="A1533" s="8" t="s">
        <v>10302</v>
      </c>
      <c r="B1533" s="8" t="s">
        <v>5693</v>
      </c>
      <c r="C1533" s="8" t="s">
        <v>5918</v>
      </c>
      <c r="D1533" s="10">
        <v>1212</v>
      </c>
      <c r="E1533" s="8" t="s">
        <v>10303</v>
      </c>
      <c r="F1533" s="8" t="s">
        <v>10304</v>
      </c>
      <c r="G1533" s="8" t="s">
        <v>4727</v>
      </c>
      <c r="H1533" s="8" t="s">
        <v>10303</v>
      </c>
      <c r="I1533" s="8"/>
      <c r="J1533" s="15" t="s">
        <v>5695</v>
      </c>
      <c r="K1533" s="8"/>
      <c r="L1533" s="15" t="s">
        <v>1685</v>
      </c>
      <c r="M1533" s="8" t="s">
        <v>5578</v>
      </c>
      <c r="N1533" s="8"/>
      <c r="O1533" s="8" t="s">
        <v>5574</v>
      </c>
      <c r="P1533" s="11"/>
      <c r="Q1533" s="8" t="s">
        <v>5696</v>
      </c>
      <c r="R1533" s="8" t="s">
        <v>5919</v>
      </c>
      <c r="S1533" s="8" t="s">
        <v>10305</v>
      </c>
    </row>
    <row r="1534" spans="1:19" ht="93" customHeight="1" x14ac:dyDescent="0.25">
      <c r="A1534" s="8" t="s">
        <v>10306</v>
      </c>
      <c r="B1534" s="8" t="s">
        <v>5693</v>
      </c>
      <c r="C1534" s="8" t="s">
        <v>5918</v>
      </c>
      <c r="D1534" s="10">
        <v>1213</v>
      </c>
      <c r="E1534" s="8" t="s">
        <v>10307</v>
      </c>
      <c r="F1534" s="8" t="s">
        <v>10308</v>
      </c>
      <c r="G1534" s="8" t="s">
        <v>4727</v>
      </c>
      <c r="H1534" s="8" t="s">
        <v>10307</v>
      </c>
      <c r="I1534" s="8"/>
      <c r="J1534" s="15" t="s">
        <v>5695</v>
      </c>
      <c r="K1534" s="8"/>
      <c r="L1534" s="15" t="s">
        <v>1685</v>
      </c>
      <c r="M1534" s="8" t="s">
        <v>5578</v>
      </c>
      <c r="N1534" s="8"/>
      <c r="O1534" s="8" t="s">
        <v>5574</v>
      </c>
      <c r="P1534" s="11"/>
      <c r="Q1534" s="8" t="s">
        <v>5696</v>
      </c>
      <c r="R1534" s="8" t="s">
        <v>5919</v>
      </c>
      <c r="S1534" s="8" t="s">
        <v>10309</v>
      </c>
    </row>
    <row r="1535" spans="1:19" ht="107.1" customHeight="1" x14ac:dyDescent="0.25">
      <c r="A1535" s="8" t="s">
        <v>10310</v>
      </c>
      <c r="B1535" s="8" t="s">
        <v>5693</v>
      </c>
      <c r="C1535" s="8" t="s">
        <v>5918</v>
      </c>
      <c r="D1535" s="10">
        <v>1214</v>
      </c>
      <c r="E1535" s="8" t="s">
        <v>10311</v>
      </c>
      <c r="F1535" s="8" t="s">
        <v>10312</v>
      </c>
      <c r="G1535" s="8" t="s">
        <v>4727</v>
      </c>
      <c r="H1535" s="8" t="s">
        <v>10311</v>
      </c>
      <c r="I1535" s="8"/>
      <c r="J1535" s="15" t="s">
        <v>5695</v>
      </c>
      <c r="K1535" s="8"/>
      <c r="L1535" s="15" t="s">
        <v>1685</v>
      </c>
      <c r="M1535" s="8" t="s">
        <v>5578</v>
      </c>
      <c r="N1535" s="8"/>
      <c r="O1535" s="8" t="s">
        <v>5574</v>
      </c>
      <c r="P1535" s="11"/>
      <c r="Q1535" s="8" t="s">
        <v>5696</v>
      </c>
      <c r="R1535" s="8" t="s">
        <v>5919</v>
      </c>
      <c r="S1535" s="8" t="s">
        <v>10313</v>
      </c>
    </row>
    <row r="1536" spans="1:19" ht="93" customHeight="1" x14ac:dyDescent="0.25">
      <c r="A1536" s="8" t="s">
        <v>10314</v>
      </c>
      <c r="B1536" s="8" t="s">
        <v>5693</v>
      </c>
      <c r="C1536" s="8" t="s">
        <v>5918</v>
      </c>
      <c r="D1536" s="10">
        <v>1215</v>
      </c>
      <c r="E1536" s="8" t="s">
        <v>10315</v>
      </c>
      <c r="F1536" s="8" t="s">
        <v>10316</v>
      </c>
      <c r="G1536" s="8" t="s">
        <v>4727</v>
      </c>
      <c r="H1536" s="8" t="s">
        <v>10315</v>
      </c>
      <c r="I1536" s="8"/>
      <c r="J1536" s="15" t="s">
        <v>5695</v>
      </c>
      <c r="K1536" s="8"/>
      <c r="L1536" s="15" t="s">
        <v>1685</v>
      </c>
      <c r="M1536" s="8" t="s">
        <v>5578</v>
      </c>
      <c r="N1536" s="8"/>
      <c r="O1536" s="8" t="s">
        <v>5574</v>
      </c>
      <c r="P1536" s="11"/>
      <c r="Q1536" s="8" t="s">
        <v>5696</v>
      </c>
      <c r="R1536" s="8" t="s">
        <v>5919</v>
      </c>
      <c r="S1536" s="8" t="s">
        <v>10317</v>
      </c>
    </row>
    <row r="1537" spans="1:19" ht="93" customHeight="1" x14ac:dyDescent="0.25">
      <c r="A1537" s="8" t="s">
        <v>10318</v>
      </c>
      <c r="B1537" s="8" t="s">
        <v>5693</v>
      </c>
      <c r="C1537" s="8" t="s">
        <v>5918</v>
      </c>
      <c r="D1537" s="10">
        <v>1216</v>
      </c>
      <c r="E1537" s="8" t="s">
        <v>10319</v>
      </c>
      <c r="F1537" s="8" t="s">
        <v>10320</v>
      </c>
      <c r="G1537" s="8" t="s">
        <v>4727</v>
      </c>
      <c r="H1537" s="8" t="s">
        <v>10319</v>
      </c>
      <c r="I1537" s="8"/>
      <c r="J1537" s="15" t="s">
        <v>5695</v>
      </c>
      <c r="K1537" s="8"/>
      <c r="L1537" s="15" t="s">
        <v>1685</v>
      </c>
      <c r="M1537" s="8" t="s">
        <v>5578</v>
      </c>
      <c r="N1537" s="8"/>
      <c r="O1537" s="8" t="s">
        <v>5574</v>
      </c>
      <c r="P1537" s="11"/>
      <c r="Q1537" s="8" t="s">
        <v>5696</v>
      </c>
      <c r="R1537" s="8" t="s">
        <v>5919</v>
      </c>
      <c r="S1537" s="8" t="s">
        <v>10321</v>
      </c>
    </row>
    <row r="1538" spans="1:19" ht="93" customHeight="1" x14ac:dyDescent="0.25">
      <c r="A1538" s="8" t="s">
        <v>10322</v>
      </c>
      <c r="B1538" s="8" t="s">
        <v>5693</v>
      </c>
      <c r="C1538" s="8" t="s">
        <v>5918</v>
      </c>
      <c r="D1538" s="10">
        <v>1217</v>
      </c>
      <c r="E1538" s="8" t="s">
        <v>10323</v>
      </c>
      <c r="F1538" s="8" t="s">
        <v>10324</v>
      </c>
      <c r="G1538" s="8" t="s">
        <v>4727</v>
      </c>
      <c r="H1538" s="8" t="s">
        <v>10323</v>
      </c>
      <c r="I1538" s="8"/>
      <c r="J1538" s="15" t="s">
        <v>5695</v>
      </c>
      <c r="K1538" s="8"/>
      <c r="L1538" s="15" t="s">
        <v>1685</v>
      </c>
      <c r="M1538" s="8" t="s">
        <v>5578</v>
      </c>
      <c r="N1538" s="8"/>
      <c r="O1538" s="8" t="s">
        <v>5574</v>
      </c>
      <c r="P1538" s="11"/>
      <c r="Q1538" s="8" t="s">
        <v>5696</v>
      </c>
      <c r="R1538" s="8" t="s">
        <v>5919</v>
      </c>
      <c r="S1538" s="8" t="s">
        <v>10325</v>
      </c>
    </row>
    <row r="1539" spans="1:19" ht="107.1" customHeight="1" x14ac:dyDescent="0.25">
      <c r="A1539" s="8" t="s">
        <v>10326</v>
      </c>
      <c r="B1539" s="8" t="s">
        <v>5693</v>
      </c>
      <c r="C1539" s="8" t="s">
        <v>5918</v>
      </c>
      <c r="D1539" s="10">
        <v>1218</v>
      </c>
      <c r="E1539" s="8" t="s">
        <v>10327</v>
      </c>
      <c r="F1539" s="8" t="s">
        <v>10328</v>
      </c>
      <c r="G1539" s="8" t="s">
        <v>4727</v>
      </c>
      <c r="H1539" s="8" t="s">
        <v>10327</v>
      </c>
      <c r="I1539" s="8"/>
      <c r="J1539" s="15" t="s">
        <v>5695</v>
      </c>
      <c r="K1539" s="8"/>
      <c r="L1539" s="15" t="s">
        <v>1685</v>
      </c>
      <c r="M1539" s="8" t="s">
        <v>5578</v>
      </c>
      <c r="N1539" s="8"/>
      <c r="O1539" s="8" t="s">
        <v>5574</v>
      </c>
      <c r="P1539" s="11"/>
      <c r="Q1539" s="8" t="s">
        <v>5696</v>
      </c>
      <c r="R1539" s="8" t="s">
        <v>5919</v>
      </c>
      <c r="S1539" s="8" t="s">
        <v>10329</v>
      </c>
    </row>
    <row r="1540" spans="1:19" ht="93" customHeight="1" x14ac:dyDescent="0.25">
      <c r="A1540" s="8" t="s">
        <v>10330</v>
      </c>
      <c r="B1540" s="8" t="s">
        <v>5693</v>
      </c>
      <c r="C1540" s="8" t="s">
        <v>5918</v>
      </c>
      <c r="D1540" s="10">
        <v>1219</v>
      </c>
      <c r="E1540" s="8" t="s">
        <v>10331</v>
      </c>
      <c r="F1540" s="8" t="s">
        <v>10332</v>
      </c>
      <c r="G1540" s="8" t="s">
        <v>4727</v>
      </c>
      <c r="H1540" s="8" t="s">
        <v>10331</v>
      </c>
      <c r="I1540" s="8"/>
      <c r="J1540" s="15" t="s">
        <v>5695</v>
      </c>
      <c r="K1540" s="8"/>
      <c r="L1540" s="15" t="s">
        <v>1685</v>
      </c>
      <c r="M1540" s="8" t="s">
        <v>5578</v>
      </c>
      <c r="N1540" s="8"/>
      <c r="O1540" s="8" t="s">
        <v>5574</v>
      </c>
      <c r="P1540" s="11"/>
      <c r="Q1540" s="8" t="s">
        <v>5696</v>
      </c>
      <c r="R1540" s="8" t="s">
        <v>5919</v>
      </c>
      <c r="S1540" s="8" t="s">
        <v>10333</v>
      </c>
    </row>
    <row r="1541" spans="1:19" ht="93" customHeight="1" x14ac:dyDescent="0.25">
      <c r="A1541" s="8" t="s">
        <v>10334</v>
      </c>
      <c r="B1541" s="8" t="s">
        <v>5693</v>
      </c>
      <c r="C1541" s="8" t="s">
        <v>5918</v>
      </c>
      <c r="D1541" s="10">
        <v>1220</v>
      </c>
      <c r="E1541" s="8" t="s">
        <v>10335</v>
      </c>
      <c r="F1541" s="8" t="s">
        <v>10336</v>
      </c>
      <c r="G1541" s="8" t="s">
        <v>4727</v>
      </c>
      <c r="H1541" s="8" t="s">
        <v>10335</v>
      </c>
      <c r="I1541" s="8"/>
      <c r="J1541" s="15" t="s">
        <v>5695</v>
      </c>
      <c r="K1541" s="8"/>
      <c r="L1541" s="15" t="s">
        <v>1685</v>
      </c>
      <c r="M1541" s="8" t="s">
        <v>5578</v>
      </c>
      <c r="N1541" s="8"/>
      <c r="O1541" s="8" t="s">
        <v>5574</v>
      </c>
      <c r="P1541" s="11"/>
      <c r="Q1541" s="8" t="s">
        <v>5696</v>
      </c>
      <c r="R1541" s="8" t="s">
        <v>5919</v>
      </c>
      <c r="S1541" s="8" t="s">
        <v>10337</v>
      </c>
    </row>
    <row r="1542" spans="1:19" ht="93" customHeight="1" x14ac:dyDescent="0.25">
      <c r="A1542" s="8" t="s">
        <v>10338</v>
      </c>
      <c r="B1542" s="8" t="s">
        <v>5693</v>
      </c>
      <c r="C1542" s="8" t="s">
        <v>5918</v>
      </c>
      <c r="D1542" s="10">
        <v>1221</v>
      </c>
      <c r="E1542" s="8" t="s">
        <v>10339</v>
      </c>
      <c r="F1542" s="8" t="s">
        <v>10340</v>
      </c>
      <c r="G1542" s="8" t="s">
        <v>4727</v>
      </c>
      <c r="H1542" s="8" t="s">
        <v>10339</v>
      </c>
      <c r="I1542" s="8"/>
      <c r="J1542" s="15" t="s">
        <v>5695</v>
      </c>
      <c r="K1542" s="8"/>
      <c r="L1542" s="15" t="s">
        <v>1685</v>
      </c>
      <c r="M1542" s="8" t="s">
        <v>5578</v>
      </c>
      <c r="N1542" s="8"/>
      <c r="O1542" s="8" t="s">
        <v>5574</v>
      </c>
      <c r="P1542" s="11"/>
      <c r="Q1542" s="8" t="s">
        <v>5696</v>
      </c>
      <c r="R1542" s="8" t="s">
        <v>5919</v>
      </c>
      <c r="S1542" s="8" t="s">
        <v>10341</v>
      </c>
    </row>
    <row r="1543" spans="1:19" ht="93" customHeight="1" x14ac:dyDescent="0.25">
      <c r="A1543" s="8" t="s">
        <v>10342</v>
      </c>
      <c r="B1543" s="8" t="s">
        <v>5693</v>
      </c>
      <c r="C1543" s="8" t="s">
        <v>5918</v>
      </c>
      <c r="D1543" s="10">
        <v>1222</v>
      </c>
      <c r="E1543" s="8" t="s">
        <v>10343</v>
      </c>
      <c r="F1543" s="8" t="s">
        <v>10344</v>
      </c>
      <c r="G1543" s="8" t="s">
        <v>4727</v>
      </c>
      <c r="H1543" s="8" t="s">
        <v>10343</v>
      </c>
      <c r="I1543" s="8"/>
      <c r="J1543" s="15" t="s">
        <v>5695</v>
      </c>
      <c r="K1543" s="8"/>
      <c r="L1543" s="15" t="s">
        <v>1685</v>
      </c>
      <c r="M1543" s="8" t="s">
        <v>5578</v>
      </c>
      <c r="N1543" s="8"/>
      <c r="O1543" s="8" t="s">
        <v>5574</v>
      </c>
      <c r="P1543" s="11"/>
      <c r="Q1543" s="8" t="s">
        <v>5696</v>
      </c>
      <c r="R1543" s="8" t="s">
        <v>5919</v>
      </c>
      <c r="S1543" s="8" t="s">
        <v>10345</v>
      </c>
    </row>
    <row r="1544" spans="1:19" ht="93" customHeight="1" x14ac:dyDescent="0.25">
      <c r="A1544" s="8" t="s">
        <v>10346</v>
      </c>
      <c r="B1544" s="8" t="s">
        <v>5693</v>
      </c>
      <c r="C1544" s="8" t="s">
        <v>5918</v>
      </c>
      <c r="D1544" s="10">
        <v>1223</v>
      </c>
      <c r="E1544" s="8" t="s">
        <v>10347</v>
      </c>
      <c r="F1544" s="8" t="s">
        <v>10348</v>
      </c>
      <c r="G1544" s="8" t="s">
        <v>4727</v>
      </c>
      <c r="H1544" s="8" t="s">
        <v>10347</v>
      </c>
      <c r="I1544" s="8"/>
      <c r="J1544" s="15" t="s">
        <v>5695</v>
      </c>
      <c r="K1544" s="8"/>
      <c r="L1544" s="15" t="s">
        <v>1685</v>
      </c>
      <c r="M1544" s="8" t="s">
        <v>5578</v>
      </c>
      <c r="N1544" s="8"/>
      <c r="O1544" s="8" t="s">
        <v>5574</v>
      </c>
      <c r="P1544" s="11"/>
      <c r="Q1544" s="8" t="s">
        <v>5696</v>
      </c>
      <c r="R1544" s="8" t="s">
        <v>5919</v>
      </c>
      <c r="S1544" s="8" t="s">
        <v>10349</v>
      </c>
    </row>
    <row r="1545" spans="1:19" ht="93" customHeight="1" x14ac:dyDescent="0.25">
      <c r="A1545" s="8" t="s">
        <v>10350</v>
      </c>
      <c r="B1545" s="8" t="s">
        <v>5693</v>
      </c>
      <c r="C1545" s="8" t="s">
        <v>5918</v>
      </c>
      <c r="D1545" s="10">
        <v>1224</v>
      </c>
      <c r="E1545" s="8" t="s">
        <v>10351</v>
      </c>
      <c r="F1545" s="8" t="s">
        <v>10352</v>
      </c>
      <c r="G1545" s="8" t="s">
        <v>4727</v>
      </c>
      <c r="H1545" s="8" t="s">
        <v>10351</v>
      </c>
      <c r="I1545" s="8"/>
      <c r="J1545" s="15" t="s">
        <v>5695</v>
      </c>
      <c r="K1545" s="8"/>
      <c r="L1545" s="15" t="s">
        <v>1685</v>
      </c>
      <c r="M1545" s="8" t="s">
        <v>5578</v>
      </c>
      <c r="N1545" s="8"/>
      <c r="O1545" s="8" t="s">
        <v>5574</v>
      </c>
      <c r="P1545" s="11"/>
      <c r="Q1545" s="8" t="s">
        <v>5696</v>
      </c>
      <c r="R1545" s="8" t="s">
        <v>5919</v>
      </c>
      <c r="S1545" s="8" t="s">
        <v>10353</v>
      </c>
    </row>
    <row r="1546" spans="1:19" ht="93" customHeight="1" x14ac:dyDescent="0.25">
      <c r="A1546" s="8" t="s">
        <v>10354</v>
      </c>
      <c r="B1546" s="8" t="s">
        <v>5693</v>
      </c>
      <c r="C1546" s="8" t="s">
        <v>5918</v>
      </c>
      <c r="D1546" s="10">
        <v>1225</v>
      </c>
      <c r="E1546" s="8" t="s">
        <v>10355</v>
      </c>
      <c r="F1546" s="8" t="s">
        <v>10356</v>
      </c>
      <c r="G1546" s="8" t="s">
        <v>4727</v>
      </c>
      <c r="H1546" s="8" t="s">
        <v>10355</v>
      </c>
      <c r="I1546" s="8"/>
      <c r="J1546" s="15" t="s">
        <v>5695</v>
      </c>
      <c r="K1546" s="8"/>
      <c r="L1546" s="15" t="s">
        <v>1685</v>
      </c>
      <c r="M1546" s="8" t="s">
        <v>5578</v>
      </c>
      <c r="N1546" s="8"/>
      <c r="O1546" s="8" t="s">
        <v>5574</v>
      </c>
      <c r="P1546" s="11"/>
      <c r="Q1546" s="8" t="s">
        <v>5696</v>
      </c>
      <c r="R1546" s="8" t="s">
        <v>5919</v>
      </c>
      <c r="S1546" s="8" t="s">
        <v>10357</v>
      </c>
    </row>
    <row r="1547" spans="1:19" ht="93" customHeight="1" x14ac:dyDescent="0.25">
      <c r="A1547" s="8" t="s">
        <v>10358</v>
      </c>
      <c r="B1547" s="8" t="s">
        <v>5693</v>
      </c>
      <c r="C1547" s="8" t="s">
        <v>5918</v>
      </c>
      <c r="D1547" s="10">
        <v>1226</v>
      </c>
      <c r="E1547" s="8" t="s">
        <v>10359</v>
      </c>
      <c r="F1547" s="8" t="s">
        <v>10360</v>
      </c>
      <c r="G1547" s="8" t="s">
        <v>4727</v>
      </c>
      <c r="H1547" s="8" t="s">
        <v>10359</v>
      </c>
      <c r="I1547" s="8"/>
      <c r="J1547" s="15" t="s">
        <v>5695</v>
      </c>
      <c r="K1547" s="8"/>
      <c r="L1547" s="15" t="s">
        <v>1685</v>
      </c>
      <c r="M1547" s="8" t="s">
        <v>5578</v>
      </c>
      <c r="N1547" s="8"/>
      <c r="O1547" s="8" t="s">
        <v>5574</v>
      </c>
      <c r="P1547" s="11"/>
      <c r="Q1547" s="8" t="s">
        <v>5696</v>
      </c>
      <c r="R1547" s="8" t="s">
        <v>5919</v>
      </c>
      <c r="S1547" s="8" t="s">
        <v>10361</v>
      </c>
    </row>
    <row r="1548" spans="1:19" ht="107.1" customHeight="1" x14ac:dyDescent="0.25">
      <c r="A1548" s="8" t="s">
        <v>10362</v>
      </c>
      <c r="B1548" s="8" t="s">
        <v>5693</v>
      </c>
      <c r="C1548" s="8" t="s">
        <v>5918</v>
      </c>
      <c r="D1548" s="10">
        <v>1227</v>
      </c>
      <c r="E1548" s="8" t="s">
        <v>10363</v>
      </c>
      <c r="F1548" s="8" t="s">
        <v>10364</v>
      </c>
      <c r="G1548" s="8" t="s">
        <v>4727</v>
      </c>
      <c r="H1548" s="8" t="s">
        <v>10363</v>
      </c>
      <c r="I1548" s="8"/>
      <c r="J1548" s="15" t="s">
        <v>5695</v>
      </c>
      <c r="K1548" s="8"/>
      <c r="L1548" s="15" t="s">
        <v>1685</v>
      </c>
      <c r="M1548" s="8" t="s">
        <v>5578</v>
      </c>
      <c r="N1548" s="8"/>
      <c r="O1548" s="8" t="s">
        <v>5574</v>
      </c>
      <c r="P1548" s="11"/>
      <c r="Q1548" s="8" t="s">
        <v>5696</v>
      </c>
      <c r="R1548" s="8" t="s">
        <v>5919</v>
      </c>
      <c r="S1548" s="8" t="s">
        <v>10365</v>
      </c>
    </row>
    <row r="1549" spans="1:19" ht="93" customHeight="1" x14ac:dyDescent="0.25">
      <c r="A1549" s="8" t="s">
        <v>10366</v>
      </c>
      <c r="B1549" s="8" t="s">
        <v>5693</v>
      </c>
      <c r="C1549" s="8" t="s">
        <v>5918</v>
      </c>
      <c r="D1549" s="10">
        <v>1228</v>
      </c>
      <c r="E1549" s="8" t="s">
        <v>10367</v>
      </c>
      <c r="F1549" s="8" t="s">
        <v>10368</v>
      </c>
      <c r="G1549" s="8" t="s">
        <v>4727</v>
      </c>
      <c r="H1549" s="8" t="s">
        <v>10367</v>
      </c>
      <c r="I1549" s="8"/>
      <c r="J1549" s="15" t="s">
        <v>5695</v>
      </c>
      <c r="K1549" s="8"/>
      <c r="L1549" s="15" t="s">
        <v>1685</v>
      </c>
      <c r="M1549" s="8" t="s">
        <v>5578</v>
      </c>
      <c r="N1549" s="8"/>
      <c r="O1549" s="8" t="s">
        <v>5574</v>
      </c>
      <c r="P1549" s="11"/>
      <c r="Q1549" s="8" t="s">
        <v>5696</v>
      </c>
      <c r="R1549" s="8" t="s">
        <v>5919</v>
      </c>
      <c r="S1549" s="8" t="s">
        <v>10369</v>
      </c>
    </row>
    <row r="1550" spans="1:19" ht="93" customHeight="1" x14ac:dyDescent="0.25">
      <c r="A1550" s="8" t="s">
        <v>10370</v>
      </c>
      <c r="B1550" s="8" t="s">
        <v>5693</v>
      </c>
      <c r="C1550" s="8" t="s">
        <v>5918</v>
      </c>
      <c r="D1550" s="10">
        <v>1229</v>
      </c>
      <c r="E1550" s="8" t="s">
        <v>10371</v>
      </c>
      <c r="F1550" s="8" t="s">
        <v>10372</v>
      </c>
      <c r="G1550" s="8" t="s">
        <v>4727</v>
      </c>
      <c r="H1550" s="8" t="s">
        <v>10371</v>
      </c>
      <c r="I1550" s="8"/>
      <c r="J1550" s="15" t="s">
        <v>5695</v>
      </c>
      <c r="K1550" s="8"/>
      <c r="L1550" s="15" t="s">
        <v>1685</v>
      </c>
      <c r="M1550" s="8" t="s">
        <v>5578</v>
      </c>
      <c r="N1550" s="8"/>
      <c r="O1550" s="8" t="s">
        <v>5574</v>
      </c>
      <c r="P1550" s="11"/>
      <c r="Q1550" s="8" t="s">
        <v>5696</v>
      </c>
      <c r="R1550" s="8" t="s">
        <v>5919</v>
      </c>
      <c r="S1550" s="8" t="s">
        <v>10373</v>
      </c>
    </row>
    <row r="1551" spans="1:19" ht="93" customHeight="1" x14ac:dyDescent="0.25">
      <c r="A1551" s="8" t="s">
        <v>10374</v>
      </c>
      <c r="B1551" s="8" t="s">
        <v>5693</v>
      </c>
      <c r="C1551" s="8" t="s">
        <v>5918</v>
      </c>
      <c r="D1551" s="10">
        <v>1230</v>
      </c>
      <c r="E1551" s="8" t="s">
        <v>10375</v>
      </c>
      <c r="F1551" s="8" t="s">
        <v>10376</v>
      </c>
      <c r="G1551" s="8" t="s">
        <v>4727</v>
      </c>
      <c r="H1551" s="8" t="s">
        <v>10375</v>
      </c>
      <c r="I1551" s="8"/>
      <c r="J1551" s="15" t="s">
        <v>5695</v>
      </c>
      <c r="K1551" s="8"/>
      <c r="L1551" s="15" t="s">
        <v>1685</v>
      </c>
      <c r="M1551" s="8" t="s">
        <v>5578</v>
      </c>
      <c r="N1551" s="8"/>
      <c r="O1551" s="8" t="s">
        <v>5574</v>
      </c>
      <c r="P1551" s="11"/>
      <c r="Q1551" s="8" t="s">
        <v>5696</v>
      </c>
      <c r="R1551" s="8" t="s">
        <v>5919</v>
      </c>
      <c r="S1551" s="8" t="s">
        <v>10377</v>
      </c>
    </row>
    <row r="1552" spans="1:19" ht="93" customHeight="1" x14ac:dyDescent="0.25">
      <c r="A1552" s="8" t="s">
        <v>10378</v>
      </c>
      <c r="B1552" s="8" t="s">
        <v>5693</v>
      </c>
      <c r="C1552" s="8" t="s">
        <v>5918</v>
      </c>
      <c r="D1552" s="10">
        <v>1231</v>
      </c>
      <c r="E1552" s="8" t="s">
        <v>10379</v>
      </c>
      <c r="F1552" s="8" t="s">
        <v>10380</v>
      </c>
      <c r="G1552" s="8" t="s">
        <v>4727</v>
      </c>
      <c r="H1552" s="8" t="s">
        <v>10379</v>
      </c>
      <c r="I1552" s="8"/>
      <c r="J1552" s="15" t="s">
        <v>5695</v>
      </c>
      <c r="K1552" s="8"/>
      <c r="L1552" s="15" t="s">
        <v>1685</v>
      </c>
      <c r="M1552" s="8" t="s">
        <v>5578</v>
      </c>
      <c r="N1552" s="8"/>
      <c r="O1552" s="8" t="s">
        <v>5574</v>
      </c>
      <c r="P1552" s="11"/>
      <c r="Q1552" s="8" t="s">
        <v>5696</v>
      </c>
      <c r="R1552" s="8" t="s">
        <v>5919</v>
      </c>
      <c r="S1552" s="8" t="s">
        <v>10381</v>
      </c>
    </row>
    <row r="1553" spans="1:19" ht="93" customHeight="1" x14ac:dyDescent="0.25">
      <c r="A1553" s="8" t="s">
        <v>10382</v>
      </c>
      <c r="B1553" s="8" t="s">
        <v>5693</v>
      </c>
      <c r="C1553" s="8" t="s">
        <v>5918</v>
      </c>
      <c r="D1553" s="10">
        <v>1232</v>
      </c>
      <c r="E1553" s="8" t="s">
        <v>10383</v>
      </c>
      <c r="F1553" s="8" t="s">
        <v>10384</v>
      </c>
      <c r="G1553" s="8" t="s">
        <v>4727</v>
      </c>
      <c r="H1553" s="8" t="s">
        <v>10383</v>
      </c>
      <c r="I1553" s="8"/>
      <c r="J1553" s="15" t="s">
        <v>5695</v>
      </c>
      <c r="K1553" s="8"/>
      <c r="L1553" s="15" t="s">
        <v>1685</v>
      </c>
      <c r="M1553" s="8" t="s">
        <v>5578</v>
      </c>
      <c r="N1553" s="8"/>
      <c r="O1553" s="8" t="s">
        <v>5574</v>
      </c>
      <c r="P1553" s="11"/>
      <c r="Q1553" s="8" t="s">
        <v>5696</v>
      </c>
      <c r="R1553" s="8" t="s">
        <v>5919</v>
      </c>
      <c r="S1553" s="8" t="s">
        <v>10385</v>
      </c>
    </row>
    <row r="1554" spans="1:19" ht="93" customHeight="1" x14ac:dyDescent="0.25">
      <c r="A1554" s="8" t="s">
        <v>10386</v>
      </c>
      <c r="B1554" s="8" t="s">
        <v>5693</v>
      </c>
      <c r="C1554" s="8" t="s">
        <v>5918</v>
      </c>
      <c r="D1554" s="10">
        <v>1233</v>
      </c>
      <c r="E1554" s="8" t="s">
        <v>10387</v>
      </c>
      <c r="F1554" s="8" t="s">
        <v>10388</v>
      </c>
      <c r="G1554" s="8" t="s">
        <v>4727</v>
      </c>
      <c r="H1554" s="8" t="s">
        <v>10387</v>
      </c>
      <c r="I1554" s="8"/>
      <c r="J1554" s="15" t="s">
        <v>5695</v>
      </c>
      <c r="K1554" s="8"/>
      <c r="L1554" s="15" t="s">
        <v>1685</v>
      </c>
      <c r="M1554" s="8" t="s">
        <v>5578</v>
      </c>
      <c r="N1554" s="8"/>
      <c r="O1554" s="8" t="s">
        <v>5574</v>
      </c>
      <c r="P1554" s="11"/>
      <c r="Q1554" s="8" t="s">
        <v>5696</v>
      </c>
      <c r="R1554" s="8" t="s">
        <v>5919</v>
      </c>
      <c r="S1554" s="8" t="s">
        <v>10389</v>
      </c>
    </row>
    <row r="1555" spans="1:19" ht="93" customHeight="1" x14ac:dyDescent="0.25">
      <c r="A1555" s="8" t="s">
        <v>10390</v>
      </c>
      <c r="B1555" s="8" t="s">
        <v>5693</v>
      </c>
      <c r="C1555" s="8" t="s">
        <v>5918</v>
      </c>
      <c r="D1555" s="10">
        <v>1234</v>
      </c>
      <c r="E1555" s="8" t="s">
        <v>10391</v>
      </c>
      <c r="F1555" s="8" t="s">
        <v>10392</v>
      </c>
      <c r="G1555" s="8" t="s">
        <v>4727</v>
      </c>
      <c r="H1555" s="8" t="s">
        <v>10391</v>
      </c>
      <c r="I1555" s="8"/>
      <c r="J1555" s="15" t="s">
        <v>5695</v>
      </c>
      <c r="K1555" s="8"/>
      <c r="L1555" s="15" t="s">
        <v>1685</v>
      </c>
      <c r="M1555" s="8" t="s">
        <v>5578</v>
      </c>
      <c r="N1555" s="8"/>
      <c r="O1555" s="8" t="s">
        <v>5574</v>
      </c>
      <c r="P1555" s="11"/>
      <c r="Q1555" s="8" t="s">
        <v>5696</v>
      </c>
      <c r="R1555" s="8" t="s">
        <v>5919</v>
      </c>
      <c r="S1555" s="8" t="s">
        <v>10393</v>
      </c>
    </row>
    <row r="1556" spans="1:19" ht="93" customHeight="1" x14ac:dyDescent="0.25">
      <c r="A1556" s="8" t="s">
        <v>10394</v>
      </c>
      <c r="B1556" s="8" t="s">
        <v>5693</v>
      </c>
      <c r="C1556" s="8" t="s">
        <v>5918</v>
      </c>
      <c r="D1556" s="10">
        <v>1235</v>
      </c>
      <c r="E1556" s="8" t="s">
        <v>10395</v>
      </c>
      <c r="F1556" s="8" t="s">
        <v>10396</v>
      </c>
      <c r="G1556" s="8" t="s">
        <v>4727</v>
      </c>
      <c r="H1556" s="8" t="s">
        <v>10395</v>
      </c>
      <c r="I1556" s="8"/>
      <c r="J1556" s="15" t="s">
        <v>5695</v>
      </c>
      <c r="K1556" s="8"/>
      <c r="L1556" s="15" t="s">
        <v>1685</v>
      </c>
      <c r="M1556" s="8" t="s">
        <v>5578</v>
      </c>
      <c r="N1556" s="8"/>
      <c r="O1556" s="8" t="s">
        <v>5574</v>
      </c>
      <c r="P1556" s="11"/>
      <c r="Q1556" s="8" t="s">
        <v>5696</v>
      </c>
      <c r="R1556" s="8" t="s">
        <v>5919</v>
      </c>
      <c r="S1556" s="8" t="s">
        <v>10397</v>
      </c>
    </row>
    <row r="1557" spans="1:19" ht="93" customHeight="1" x14ac:dyDescent="0.25">
      <c r="A1557" s="8" t="s">
        <v>10398</v>
      </c>
      <c r="B1557" s="8" t="s">
        <v>5693</v>
      </c>
      <c r="C1557" s="8" t="s">
        <v>5918</v>
      </c>
      <c r="D1557" s="10">
        <v>1236</v>
      </c>
      <c r="E1557" s="8" t="s">
        <v>10399</v>
      </c>
      <c r="F1557" s="8" t="s">
        <v>10400</v>
      </c>
      <c r="G1557" s="8" t="s">
        <v>4727</v>
      </c>
      <c r="H1557" s="8" t="s">
        <v>10399</v>
      </c>
      <c r="I1557" s="8"/>
      <c r="J1557" s="15" t="s">
        <v>5695</v>
      </c>
      <c r="K1557" s="8"/>
      <c r="L1557" s="15" t="s">
        <v>1685</v>
      </c>
      <c r="M1557" s="8" t="s">
        <v>5578</v>
      </c>
      <c r="N1557" s="8"/>
      <c r="O1557" s="8" t="s">
        <v>5574</v>
      </c>
      <c r="P1557" s="11"/>
      <c r="Q1557" s="8" t="s">
        <v>5696</v>
      </c>
      <c r="R1557" s="8" t="s">
        <v>5919</v>
      </c>
      <c r="S1557" s="8" t="s">
        <v>10401</v>
      </c>
    </row>
    <row r="1558" spans="1:19" ht="93" customHeight="1" x14ac:dyDescent="0.25">
      <c r="A1558" s="8" t="s">
        <v>10402</v>
      </c>
      <c r="B1558" s="8" t="s">
        <v>5693</v>
      </c>
      <c r="C1558" s="8" t="s">
        <v>5918</v>
      </c>
      <c r="D1558" s="10">
        <v>1237</v>
      </c>
      <c r="E1558" s="8" t="s">
        <v>10403</v>
      </c>
      <c r="F1558" s="8" t="s">
        <v>10404</v>
      </c>
      <c r="G1558" s="8" t="s">
        <v>4727</v>
      </c>
      <c r="H1558" s="8" t="s">
        <v>10403</v>
      </c>
      <c r="I1558" s="8"/>
      <c r="J1558" s="15" t="s">
        <v>5695</v>
      </c>
      <c r="K1558" s="8"/>
      <c r="L1558" s="15" t="s">
        <v>1685</v>
      </c>
      <c r="M1558" s="8" t="s">
        <v>5578</v>
      </c>
      <c r="N1558" s="8"/>
      <c r="O1558" s="8" t="s">
        <v>5574</v>
      </c>
      <c r="P1558" s="11"/>
      <c r="Q1558" s="8" t="s">
        <v>5696</v>
      </c>
      <c r="R1558" s="8" t="s">
        <v>5919</v>
      </c>
      <c r="S1558" s="8" t="s">
        <v>10405</v>
      </c>
    </row>
    <row r="1559" spans="1:19" ht="93" customHeight="1" x14ac:dyDescent="0.25">
      <c r="A1559" s="8" t="s">
        <v>10406</v>
      </c>
      <c r="B1559" s="8" t="s">
        <v>5693</v>
      </c>
      <c r="C1559" s="8" t="s">
        <v>5918</v>
      </c>
      <c r="D1559" s="10">
        <v>1238</v>
      </c>
      <c r="E1559" s="8" t="s">
        <v>10407</v>
      </c>
      <c r="F1559" s="8" t="s">
        <v>10408</v>
      </c>
      <c r="G1559" s="8" t="s">
        <v>4727</v>
      </c>
      <c r="H1559" s="8" t="s">
        <v>10407</v>
      </c>
      <c r="I1559" s="8"/>
      <c r="J1559" s="15" t="s">
        <v>5695</v>
      </c>
      <c r="K1559" s="8"/>
      <c r="L1559" s="15" t="s">
        <v>1685</v>
      </c>
      <c r="M1559" s="8" t="s">
        <v>5578</v>
      </c>
      <c r="N1559" s="8"/>
      <c r="O1559" s="8" t="s">
        <v>5574</v>
      </c>
      <c r="P1559" s="11"/>
      <c r="Q1559" s="8" t="s">
        <v>5696</v>
      </c>
      <c r="R1559" s="8" t="s">
        <v>5919</v>
      </c>
      <c r="S1559" s="8" t="s">
        <v>10409</v>
      </c>
    </row>
    <row r="1560" spans="1:19" ht="107.1" customHeight="1" x14ac:dyDescent="0.25">
      <c r="A1560" s="8" t="s">
        <v>10410</v>
      </c>
      <c r="B1560" s="8" t="s">
        <v>5693</v>
      </c>
      <c r="C1560" s="8" t="s">
        <v>5918</v>
      </c>
      <c r="D1560" s="10">
        <v>1239</v>
      </c>
      <c r="E1560" s="8" t="s">
        <v>10411</v>
      </c>
      <c r="F1560" s="8" t="s">
        <v>10412</v>
      </c>
      <c r="G1560" s="8" t="s">
        <v>4727</v>
      </c>
      <c r="H1560" s="8" t="s">
        <v>10411</v>
      </c>
      <c r="I1560" s="8"/>
      <c r="J1560" s="15" t="s">
        <v>5695</v>
      </c>
      <c r="K1560" s="8"/>
      <c r="L1560" s="15" t="s">
        <v>1685</v>
      </c>
      <c r="M1560" s="8" t="s">
        <v>5578</v>
      </c>
      <c r="N1560" s="8"/>
      <c r="O1560" s="8" t="s">
        <v>5574</v>
      </c>
      <c r="P1560" s="11"/>
      <c r="Q1560" s="8" t="s">
        <v>5696</v>
      </c>
      <c r="R1560" s="8" t="s">
        <v>5919</v>
      </c>
      <c r="S1560" s="8" t="s">
        <v>10413</v>
      </c>
    </row>
    <row r="1561" spans="1:19" ht="93" customHeight="1" x14ac:dyDescent="0.25">
      <c r="A1561" s="8" t="s">
        <v>10414</v>
      </c>
      <c r="B1561" s="8" t="s">
        <v>5693</v>
      </c>
      <c r="C1561" s="8" t="s">
        <v>5918</v>
      </c>
      <c r="D1561" s="10">
        <v>1240</v>
      </c>
      <c r="E1561" s="8" t="s">
        <v>10415</v>
      </c>
      <c r="F1561" s="8" t="s">
        <v>10416</v>
      </c>
      <c r="G1561" s="8" t="s">
        <v>4727</v>
      </c>
      <c r="H1561" s="8" t="s">
        <v>10415</v>
      </c>
      <c r="I1561" s="8"/>
      <c r="J1561" s="15" t="s">
        <v>5695</v>
      </c>
      <c r="K1561" s="8"/>
      <c r="L1561" s="15" t="s">
        <v>1685</v>
      </c>
      <c r="M1561" s="8" t="s">
        <v>5578</v>
      </c>
      <c r="N1561" s="8"/>
      <c r="O1561" s="8" t="s">
        <v>5574</v>
      </c>
      <c r="P1561" s="11"/>
      <c r="Q1561" s="8" t="s">
        <v>5696</v>
      </c>
      <c r="R1561" s="8" t="s">
        <v>5919</v>
      </c>
      <c r="S1561" s="8" t="s">
        <v>10417</v>
      </c>
    </row>
    <row r="1562" spans="1:19" ht="107.1" customHeight="1" x14ac:dyDescent="0.25">
      <c r="A1562" s="8" t="s">
        <v>10418</v>
      </c>
      <c r="B1562" s="8" t="s">
        <v>5693</v>
      </c>
      <c r="C1562" s="8" t="s">
        <v>5918</v>
      </c>
      <c r="D1562" s="10">
        <v>1241</v>
      </c>
      <c r="E1562" s="8" t="s">
        <v>10419</v>
      </c>
      <c r="F1562" s="8" t="s">
        <v>10420</v>
      </c>
      <c r="G1562" s="8" t="s">
        <v>4727</v>
      </c>
      <c r="H1562" s="8" t="s">
        <v>10419</v>
      </c>
      <c r="I1562" s="8"/>
      <c r="J1562" s="15" t="s">
        <v>5695</v>
      </c>
      <c r="K1562" s="8"/>
      <c r="L1562" s="15" t="s">
        <v>1685</v>
      </c>
      <c r="M1562" s="8" t="s">
        <v>5578</v>
      </c>
      <c r="N1562" s="8"/>
      <c r="O1562" s="8" t="s">
        <v>5574</v>
      </c>
      <c r="P1562" s="11"/>
      <c r="Q1562" s="8" t="s">
        <v>5696</v>
      </c>
      <c r="R1562" s="8" t="s">
        <v>5919</v>
      </c>
      <c r="S1562" s="8" t="s">
        <v>10421</v>
      </c>
    </row>
    <row r="1563" spans="1:19" ht="93" customHeight="1" x14ac:dyDescent="0.25">
      <c r="A1563" s="8" t="s">
        <v>10422</v>
      </c>
      <c r="B1563" s="8" t="s">
        <v>5693</v>
      </c>
      <c r="C1563" s="8" t="s">
        <v>5918</v>
      </c>
      <c r="D1563" s="10">
        <v>1242</v>
      </c>
      <c r="E1563" s="8" t="s">
        <v>10423</v>
      </c>
      <c r="F1563" s="8" t="s">
        <v>10424</v>
      </c>
      <c r="G1563" s="8" t="s">
        <v>4727</v>
      </c>
      <c r="H1563" s="8" t="s">
        <v>10423</v>
      </c>
      <c r="I1563" s="8"/>
      <c r="J1563" s="15" t="s">
        <v>5695</v>
      </c>
      <c r="K1563" s="8"/>
      <c r="L1563" s="15" t="s">
        <v>1685</v>
      </c>
      <c r="M1563" s="8" t="s">
        <v>5578</v>
      </c>
      <c r="N1563" s="8"/>
      <c r="O1563" s="8" t="s">
        <v>5574</v>
      </c>
      <c r="P1563" s="11"/>
      <c r="Q1563" s="8" t="s">
        <v>5696</v>
      </c>
      <c r="R1563" s="8" t="s">
        <v>5919</v>
      </c>
      <c r="S1563" s="8" t="s">
        <v>10425</v>
      </c>
    </row>
    <row r="1564" spans="1:19" ht="93" customHeight="1" x14ac:dyDescent="0.25">
      <c r="A1564" s="8" t="s">
        <v>10426</v>
      </c>
      <c r="B1564" s="8" t="s">
        <v>5693</v>
      </c>
      <c r="C1564" s="8" t="s">
        <v>5918</v>
      </c>
      <c r="D1564" s="10">
        <v>1243</v>
      </c>
      <c r="E1564" s="8" t="s">
        <v>10427</v>
      </c>
      <c r="F1564" s="8" t="s">
        <v>10428</v>
      </c>
      <c r="G1564" s="8" t="s">
        <v>4727</v>
      </c>
      <c r="H1564" s="8" t="s">
        <v>10427</v>
      </c>
      <c r="I1564" s="8"/>
      <c r="J1564" s="15" t="s">
        <v>5695</v>
      </c>
      <c r="K1564" s="8"/>
      <c r="L1564" s="15" t="s">
        <v>1685</v>
      </c>
      <c r="M1564" s="8" t="s">
        <v>5578</v>
      </c>
      <c r="N1564" s="8"/>
      <c r="O1564" s="8" t="s">
        <v>5574</v>
      </c>
      <c r="P1564" s="11"/>
      <c r="Q1564" s="8" t="s">
        <v>5696</v>
      </c>
      <c r="R1564" s="8" t="s">
        <v>5919</v>
      </c>
      <c r="S1564" s="8" t="s">
        <v>10429</v>
      </c>
    </row>
    <row r="1565" spans="1:19" ht="93" customHeight="1" x14ac:dyDescent="0.25">
      <c r="A1565" s="8" t="s">
        <v>10430</v>
      </c>
      <c r="B1565" s="8" t="s">
        <v>5693</v>
      </c>
      <c r="C1565" s="8" t="s">
        <v>5918</v>
      </c>
      <c r="D1565" s="10">
        <v>1244</v>
      </c>
      <c r="E1565" s="8" t="s">
        <v>10431</v>
      </c>
      <c r="F1565" s="8" t="s">
        <v>10432</v>
      </c>
      <c r="G1565" s="8" t="s">
        <v>4727</v>
      </c>
      <c r="H1565" s="8" t="s">
        <v>10431</v>
      </c>
      <c r="I1565" s="8"/>
      <c r="J1565" s="15" t="s">
        <v>5695</v>
      </c>
      <c r="K1565" s="8"/>
      <c r="L1565" s="15" t="s">
        <v>1685</v>
      </c>
      <c r="M1565" s="8" t="s">
        <v>5578</v>
      </c>
      <c r="N1565" s="8"/>
      <c r="O1565" s="8" t="s">
        <v>5574</v>
      </c>
      <c r="P1565" s="11"/>
      <c r="Q1565" s="8" t="s">
        <v>5696</v>
      </c>
      <c r="R1565" s="8" t="s">
        <v>5919</v>
      </c>
      <c r="S1565" s="8" t="s">
        <v>10433</v>
      </c>
    </row>
    <row r="1566" spans="1:19" ht="93" customHeight="1" x14ac:dyDescent="0.25">
      <c r="A1566" s="8" t="s">
        <v>10434</v>
      </c>
      <c r="B1566" s="8" t="s">
        <v>5693</v>
      </c>
      <c r="C1566" s="8" t="s">
        <v>5918</v>
      </c>
      <c r="D1566" s="10">
        <v>1245</v>
      </c>
      <c r="E1566" s="8" t="s">
        <v>10435</v>
      </c>
      <c r="F1566" s="8" t="s">
        <v>10436</v>
      </c>
      <c r="G1566" s="8" t="s">
        <v>4727</v>
      </c>
      <c r="H1566" s="8" t="s">
        <v>10435</v>
      </c>
      <c r="I1566" s="8"/>
      <c r="J1566" s="15" t="s">
        <v>5695</v>
      </c>
      <c r="K1566" s="8"/>
      <c r="L1566" s="15" t="s">
        <v>1685</v>
      </c>
      <c r="M1566" s="8" t="s">
        <v>5578</v>
      </c>
      <c r="N1566" s="8"/>
      <c r="O1566" s="8" t="s">
        <v>5574</v>
      </c>
      <c r="P1566" s="11"/>
      <c r="Q1566" s="8" t="s">
        <v>5696</v>
      </c>
      <c r="R1566" s="8" t="s">
        <v>5919</v>
      </c>
      <c r="S1566" s="8" t="s">
        <v>10437</v>
      </c>
    </row>
    <row r="1567" spans="1:19" ht="93" customHeight="1" x14ac:dyDescent="0.25">
      <c r="A1567" s="8" t="s">
        <v>10438</v>
      </c>
      <c r="B1567" s="8" t="s">
        <v>5693</v>
      </c>
      <c r="C1567" s="8" t="s">
        <v>5918</v>
      </c>
      <c r="D1567" s="10">
        <v>1246</v>
      </c>
      <c r="E1567" s="8" t="s">
        <v>10439</v>
      </c>
      <c r="F1567" s="8" t="s">
        <v>10440</v>
      </c>
      <c r="G1567" s="8" t="s">
        <v>4727</v>
      </c>
      <c r="H1567" s="8" t="s">
        <v>10439</v>
      </c>
      <c r="I1567" s="8"/>
      <c r="J1567" s="15" t="s">
        <v>5695</v>
      </c>
      <c r="K1567" s="8"/>
      <c r="L1567" s="15" t="s">
        <v>1685</v>
      </c>
      <c r="M1567" s="8" t="s">
        <v>5578</v>
      </c>
      <c r="N1567" s="8"/>
      <c r="O1567" s="8" t="s">
        <v>5574</v>
      </c>
      <c r="P1567" s="11"/>
      <c r="Q1567" s="8" t="s">
        <v>5696</v>
      </c>
      <c r="R1567" s="8" t="s">
        <v>5919</v>
      </c>
      <c r="S1567" s="8" t="s">
        <v>10441</v>
      </c>
    </row>
    <row r="1568" spans="1:19" ht="93" customHeight="1" x14ac:dyDescent="0.25">
      <c r="A1568" s="8" t="s">
        <v>10442</v>
      </c>
      <c r="B1568" s="8" t="s">
        <v>5693</v>
      </c>
      <c r="C1568" s="8" t="s">
        <v>5918</v>
      </c>
      <c r="D1568" s="10">
        <v>1247</v>
      </c>
      <c r="E1568" s="8" t="s">
        <v>10443</v>
      </c>
      <c r="F1568" s="8" t="s">
        <v>10444</v>
      </c>
      <c r="G1568" s="8" t="s">
        <v>4727</v>
      </c>
      <c r="H1568" s="8" t="s">
        <v>10443</v>
      </c>
      <c r="I1568" s="8"/>
      <c r="J1568" s="15" t="s">
        <v>5695</v>
      </c>
      <c r="K1568" s="8"/>
      <c r="L1568" s="15" t="s">
        <v>1685</v>
      </c>
      <c r="M1568" s="8" t="s">
        <v>5578</v>
      </c>
      <c r="N1568" s="8"/>
      <c r="O1568" s="8" t="s">
        <v>5574</v>
      </c>
      <c r="P1568" s="11"/>
      <c r="Q1568" s="8" t="s">
        <v>5696</v>
      </c>
      <c r="R1568" s="8" t="s">
        <v>5919</v>
      </c>
      <c r="S1568" s="8" t="s">
        <v>10445</v>
      </c>
    </row>
    <row r="1569" spans="1:19" ht="93" customHeight="1" x14ac:dyDescent="0.25">
      <c r="A1569" s="8" t="s">
        <v>10446</v>
      </c>
      <c r="B1569" s="8" t="s">
        <v>5693</v>
      </c>
      <c r="C1569" s="8" t="s">
        <v>5918</v>
      </c>
      <c r="D1569" s="10">
        <v>1248</v>
      </c>
      <c r="E1569" s="8" t="s">
        <v>10447</v>
      </c>
      <c r="F1569" s="8" t="s">
        <v>10448</v>
      </c>
      <c r="G1569" s="8" t="s">
        <v>4727</v>
      </c>
      <c r="H1569" s="8" t="s">
        <v>10447</v>
      </c>
      <c r="I1569" s="8"/>
      <c r="J1569" s="15" t="s">
        <v>5695</v>
      </c>
      <c r="K1569" s="8"/>
      <c r="L1569" s="15" t="s">
        <v>1685</v>
      </c>
      <c r="M1569" s="8" t="s">
        <v>5578</v>
      </c>
      <c r="N1569" s="8"/>
      <c r="O1569" s="8" t="s">
        <v>5574</v>
      </c>
      <c r="P1569" s="11"/>
      <c r="Q1569" s="8" t="s">
        <v>5696</v>
      </c>
      <c r="R1569" s="8" t="s">
        <v>5919</v>
      </c>
      <c r="S1569" s="8" t="s">
        <v>10449</v>
      </c>
    </row>
    <row r="1570" spans="1:19" ht="93" customHeight="1" x14ac:dyDescent="0.25">
      <c r="A1570" s="8" t="s">
        <v>10450</v>
      </c>
      <c r="B1570" s="8" t="s">
        <v>5693</v>
      </c>
      <c r="C1570" s="8" t="s">
        <v>5918</v>
      </c>
      <c r="D1570" s="10">
        <v>1249</v>
      </c>
      <c r="E1570" s="8" t="s">
        <v>10451</v>
      </c>
      <c r="F1570" s="8" t="s">
        <v>10452</v>
      </c>
      <c r="G1570" s="8" t="s">
        <v>4727</v>
      </c>
      <c r="H1570" s="8" t="s">
        <v>10451</v>
      </c>
      <c r="I1570" s="8"/>
      <c r="J1570" s="15" t="s">
        <v>5695</v>
      </c>
      <c r="K1570" s="8"/>
      <c r="L1570" s="15" t="s">
        <v>1685</v>
      </c>
      <c r="M1570" s="8" t="s">
        <v>5578</v>
      </c>
      <c r="N1570" s="8"/>
      <c r="O1570" s="8" t="s">
        <v>5574</v>
      </c>
      <c r="P1570" s="11"/>
      <c r="Q1570" s="8" t="s">
        <v>5696</v>
      </c>
      <c r="R1570" s="8" t="s">
        <v>5919</v>
      </c>
      <c r="S1570" s="8" t="s">
        <v>10453</v>
      </c>
    </row>
    <row r="1571" spans="1:19" ht="93" customHeight="1" x14ac:dyDescent="0.25">
      <c r="A1571" s="8" t="s">
        <v>10454</v>
      </c>
      <c r="B1571" s="8" t="s">
        <v>5693</v>
      </c>
      <c r="C1571" s="8" t="s">
        <v>5918</v>
      </c>
      <c r="D1571" s="10">
        <v>1250</v>
      </c>
      <c r="E1571" s="8" t="s">
        <v>10455</v>
      </c>
      <c r="F1571" s="8" t="s">
        <v>10456</v>
      </c>
      <c r="G1571" s="8" t="s">
        <v>4727</v>
      </c>
      <c r="H1571" s="8" t="s">
        <v>10455</v>
      </c>
      <c r="I1571" s="8"/>
      <c r="J1571" s="15" t="s">
        <v>5695</v>
      </c>
      <c r="K1571" s="8"/>
      <c r="L1571" s="15" t="s">
        <v>1685</v>
      </c>
      <c r="M1571" s="8" t="s">
        <v>5578</v>
      </c>
      <c r="N1571" s="8"/>
      <c r="O1571" s="8" t="s">
        <v>5574</v>
      </c>
      <c r="P1571" s="11"/>
      <c r="Q1571" s="8" t="s">
        <v>5696</v>
      </c>
      <c r="R1571" s="8" t="s">
        <v>5919</v>
      </c>
      <c r="S1571" s="8" t="s">
        <v>10457</v>
      </c>
    </row>
    <row r="1572" spans="1:19" ht="93" customHeight="1" x14ac:dyDescent="0.25">
      <c r="A1572" s="8" t="s">
        <v>10458</v>
      </c>
      <c r="B1572" s="8" t="s">
        <v>5693</v>
      </c>
      <c r="C1572" s="8" t="s">
        <v>5918</v>
      </c>
      <c r="D1572" s="10">
        <v>1251</v>
      </c>
      <c r="E1572" s="8" t="s">
        <v>10459</v>
      </c>
      <c r="F1572" s="8" t="s">
        <v>10460</v>
      </c>
      <c r="G1572" s="8" t="s">
        <v>4727</v>
      </c>
      <c r="H1572" s="8" t="s">
        <v>10459</v>
      </c>
      <c r="I1572" s="8"/>
      <c r="J1572" s="15" t="s">
        <v>5695</v>
      </c>
      <c r="K1572" s="8"/>
      <c r="L1572" s="15" t="s">
        <v>1685</v>
      </c>
      <c r="M1572" s="8" t="s">
        <v>5578</v>
      </c>
      <c r="N1572" s="8"/>
      <c r="O1572" s="8" t="s">
        <v>5574</v>
      </c>
      <c r="P1572" s="11"/>
      <c r="Q1572" s="8" t="s">
        <v>5696</v>
      </c>
      <c r="R1572" s="8" t="s">
        <v>5919</v>
      </c>
      <c r="S1572" s="8" t="s">
        <v>10461</v>
      </c>
    </row>
    <row r="1573" spans="1:19" ht="107.1" customHeight="1" x14ac:dyDescent="0.25">
      <c r="A1573" s="8" t="s">
        <v>10462</v>
      </c>
      <c r="B1573" s="8" t="s">
        <v>5693</v>
      </c>
      <c r="C1573" s="8" t="s">
        <v>5918</v>
      </c>
      <c r="D1573" s="10">
        <v>1252</v>
      </c>
      <c r="E1573" s="8" t="s">
        <v>10463</v>
      </c>
      <c r="F1573" s="8" t="s">
        <v>10464</v>
      </c>
      <c r="G1573" s="8" t="s">
        <v>4727</v>
      </c>
      <c r="H1573" s="8" t="s">
        <v>10463</v>
      </c>
      <c r="I1573" s="8"/>
      <c r="J1573" s="15" t="s">
        <v>5695</v>
      </c>
      <c r="K1573" s="8"/>
      <c r="L1573" s="15" t="s">
        <v>1685</v>
      </c>
      <c r="M1573" s="8" t="s">
        <v>5578</v>
      </c>
      <c r="N1573" s="8"/>
      <c r="O1573" s="8" t="s">
        <v>5574</v>
      </c>
      <c r="P1573" s="11"/>
      <c r="Q1573" s="8" t="s">
        <v>5696</v>
      </c>
      <c r="R1573" s="8" t="s">
        <v>5919</v>
      </c>
      <c r="S1573" s="8" t="s">
        <v>10465</v>
      </c>
    </row>
    <row r="1574" spans="1:19" ht="93" customHeight="1" x14ac:dyDescent="0.25">
      <c r="A1574" s="8" t="s">
        <v>10466</v>
      </c>
      <c r="B1574" s="8" t="s">
        <v>5693</v>
      </c>
      <c r="C1574" s="8" t="s">
        <v>5918</v>
      </c>
      <c r="D1574" s="10">
        <v>1253</v>
      </c>
      <c r="E1574" s="8" t="s">
        <v>10467</v>
      </c>
      <c r="F1574" s="8" t="s">
        <v>10468</v>
      </c>
      <c r="G1574" s="8" t="s">
        <v>4727</v>
      </c>
      <c r="H1574" s="8" t="s">
        <v>10467</v>
      </c>
      <c r="I1574" s="8"/>
      <c r="J1574" s="15" t="s">
        <v>5695</v>
      </c>
      <c r="K1574" s="8"/>
      <c r="L1574" s="15" t="s">
        <v>1685</v>
      </c>
      <c r="M1574" s="8" t="s">
        <v>5578</v>
      </c>
      <c r="N1574" s="8"/>
      <c r="O1574" s="8" t="s">
        <v>5574</v>
      </c>
      <c r="P1574" s="11"/>
      <c r="Q1574" s="8" t="s">
        <v>5696</v>
      </c>
      <c r="R1574" s="8" t="s">
        <v>5919</v>
      </c>
      <c r="S1574" s="8" t="s">
        <v>10469</v>
      </c>
    </row>
    <row r="1575" spans="1:19" ht="93" customHeight="1" x14ac:dyDescent="0.25">
      <c r="A1575" s="8" t="s">
        <v>10470</v>
      </c>
      <c r="B1575" s="8" t="s">
        <v>5693</v>
      </c>
      <c r="C1575" s="8" t="s">
        <v>5918</v>
      </c>
      <c r="D1575" s="10">
        <v>1254</v>
      </c>
      <c r="E1575" s="8" t="s">
        <v>10471</v>
      </c>
      <c r="F1575" s="8" t="s">
        <v>10472</v>
      </c>
      <c r="G1575" s="8" t="s">
        <v>4727</v>
      </c>
      <c r="H1575" s="8" t="s">
        <v>10471</v>
      </c>
      <c r="I1575" s="8"/>
      <c r="J1575" s="15" t="s">
        <v>5695</v>
      </c>
      <c r="K1575" s="8"/>
      <c r="L1575" s="15" t="s">
        <v>1685</v>
      </c>
      <c r="M1575" s="8" t="s">
        <v>5578</v>
      </c>
      <c r="N1575" s="8"/>
      <c r="O1575" s="8" t="s">
        <v>5574</v>
      </c>
      <c r="P1575" s="11"/>
      <c r="Q1575" s="8" t="s">
        <v>5696</v>
      </c>
      <c r="R1575" s="8" t="s">
        <v>5919</v>
      </c>
      <c r="S1575" s="8" t="s">
        <v>10473</v>
      </c>
    </row>
    <row r="1576" spans="1:19" ht="93" customHeight="1" x14ac:dyDescent="0.25">
      <c r="A1576" s="8" t="s">
        <v>10474</v>
      </c>
      <c r="B1576" s="8" t="s">
        <v>5693</v>
      </c>
      <c r="C1576" s="8" t="s">
        <v>5918</v>
      </c>
      <c r="D1576" s="10">
        <v>1255</v>
      </c>
      <c r="E1576" s="8" t="s">
        <v>10475</v>
      </c>
      <c r="F1576" s="8" t="s">
        <v>10476</v>
      </c>
      <c r="G1576" s="8" t="s">
        <v>4727</v>
      </c>
      <c r="H1576" s="8" t="s">
        <v>10475</v>
      </c>
      <c r="I1576" s="8"/>
      <c r="J1576" s="15" t="s">
        <v>5695</v>
      </c>
      <c r="K1576" s="8"/>
      <c r="L1576" s="15" t="s">
        <v>1685</v>
      </c>
      <c r="M1576" s="8" t="s">
        <v>5578</v>
      </c>
      <c r="N1576" s="8"/>
      <c r="O1576" s="8" t="s">
        <v>5574</v>
      </c>
      <c r="P1576" s="11"/>
      <c r="Q1576" s="8" t="s">
        <v>5696</v>
      </c>
      <c r="R1576" s="8" t="s">
        <v>5919</v>
      </c>
      <c r="S1576" s="8" t="s">
        <v>10477</v>
      </c>
    </row>
    <row r="1577" spans="1:19" ht="93" customHeight="1" x14ac:dyDescent="0.25">
      <c r="A1577" s="8" t="s">
        <v>10478</v>
      </c>
      <c r="B1577" s="8" t="s">
        <v>5693</v>
      </c>
      <c r="C1577" s="8" t="s">
        <v>5918</v>
      </c>
      <c r="D1577" s="10">
        <v>1256</v>
      </c>
      <c r="E1577" s="8" t="s">
        <v>10479</v>
      </c>
      <c r="F1577" s="8" t="s">
        <v>10480</v>
      </c>
      <c r="G1577" s="8" t="s">
        <v>4727</v>
      </c>
      <c r="H1577" s="8" t="s">
        <v>10479</v>
      </c>
      <c r="I1577" s="8"/>
      <c r="J1577" s="15" t="s">
        <v>5695</v>
      </c>
      <c r="K1577" s="8"/>
      <c r="L1577" s="15" t="s">
        <v>1685</v>
      </c>
      <c r="M1577" s="8" t="s">
        <v>5578</v>
      </c>
      <c r="N1577" s="8"/>
      <c r="O1577" s="8" t="s">
        <v>5574</v>
      </c>
      <c r="P1577" s="11"/>
      <c r="Q1577" s="8" t="s">
        <v>5696</v>
      </c>
      <c r="R1577" s="8" t="s">
        <v>5919</v>
      </c>
      <c r="S1577" s="8" t="s">
        <v>10481</v>
      </c>
    </row>
    <row r="1578" spans="1:19" ht="93" customHeight="1" x14ac:dyDescent="0.25">
      <c r="A1578" s="8" t="s">
        <v>10482</v>
      </c>
      <c r="B1578" s="8" t="s">
        <v>5693</v>
      </c>
      <c r="C1578" s="8" t="s">
        <v>5918</v>
      </c>
      <c r="D1578" s="10">
        <v>1257</v>
      </c>
      <c r="E1578" s="8" t="s">
        <v>10483</v>
      </c>
      <c r="F1578" s="8" t="s">
        <v>10484</v>
      </c>
      <c r="G1578" s="8" t="s">
        <v>4727</v>
      </c>
      <c r="H1578" s="8" t="s">
        <v>10483</v>
      </c>
      <c r="I1578" s="8"/>
      <c r="J1578" s="15" t="s">
        <v>5695</v>
      </c>
      <c r="K1578" s="8"/>
      <c r="L1578" s="15" t="s">
        <v>1685</v>
      </c>
      <c r="M1578" s="8" t="s">
        <v>5578</v>
      </c>
      <c r="N1578" s="8"/>
      <c r="O1578" s="8" t="s">
        <v>5574</v>
      </c>
      <c r="P1578" s="11"/>
      <c r="Q1578" s="8" t="s">
        <v>5696</v>
      </c>
      <c r="R1578" s="8" t="s">
        <v>5919</v>
      </c>
      <c r="S1578" s="8" t="s">
        <v>10485</v>
      </c>
    </row>
    <row r="1579" spans="1:19" ht="93" customHeight="1" x14ac:dyDescent="0.25">
      <c r="A1579" s="8" t="s">
        <v>10486</v>
      </c>
      <c r="B1579" s="8" t="s">
        <v>5693</v>
      </c>
      <c r="C1579" s="8" t="s">
        <v>5918</v>
      </c>
      <c r="D1579" s="10">
        <v>1258</v>
      </c>
      <c r="E1579" s="8" t="s">
        <v>10487</v>
      </c>
      <c r="F1579" s="8" t="s">
        <v>10488</v>
      </c>
      <c r="G1579" s="8" t="s">
        <v>4727</v>
      </c>
      <c r="H1579" s="8" t="s">
        <v>10487</v>
      </c>
      <c r="I1579" s="8"/>
      <c r="J1579" s="15" t="s">
        <v>5695</v>
      </c>
      <c r="K1579" s="8"/>
      <c r="L1579" s="15" t="s">
        <v>1685</v>
      </c>
      <c r="M1579" s="8" t="s">
        <v>5578</v>
      </c>
      <c r="N1579" s="8"/>
      <c r="O1579" s="8" t="s">
        <v>5574</v>
      </c>
      <c r="P1579" s="11"/>
      <c r="Q1579" s="8" t="s">
        <v>5696</v>
      </c>
      <c r="R1579" s="8" t="s">
        <v>5919</v>
      </c>
      <c r="S1579" s="8" t="s">
        <v>10489</v>
      </c>
    </row>
    <row r="1580" spans="1:19" ht="93" customHeight="1" x14ac:dyDescent="0.25">
      <c r="A1580" s="8" t="s">
        <v>10490</v>
      </c>
      <c r="B1580" s="8" t="s">
        <v>5693</v>
      </c>
      <c r="C1580" s="8" t="s">
        <v>5918</v>
      </c>
      <c r="D1580" s="10">
        <v>1259</v>
      </c>
      <c r="E1580" s="8" t="s">
        <v>10491</v>
      </c>
      <c r="F1580" s="8" t="s">
        <v>10492</v>
      </c>
      <c r="G1580" s="8" t="s">
        <v>4727</v>
      </c>
      <c r="H1580" s="8" t="s">
        <v>10491</v>
      </c>
      <c r="I1580" s="8"/>
      <c r="J1580" s="15" t="s">
        <v>5695</v>
      </c>
      <c r="K1580" s="8"/>
      <c r="L1580" s="15" t="s">
        <v>1685</v>
      </c>
      <c r="M1580" s="8" t="s">
        <v>5578</v>
      </c>
      <c r="N1580" s="8"/>
      <c r="O1580" s="8" t="s">
        <v>5574</v>
      </c>
      <c r="P1580" s="11"/>
      <c r="Q1580" s="8" t="s">
        <v>5696</v>
      </c>
      <c r="R1580" s="8" t="s">
        <v>5919</v>
      </c>
      <c r="S1580" s="8" t="s">
        <v>10493</v>
      </c>
    </row>
    <row r="1581" spans="1:19" ht="93" customHeight="1" x14ac:dyDescent="0.25">
      <c r="A1581" s="8" t="s">
        <v>10494</v>
      </c>
      <c r="B1581" s="8" t="s">
        <v>5693</v>
      </c>
      <c r="C1581" s="8" t="s">
        <v>5918</v>
      </c>
      <c r="D1581" s="10">
        <v>1260</v>
      </c>
      <c r="E1581" s="8" t="s">
        <v>10495</v>
      </c>
      <c r="F1581" s="8" t="s">
        <v>10496</v>
      </c>
      <c r="G1581" s="8" t="s">
        <v>4727</v>
      </c>
      <c r="H1581" s="8" t="s">
        <v>10495</v>
      </c>
      <c r="I1581" s="8"/>
      <c r="J1581" s="15" t="s">
        <v>5695</v>
      </c>
      <c r="K1581" s="8"/>
      <c r="L1581" s="15" t="s">
        <v>1685</v>
      </c>
      <c r="M1581" s="8" t="s">
        <v>5578</v>
      </c>
      <c r="N1581" s="8"/>
      <c r="O1581" s="8" t="s">
        <v>5574</v>
      </c>
      <c r="P1581" s="11"/>
      <c r="Q1581" s="8" t="s">
        <v>5696</v>
      </c>
      <c r="R1581" s="8" t="s">
        <v>5919</v>
      </c>
      <c r="S1581" s="8" t="s">
        <v>10497</v>
      </c>
    </row>
    <row r="1582" spans="1:19" ht="93" customHeight="1" x14ac:dyDescent="0.25">
      <c r="A1582" s="8" t="s">
        <v>10498</v>
      </c>
      <c r="B1582" s="8" t="s">
        <v>5693</v>
      </c>
      <c r="C1582" s="8" t="s">
        <v>5918</v>
      </c>
      <c r="D1582" s="10">
        <v>1261</v>
      </c>
      <c r="E1582" s="8" t="s">
        <v>10499</v>
      </c>
      <c r="F1582" s="8" t="s">
        <v>10500</v>
      </c>
      <c r="G1582" s="8" t="s">
        <v>4727</v>
      </c>
      <c r="H1582" s="8" t="s">
        <v>10499</v>
      </c>
      <c r="I1582" s="8"/>
      <c r="J1582" s="15" t="s">
        <v>5695</v>
      </c>
      <c r="K1582" s="8"/>
      <c r="L1582" s="15" t="s">
        <v>1685</v>
      </c>
      <c r="M1582" s="8" t="s">
        <v>5578</v>
      </c>
      <c r="N1582" s="8"/>
      <c r="O1582" s="8" t="s">
        <v>5574</v>
      </c>
      <c r="P1582" s="11"/>
      <c r="Q1582" s="8" t="s">
        <v>5696</v>
      </c>
      <c r="R1582" s="8" t="s">
        <v>5919</v>
      </c>
      <c r="S1582" s="8" t="s">
        <v>10501</v>
      </c>
    </row>
    <row r="1583" spans="1:19" ht="93" customHeight="1" x14ac:dyDescent="0.25">
      <c r="A1583" s="8" t="s">
        <v>10502</v>
      </c>
      <c r="B1583" s="8" t="s">
        <v>5693</v>
      </c>
      <c r="C1583" s="8" t="s">
        <v>5918</v>
      </c>
      <c r="D1583" s="10">
        <v>1262</v>
      </c>
      <c r="E1583" s="8" t="s">
        <v>10503</v>
      </c>
      <c r="F1583" s="8" t="s">
        <v>10504</v>
      </c>
      <c r="G1583" s="8" t="s">
        <v>4727</v>
      </c>
      <c r="H1583" s="8" t="s">
        <v>10503</v>
      </c>
      <c r="I1583" s="8"/>
      <c r="J1583" s="15" t="s">
        <v>5695</v>
      </c>
      <c r="K1583" s="8"/>
      <c r="L1583" s="15" t="s">
        <v>1685</v>
      </c>
      <c r="M1583" s="8" t="s">
        <v>5578</v>
      </c>
      <c r="N1583" s="8"/>
      <c r="O1583" s="8" t="s">
        <v>5574</v>
      </c>
      <c r="P1583" s="11"/>
      <c r="Q1583" s="8" t="s">
        <v>5696</v>
      </c>
      <c r="R1583" s="8" t="s">
        <v>5919</v>
      </c>
      <c r="S1583" s="8" t="s">
        <v>10505</v>
      </c>
    </row>
    <row r="1584" spans="1:19" ht="93" customHeight="1" x14ac:dyDescent="0.25">
      <c r="A1584" s="8" t="s">
        <v>10506</v>
      </c>
      <c r="B1584" s="8" t="s">
        <v>5693</v>
      </c>
      <c r="C1584" s="8" t="s">
        <v>5918</v>
      </c>
      <c r="D1584" s="10">
        <v>1263</v>
      </c>
      <c r="E1584" s="8" t="s">
        <v>10507</v>
      </c>
      <c r="F1584" s="8" t="s">
        <v>10508</v>
      </c>
      <c r="G1584" s="8" t="s">
        <v>4727</v>
      </c>
      <c r="H1584" s="8" t="s">
        <v>10507</v>
      </c>
      <c r="I1584" s="8"/>
      <c r="J1584" s="15" t="s">
        <v>5695</v>
      </c>
      <c r="K1584" s="8"/>
      <c r="L1584" s="15" t="s">
        <v>1685</v>
      </c>
      <c r="M1584" s="8" t="s">
        <v>5578</v>
      </c>
      <c r="N1584" s="8"/>
      <c r="O1584" s="8" t="s">
        <v>5574</v>
      </c>
      <c r="P1584" s="11"/>
      <c r="Q1584" s="8" t="s">
        <v>5696</v>
      </c>
      <c r="R1584" s="8" t="s">
        <v>5919</v>
      </c>
      <c r="S1584" s="8" t="s">
        <v>10509</v>
      </c>
    </row>
    <row r="1585" spans="1:19" ht="107.1" customHeight="1" x14ac:dyDescent="0.25">
      <c r="A1585" s="8" t="s">
        <v>10510</v>
      </c>
      <c r="B1585" s="8" t="s">
        <v>5693</v>
      </c>
      <c r="C1585" s="8" t="s">
        <v>5918</v>
      </c>
      <c r="D1585" s="10">
        <v>1264</v>
      </c>
      <c r="E1585" s="8" t="s">
        <v>10511</v>
      </c>
      <c r="F1585" s="8" t="s">
        <v>10512</v>
      </c>
      <c r="G1585" s="8" t="s">
        <v>4727</v>
      </c>
      <c r="H1585" s="8" t="s">
        <v>10511</v>
      </c>
      <c r="I1585" s="8"/>
      <c r="J1585" s="15" t="s">
        <v>5695</v>
      </c>
      <c r="K1585" s="8"/>
      <c r="L1585" s="15" t="s">
        <v>1685</v>
      </c>
      <c r="M1585" s="8" t="s">
        <v>5578</v>
      </c>
      <c r="N1585" s="8"/>
      <c r="O1585" s="8" t="s">
        <v>5574</v>
      </c>
      <c r="P1585" s="11"/>
      <c r="Q1585" s="8" t="s">
        <v>5696</v>
      </c>
      <c r="R1585" s="8" t="s">
        <v>5919</v>
      </c>
      <c r="S1585" s="8" t="s">
        <v>10513</v>
      </c>
    </row>
    <row r="1586" spans="1:19" ht="93" customHeight="1" x14ac:dyDescent="0.25">
      <c r="A1586" s="8" t="s">
        <v>10514</v>
      </c>
      <c r="B1586" s="8" t="s">
        <v>5693</v>
      </c>
      <c r="C1586" s="8" t="s">
        <v>5918</v>
      </c>
      <c r="D1586" s="10">
        <v>1265</v>
      </c>
      <c r="E1586" s="8" t="s">
        <v>10515</v>
      </c>
      <c r="F1586" s="8" t="s">
        <v>10516</v>
      </c>
      <c r="G1586" s="8" t="s">
        <v>4727</v>
      </c>
      <c r="H1586" s="8" t="s">
        <v>10515</v>
      </c>
      <c r="I1586" s="8"/>
      <c r="J1586" s="15" t="s">
        <v>5695</v>
      </c>
      <c r="K1586" s="8"/>
      <c r="L1586" s="15" t="s">
        <v>1685</v>
      </c>
      <c r="M1586" s="8" t="s">
        <v>5578</v>
      </c>
      <c r="N1586" s="8"/>
      <c r="O1586" s="8" t="s">
        <v>5574</v>
      </c>
      <c r="P1586" s="11"/>
      <c r="Q1586" s="8" t="s">
        <v>5696</v>
      </c>
      <c r="R1586" s="8" t="s">
        <v>5919</v>
      </c>
      <c r="S1586" s="8" t="s">
        <v>10517</v>
      </c>
    </row>
    <row r="1587" spans="1:19" ht="107.1" customHeight="1" x14ac:dyDescent="0.25">
      <c r="A1587" s="8" t="s">
        <v>10518</v>
      </c>
      <c r="B1587" s="8" t="s">
        <v>5693</v>
      </c>
      <c r="C1587" s="8" t="s">
        <v>5918</v>
      </c>
      <c r="D1587" s="10">
        <v>1266</v>
      </c>
      <c r="E1587" s="8" t="s">
        <v>10519</v>
      </c>
      <c r="F1587" s="8" t="s">
        <v>10520</v>
      </c>
      <c r="G1587" s="8" t="s">
        <v>4727</v>
      </c>
      <c r="H1587" s="8" t="s">
        <v>10519</v>
      </c>
      <c r="I1587" s="8"/>
      <c r="J1587" s="15" t="s">
        <v>5695</v>
      </c>
      <c r="K1587" s="8"/>
      <c r="L1587" s="15" t="s">
        <v>1685</v>
      </c>
      <c r="M1587" s="8" t="s">
        <v>5578</v>
      </c>
      <c r="N1587" s="8"/>
      <c r="O1587" s="8" t="s">
        <v>5574</v>
      </c>
      <c r="P1587" s="11"/>
      <c r="Q1587" s="8" t="s">
        <v>5696</v>
      </c>
      <c r="R1587" s="8" t="s">
        <v>5919</v>
      </c>
      <c r="S1587" s="8" t="s">
        <v>10521</v>
      </c>
    </row>
    <row r="1588" spans="1:19" ht="107.1" customHeight="1" x14ac:dyDescent="0.25">
      <c r="A1588" s="8" t="s">
        <v>10522</v>
      </c>
      <c r="B1588" s="8" t="s">
        <v>5693</v>
      </c>
      <c r="C1588" s="8" t="s">
        <v>5918</v>
      </c>
      <c r="D1588" s="10">
        <v>1267</v>
      </c>
      <c r="E1588" s="8" t="s">
        <v>10523</v>
      </c>
      <c r="F1588" s="8" t="s">
        <v>10524</v>
      </c>
      <c r="G1588" s="8" t="s">
        <v>4727</v>
      </c>
      <c r="H1588" s="8" t="s">
        <v>10523</v>
      </c>
      <c r="I1588" s="8"/>
      <c r="J1588" s="15" t="s">
        <v>5695</v>
      </c>
      <c r="K1588" s="8"/>
      <c r="L1588" s="15" t="s">
        <v>1685</v>
      </c>
      <c r="M1588" s="8" t="s">
        <v>5578</v>
      </c>
      <c r="N1588" s="8"/>
      <c r="O1588" s="8" t="s">
        <v>5574</v>
      </c>
      <c r="P1588" s="11"/>
      <c r="Q1588" s="8" t="s">
        <v>5696</v>
      </c>
      <c r="R1588" s="8" t="s">
        <v>5919</v>
      </c>
      <c r="S1588" s="8" t="s">
        <v>10525</v>
      </c>
    </row>
    <row r="1589" spans="1:19" ht="93" customHeight="1" x14ac:dyDescent="0.25">
      <c r="A1589" s="8" t="s">
        <v>10526</v>
      </c>
      <c r="B1589" s="8" t="s">
        <v>5693</v>
      </c>
      <c r="C1589" s="8" t="s">
        <v>5918</v>
      </c>
      <c r="D1589" s="10">
        <v>1268</v>
      </c>
      <c r="E1589" s="8" t="s">
        <v>10527</v>
      </c>
      <c r="F1589" s="8" t="s">
        <v>10528</v>
      </c>
      <c r="G1589" s="8" t="s">
        <v>4727</v>
      </c>
      <c r="H1589" s="8" t="s">
        <v>10527</v>
      </c>
      <c r="I1589" s="8"/>
      <c r="J1589" s="15" t="s">
        <v>5695</v>
      </c>
      <c r="K1589" s="8"/>
      <c r="L1589" s="15" t="s">
        <v>1685</v>
      </c>
      <c r="M1589" s="8" t="s">
        <v>5578</v>
      </c>
      <c r="N1589" s="8"/>
      <c r="O1589" s="8" t="s">
        <v>5574</v>
      </c>
      <c r="P1589" s="11"/>
      <c r="Q1589" s="8" t="s">
        <v>5696</v>
      </c>
      <c r="R1589" s="8" t="s">
        <v>5919</v>
      </c>
      <c r="S1589" s="8" t="s">
        <v>10529</v>
      </c>
    </row>
    <row r="1590" spans="1:19" ht="93" customHeight="1" x14ac:dyDescent="0.25">
      <c r="A1590" s="8" t="s">
        <v>10530</v>
      </c>
      <c r="B1590" s="8" t="s">
        <v>5693</v>
      </c>
      <c r="C1590" s="8" t="s">
        <v>5918</v>
      </c>
      <c r="D1590" s="10">
        <v>1269</v>
      </c>
      <c r="E1590" s="8" t="s">
        <v>10531</v>
      </c>
      <c r="F1590" s="8" t="s">
        <v>10532</v>
      </c>
      <c r="G1590" s="8" t="s">
        <v>4727</v>
      </c>
      <c r="H1590" s="8" t="s">
        <v>10531</v>
      </c>
      <c r="I1590" s="8"/>
      <c r="J1590" s="15" t="s">
        <v>5695</v>
      </c>
      <c r="K1590" s="8"/>
      <c r="L1590" s="15" t="s">
        <v>1685</v>
      </c>
      <c r="M1590" s="8" t="s">
        <v>5578</v>
      </c>
      <c r="N1590" s="8"/>
      <c r="O1590" s="8" t="s">
        <v>5574</v>
      </c>
      <c r="P1590" s="11"/>
      <c r="Q1590" s="8" t="s">
        <v>5696</v>
      </c>
      <c r="R1590" s="8" t="s">
        <v>5919</v>
      </c>
      <c r="S1590" s="8" t="s">
        <v>10533</v>
      </c>
    </row>
    <row r="1591" spans="1:19" ht="93" customHeight="1" x14ac:dyDescent="0.25">
      <c r="A1591" s="8" t="s">
        <v>10534</v>
      </c>
      <c r="B1591" s="8" t="s">
        <v>5693</v>
      </c>
      <c r="C1591" s="8" t="s">
        <v>5918</v>
      </c>
      <c r="D1591" s="10">
        <v>1270</v>
      </c>
      <c r="E1591" s="8" t="s">
        <v>10535</v>
      </c>
      <c r="F1591" s="8" t="s">
        <v>10536</v>
      </c>
      <c r="G1591" s="8" t="s">
        <v>4727</v>
      </c>
      <c r="H1591" s="8" t="s">
        <v>10535</v>
      </c>
      <c r="I1591" s="8"/>
      <c r="J1591" s="15" t="s">
        <v>5695</v>
      </c>
      <c r="K1591" s="8"/>
      <c r="L1591" s="15" t="s">
        <v>1685</v>
      </c>
      <c r="M1591" s="8" t="s">
        <v>5578</v>
      </c>
      <c r="N1591" s="8"/>
      <c r="O1591" s="8" t="s">
        <v>5574</v>
      </c>
      <c r="P1591" s="11"/>
      <c r="Q1591" s="8" t="s">
        <v>5696</v>
      </c>
      <c r="R1591" s="8" t="s">
        <v>5919</v>
      </c>
      <c r="S1591" s="8" t="s">
        <v>10537</v>
      </c>
    </row>
    <row r="1592" spans="1:19" ht="93" customHeight="1" x14ac:dyDescent="0.25">
      <c r="A1592" s="8" t="s">
        <v>10538</v>
      </c>
      <c r="B1592" s="8" t="s">
        <v>5693</v>
      </c>
      <c r="C1592" s="8" t="s">
        <v>5918</v>
      </c>
      <c r="D1592" s="10">
        <v>1271</v>
      </c>
      <c r="E1592" s="8" t="s">
        <v>10539</v>
      </c>
      <c r="F1592" s="8" t="s">
        <v>10540</v>
      </c>
      <c r="G1592" s="8" t="s">
        <v>4727</v>
      </c>
      <c r="H1592" s="8" t="s">
        <v>10539</v>
      </c>
      <c r="I1592" s="8"/>
      <c r="J1592" s="15" t="s">
        <v>5695</v>
      </c>
      <c r="K1592" s="8"/>
      <c r="L1592" s="15" t="s">
        <v>1685</v>
      </c>
      <c r="M1592" s="8" t="s">
        <v>5578</v>
      </c>
      <c r="N1592" s="8"/>
      <c r="O1592" s="8" t="s">
        <v>5574</v>
      </c>
      <c r="P1592" s="11"/>
      <c r="Q1592" s="8" t="s">
        <v>5696</v>
      </c>
      <c r="R1592" s="8" t="s">
        <v>5919</v>
      </c>
      <c r="S1592" s="8" t="s">
        <v>10541</v>
      </c>
    </row>
    <row r="1593" spans="1:19" ht="93" customHeight="1" x14ac:dyDescent="0.25">
      <c r="A1593" s="8" t="s">
        <v>10542</v>
      </c>
      <c r="B1593" s="8" t="s">
        <v>5693</v>
      </c>
      <c r="C1593" s="8" t="s">
        <v>5918</v>
      </c>
      <c r="D1593" s="10">
        <v>1272</v>
      </c>
      <c r="E1593" s="8" t="s">
        <v>10543</v>
      </c>
      <c r="F1593" s="8" t="s">
        <v>10544</v>
      </c>
      <c r="G1593" s="8" t="s">
        <v>4727</v>
      </c>
      <c r="H1593" s="8" t="s">
        <v>10543</v>
      </c>
      <c r="I1593" s="8"/>
      <c r="J1593" s="15" t="s">
        <v>5695</v>
      </c>
      <c r="K1593" s="8"/>
      <c r="L1593" s="15" t="s">
        <v>1685</v>
      </c>
      <c r="M1593" s="8" t="s">
        <v>5578</v>
      </c>
      <c r="N1593" s="8"/>
      <c r="O1593" s="8" t="s">
        <v>5574</v>
      </c>
      <c r="P1593" s="11"/>
      <c r="Q1593" s="8" t="s">
        <v>5696</v>
      </c>
      <c r="R1593" s="8" t="s">
        <v>5919</v>
      </c>
      <c r="S1593" s="8" t="s">
        <v>10545</v>
      </c>
    </row>
    <row r="1594" spans="1:19" ht="93" customHeight="1" x14ac:dyDescent="0.25">
      <c r="A1594" s="8" t="s">
        <v>10546</v>
      </c>
      <c r="B1594" s="8" t="s">
        <v>5693</v>
      </c>
      <c r="C1594" s="8" t="s">
        <v>5918</v>
      </c>
      <c r="D1594" s="10">
        <v>1273</v>
      </c>
      <c r="E1594" s="8" t="s">
        <v>10547</v>
      </c>
      <c r="F1594" s="8" t="s">
        <v>10548</v>
      </c>
      <c r="G1594" s="8" t="s">
        <v>4727</v>
      </c>
      <c r="H1594" s="8" t="s">
        <v>10547</v>
      </c>
      <c r="I1594" s="8"/>
      <c r="J1594" s="15" t="s">
        <v>5695</v>
      </c>
      <c r="K1594" s="8"/>
      <c r="L1594" s="15" t="s">
        <v>1685</v>
      </c>
      <c r="M1594" s="8" t="s">
        <v>5578</v>
      </c>
      <c r="N1594" s="8"/>
      <c r="O1594" s="8" t="s">
        <v>5574</v>
      </c>
      <c r="P1594" s="11"/>
      <c r="Q1594" s="8" t="s">
        <v>5696</v>
      </c>
      <c r="R1594" s="8" t="s">
        <v>5919</v>
      </c>
      <c r="S1594" s="8" t="s">
        <v>10549</v>
      </c>
    </row>
    <row r="1595" spans="1:19" ht="93" customHeight="1" x14ac:dyDescent="0.25">
      <c r="A1595" s="8" t="s">
        <v>10550</v>
      </c>
      <c r="B1595" s="8" t="s">
        <v>5693</v>
      </c>
      <c r="C1595" s="8" t="s">
        <v>5918</v>
      </c>
      <c r="D1595" s="10">
        <v>1274</v>
      </c>
      <c r="E1595" s="8" t="s">
        <v>10551</v>
      </c>
      <c r="F1595" s="8" t="s">
        <v>10552</v>
      </c>
      <c r="G1595" s="8" t="s">
        <v>4727</v>
      </c>
      <c r="H1595" s="8" t="s">
        <v>10551</v>
      </c>
      <c r="I1595" s="8"/>
      <c r="J1595" s="15" t="s">
        <v>5695</v>
      </c>
      <c r="K1595" s="8"/>
      <c r="L1595" s="15" t="s">
        <v>1685</v>
      </c>
      <c r="M1595" s="8" t="s">
        <v>5578</v>
      </c>
      <c r="N1595" s="8"/>
      <c r="O1595" s="8" t="s">
        <v>5574</v>
      </c>
      <c r="P1595" s="11"/>
      <c r="Q1595" s="8" t="s">
        <v>5696</v>
      </c>
      <c r="R1595" s="8" t="s">
        <v>5919</v>
      </c>
      <c r="S1595" s="8" t="s">
        <v>10553</v>
      </c>
    </row>
    <row r="1596" spans="1:19" ht="93" customHeight="1" x14ac:dyDescent="0.25">
      <c r="A1596" s="8" t="s">
        <v>10554</v>
      </c>
      <c r="B1596" s="8" t="s">
        <v>5693</v>
      </c>
      <c r="C1596" s="8" t="s">
        <v>5918</v>
      </c>
      <c r="D1596" s="10">
        <v>1275</v>
      </c>
      <c r="E1596" s="8" t="s">
        <v>10555</v>
      </c>
      <c r="F1596" s="8" t="s">
        <v>10556</v>
      </c>
      <c r="G1596" s="8" t="s">
        <v>4727</v>
      </c>
      <c r="H1596" s="8" t="s">
        <v>10555</v>
      </c>
      <c r="I1596" s="8"/>
      <c r="J1596" s="15" t="s">
        <v>5695</v>
      </c>
      <c r="K1596" s="8"/>
      <c r="L1596" s="15" t="s">
        <v>1685</v>
      </c>
      <c r="M1596" s="8" t="s">
        <v>5578</v>
      </c>
      <c r="N1596" s="8"/>
      <c r="O1596" s="8" t="s">
        <v>5574</v>
      </c>
      <c r="P1596" s="11"/>
      <c r="Q1596" s="8" t="s">
        <v>5696</v>
      </c>
      <c r="R1596" s="8" t="s">
        <v>5919</v>
      </c>
      <c r="S1596" s="8" t="s">
        <v>10557</v>
      </c>
    </row>
    <row r="1597" spans="1:19" ht="93" customHeight="1" x14ac:dyDescent="0.25">
      <c r="A1597" s="8" t="s">
        <v>10558</v>
      </c>
      <c r="B1597" s="8" t="s">
        <v>5693</v>
      </c>
      <c r="C1597" s="8" t="s">
        <v>5918</v>
      </c>
      <c r="D1597" s="10">
        <v>1276</v>
      </c>
      <c r="E1597" s="8" t="s">
        <v>10559</v>
      </c>
      <c r="F1597" s="8" t="s">
        <v>10560</v>
      </c>
      <c r="G1597" s="8" t="s">
        <v>4727</v>
      </c>
      <c r="H1597" s="8" t="s">
        <v>10559</v>
      </c>
      <c r="I1597" s="8"/>
      <c r="J1597" s="15" t="s">
        <v>5695</v>
      </c>
      <c r="K1597" s="8"/>
      <c r="L1597" s="15" t="s">
        <v>1685</v>
      </c>
      <c r="M1597" s="8" t="s">
        <v>5578</v>
      </c>
      <c r="N1597" s="8"/>
      <c r="O1597" s="8" t="s">
        <v>5574</v>
      </c>
      <c r="P1597" s="11"/>
      <c r="Q1597" s="8" t="s">
        <v>5696</v>
      </c>
      <c r="R1597" s="8" t="s">
        <v>5919</v>
      </c>
      <c r="S1597" s="8" t="s">
        <v>10561</v>
      </c>
    </row>
    <row r="1598" spans="1:19" ht="93" customHeight="1" x14ac:dyDescent="0.25">
      <c r="A1598" s="8" t="s">
        <v>10562</v>
      </c>
      <c r="B1598" s="8" t="s">
        <v>5693</v>
      </c>
      <c r="C1598" s="8" t="s">
        <v>5918</v>
      </c>
      <c r="D1598" s="10">
        <v>1277</v>
      </c>
      <c r="E1598" s="8" t="s">
        <v>10563</v>
      </c>
      <c r="F1598" s="8" t="s">
        <v>10564</v>
      </c>
      <c r="G1598" s="8" t="s">
        <v>4727</v>
      </c>
      <c r="H1598" s="8" t="s">
        <v>10563</v>
      </c>
      <c r="I1598" s="8"/>
      <c r="J1598" s="15" t="s">
        <v>5695</v>
      </c>
      <c r="K1598" s="8"/>
      <c r="L1598" s="15" t="s">
        <v>1685</v>
      </c>
      <c r="M1598" s="8" t="s">
        <v>5578</v>
      </c>
      <c r="N1598" s="8"/>
      <c r="O1598" s="8" t="s">
        <v>5574</v>
      </c>
      <c r="P1598" s="11"/>
      <c r="Q1598" s="8" t="s">
        <v>5696</v>
      </c>
      <c r="R1598" s="8" t="s">
        <v>5919</v>
      </c>
      <c r="S1598" s="8" t="s">
        <v>10565</v>
      </c>
    </row>
    <row r="1599" spans="1:19" ht="93" customHeight="1" x14ac:dyDescent="0.25">
      <c r="A1599" s="8" t="s">
        <v>10566</v>
      </c>
      <c r="B1599" s="8" t="s">
        <v>5693</v>
      </c>
      <c r="C1599" s="8" t="s">
        <v>5918</v>
      </c>
      <c r="D1599" s="10">
        <v>1278</v>
      </c>
      <c r="E1599" s="8" t="s">
        <v>10567</v>
      </c>
      <c r="F1599" s="8" t="s">
        <v>10568</v>
      </c>
      <c r="G1599" s="8" t="s">
        <v>4727</v>
      </c>
      <c r="H1599" s="8" t="s">
        <v>10567</v>
      </c>
      <c r="I1599" s="8"/>
      <c r="J1599" s="15" t="s">
        <v>5695</v>
      </c>
      <c r="K1599" s="8"/>
      <c r="L1599" s="15" t="s">
        <v>1685</v>
      </c>
      <c r="M1599" s="8" t="s">
        <v>5578</v>
      </c>
      <c r="N1599" s="8"/>
      <c r="O1599" s="8" t="s">
        <v>5574</v>
      </c>
      <c r="P1599" s="11"/>
      <c r="Q1599" s="8" t="s">
        <v>5696</v>
      </c>
      <c r="R1599" s="8" t="s">
        <v>5919</v>
      </c>
      <c r="S1599" s="8" t="s">
        <v>10569</v>
      </c>
    </row>
    <row r="1600" spans="1:19" ht="93" customHeight="1" x14ac:dyDescent="0.25">
      <c r="A1600" s="8" t="s">
        <v>10570</v>
      </c>
      <c r="B1600" s="8" t="s">
        <v>5693</v>
      </c>
      <c r="C1600" s="8" t="s">
        <v>5918</v>
      </c>
      <c r="D1600" s="10">
        <v>1279</v>
      </c>
      <c r="E1600" s="8" t="s">
        <v>10571</v>
      </c>
      <c r="F1600" s="8" t="s">
        <v>10572</v>
      </c>
      <c r="G1600" s="8" t="s">
        <v>4727</v>
      </c>
      <c r="H1600" s="8" t="s">
        <v>10571</v>
      </c>
      <c r="I1600" s="8"/>
      <c r="J1600" s="15" t="s">
        <v>5695</v>
      </c>
      <c r="K1600" s="8"/>
      <c r="L1600" s="15" t="s">
        <v>1685</v>
      </c>
      <c r="M1600" s="8" t="s">
        <v>5578</v>
      </c>
      <c r="N1600" s="8"/>
      <c r="O1600" s="8" t="s">
        <v>5574</v>
      </c>
      <c r="P1600" s="11"/>
      <c r="Q1600" s="8" t="s">
        <v>5696</v>
      </c>
      <c r="R1600" s="8" t="s">
        <v>5919</v>
      </c>
      <c r="S1600" s="8" t="s">
        <v>10573</v>
      </c>
    </row>
    <row r="1601" spans="1:19" ht="93" customHeight="1" x14ac:dyDescent="0.25">
      <c r="A1601" s="8" t="s">
        <v>10574</v>
      </c>
      <c r="B1601" s="8" t="s">
        <v>5693</v>
      </c>
      <c r="C1601" s="8" t="s">
        <v>5918</v>
      </c>
      <c r="D1601" s="10">
        <v>1280</v>
      </c>
      <c r="E1601" s="8" t="s">
        <v>10575</v>
      </c>
      <c r="F1601" s="8" t="s">
        <v>10576</v>
      </c>
      <c r="G1601" s="8" t="s">
        <v>4727</v>
      </c>
      <c r="H1601" s="8" t="s">
        <v>10575</v>
      </c>
      <c r="I1601" s="8"/>
      <c r="J1601" s="15" t="s">
        <v>5695</v>
      </c>
      <c r="K1601" s="8"/>
      <c r="L1601" s="15" t="s">
        <v>1685</v>
      </c>
      <c r="M1601" s="8" t="s">
        <v>5578</v>
      </c>
      <c r="N1601" s="8"/>
      <c r="O1601" s="8" t="s">
        <v>5574</v>
      </c>
      <c r="P1601" s="11"/>
      <c r="Q1601" s="8" t="s">
        <v>5696</v>
      </c>
      <c r="R1601" s="8" t="s">
        <v>5919</v>
      </c>
      <c r="S1601" s="8" t="s">
        <v>10577</v>
      </c>
    </row>
    <row r="1602" spans="1:19" ht="107.1" customHeight="1" x14ac:dyDescent="0.25">
      <c r="A1602" s="8" t="s">
        <v>10578</v>
      </c>
      <c r="B1602" s="8" t="s">
        <v>5693</v>
      </c>
      <c r="C1602" s="8" t="s">
        <v>5918</v>
      </c>
      <c r="D1602" s="10">
        <v>1281</v>
      </c>
      <c r="E1602" s="8" t="s">
        <v>10579</v>
      </c>
      <c r="F1602" s="8" t="s">
        <v>10580</v>
      </c>
      <c r="G1602" s="8" t="s">
        <v>4727</v>
      </c>
      <c r="H1602" s="8" t="s">
        <v>10579</v>
      </c>
      <c r="I1602" s="8"/>
      <c r="J1602" s="15" t="s">
        <v>5695</v>
      </c>
      <c r="K1602" s="8"/>
      <c r="L1602" s="15" t="s">
        <v>1685</v>
      </c>
      <c r="M1602" s="8" t="s">
        <v>5578</v>
      </c>
      <c r="N1602" s="8"/>
      <c r="O1602" s="8" t="s">
        <v>5574</v>
      </c>
      <c r="P1602" s="11"/>
      <c r="Q1602" s="8" t="s">
        <v>5696</v>
      </c>
      <c r="R1602" s="8" t="s">
        <v>5919</v>
      </c>
      <c r="S1602" s="8" t="s">
        <v>10581</v>
      </c>
    </row>
    <row r="1603" spans="1:19" ht="93" customHeight="1" x14ac:dyDescent="0.25">
      <c r="A1603" s="8" t="s">
        <v>10582</v>
      </c>
      <c r="B1603" s="8" t="s">
        <v>5693</v>
      </c>
      <c r="C1603" s="8" t="s">
        <v>5918</v>
      </c>
      <c r="D1603" s="10">
        <v>1282</v>
      </c>
      <c r="E1603" s="8" t="s">
        <v>10583</v>
      </c>
      <c r="F1603" s="8" t="s">
        <v>10584</v>
      </c>
      <c r="G1603" s="8" t="s">
        <v>4727</v>
      </c>
      <c r="H1603" s="8" t="s">
        <v>10583</v>
      </c>
      <c r="I1603" s="8"/>
      <c r="J1603" s="15" t="s">
        <v>5695</v>
      </c>
      <c r="K1603" s="8"/>
      <c r="L1603" s="15" t="s">
        <v>1685</v>
      </c>
      <c r="M1603" s="8" t="s">
        <v>5578</v>
      </c>
      <c r="N1603" s="8"/>
      <c r="O1603" s="8" t="s">
        <v>5574</v>
      </c>
      <c r="P1603" s="11"/>
      <c r="Q1603" s="8" t="s">
        <v>5696</v>
      </c>
      <c r="R1603" s="8" t="s">
        <v>5919</v>
      </c>
      <c r="S1603" s="8" t="s">
        <v>10585</v>
      </c>
    </row>
    <row r="1604" spans="1:19" ht="107.1" customHeight="1" x14ac:dyDescent="0.25">
      <c r="A1604" s="8" t="s">
        <v>10586</v>
      </c>
      <c r="B1604" s="8" t="s">
        <v>5693</v>
      </c>
      <c r="C1604" s="8" t="s">
        <v>5918</v>
      </c>
      <c r="D1604" s="10">
        <v>1283</v>
      </c>
      <c r="E1604" s="8" t="s">
        <v>10587</v>
      </c>
      <c r="F1604" s="8" t="s">
        <v>10588</v>
      </c>
      <c r="G1604" s="8" t="s">
        <v>4727</v>
      </c>
      <c r="H1604" s="8" t="s">
        <v>10587</v>
      </c>
      <c r="I1604" s="8"/>
      <c r="J1604" s="15" t="s">
        <v>5695</v>
      </c>
      <c r="K1604" s="8"/>
      <c r="L1604" s="15" t="s">
        <v>1685</v>
      </c>
      <c r="M1604" s="8" t="s">
        <v>5578</v>
      </c>
      <c r="N1604" s="8"/>
      <c r="O1604" s="8" t="s">
        <v>5574</v>
      </c>
      <c r="P1604" s="11"/>
      <c r="Q1604" s="8" t="s">
        <v>5696</v>
      </c>
      <c r="R1604" s="8" t="s">
        <v>5919</v>
      </c>
      <c r="S1604" s="8" t="s">
        <v>10589</v>
      </c>
    </row>
    <row r="1605" spans="1:19" ht="93" customHeight="1" x14ac:dyDescent="0.25">
      <c r="A1605" s="8" t="s">
        <v>10590</v>
      </c>
      <c r="B1605" s="8" t="s">
        <v>5693</v>
      </c>
      <c r="C1605" s="8" t="s">
        <v>5918</v>
      </c>
      <c r="D1605" s="10">
        <v>1284</v>
      </c>
      <c r="E1605" s="8" t="s">
        <v>10591</v>
      </c>
      <c r="F1605" s="8" t="s">
        <v>10592</v>
      </c>
      <c r="G1605" s="8" t="s">
        <v>4727</v>
      </c>
      <c r="H1605" s="8" t="s">
        <v>10591</v>
      </c>
      <c r="I1605" s="8"/>
      <c r="J1605" s="15" t="s">
        <v>5695</v>
      </c>
      <c r="K1605" s="8"/>
      <c r="L1605" s="15" t="s">
        <v>1685</v>
      </c>
      <c r="M1605" s="8" t="s">
        <v>5578</v>
      </c>
      <c r="N1605" s="8"/>
      <c r="O1605" s="8" t="s">
        <v>5574</v>
      </c>
      <c r="P1605" s="11"/>
      <c r="Q1605" s="8" t="s">
        <v>5696</v>
      </c>
      <c r="R1605" s="8" t="s">
        <v>5919</v>
      </c>
      <c r="S1605" s="8" t="s">
        <v>10593</v>
      </c>
    </row>
    <row r="1606" spans="1:19" ht="93" customHeight="1" x14ac:dyDescent="0.25">
      <c r="A1606" s="8" t="s">
        <v>10594</v>
      </c>
      <c r="B1606" s="8" t="s">
        <v>5693</v>
      </c>
      <c r="C1606" s="8" t="s">
        <v>5918</v>
      </c>
      <c r="D1606" s="10">
        <v>1285</v>
      </c>
      <c r="E1606" s="8" t="s">
        <v>10595</v>
      </c>
      <c r="F1606" s="8" t="s">
        <v>10596</v>
      </c>
      <c r="G1606" s="8" t="s">
        <v>4727</v>
      </c>
      <c r="H1606" s="8" t="s">
        <v>10595</v>
      </c>
      <c r="I1606" s="8"/>
      <c r="J1606" s="15" t="s">
        <v>5695</v>
      </c>
      <c r="K1606" s="8"/>
      <c r="L1606" s="15" t="s">
        <v>1685</v>
      </c>
      <c r="M1606" s="8" t="s">
        <v>5578</v>
      </c>
      <c r="N1606" s="8"/>
      <c r="O1606" s="8" t="s">
        <v>5574</v>
      </c>
      <c r="P1606" s="11"/>
      <c r="Q1606" s="8" t="s">
        <v>5696</v>
      </c>
      <c r="R1606" s="8" t="s">
        <v>5919</v>
      </c>
      <c r="S1606" s="8" t="s">
        <v>10597</v>
      </c>
    </row>
    <row r="1607" spans="1:19" ht="93" customHeight="1" x14ac:dyDescent="0.25">
      <c r="A1607" s="8" t="s">
        <v>10598</v>
      </c>
      <c r="B1607" s="8" t="s">
        <v>5693</v>
      </c>
      <c r="C1607" s="8" t="s">
        <v>5918</v>
      </c>
      <c r="D1607" s="10">
        <v>1286</v>
      </c>
      <c r="E1607" s="8" t="s">
        <v>10599</v>
      </c>
      <c r="F1607" s="8" t="s">
        <v>10600</v>
      </c>
      <c r="G1607" s="8" t="s">
        <v>4727</v>
      </c>
      <c r="H1607" s="8" t="s">
        <v>10599</v>
      </c>
      <c r="I1607" s="8"/>
      <c r="J1607" s="15" t="s">
        <v>5695</v>
      </c>
      <c r="K1607" s="8"/>
      <c r="L1607" s="15" t="s">
        <v>1685</v>
      </c>
      <c r="M1607" s="8" t="s">
        <v>5578</v>
      </c>
      <c r="N1607" s="8"/>
      <c r="O1607" s="8" t="s">
        <v>5574</v>
      </c>
      <c r="P1607" s="11"/>
      <c r="Q1607" s="8" t="s">
        <v>5696</v>
      </c>
      <c r="R1607" s="8" t="s">
        <v>5919</v>
      </c>
      <c r="S1607" s="8" t="s">
        <v>10601</v>
      </c>
    </row>
    <row r="1608" spans="1:19" ht="93" customHeight="1" x14ac:dyDescent="0.25">
      <c r="A1608" s="8" t="s">
        <v>10602</v>
      </c>
      <c r="B1608" s="8" t="s">
        <v>5693</v>
      </c>
      <c r="C1608" s="8" t="s">
        <v>5918</v>
      </c>
      <c r="D1608" s="10">
        <v>1287</v>
      </c>
      <c r="E1608" s="8" t="s">
        <v>10603</v>
      </c>
      <c r="F1608" s="8" t="s">
        <v>10604</v>
      </c>
      <c r="G1608" s="8" t="s">
        <v>4727</v>
      </c>
      <c r="H1608" s="8" t="s">
        <v>10603</v>
      </c>
      <c r="I1608" s="8"/>
      <c r="J1608" s="15" t="s">
        <v>5695</v>
      </c>
      <c r="K1608" s="8"/>
      <c r="L1608" s="15" t="s">
        <v>1685</v>
      </c>
      <c r="M1608" s="8" t="s">
        <v>5578</v>
      </c>
      <c r="N1608" s="8"/>
      <c r="O1608" s="8" t="s">
        <v>5574</v>
      </c>
      <c r="P1608" s="11"/>
      <c r="Q1608" s="8" t="s">
        <v>5696</v>
      </c>
      <c r="R1608" s="8" t="s">
        <v>5919</v>
      </c>
      <c r="S1608" s="8" t="s">
        <v>10605</v>
      </c>
    </row>
    <row r="1609" spans="1:19" ht="93" customHeight="1" x14ac:dyDescent="0.25">
      <c r="A1609" s="8" t="s">
        <v>10606</v>
      </c>
      <c r="B1609" s="8" t="s">
        <v>5693</v>
      </c>
      <c r="C1609" s="8" t="s">
        <v>5918</v>
      </c>
      <c r="D1609" s="10">
        <v>1288</v>
      </c>
      <c r="E1609" s="8" t="s">
        <v>10607</v>
      </c>
      <c r="F1609" s="8" t="s">
        <v>10608</v>
      </c>
      <c r="G1609" s="8" t="s">
        <v>4727</v>
      </c>
      <c r="H1609" s="8" t="s">
        <v>10607</v>
      </c>
      <c r="I1609" s="8"/>
      <c r="J1609" s="15" t="s">
        <v>5695</v>
      </c>
      <c r="K1609" s="8"/>
      <c r="L1609" s="15" t="s">
        <v>1685</v>
      </c>
      <c r="M1609" s="8" t="s">
        <v>5578</v>
      </c>
      <c r="N1609" s="8"/>
      <c r="O1609" s="8" t="s">
        <v>5574</v>
      </c>
      <c r="P1609" s="11"/>
      <c r="Q1609" s="8" t="s">
        <v>5696</v>
      </c>
      <c r="R1609" s="8" t="s">
        <v>5919</v>
      </c>
      <c r="S1609" s="8" t="s">
        <v>10609</v>
      </c>
    </row>
    <row r="1610" spans="1:19" ht="93" customHeight="1" x14ac:dyDescent="0.25">
      <c r="A1610" s="8" t="s">
        <v>10610</v>
      </c>
      <c r="B1610" s="8" t="s">
        <v>5693</v>
      </c>
      <c r="C1610" s="8" t="s">
        <v>5918</v>
      </c>
      <c r="D1610" s="10">
        <v>1289</v>
      </c>
      <c r="E1610" s="8" t="s">
        <v>10611</v>
      </c>
      <c r="F1610" s="8" t="s">
        <v>10612</v>
      </c>
      <c r="G1610" s="8" t="s">
        <v>4727</v>
      </c>
      <c r="H1610" s="8" t="s">
        <v>10611</v>
      </c>
      <c r="I1610" s="8"/>
      <c r="J1610" s="15" t="s">
        <v>5695</v>
      </c>
      <c r="K1610" s="8"/>
      <c r="L1610" s="15" t="s">
        <v>1685</v>
      </c>
      <c r="M1610" s="8" t="s">
        <v>5578</v>
      </c>
      <c r="N1610" s="8"/>
      <c r="O1610" s="8" t="s">
        <v>5574</v>
      </c>
      <c r="P1610" s="11"/>
      <c r="Q1610" s="8" t="s">
        <v>5696</v>
      </c>
      <c r="R1610" s="8" t="s">
        <v>5919</v>
      </c>
      <c r="S1610" s="8" t="s">
        <v>10613</v>
      </c>
    </row>
    <row r="1611" spans="1:19" ht="93" customHeight="1" x14ac:dyDescent="0.25">
      <c r="A1611" s="8" t="s">
        <v>10614</v>
      </c>
      <c r="B1611" s="8" t="s">
        <v>5693</v>
      </c>
      <c r="C1611" s="8" t="s">
        <v>5918</v>
      </c>
      <c r="D1611" s="10">
        <v>1290</v>
      </c>
      <c r="E1611" s="8" t="s">
        <v>10615</v>
      </c>
      <c r="F1611" s="8" t="s">
        <v>10616</v>
      </c>
      <c r="G1611" s="8" t="s">
        <v>4727</v>
      </c>
      <c r="H1611" s="8" t="s">
        <v>10615</v>
      </c>
      <c r="I1611" s="8"/>
      <c r="J1611" s="15" t="s">
        <v>5695</v>
      </c>
      <c r="K1611" s="8"/>
      <c r="L1611" s="15" t="s">
        <v>1685</v>
      </c>
      <c r="M1611" s="8" t="s">
        <v>5578</v>
      </c>
      <c r="N1611" s="8"/>
      <c r="O1611" s="8" t="s">
        <v>5574</v>
      </c>
      <c r="P1611" s="11"/>
      <c r="Q1611" s="8" t="s">
        <v>5696</v>
      </c>
      <c r="R1611" s="8" t="s">
        <v>5919</v>
      </c>
      <c r="S1611" s="8" t="s">
        <v>10617</v>
      </c>
    </row>
    <row r="1612" spans="1:19" ht="93" customHeight="1" x14ac:dyDescent="0.25">
      <c r="A1612" s="8" t="s">
        <v>10618</v>
      </c>
      <c r="B1612" s="8" t="s">
        <v>5693</v>
      </c>
      <c r="C1612" s="8" t="s">
        <v>5918</v>
      </c>
      <c r="D1612" s="10">
        <v>1291</v>
      </c>
      <c r="E1612" s="8" t="s">
        <v>10619</v>
      </c>
      <c r="F1612" s="8" t="s">
        <v>10620</v>
      </c>
      <c r="G1612" s="8" t="s">
        <v>4727</v>
      </c>
      <c r="H1612" s="8" t="s">
        <v>10619</v>
      </c>
      <c r="I1612" s="8"/>
      <c r="J1612" s="15" t="s">
        <v>5695</v>
      </c>
      <c r="K1612" s="8"/>
      <c r="L1612" s="15" t="s">
        <v>1685</v>
      </c>
      <c r="M1612" s="8" t="s">
        <v>5578</v>
      </c>
      <c r="N1612" s="8"/>
      <c r="O1612" s="8" t="s">
        <v>5574</v>
      </c>
      <c r="P1612" s="11"/>
      <c r="Q1612" s="8" t="s">
        <v>5696</v>
      </c>
      <c r="R1612" s="8" t="s">
        <v>5919</v>
      </c>
      <c r="S1612" s="8" t="s">
        <v>10621</v>
      </c>
    </row>
    <row r="1613" spans="1:19" ht="93" customHeight="1" x14ac:dyDescent="0.25">
      <c r="A1613" s="8" t="s">
        <v>10622</v>
      </c>
      <c r="B1613" s="8" t="s">
        <v>5693</v>
      </c>
      <c r="C1613" s="8" t="s">
        <v>5918</v>
      </c>
      <c r="D1613" s="10">
        <v>1292</v>
      </c>
      <c r="E1613" s="8" t="s">
        <v>10623</v>
      </c>
      <c r="F1613" s="8" t="s">
        <v>10624</v>
      </c>
      <c r="G1613" s="8" t="s">
        <v>4727</v>
      </c>
      <c r="H1613" s="8" t="s">
        <v>10623</v>
      </c>
      <c r="I1613" s="8"/>
      <c r="J1613" s="15" t="s">
        <v>5695</v>
      </c>
      <c r="K1613" s="8"/>
      <c r="L1613" s="15" t="s">
        <v>1685</v>
      </c>
      <c r="M1613" s="8" t="s">
        <v>5578</v>
      </c>
      <c r="N1613" s="8"/>
      <c r="O1613" s="8" t="s">
        <v>5574</v>
      </c>
      <c r="P1613" s="11"/>
      <c r="Q1613" s="8" t="s">
        <v>5696</v>
      </c>
      <c r="R1613" s="8" t="s">
        <v>5919</v>
      </c>
      <c r="S1613" s="8" t="s">
        <v>10625</v>
      </c>
    </row>
    <row r="1614" spans="1:19" ht="93" customHeight="1" x14ac:dyDescent="0.25">
      <c r="A1614" s="8" t="s">
        <v>10626</v>
      </c>
      <c r="B1614" s="8" t="s">
        <v>5693</v>
      </c>
      <c r="C1614" s="8" t="s">
        <v>5918</v>
      </c>
      <c r="D1614" s="10">
        <v>1293</v>
      </c>
      <c r="E1614" s="8" t="s">
        <v>10627</v>
      </c>
      <c r="F1614" s="8" t="s">
        <v>10628</v>
      </c>
      <c r="G1614" s="8" t="s">
        <v>4727</v>
      </c>
      <c r="H1614" s="8" t="s">
        <v>10627</v>
      </c>
      <c r="I1614" s="8"/>
      <c r="J1614" s="15" t="s">
        <v>5695</v>
      </c>
      <c r="K1614" s="8"/>
      <c r="L1614" s="15" t="s">
        <v>1685</v>
      </c>
      <c r="M1614" s="8" t="s">
        <v>5578</v>
      </c>
      <c r="N1614" s="8"/>
      <c r="O1614" s="8" t="s">
        <v>5574</v>
      </c>
      <c r="P1614" s="11"/>
      <c r="Q1614" s="8" t="s">
        <v>5696</v>
      </c>
      <c r="R1614" s="8" t="s">
        <v>5919</v>
      </c>
      <c r="S1614" s="8" t="s">
        <v>10629</v>
      </c>
    </row>
    <row r="1615" spans="1:19" ht="107.1" customHeight="1" x14ac:dyDescent="0.25">
      <c r="A1615" s="8" t="s">
        <v>10630</v>
      </c>
      <c r="B1615" s="8" t="s">
        <v>5693</v>
      </c>
      <c r="C1615" s="8" t="s">
        <v>5918</v>
      </c>
      <c r="D1615" s="10">
        <v>1294</v>
      </c>
      <c r="E1615" s="8" t="s">
        <v>10631</v>
      </c>
      <c r="F1615" s="8" t="s">
        <v>10632</v>
      </c>
      <c r="G1615" s="8" t="s">
        <v>4727</v>
      </c>
      <c r="H1615" s="8" t="s">
        <v>10631</v>
      </c>
      <c r="I1615" s="8"/>
      <c r="J1615" s="15" t="s">
        <v>5695</v>
      </c>
      <c r="K1615" s="8"/>
      <c r="L1615" s="15" t="s">
        <v>1685</v>
      </c>
      <c r="M1615" s="8" t="s">
        <v>5578</v>
      </c>
      <c r="N1615" s="8"/>
      <c r="O1615" s="8" t="s">
        <v>5574</v>
      </c>
      <c r="P1615" s="11"/>
      <c r="Q1615" s="8" t="s">
        <v>5696</v>
      </c>
      <c r="R1615" s="8" t="s">
        <v>5919</v>
      </c>
      <c r="S1615" s="8" t="s">
        <v>10633</v>
      </c>
    </row>
    <row r="1616" spans="1:19" ht="107.1" customHeight="1" x14ac:dyDescent="0.25">
      <c r="A1616" s="8" t="s">
        <v>10634</v>
      </c>
      <c r="B1616" s="8" t="s">
        <v>5693</v>
      </c>
      <c r="C1616" s="8" t="s">
        <v>5918</v>
      </c>
      <c r="D1616" s="10">
        <v>1295</v>
      </c>
      <c r="E1616" s="8" t="s">
        <v>10635</v>
      </c>
      <c r="F1616" s="8" t="s">
        <v>10636</v>
      </c>
      <c r="G1616" s="8" t="s">
        <v>4727</v>
      </c>
      <c r="H1616" s="8" t="s">
        <v>10635</v>
      </c>
      <c r="I1616" s="8"/>
      <c r="J1616" s="15" t="s">
        <v>5695</v>
      </c>
      <c r="K1616" s="8"/>
      <c r="L1616" s="15" t="s">
        <v>1685</v>
      </c>
      <c r="M1616" s="8" t="s">
        <v>5578</v>
      </c>
      <c r="N1616" s="8"/>
      <c r="O1616" s="8" t="s">
        <v>5574</v>
      </c>
      <c r="P1616" s="11"/>
      <c r="Q1616" s="8" t="s">
        <v>5696</v>
      </c>
      <c r="R1616" s="8" t="s">
        <v>5919</v>
      </c>
      <c r="S1616" s="8" t="s">
        <v>10637</v>
      </c>
    </row>
    <row r="1617" spans="1:19" ht="93" customHeight="1" x14ac:dyDescent="0.25">
      <c r="A1617" s="8" t="s">
        <v>10638</v>
      </c>
      <c r="B1617" s="8" t="s">
        <v>5693</v>
      </c>
      <c r="C1617" s="8" t="s">
        <v>5918</v>
      </c>
      <c r="D1617" s="10">
        <v>1296</v>
      </c>
      <c r="E1617" s="8" t="s">
        <v>10639</v>
      </c>
      <c r="F1617" s="8" t="s">
        <v>10640</v>
      </c>
      <c r="G1617" s="8" t="s">
        <v>4727</v>
      </c>
      <c r="H1617" s="8" t="s">
        <v>10639</v>
      </c>
      <c r="I1617" s="8"/>
      <c r="J1617" s="15" t="s">
        <v>5695</v>
      </c>
      <c r="K1617" s="8"/>
      <c r="L1617" s="15" t="s">
        <v>1685</v>
      </c>
      <c r="M1617" s="8" t="s">
        <v>5578</v>
      </c>
      <c r="N1617" s="8"/>
      <c r="O1617" s="8" t="s">
        <v>5574</v>
      </c>
      <c r="P1617" s="11"/>
      <c r="Q1617" s="8" t="s">
        <v>5696</v>
      </c>
      <c r="R1617" s="8" t="s">
        <v>5919</v>
      </c>
      <c r="S1617" s="8" t="s">
        <v>10641</v>
      </c>
    </row>
    <row r="1618" spans="1:19" ht="107.1" customHeight="1" x14ac:dyDescent="0.25">
      <c r="A1618" s="8" t="s">
        <v>10642</v>
      </c>
      <c r="B1618" s="8" t="s">
        <v>5693</v>
      </c>
      <c r="C1618" s="8" t="s">
        <v>5918</v>
      </c>
      <c r="D1618" s="10">
        <v>1297</v>
      </c>
      <c r="E1618" s="8" t="s">
        <v>10643</v>
      </c>
      <c r="F1618" s="8" t="s">
        <v>10644</v>
      </c>
      <c r="G1618" s="8" t="s">
        <v>4727</v>
      </c>
      <c r="H1618" s="8" t="s">
        <v>10643</v>
      </c>
      <c r="I1618" s="8"/>
      <c r="J1618" s="15" t="s">
        <v>5695</v>
      </c>
      <c r="K1618" s="8"/>
      <c r="L1618" s="15" t="s">
        <v>1685</v>
      </c>
      <c r="M1618" s="8" t="s">
        <v>5578</v>
      </c>
      <c r="N1618" s="8"/>
      <c r="O1618" s="8" t="s">
        <v>5574</v>
      </c>
      <c r="P1618" s="11"/>
      <c r="Q1618" s="8" t="s">
        <v>5696</v>
      </c>
      <c r="R1618" s="8" t="s">
        <v>5919</v>
      </c>
      <c r="S1618" s="8" t="s">
        <v>10645</v>
      </c>
    </row>
    <row r="1619" spans="1:19" ht="93" customHeight="1" x14ac:dyDescent="0.25">
      <c r="A1619" s="8" t="s">
        <v>10646</v>
      </c>
      <c r="B1619" s="8" t="s">
        <v>5693</v>
      </c>
      <c r="C1619" s="8" t="s">
        <v>5918</v>
      </c>
      <c r="D1619" s="10">
        <v>1298</v>
      </c>
      <c r="E1619" s="8" t="s">
        <v>10647</v>
      </c>
      <c r="F1619" s="8" t="s">
        <v>10648</v>
      </c>
      <c r="G1619" s="8" t="s">
        <v>4727</v>
      </c>
      <c r="H1619" s="8" t="s">
        <v>10647</v>
      </c>
      <c r="I1619" s="8"/>
      <c r="J1619" s="15" t="s">
        <v>5695</v>
      </c>
      <c r="K1619" s="8"/>
      <c r="L1619" s="15" t="s">
        <v>1685</v>
      </c>
      <c r="M1619" s="8" t="s">
        <v>5578</v>
      </c>
      <c r="N1619" s="8"/>
      <c r="O1619" s="8" t="s">
        <v>5574</v>
      </c>
      <c r="P1619" s="11"/>
      <c r="Q1619" s="8" t="s">
        <v>5696</v>
      </c>
      <c r="R1619" s="8" t="s">
        <v>5919</v>
      </c>
      <c r="S1619" s="8" t="s">
        <v>10649</v>
      </c>
    </row>
    <row r="1620" spans="1:19" ht="93" customHeight="1" x14ac:dyDescent="0.25">
      <c r="A1620" s="8" t="s">
        <v>10650</v>
      </c>
      <c r="B1620" s="8" t="s">
        <v>5693</v>
      </c>
      <c r="C1620" s="8" t="s">
        <v>5918</v>
      </c>
      <c r="D1620" s="10">
        <v>1299</v>
      </c>
      <c r="E1620" s="8" t="s">
        <v>10651</v>
      </c>
      <c r="F1620" s="8" t="s">
        <v>10652</v>
      </c>
      <c r="G1620" s="8" t="s">
        <v>4727</v>
      </c>
      <c r="H1620" s="8" t="s">
        <v>10651</v>
      </c>
      <c r="I1620" s="8"/>
      <c r="J1620" s="15" t="s">
        <v>5695</v>
      </c>
      <c r="K1620" s="8"/>
      <c r="L1620" s="15" t="s">
        <v>1685</v>
      </c>
      <c r="M1620" s="8" t="s">
        <v>5578</v>
      </c>
      <c r="N1620" s="8"/>
      <c r="O1620" s="8" t="s">
        <v>5574</v>
      </c>
      <c r="P1620" s="11"/>
      <c r="Q1620" s="8" t="s">
        <v>5696</v>
      </c>
      <c r="R1620" s="8" t="s">
        <v>5919</v>
      </c>
      <c r="S1620" s="8" t="s">
        <v>10653</v>
      </c>
    </row>
    <row r="1621" spans="1:19" ht="93" customHeight="1" x14ac:dyDescent="0.25">
      <c r="A1621" s="8" t="s">
        <v>10654</v>
      </c>
      <c r="B1621" s="8" t="s">
        <v>5693</v>
      </c>
      <c r="C1621" s="8" t="s">
        <v>5918</v>
      </c>
      <c r="D1621" s="10">
        <v>1300</v>
      </c>
      <c r="E1621" s="8" t="s">
        <v>10655</v>
      </c>
      <c r="F1621" s="8" t="s">
        <v>10656</v>
      </c>
      <c r="G1621" s="8" t="s">
        <v>4727</v>
      </c>
      <c r="H1621" s="8" t="s">
        <v>10655</v>
      </c>
      <c r="I1621" s="8"/>
      <c r="J1621" s="15" t="s">
        <v>5695</v>
      </c>
      <c r="K1621" s="8"/>
      <c r="L1621" s="15" t="s">
        <v>1685</v>
      </c>
      <c r="M1621" s="8" t="s">
        <v>5578</v>
      </c>
      <c r="N1621" s="8"/>
      <c r="O1621" s="8" t="s">
        <v>5574</v>
      </c>
      <c r="P1621" s="11"/>
      <c r="Q1621" s="8" t="s">
        <v>5696</v>
      </c>
      <c r="R1621" s="8" t="s">
        <v>5919</v>
      </c>
      <c r="S1621" s="8" t="s">
        <v>10657</v>
      </c>
    </row>
    <row r="1622" spans="1:19" ht="93" customHeight="1" x14ac:dyDescent="0.25">
      <c r="A1622" s="8" t="s">
        <v>10658</v>
      </c>
      <c r="B1622" s="8" t="s">
        <v>5693</v>
      </c>
      <c r="C1622" s="8" t="s">
        <v>5918</v>
      </c>
      <c r="D1622" s="10">
        <v>1301</v>
      </c>
      <c r="E1622" s="8" t="s">
        <v>10659</v>
      </c>
      <c r="F1622" s="8" t="s">
        <v>10660</v>
      </c>
      <c r="G1622" s="8" t="s">
        <v>4727</v>
      </c>
      <c r="H1622" s="8" t="s">
        <v>10659</v>
      </c>
      <c r="I1622" s="8"/>
      <c r="J1622" s="15" t="s">
        <v>5695</v>
      </c>
      <c r="K1622" s="8"/>
      <c r="L1622" s="15" t="s">
        <v>1685</v>
      </c>
      <c r="M1622" s="8" t="s">
        <v>5578</v>
      </c>
      <c r="N1622" s="8"/>
      <c r="O1622" s="8" t="s">
        <v>5574</v>
      </c>
      <c r="P1622" s="11"/>
      <c r="Q1622" s="8" t="s">
        <v>5696</v>
      </c>
      <c r="R1622" s="8" t="s">
        <v>5919</v>
      </c>
      <c r="S1622" s="8" t="s">
        <v>10661</v>
      </c>
    </row>
    <row r="1623" spans="1:19" ht="107.1" customHeight="1" x14ac:dyDescent="0.25">
      <c r="A1623" s="8" t="s">
        <v>10662</v>
      </c>
      <c r="B1623" s="8" t="s">
        <v>5693</v>
      </c>
      <c r="C1623" s="8" t="s">
        <v>5918</v>
      </c>
      <c r="D1623" s="10">
        <v>1302</v>
      </c>
      <c r="E1623" s="8" t="s">
        <v>10663</v>
      </c>
      <c r="F1623" s="8" t="s">
        <v>10664</v>
      </c>
      <c r="G1623" s="8" t="s">
        <v>4727</v>
      </c>
      <c r="H1623" s="8" t="s">
        <v>10663</v>
      </c>
      <c r="I1623" s="8"/>
      <c r="J1623" s="15" t="s">
        <v>5695</v>
      </c>
      <c r="K1623" s="8"/>
      <c r="L1623" s="15" t="s">
        <v>1685</v>
      </c>
      <c r="M1623" s="8" t="s">
        <v>5578</v>
      </c>
      <c r="N1623" s="8"/>
      <c r="O1623" s="8" t="s">
        <v>5574</v>
      </c>
      <c r="P1623" s="11"/>
      <c r="Q1623" s="8" t="s">
        <v>5696</v>
      </c>
      <c r="R1623" s="8" t="s">
        <v>5919</v>
      </c>
      <c r="S1623" s="8" t="s">
        <v>10665</v>
      </c>
    </row>
    <row r="1624" spans="1:19" ht="93" customHeight="1" x14ac:dyDescent="0.25">
      <c r="A1624" s="8" t="s">
        <v>10666</v>
      </c>
      <c r="B1624" s="8" t="s">
        <v>5693</v>
      </c>
      <c r="C1624" s="8" t="s">
        <v>5918</v>
      </c>
      <c r="D1624" s="10">
        <v>1303</v>
      </c>
      <c r="E1624" s="8" t="s">
        <v>10667</v>
      </c>
      <c r="F1624" s="8" t="s">
        <v>10668</v>
      </c>
      <c r="G1624" s="8" t="s">
        <v>4727</v>
      </c>
      <c r="H1624" s="8" t="s">
        <v>10667</v>
      </c>
      <c r="I1624" s="8"/>
      <c r="J1624" s="15" t="s">
        <v>5695</v>
      </c>
      <c r="K1624" s="8"/>
      <c r="L1624" s="15" t="s">
        <v>1685</v>
      </c>
      <c r="M1624" s="8" t="s">
        <v>5578</v>
      </c>
      <c r="N1624" s="8"/>
      <c r="O1624" s="8" t="s">
        <v>5574</v>
      </c>
      <c r="P1624" s="11"/>
      <c r="Q1624" s="8" t="s">
        <v>5696</v>
      </c>
      <c r="R1624" s="8" t="s">
        <v>5919</v>
      </c>
      <c r="S1624" s="8" t="s">
        <v>10669</v>
      </c>
    </row>
    <row r="1625" spans="1:19" ht="107.1" customHeight="1" x14ac:dyDescent="0.25">
      <c r="A1625" s="8" t="s">
        <v>10670</v>
      </c>
      <c r="B1625" s="8" t="s">
        <v>5693</v>
      </c>
      <c r="C1625" s="8" t="s">
        <v>5918</v>
      </c>
      <c r="D1625" s="10">
        <v>1304</v>
      </c>
      <c r="E1625" s="8" t="s">
        <v>10671</v>
      </c>
      <c r="F1625" s="8" t="s">
        <v>10672</v>
      </c>
      <c r="G1625" s="8" t="s">
        <v>4727</v>
      </c>
      <c r="H1625" s="8" t="s">
        <v>10671</v>
      </c>
      <c r="I1625" s="8"/>
      <c r="J1625" s="15" t="s">
        <v>5695</v>
      </c>
      <c r="K1625" s="8"/>
      <c r="L1625" s="15" t="s">
        <v>1685</v>
      </c>
      <c r="M1625" s="8" t="s">
        <v>5578</v>
      </c>
      <c r="N1625" s="8"/>
      <c r="O1625" s="8" t="s">
        <v>5574</v>
      </c>
      <c r="P1625" s="11"/>
      <c r="Q1625" s="8" t="s">
        <v>5696</v>
      </c>
      <c r="R1625" s="8" t="s">
        <v>5919</v>
      </c>
      <c r="S1625" s="8" t="s">
        <v>10673</v>
      </c>
    </row>
    <row r="1626" spans="1:19" ht="93" customHeight="1" x14ac:dyDescent="0.25">
      <c r="A1626" s="8" t="s">
        <v>10674</v>
      </c>
      <c r="B1626" s="8" t="s">
        <v>5693</v>
      </c>
      <c r="C1626" s="8" t="s">
        <v>5918</v>
      </c>
      <c r="D1626" s="10">
        <v>1305</v>
      </c>
      <c r="E1626" s="8" t="s">
        <v>10675</v>
      </c>
      <c r="F1626" s="8" t="s">
        <v>10676</v>
      </c>
      <c r="G1626" s="8" t="s">
        <v>4727</v>
      </c>
      <c r="H1626" s="8" t="s">
        <v>10675</v>
      </c>
      <c r="I1626" s="8"/>
      <c r="J1626" s="15" t="s">
        <v>5695</v>
      </c>
      <c r="K1626" s="8"/>
      <c r="L1626" s="15" t="s">
        <v>1685</v>
      </c>
      <c r="M1626" s="8" t="s">
        <v>5578</v>
      </c>
      <c r="N1626" s="8"/>
      <c r="O1626" s="8" t="s">
        <v>5574</v>
      </c>
      <c r="P1626" s="11"/>
      <c r="Q1626" s="8" t="s">
        <v>5696</v>
      </c>
      <c r="R1626" s="8" t="s">
        <v>5919</v>
      </c>
      <c r="S1626" s="8" t="s">
        <v>10677</v>
      </c>
    </row>
    <row r="1627" spans="1:19" ht="93" customHeight="1" x14ac:dyDescent="0.25">
      <c r="A1627" s="8" t="s">
        <v>10678</v>
      </c>
      <c r="B1627" s="8" t="s">
        <v>5693</v>
      </c>
      <c r="C1627" s="8" t="s">
        <v>5918</v>
      </c>
      <c r="D1627" s="10">
        <v>1306</v>
      </c>
      <c r="E1627" s="8" t="s">
        <v>10679</v>
      </c>
      <c r="F1627" s="8" t="s">
        <v>10680</v>
      </c>
      <c r="G1627" s="8" t="s">
        <v>4727</v>
      </c>
      <c r="H1627" s="8" t="s">
        <v>10679</v>
      </c>
      <c r="I1627" s="8"/>
      <c r="J1627" s="15" t="s">
        <v>5695</v>
      </c>
      <c r="K1627" s="8"/>
      <c r="L1627" s="15" t="s">
        <v>1685</v>
      </c>
      <c r="M1627" s="8" t="s">
        <v>5578</v>
      </c>
      <c r="N1627" s="8"/>
      <c r="O1627" s="8" t="s">
        <v>5574</v>
      </c>
      <c r="P1627" s="11"/>
      <c r="Q1627" s="8" t="s">
        <v>5696</v>
      </c>
      <c r="R1627" s="8" t="s">
        <v>5919</v>
      </c>
      <c r="S1627" s="8" t="s">
        <v>10681</v>
      </c>
    </row>
    <row r="1628" spans="1:19" ht="93" customHeight="1" x14ac:dyDescent="0.25">
      <c r="A1628" s="8" t="s">
        <v>10682</v>
      </c>
      <c r="B1628" s="8" t="s">
        <v>5693</v>
      </c>
      <c r="C1628" s="8" t="s">
        <v>5918</v>
      </c>
      <c r="D1628" s="10">
        <v>1307</v>
      </c>
      <c r="E1628" s="8" t="s">
        <v>10683</v>
      </c>
      <c r="F1628" s="8" t="s">
        <v>10684</v>
      </c>
      <c r="G1628" s="8" t="s">
        <v>4727</v>
      </c>
      <c r="H1628" s="8" t="s">
        <v>10683</v>
      </c>
      <c r="I1628" s="8"/>
      <c r="J1628" s="15" t="s">
        <v>5695</v>
      </c>
      <c r="K1628" s="8"/>
      <c r="L1628" s="15" t="s">
        <v>1685</v>
      </c>
      <c r="M1628" s="8" t="s">
        <v>5578</v>
      </c>
      <c r="N1628" s="8"/>
      <c r="O1628" s="8" t="s">
        <v>5574</v>
      </c>
      <c r="P1628" s="11"/>
      <c r="Q1628" s="8" t="s">
        <v>5696</v>
      </c>
      <c r="R1628" s="8" t="s">
        <v>5919</v>
      </c>
      <c r="S1628" s="8" t="s">
        <v>10685</v>
      </c>
    </row>
    <row r="1629" spans="1:19" ht="93" customHeight="1" x14ac:dyDescent="0.25">
      <c r="A1629" s="8" t="s">
        <v>10686</v>
      </c>
      <c r="B1629" s="8" t="s">
        <v>5693</v>
      </c>
      <c r="C1629" s="8" t="s">
        <v>5918</v>
      </c>
      <c r="D1629" s="10">
        <v>1308</v>
      </c>
      <c r="E1629" s="8" t="s">
        <v>10687</v>
      </c>
      <c r="F1629" s="8" t="s">
        <v>10688</v>
      </c>
      <c r="G1629" s="8" t="s">
        <v>4727</v>
      </c>
      <c r="H1629" s="8" t="s">
        <v>10687</v>
      </c>
      <c r="I1629" s="8"/>
      <c r="J1629" s="15" t="s">
        <v>5695</v>
      </c>
      <c r="K1629" s="8"/>
      <c r="L1629" s="15" t="s">
        <v>1685</v>
      </c>
      <c r="M1629" s="8" t="s">
        <v>5578</v>
      </c>
      <c r="N1629" s="8"/>
      <c r="O1629" s="8" t="s">
        <v>5574</v>
      </c>
      <c r="P1629" s="11"/>
      <c r="Q1629" s="8" t="s">
        <v>5696</v>
      </c>
      <c r="R1629" s="8" t="s">
        <v>5919</v>
      </c>
      <c r="S1629" s="8" t="s">
        <v>10689</v>
      </c>
    </row>
    <row r="1630" spans="1:19" ht="93" customHeight="1" x14ac:dyDescent="0.25">
      <c r="A1630" s="8" t="s">
        <v>10690</v>
      </c>
      <c r="B1630" s="8" t="s">
        <v>5693</v>
      </c>
      <c r="C1630" s="8" t="s">
        <v>5918</v>
      </c>
      <c r="D1630" s="10">
        <v>1309</v>
      </c>
      <c r="E1630" s="8" t="s">
        <v>10691</v>
      </c>
      <c r="F1630" s="8" t="s">
        <v>10692</v>
      </c>
      <c r="G1630" s="8" t="s">
        <v>4727</v>
      </c>
      <c r="H1630" s="8" t="s">
        <v>10691</v>
      </c>
      <c r="I1630" s="8"/>
      <c r="J1630" s="15" t="s">
        <v>5695</v>
      </c>
      <c r="K1630" s="8"/>
      <c r="L1630" s="15" t="s">
        <v>1685</v>
      </c>
      <c r="M1630" s="8" t="s">
        <v>5578</v>
      </c>
      <c r="N1630" s="8"/>
      <c r="O1630" s="8" t="s">
        <v>5574</v>
      </c>
      <c r="P1630" s="11"/>
      <c r="Q1630" s="8" t="s">
        <v>5696</v>
      </c>
      <c r="R1630" s="8" t="s">
        <v>5919</v>
      </c>
      <c r="S1630" s="8" t="s">
        <v>10693</v>
      </c>
    </row>
    <row r="1631" spans="1:19" ht="93" customHeight="1" x14ac:dyDescent="0.25">
      <c r="A1631" s="8" t="s">
        <v>10694</v>
      </c>
      <c r="B1631" s="8" t="s">
        <v>5693</v>
      </c>
      <c r="C1631" s="8" t="s">
        <v>5918</v>
      </c>
      <c r="D1631" s="10">
        <v>1310</v>
      </c>
      <c r="E1631" s="8" t="s">
        <v>10695</v>
      </c>
      <c r="F1631" s="8" t="s">
        <v>10696</v>
      </c>
      <c r="G1631" s="8" t="s">
        <v>4727</v>
      </c>
      <c r="H1631" s="8" t="s">
        <v>10695</v>
      </c>
      <c r="I1631" s="8"/>
      <c r="J1631" s="15" t="s">
        <v>5695</v>
      </c>
      <c r="K1631" s="8"/>
      <c r="L1631" s="15" t="s">
        <v>1685</v>
      </c>
      <c r="M1631" s="8" t="s">
        <v>5578</v>
      </c>
      <c r="N1631" s="8"/>
      <c r="O1631" s="8" t="s">
        <v>5574</v>
      </c>
      <c r="P1631" s="11"/>
      <c r="Q1631" s="8" t="s">
        <v>5696</v>
      </c>
      <c r="R1631" s="8" t="s">
        <v>5919</v>
      </c>
      <c r="S1631" s="8" t="s">
        <v>10697</v>
      </c>
    </row>
    <row r="1632" spans="1:19" ht="93" customHeight="1" x14ac:dyDescent="0.25">
      <c r="A1632" s="8" t="s">
        <v>10698</v>
      </c>
      <c r="B1632" s="8" t="s">
        <v>5693</v>
      </c>
      <c r="C1632" s="8" t="s">
        <v>5918</v>
      </c>
      <c r="D1632" s="10">
        <v>1311</v>
      </c>
      <c r="E1632" s="8" t="s">
        <v>10699</v>
      </c>
      <c r="F1632" s="8" t="s">
        <v>10700</v>
      </c>
      <c r="G1632" s="8" t="s">
        <v>4727</v>
      </c>
      <c r="H1632" s="8" t="s">
        <v>10699</v>
      </c>
      <c r="I1632" s="8"/>
      <c r="J1632" s="15" t="s">
        <v>5695</v>
      </c>
      <c r="K1632" s="8"/>
      <c r="L1632" s="15" t="s">
        <v>1685</v>
      </c>
      <c r="M1632" s="8" t="s">
        <v>5578</v>
      </c>
      <c r="N1632" s="8"/>
      <c r="O1632" s="8" t="s">
        <v>5574</v>
      </c>
      <c r="P1632" s="11"/>
      <c r="Q1632" s="8" t="s">
        <v>5696</v>
      </c>
      <c r="R1632" s="8" t="s">
        <v>5919</v>
      </c>
      <c r="S1632" s="8" t="s">
        <v>10701</v>
      </c>
    </row>
    <row r="1633" spans="1:19" ht="93" customHeight="1" x14ac:dyDescent="0.25">
      <c r="A1633" s="8" t="s">
        <v>10702</v>
      </c>
      <c r="B1633" s="8" t="s">
        <v>5693</v>
      </c>
      <c r="C1633" s="8" t="s">
        <v>5918</v>
      </c>
      <c r="D1633" s="10">
        <v>1312</v>
      </c>
      <c r="E1633" s="8" t="s">
        <v>10703</v>
      </c>
      <c r="F1633" s="8" t="s">
        <v>10704</v>
      </c>
      <c r="G1633" s="8" t="s">
        <v>4727</v>
      </c>
      <c r="H1633" s="8" t="s">
        <v>10703</v>
      </c>
      <c r="I1633" s="8"/>
      <c r="J1633" s="15" t="s">
        <v>5695</v>
      </c>
      <c r="K1633" s="8"/>
      <c r="L1633" s="15" t="s">
        <v>1685</v>
      </c>
      <c r="M1633" s="8" t="s">
        <v>5578</v>
      </c>
      <c r="N1633" s="8"/>
      <c r="O1633" s="8" t="s">
        <v>5574</v>
      </c>
      <c r="P1633" s="11"/>
      <c r="Q1633" s="8" t="s">
        <v>5696</v>
      </c>
      <c r="R1633" s="8" t="s">
        <v>5919</v>
      </c>
      <c r="S1633" s="8" t="s">
        <v>10705</v>
      </c>
    </row>
    <row r="1634" spans="1:19" ht="93" customHeight="1" x14ac:dyDescent="0.25">
      <c r="A1634" s="8" t="s">
        <v>10706</v>
      </c>
      <c r="B1634" s="8" t="s">
        <v>5693</v>
      </c>
      <c r="C1634" s="8" t="s">
        <v>5918</v>
      </c>
      <c r="D1634" s="10">
        <v>1313</v>
      </c>
      <c r="E1634" s="8" t="s">
        <v>10707</v>
      </c>
      <c r="F1634" s="8" t="s">
        <v>10708</v>
      </c>
      <c r="G1634" s="8" t="s">
        <v>4727</v>
      </c>
      <c r="H1634" s="8" t="s">
        <v>10707</v>
      </c>
      <c r="I1634" s="8"/>
      <c r="J1634" s="15" t="s">
        <v>5695</v>
      </c>
      <c r="K1634" s="8"/>
      <c r="L1634" s="15" t="s">
        <v>1685</v>
      </c>
      <c r="M1634" s="8" t="s">
        <v>5578</v>
      </c>
      <c r="N1634" s="8"/>
      <c r="O1634" s="8" t="s">
        <v>5574</v>
      </c>
      <c r="P1634" s="11"/>
      <c r="Q1634" s="8" t="s">
        <v>5696</v>
      </c>
      <c r="R1634" s="8" t="s">
        <v>5919</v>
      </c>
      <c r="S1634" s="8" t="s">
        <v>10709</v>
      </c>
    </row>
    <row r="1635" spans="1:19" ht="93" customHeight="1" x14ac:dyDescent="0.25">
      <c r="A1635" s="8" t="s">
        <v>10710</v>
      </c>
      <c r="B1635" s="8" t="s">
        <v>5693</v>
      </c>
      <c r="C1635" s="8" t="s">
        <v>5918</v>
      </c>
      <c r="D1635" s="10">
        <v>1314</v>
      </c>
      <c r="E1635" s="8" t="s">
        <v>10711</v>
      </c>
      <c r="F1635" s="8" t="s">
        <v>10712</v>
      </c>
      <c r="G1635" s="8" t="s">
        <v>4727</v>
      </c>
      <c r="H1635" s="8" t="s">
        <v>10711</v>
      </c>
      <c r="I1635" s="8"/>
      <c r="J1635" s="15" t="s">
        <v>5695</v>
      </c>
      <c r="K1635" s="8"/>
      <c r="L1635" s="15" t="s">
        <v>1685</v>
      </c>
      <c r="M1635" s="8" t="s">
        <v>5578</v>
      </c>
      <c r="N1635" s="8"/>
      <c r="O1635" s="8" t="s">
        <v>5574</v>
      </c>
      <c r="P1635" s="11"/>
      <c r="Q1635" s="8" t="s">
        <v>5696</v>
      </c>
      <c r="R1635" s="8" t="s">
        <v>5919</v>
      </c>
      <c r="S1635" s="8" t="s">
        <v>10713</v>
      </c>
    </row>
    <row r="1636" spans="1:19" ht="93" customHeight="1" x14ac:dyDescent="0.25">
      <c r="A1636" s="8" t="s">
        <v>10714</v>
      </c>
      <c r="B1636" s="8" t="s">
        <v>5693</v>
      </c>
      <c r="C1636" s="8" t="s">
        <v>5918</v>
      </c>
      <c r="D1636" s="10">
        <v>1315</v>
      </c>
      <c r="E1636" s="8" t="s">
        <v>10715</v>
      </c>
      <c r="F1636" s="8" t="s">
        <v>10716</v>
      </c>
      <c r="G1636" s="8" t="s">
        <v>4727</v>
      </c>
      <c r="H1636" s="8" t="s">
        <v>10715</v>
      </c>
      <c r="I1636" s="8"/>
      <c r="J1636" s="15" t="s">
        <v>5695</v>
      </c>
      <c r="K1636" s="8"/>
      <c r="L1636" s="15" t="s">
        <v>1685</v>
      </c>
      <c r="M1636" s="8" t="s">
        <v>5578</v>
      </c>
      <c r="N1636" s="8"/>
      <c r="O1636" s="8" t="s">
        <v>5574</v>
      </c>
      <c r="P1636" s="11"/>
      <c r="Q1636" s="8" t="s">
        <v>5696</v>
      </c>
      <c r="R1636" s="8" t="s">
        <v>5919</v>
      </c>
      <c r="S1636" s="8" t="s">
        <v>10717</v>
      </c>
    </row>
    <row r="1637" spans="1:19" ht="93" customHeight="1" x14ac:dyDescent="0.25">
      <c r="A1637" s="8" t="s">
        <v>10718</v>
      </c>
      <c r="B1637" s="8" t="s">
        <v>5693</v>
      </c>
      <c r="C1637" s="8" t="s">
        <v>5918</v>
      </c>
      <c r="D1637" s="10">
        <v>1316</v>
      </c>
      <c r="E1637" s="8" t="s">
        <v>10719</v>
      </c>
      <c r="F1637" s="8" t="s">
        <v>10720</v>
      </c>
      <c r="G1637" s="8" t="s">
        <v>4727</v>
      </c>
      <c r="H1637" s="8" t="s">
        <v>10719</v>
      </c>
      <c r="I1637" s="8"/>
      <c r="J1637" s="15" t="s">
        <v>5695</v>
      </c>
      <c r="K1637" s="8"/>
      <c r="L1637" s="15" t="s">
        <v>1685</v>
      </c>
      <c r="M1637" s="8" t="s">
        <v>5578</v>
      </c>
      <c r="N1637" s="8"/>
      <c r="O1637" s="8" t="s">
        <v>5574</v>
      </c>
      <c r="P1637" s="11"/>
      <c r="Q1637" s="8" t="s">
        <v>5696</v>
      </c>
      <c r="R1637" s="8" t="s">
        <v>5919</v>
      </c>
      <c r="S1637" s="8" t="s">
        <v>10721</v>
      </c>
    </row>
    <row r="1638" spans="1:19" ht="93" customHeight="1" x14ac:dyDescent="0.25">
      <c r="A1638" s="8" t="s">
        <v>10722</v>
      </c>
      <c r="B1638" s="8" t="s">
        <v>5693</v>
      </c>
      <c r="C1638" s="8" t="s">
        <v>5918</v>
      </c>
      <c r="D1638" s="10">
        <v>1317</v>
      </c>
      <c r="E1638" s="8" t="s">
        <v>10723</v>
      </c>
      <c r="F1638" s="8" t="s">
        <v>10724</v>
      </c>
      <c r="G1638" s="8" t="s">
        <v>4727</v>
      </c>
      <c r="H1638" s="8" t="s">
        <v>10723</v>
      </c>
      <c r="I1638" s="8"/>
      <c r="J1638" s="15" t="s">
        <v>5695</v>
      </c>
      <c r="K1638" s="8"/>
      <c r="L1638" s="15" t="s">
        <v>1685</v>
      </c>
      <c r="M1638" s="8" t="s">
        <v>5578</v>
      </c>
      <c r="N1638" s="8"/>
      <c r="O1638" s="8" t="s">
        <v>5574</v>
      </c>
      <c r="P1638" s="11"/>
      <c r="Q1638" s="8" t="s">
        <v>5696</v>
      </c>
      <c r="R1638" s="8" t="s">
        <v>5919</v>
      </c>
      <c r="S1638" s="8" t="s">
        <v>10725</v>
      </c>
    </row>
    <row r="1639" spans="1:19" ht="93" customHeight="1" x14ac:dyDescent="0.25">
      <c r="A1639" s="8" t="s">
        <v>10726</v>
      </c>
      <c r="B1639" s="8" t="s">
        <v>5693</v>
      </c>
      <c r="C1639" s="8" t="s">
        <v>5918</v>
      </c>
      <c r="D1639" s="10">
        <v>1318</v>
      </c>
      <c r="E1639" s="8" t="s">
        <v>10727</v>
      </c>
      <c r="F1639" s="8" t="s">
        <v>10728</v>
      </c>
      <c r="G1639" s="8" t="s">
        <v>4727</v>
      </c>
      <c r="H1639" s="8" t="s">
        <v>10727</v>
      </c>
      <c r="I1639" s="8"/>
      <c r="J1639" s="15" t="s">
        <v>5695</v>
      </c>
      <c r="K1639" s="8"/>
      <c r="L1639" s="15" t="s">
        <v>1685</v>
      </c>
      <c r="M1639" s="8" t="s">
        <v>5578</v>
      </c>
      <c r="N1639" s="8"/>
      <c r="O1639" s="8" t="s">
        <v>5574</v>
      </c>
      <c r="P1639" s="11"/>
      <c r="Q1639" s="8" t="s">
        <v>5696</v>
      </c>
      <c r="R1639" s="8" t="s">
        <v>5919</v>
      </c>
      <c r="S1639" s="8" t="s">
        <v>10729</v>
      </c>
    </row>
    <row r="1640" spans="1:19" ht="93" customHeight="1" x14ac:dyDescent="0.25">
      <c r="A1640" s="8" t="s">
        <v>10730</v>
      </c>
      <c r="B1640" s="8" t="s">
        <v>5693</v>
      </c>
      <c r="C1640" s="8" t="s">
        <v>5918</v>
      </c>
      <c r="D1640" s="10">
        <v>1319</v>
      </c>
      <c r="E1640" s="8" t="s">
        <v>10731</v>
      </c>
      <c r="F1640" s="8" t="s">
        <v>10732</v>
      </c>
      <c r="G1640" s="8" t="s">
        <v>4727</v>
      </c>
      <c r="H1640" s="8" t="s">
        <v>10731</v>
      </c>
      <c r="I1640" s="8"/>
      <c r="J1640" s="15" t="s">
        <v>5695</v>
      </c>
      <c r="K1640" s="8"/>
      <c r="L1640" s="15" t="s">
        <v>1685</v>
      </c>
      <c r="M1640" s="8" t="s">
        <v>5578</v>
      </c>
      <c r="N1640" s="8"/>
      <c r="O1640" s="8" t="s">
        <v>5574</v>
      </c>
      <c r="P1640" s="11"/>
      <c r="Q1640" s="8" t="s">
        <v>5696</v>
      </c>
      <c r="R1640" s="8" t="s">
        <v>5919</v>
      </c>
      <c r="S1640" s="8" t="s">
        <v>10733</v>
      </c>
    </row>
    <row r="1641" spans="1:19" ht="93" customHeight="1" x14ac:dyDescent="0.25">
      <c r="A1641" s="8" t="s">
        <v>10734</v>
      </c>
      <c r="B1641" s="8" t="s">
        <v>5693</v>
      </c>
      <c r="C1641" s="8" t="s">
        <v>5918</v>
      </c>
      <c r="D1641" s="10">
        <v>1320</v>
      </c>
      <c r="E1641" s="8" t="s">
        <v>10735</v>
      </c>
      <c r="F1641" s="8" t="s">
        <v>10736</v>
      </c>
      <c r="G1641" s="8" t="s">
        <v>4727</v>
      </c>
      <c r="H1641" s="8" t="s">
        <v>10735</v>
      </c>
      <c r="I1641" s="8"/>
      <c r="J1641" s="15" t="s">
        <v>5695</v>
      </c>
      <c r="K1641" s="8"/>
      <c r="L1641" s="15" t="s">
        <v>1685</v>
      </c>
      <c r="M1641" s="8" t="s">
        <v>5578</v>
      </c>
      <c r="N1641" s="8"/>
      <c r="O1641" s="8" t="s">
        <v>5574</v>
      </c>
      <c r="P1641" s="11"/>
      <c r="Q1641" s="8" t="s">
        <v>5696</v>
      </c>
      <c r="R1641" s="8" t="s">
        <v>5919</v>
      </c>
      <c r="S1641" s="8" t="s">
        <v>10737</v>
      </c>
    </row>
    <row r="1642" spans="1:19" ht="93" customHeight="1" x14ac:dyDescent="0.25">
      <c r="A1642" s="8" t="s">
        <v>10738</v>
      </c>
      <c r="B1642" s="8" t="s">
        <v>5693</v>
      </c>
      <c r="C1642" s="8" t="s">
        <v>5918</v>
      </c>
      <c r="D1642" s="10">
        <v>1321</v>
      </c>
      <c r="E1642" s="8" t="s">
        <v>10739</v>
      </c>
      <c r="F1642" s="8" t="s">
        <v>10740</v>
      </c>
      <c r="G1642" s="8" t="s">
        <v>4727</v>
      </c>
      <c r="H1642" s="8" t="s">
        <v>10739</v>
      </c>
      <c r="I1642" s="8"/>
      <c r="J1642" s="15" t="s">
        <v>5695</v>
      </c>
      <c r="K1642" s="8"/>
      <c r="L1642" s="15" t="s">
        <v>1685</v>
      </c>
      <c r="M1642" s="8" t="s">
        <v>5578</v>
      </c>
      <c r="N1642" s="8"/>
      <c r="O1642" s="8" t="s">
        <v>5574</v>
      </c>
      <c r="P1642" s="11"/>
      <c r="Q1642" s="8" t="s">
        <v>5696</v>
      </c>
      <c r="R1642" s="8" t="s">
        <v>5919</v>
      </c>
      <c r="S1642" s="8" t="s">
        <v>10741</v>
      </c>
    </row>
    <row r="1643" spans="1:19" ht="93" customHeight="1" x14ac:dyDescent="0.25">
      <c r="A1643" s="8" t="s">
        <v>10742</v>
      </c>
      <c r="B1643" s="8" t="s">
        <v>5693</v>
      </c>
      <c r="C1643" s="8" t="s">
        <v>5918</v>
      </c>
      <c r="D1643" s="10">
        <v>1322</v>
      </c>
      <c r="E1643" s="8" t="s">
        <v>10743</v>
      </c>
      <c r="F1643" s="8" t="s">
        <v>10744</v>
      </c>
      <c r="G1643" s="8" t="s">
        <v>4727</v>
      </c>
      <c r="H1643" s="8" t="s">
        <v>10743</v>
      </c>
      <c r="I1643" s="8"/>
      <c r="J1643" s="15" t="s">
        <v>5695</v>
      </c>
      <c r="K1643" s="8"/>
      <c r="L1643" s="15" t="s">
        <v>1685</v>
      </c>
      <c r="M1643" s="8" t="s">
        <v>5578</v>
      </c>
      <c r="N1643" s="8"/>
      <c r="O1643" s="8" t="s">
        <v>5574</v>
      </c>
      <c r="P1643" s="11"/>
      <c r="Q1643" s="8" t="s">
        <v>5696</v>
      </c>
      <c r="R1643" s="8" t="s">
        <v>5919</v>
      </c>
      <c r="S1643" s="8" t="s">
        <v>10745</v>
      </c>
    </row>
    <row r="1644" spans="1:19" ht="93" customHeight="1" x14ac:dyDescent="0.25">
      <c r="A1644" s="8" t="s">
        <v>10746</v>
      </c>
      <c r="B1644" s="8" t="s">
        <v>5693</v>
      </c>
      <c r="C1644" s="8" t="s">
        <v>5918</v>
      </c>
      <c r="D1644" s="10">
        <v>1323</v>
      </c>
      <c r="E1644" s="8" t="s">
        <v>10747</v>
      </c>
      <c r="F1644" s="8" t="s">
        <v>10748</v>
      </c>
      <c r="G1644" s="8" t="s">
        <v>4727</v>
      </c>
      <c r="H1644" s="8" t="s">
        <v>10747</v>
      </c>
      <c r="I1644" s="8"/>
      <c r="J1644" s="15" t="s">
        <v>5695</v>
      </c>
      <c r="K1644" s="8"/>
      <c r="L1644" s="15" t="s">
        <v>1685</v>
      </c>
      <c r="M1644" s="8" t="s">
        <v>5578</v>
      </c>
      <c r="N1644" s="8"/>
      <c r="O1644" s="8" t="s">
        <v>5574</v>
      </c>
      <c r="P1644" s="11"/>
      <c r="Q1644" s="8" t="s">
        <v>5696</v>
      </c>
      <c r="R1644" s="8" t="s">
        <v>5919</v>
      </c>
      <c r="S1644" s="8" t="s">
        <v>10749</v>
      </c>
    </row>
    <row r="1645" spans="1:19" ht="93" customHeight="1" x14ac:dyDescent="0.25">
      <c r="A1645" s="8" t="s">
        <v>10750</v>
      </c>
      <c r="B1645" s="8" t="s">
        <v>5693</v>
      </c>
      <c r="C1645" s="8" t="s">
        <v>5918</v>
      </c>
      <c r="D1645" s="10">
        <v>1324</v>
      </c>
      <c r="E1645" s="8" t="s">
        <v>10751</v>
      </c>
      <c r="F1645" s="8" t="s">
        <v>10752</v>
      </c>
      <c r="G1645" s="8" t="s">
        <v>4727</v>
      </c>
      <c r="H1645" s="8" t="s">
        <v>10751</v>
      </c>
      <c r="I1645" s="8"/>
      <c r="J1645" s="15" t="s">
        <v>5695</v>
      </c>
      <c r="K1645" s="8"/>
      <c r="L1645" s="15" t="s">
        <v>1685</v>
      </c>
      <c r="M1645" s="8" t="s">
        <v>5578</v>
      </c>
      <c r="N1645" s="8"/>
      <c r="O1645" s="8" t="s">
        <v>5574</v>
      </c>
      <c r="P1645" s="11"/>
      <c r="Q1645" s="8" t="s">
        <v>5696</v>
      </c>
      <c r="R1645" s="8" t="s">
        <v>5919</v>
      </c>
      <c r="S1645" s="8" t="s">
        <v>10753</v>
      </c>
    </row>
    <row r="1646" spans="1:19" ht="93" customHeight="1" x14ac:dyDescent="0.25">
      <c r="A1646" s="8" t="s">
        <v>10754</v>
      </c>
      <c r="B1646" s="8" t="s">
        <v>5693</v>
      </c>
      <c r="C1646" s="8" t="s">
        <v>5918</v>
      </c>
      <c r="D1646" s="10">
        <v>1325</v>
      </c>
      <c r="E1646" s="8" t="s">
        <v>10755</v>
      </c>
      <c r="F1646" s="8" t="s">
        <v>10756</v>
      </c>
      <c r="G1646" s="8" t="s">
        <v>4727</v>
      </c>
      <c r="H1646" s="8" t="s">
        <v>10755</v>
      </c>
      <c r="I1646" s="8"/>
      <c r="J1646" s="15" t="s">
        <v>5695</v>
      </c>
      <c r="K1646" s="8"/>
      <c r="L1646" s="15" t="s">
        <v>1685</v>
      </c>
      <c r="M1646" s="8" t="s">
        <v>5578</v>
      </c>
      <c r="N1646" s="8"/>
      <c r="O1646" s="8" t="s">
        <v>5574</v>
      </c>
      <c r="P1646" s="11"/>
      <c r="Q1646" s="8" t="s">
        <v>5696</v>
      </c>
      <c r="R1646" s="8" t="s">
        <v>5919</v>
      </c>
      <c r="S1646" s="8" t="s">
        <v>10757</v>
      </c>
    </row>
    <row r="1647" spans="1:19" ht="93" customHeight="1" x14ac:dyDescent="0.25">
      <c r="A1647" s="8" t="s">
        <v>10758</v>
      </c>
      <c r="B1647" s="8" t="s">
        <v>5693</v>
      </c>
      <c r="C1647" s="8" t="s">
        <v>5918</v>
      </c>
      <c r="D1647" s="10">
        <v>1326</v>
      </c>
      <c r="E1647" s="8" t="s">
        <v>10759</v>
      </c>
      <c r="F1647" s="8" t="s">
        <v>10760</v>
      </c>
      <c r="G1647" s="8" t="s">
        <v>4727</v>
      </c>
      <c r="H1647" s="8" t="s">
        <v>10759</v>
      </c>
      <c r="I1647" s="8"/>
      <c r="J1647" s="15" t="s">
        <v>5695</v>
      </c>
      <c r="K1647" s="8"/>
      <c r="L1647" s="15" t="s">
        <v>1685</v>
      </c>
      <c r="M1647" s="8" t="s">
        <v>5578</v>
      </c>
      <c r="N1647" s="8"/>
      <c r="O1647" s="8" t="s">
        <v>5574</v>
      </c>
      <c r="P1647" s="11"/>
      <c r="Q1647" s="8" t="s">
        <v>5696</v>
      </c>
      <c r="R1647" s="8" t="s">
        <v>5919</v>
      </c>
      <c r="S1647" s="8" t="s">
        <v>10761</v>
      </c>
    </row>
    <row r="1648" spans="1:19" ht="93" customHeight="1" x14ac:dyDescent="0.25">
      <c r="A1648" s="8" t="s">
        <v>10762</v>
      </c>
      <c r="B1648" s="8" t="s">
        <v>5693</v>
      </c>
      <c r="C1648" s="8" t="s">
        <v>5918</v>
      </c>
      <c r="D1648" s="10">
        <v>1327</v>
      </c>
      <c r="E1648" s="8" t="s">
        <v>10763</v>
      </c>
      <c r="F1648" s="8" t="s">
        <v>10764</v>
      </c>
      <c r="G1648" s="8" t="s">
        <v>4727</v>
      </c>
      <c r="H1648" s="8" t="s">
        <v>10763</v>
      </c>
      <c r="I1648" s="8"/>
      <c r="J1648" s="15" t="s">
        <v>5695</v>
      </c>
      <c r="K1648" s="8"/>
      <c r="L1648" s="15" t="s">
        <v>1685</v>
      </c>
      <c r="M1648" s="8" t="s">
        <v>5578</v>
      </c>
      <c r="N1648" s="8"/>
      <c r="O1648" s="8" t="s">
        <v>5574</v>
      </c>
      <c r="P1648" s="11"/>
      <c r="Q1648" s="8" t="s">
        <v>5696</v>
      </c>
      <c r="R1648" s="8" t="s">
        <v>5919</v>
      </c>
      <c r="S1648" s="8" t="s">
        <v>10765</v>
      </c>
    </row>
    <row r="1649" spans="1:19" ht="93" customHeight="1" x14ac:dyDescent="0.25">
      <c r="A1649" s="8" t="s">
        <v>10766</v>
      </c>
      <c r="B1649" s="8" t="s">
        <v>5693</v>
      </c>
      <c r="C1649" s="8" t="s">
        <v>5918</v>
      </c>
      <c r="D1649" s="10">
        <v>1328</v>
      </c>
      <c r="E1649" s="8" t="s">
        <v>10767</v>
      </c>
      <c r="F1649" s="8" t="s">
        <v>10768</v>
      </c>
      <c r="G1649" s="8" t="s">
        <v>4727</v>
      </c>
      <c r="H1649" s="8" t="s">
        <v>10767</v>
      </c>
      <c r="I1649" s="8"/>
      <c r="J1649" s="15" t="s">
        <v>5695</v>
      </c>
      <c r="K1649" s="8"/>
      <c r="L1649" s="15" t="s">
        <v>1685</v>
      </c>
      <c r="M1649" s="8" t="s">
        <v>5578</v>
      </c>
      <c r="N1649" s="8"/>
      <c r="O1649" s="8" t="s">
        <v>5574</v>
      </c>
      <c r="P1649" s="11"/>
      <c r="Q1649" s="8" t="s">
        <v>5696</v>
      </c>
      <c r="R1649" s="8" t="s">
        <v>5919</v>
      </c>
      <c r="S1649" s="8" t="s">
        <v>10769</v>
      </c>
    </row>
    <row r="1650" spans="1:19" ht="107.1" customHeight="1" x14ac:dyDescent="0.25">
      <c r="A1650" s="8" t="s">
        <v>10770</v>
      </c>
      <c r="B1650" s="8" t="s">
        <v>5693</v>
      </c>
      <c r="C1650" s="8" t="s">
        <v>5918</v>
      </c>
      <c r="D1650" s="10">
        <v>1329</v>
      </c>
      <c r="E1650" s="8" t="s">
        <v>10771</v>
      </c>
      <c r="F1650" s="8" t="s">
        <v>10772</v>
      </c>
      <c r="G1650" s="8" t="s">
        <v>4727</v>
      </c>
      <c r="H1650" s="8" t="s">
        <v>10771</v>
      </c>
      <c r="I1650" s="8"/>
      <c r="J1650" s="15" t="s">
        <v>5695</v>
      </c>
      <c r="K1650" s="8"/>
      <c r="L1650" s="15" t="s">
        <v>1685</v>
      </c>
      <c r="M1650" s="8" t="s">
        <v>5578</v>
      </c>
      <c r="N1650" s="8"/>
      <c r="O1650" s="8" t="s">
        <v>5574</v>
      </c>
      <c r="P1650" s="11"/>
      <c r="Q1650" s="8" t="s">
        <v>5696</v>
      </c>
      <c r="R1650" s="8" t="s">
        <v>5919</v>
      </c>
      <c r="S1650" s="8" t="s">
        <v>10773</v>
      </c>
    </row>
    <row r="1651" spans="1:19" ht="93" customHeight="1" x14ac:dyDescent="0.25">
      <c r="A1651" s="8" t="s">
        <v>10774</v>
      </c>
      <c r="B1651" s="8" t="s">
        <v>5693</v>
      </c>
      <c r="C1651" s="8" t="s">
        <v>5918</v>
      </c>
      <c r="D1651" s="10">
        <v>1330</v>
      </c>
      <c r="E1651" s="8" t="s">
        <v>10775</v>
      </c>
      <c r="F1651" s="8" t="s">
        <v>10776</v>
      </c>
      <c r="G1651" s="8" t="s">
        <v>4727</v>
      </c>
      <c r="H1651" s="8" t="s">
        <v>10775</v>
      </c>
      <c r="I1651" s="8"/>
      <c r="J1651" s="15" t="s">
        <v>5695</v>
      </c>
      <c r="K1651" s="8"/>
      <c r="L1651" s="15" t="s">
        <v>1685</v>
      </c>
      <c r="M1651" s="8" t="s">
        <v>5578</v>
      </c>
      <c r="N1651" s="8"/>
      <c r="O1651" s="8" t="s">
        <v>5574</v>
      </c>
      <c r="P1651" s="11"/>
      <c r="Q1651" s="8" t="s">
        <v>5696</v>
      </c>
      <c r="R1651" s="8" t="s">
        <v>5919</v>
      </c>
      <c r="S1651" s="8" t="s">
        <v>10777</v>
      </c>
    </row>
    <row r="1652" spans="1:19" ht="93" customHeight="1" x14ac:dyDescent="0.25">
      <c r="A1652" s="8" t="s">
        <v>10778</v>
      </c>
      <c r="B1652" s="8" t="s">
        <v>5693</v>
      </c>
      <c r="C1652" s="8" t="s">
        <v>5918</v>
      </c>
      <c r="D1652" s="10">
        <v>1331</v>
      </c>
      <c r="E1652" s="8" t="s">
        <v>10779</v>
      </c>
      <c r="F1652" s="8" t="s">
        <v>10780</v>
      </c>
      <c r="G1652" s="8" t="s">
        <v>4727</v>
      </c>
      <c r="H1652" s="8" t="s">
        <v>10779</v>
      </c>
      <c r="I1652" s="8"/>
      <c r="J1652" s="15" t="s">
        <v>5695</v>
      </c>
      <c r="K1652" s="8"/>
      <c r="L1652" s="15" t="s">
        <v>1685</v>
      </c>
      <c r="M1652" s="8" t="s">
        <v>5578</v>
      </c>
      <c r="N1652" s="8"/>
      <c r="O1652" s="8" t="s">
        <v>5574</v>
      </c>
      <c r="P1652" s="11"/>
      <c r="Q1652" s="8" t="s">
        <v>5696</v>
      </c>
      <c r="R1652" s="8" t="s">
        <v>5919</v>
      </c>
      <c r="S1652" s="8" t="s">
        <v>10781</v>
      </c>
    </row>
    <row r="1653" spans="1:19" ht="93" customHeight="1" x14ac:dyDescent="0.25">
      <c r="A1653" s="8" t="s">
        <v>10782</v>
      </c>
      <c r="B1653" s="8" t="s">
        <v>5693</v>
      </c>
      <c r="C1653" s="8" t="s">
        <v>5918</v>
      </c>
      <c r="D1653" s="10">
        <v>1332</v>
      </c>
      <c r="E1653" s="8" t="s">
        <v>10783</v>
      </c>
      <c r="F1653" s="8" t="s">
        <v>10784</v>
      </c>
      <c r="G1653" s="8" t="s">
        <v>4727</v>
      </c>
      <c r="H1653" s="8" t="s">
        <v>10783</v>
      </c>
      <c r="I1653" s="8"/>
      <c r="J1653" s="15" t="s">
        <v>5695</v>
      </c>
      <c r="K1653" s="8"/>
      <c r="L1653" s="15" t="s">
        <v>1685</v>
      </c>
      <c r="M1653" s="8" t="s">
        <v>5578</v>
      </c>
      <c r="N1653" s="8"/>
      <c r="O1653" s="8" t="s">
        <v>5574</v>
      </c>
      <c r="P1653" s="11"/>
      <c r="Q1653" s="8" t="s">
        <v>5696</v>
      </c>
      <c r="R1653" s="8" t="s">
        <v>5919</v>
      </c>
      <c r="S1653" s="8" t="s">
        <v>10785</v>
      </c>
    </row>
    <row r="1654" spans="1:19" ht="93" customHeight="1" x14ac:dyDescent="0.25">
      <c r="A1654" s="8" t="s">
        <v>10786</v>
      </c>
      <c r="B1654" s="8" t="s">
        <v>5693</v>
      </c>
      <c r="C1654" s="8" t="s">
        <v>5918</v>
      </c>
      <c r="D1654" s="10">
        <v>1333</v>
      </c>
      <c r="E1654" s="8" t="s">
        <v>10787</v>
      </c>
      <c r="F1654" s="8" t="s">
        <v>10788</v>
      </c>
      <c r="G1654" s="8" t="s">
        <v>4727</v>
      </c>
      <c r="H1654" s="8" t="s">
        <v>10787</v>
      </c>
      <c r="I1654" s="8"/>
      <c r="J1654" s="15" t="s">
        <v>5695</v>
      </c>
      <c r="K1654" s="8"/>
      <c r="L1654" s="15" t="s">
        <v>1685</v>
      </c>
      <c r="M1654" s="8" t="s">
        <v>5578</v>
      </c>
      <c r="N1654" s="8"/>
      <c r="O1654" s="8" t="s">
        <v>5574</v>
      </c>
      <c r="P1654" s="11"/>
      <c r="Q1654" s="8" t="s">
        <v>5696</v>
      </c>
      <c r="R1654" s="8" t="s">
        <v>5919</v>
      </c>
      <c r="S1654" s="8" t="s">
        <v>10789</v>
      </c>
    </row>
    <row r="1655" spans="1:19" ht="107.1" customHeight="1" x14ac:dyDescent="0.25">
      <c r="A1655" s="8" t="s">
        <v>10790</v>
      </c>
      <c r="B1655" s="8" t="s">
        <v>5693</v>
      </c>
      <c r="C1655" s="8" t="s">
        <v>5918</v>
      </c>
      <c r="D1655" s="10">
        <v>1334</v>
      </c>
      <c r="E1655" s="8" t="s">
        <v>10791</v>
      </c>
      <c r="F1655" s="8" t="s">
        <v>10792</v>
      </c>
      <c r="G1655" s="8" t="s">
        <v>4727</v>
      </c>
      <c r="H1655" s="8" t="s">
        <v>10791</v>
      </c>
      <c r="I1655" s="8"/>
      <c r="J1655" s="15" t="s">
        <v>5695</v>
      </c>
      <c r="K1655" s="8"/>
      <c r="L1655" s="15" t="s">
        <v>1685</v>
      </c>
      <c r="M1655" s="8" t="s">
        <v>5578</v>
      </c>
      <c r="N1655" s="8"/>
      <c r="O1655" s="8" t="s">
        <v>5574</v>
      </c>
      <c r="P1655" s="11"/>
      <c r="Q1655" s="8" t="s">
        <v>5696</v>
      </c>
      <c r="R1655" s="8" t="s">
        <v>5919</v>
      </c>
      <c r="S1655" s="8" t="s">
        <v>10793</v>
      </c>
    </row>
    <row r="1656" spans="1:19" ht="93" customHeight="1" x14ac:dyDescent="0.25">
      <c r="A1656" s="8" t="s">
        <v>10794</v>
      </c>
      <c r="B1656" s="8" t="s">
        <v>5693</v>
      </c>
      <c r="C1656" s="8" t="s">
        <v>5918</v>
      </c>
      <c r="D1656" s="10">
        <v>1335</v>
      </c>
      <c r="E1656" s="8" t="s">
        <v>10795</v>
      </c>
      <c r="F1656" s="8" t="s">
        <v>10796</v>
      </c>
      <c r="G1656" s="8" t="s">
        <v>4727</v>
      </c>
      <c r="H1656" s="8" t="s">
        <v>10795</v>
      </c>
      <c r="I1656" s="8"/>
      <c r="J1656" s="15" t="s">
        <v>5695</v>
      </c>
      <c r="K1656" s="8"/>
      <c r="L1656" s="15" t="s">
        <v>1685</v>
      </c>
      <c r="M1656" s="8" t="s">
        <v>5578</v>
      </c>
      <c r="N1656" s="8"/>
      <c r="O1656" s="8" t="s">
        <v>5574</v>
      </c>
      <c r="P1656" s="11"/>
      <c r="Q1656" s="8" t="s">
        <v>5696</v>
      </c>
      <c r="R1656" s="8" t="s">
        <v>5919</v>
      </c>
      <c r="S1656" s="8" t="s">
        <v>10797</v>
      </c>
    </row>
    <row r="1657" spans="1:19" ht="93" customHeight="1" x14ac:dyDescent="0.25">
      <c r="A1657" s="8" t="s">
        <v>10798</v>
      </c>
      <c r="B1657" s="8" t="s">
        <v>5693</v>
      </c>
      <c r="C1657" s="8" t="s">
        <v>5918</v>
      </c>
      <c r="D1657" s="10">
        <v>1336</v>
      </c>
      <c r="E1657" s="8" t="s">
        <v>10799</v>
      </c>
      <c r="F1657" s="8" t="s">
        <v>10800</v>
      </c>
      <c r="G1657" s="8" t="s">
        <v>4727</v>
      </c>
      <c r="H1657" s="8" t="s">
        <v>10799</v>
      </c>
      <c r="I1657" s="8"/>
      <c r="J1657" s="15" t="s">
        <v>5695</v>
      </c>
      <c r="K1657" s="8"/>
      <c r="L1657" s="15" t="s">
        <v>1685</v>
      </c>
      <c r="M1657" s="8" t="s">
        <v>5578</v>
      </c>
      <c r="N1657" s="8"/>
      <c r="O1657" s="8" t="s">
        <v>5574</v>
      </c>
      <c r="P1657" s="11"/>
      <c r="Q1657" s="8" t="s">
        <v>5696</v>
      </c>
      <c r="R1657" s="8" t="s">
        <v>5919</v>
      </c>
      <c r="S1657" s="8" t="s">
        <v>10801</v>
      </c>
    </row>
    <row r="1658" spans="1:19" ht="93" customHeight="1" x14ac:dyDescent="0.25">
      <c r="A1658" s="8" t="s">
        <v>10802</v>
      </c>
      <c r="B1658" s="8" t="s">
        <v>5693</v>
      </c>
      <c r="C1658" s="8" t="s">
        <v>5918</v>
      </c>
      <c r="D1658" s="10">
        <v>1337</v>
      </c>
      <c r="E1658" s="8" t="s">
        <v>10803</v>
      </c>
      <c r="F1658" s="8" t="s">
        <v>10804</v>
      </c>
      <c r="G1658" s="8" t="s">
        <v>4727</v>
      </c>
      <c r="H1658" s="8" t="s">
        <v>10803</v>
      </c>
      <c r="I1658" s="8"/>
      <c r="J1658" s="15" t="s">
        <v>5695</v>
      </c>
      <c r="K1658" s="8"/>
      <c r="L1658" s="15" t="s">
        <v>1685</v>
      </c>
      <c r="M1658" s="8" t="s">
        <v>5578</v>
      </c>
      <c r="N1658" s="8"/>
      <c r="O1658" s="8" t="s">
        <v>5574</v>
      </c>
      <c r="P1658" s="11"/>
      <c r="Q1658" s="8" t="s">
        <v>5696</v>
      </c>
      <c r="R1658" s="8" t="s">
        <v>5919</v>
      </c>
      <c r="S1658" s="8" t="s">
        <v>10805</v>
      </c>
    </row>
    <row r="1659" spans="1:19" ht="93" customHeight="1" x14ac:dyDescent="0.25">
      <c r="A1659" s="8" t="s">
        <v>10806</v>
      </c>
      <c r="B1659" s="8" t="s">
        <v>5693</v>
      </c>
      <c r="C1659" s="8" t="s">
        <v>5918</v>
      </c>
      <c r="D1659" s="10">
        <v>1338</v>
      </c>
      <c r="E1659" s="8" t="s">
        <v>10807</v>
      </c>
      <c r="F1659" s="8" t="s">
        <v>10808</v>
      </c>
      <c r="G1659" s="8" t="s">
        <v>4727</v>
      </c>
      <c r="H1659" s="8" t="s">
        <v>10807</v>
      </c>
      <c r="I1659" s="8"/>
      <c r="J1659" s="15" t="s">
        <v>5695</v>
      </c>
      <c r="K1659" s="8"/>
      <c r="L1659" s="15" t="s">
        <v>1685</v>
      </c>
      <c r="M1659" s="8" t="s">
        <v>5578</v>
      </c>
      <c r="N1659" s="8"/>
      <c r="O1659" s="8" t="s">
        <v>5574</v>
      </c>
      <c r="P1659" s="11"/>
      <c r="Q1659" s="8" t="s">
        <v>5696</v>
      </c>
      <c r="R1659" s="8" t="s">
        <v>5919</v>
      </c>
      <c r="S1659" s="8" t="s">
        <v>10809</v>
      </c>
    </row>
    <row r="1660" spans="1:19" ht="107.1" customHeight="1" x14ac:dyDescent="0.25">
      <c r="A1660" s="8" t="s">
        <v>10810</v>
      </c>
      <c r="B1660" s="8" t="s">
        <v>5693</v>
      </c>
      <c r="C1660" s="8" t="s">
        <v>5918</v>
      </c>
      <c r="D1660" s="10">
        <v>1339</v>
      </c>
      <c r="E1660" s="8" t="s">
        <v>10811</v>
      </c>
      <c r="F1660" s="8" t="s">
        <v>10812</v>
      </c>
      <c r="G1660" s="8" t="s">
        <v>4727</v>
      </c>
      <c r="H1660" s="8" t="s">
        <v>10811</v>
      </c>
      <c r="I1660" s="8"/>
      <c r="J1660" s="15" t="s">
        <v>5695</v>
      </c>
      <c r="K1660" s="8"/>
      <c r="L1660" s="15" t="s">
        <v>1685</v>
      </c>
      <c r="M1660" s="8" t="s">
        <v>5578</v>
      </c>
      <c r="N1660" s="8"/>
      <c r="O1660" s="8" t="s">
        <v>5574</v>
      </c>
      <c r="P1660" s="11"/>
      <c r="Q1660" s="8" t="s">
        <v>5696</v>
      </c>
      <c r="R1660" s="8" t="s">
        <v>5919</v>
      </c>
      <c r="S1660" s="8" t="s">
        <v>10813</v>
      </c>
    </row>
    <row r="1661" spans="1:19" ht="107.1" customHeight="1" x14ac:dyDescent="0.25">
      <c r="A1661" s="8" t="s">
        <v>10814</v>
      </c>
      <c r="B1661" s="8" t="s">
        <v>5693</v>
      </c>
      <c r="C1661" s="8" t="s">
        <v>5918</v>
      </c>
      <c r="D1661" s="10">
        <v>1340</v>
      </c>
      <c r="E1661" s="8" t="s">
        <v>10815</v>
      </c>
      <c r="F1661" s="8" t="s">
        <v>10816</v>
      </c>
      <c r="G1661" s="8" t="s">
        <v>4727</v>
      </c>
      <c r="H1661" s="8" t="s">
        <v>10815</v>
      </c>
      <c r="I1661" s="8"/>
      <c r="J1661" s="15" t="s">
        <v>5695</v>
      </c>
      <c r="K1661" s="8"/>
      <c r="L1661" s="15" t="s">
        <v>1685</v>
      </c>
      <c r="M1661" s="8" t="s">
        <v>5578</v>
      </c>
      <c r="N1661" s="8"/>
      <c r="O1661" s="8" t="s">
        <v>5574</v>
      </c>
      <c r="P1661" s="11"/>
      <c r="Q1661" s="8" t="s">
        <v>5696</v>
      </c>
      <c r="R1661" s="8" t="s">
        <v>5919</v>
      </c>
      <c r="S1661" s="8" t="s">
        <v>10817</v>
      </c>
    </row>
    <row r="1662" spans="1:19" ht="93" customHeight="1" x14ac:dyDescent="0.25">
      <c r="A1662" s="8" t="s">
        <v>10818</v>
      </c>
      <c r="B1662" s="8" t="s">
        <v>5693</v>
      </c>
      <c r="C1662" s="8" t="s">
        <v>5918</v>
      </c>
      <c r="D1662" s="10">
        <v>1341</v>
      </c>
      <c r="E1662" s="8" t="s">
        <v>10819</v>
      </c>
      <c r="F1662" s="8" t="s">
        <v>10820</v>
      </c>
      <c r="G1662" s="8" t="s">
        <v>4727</v>
      </c>
      <c r="H1662" s="8" t="s">
        <v>10819</v>
      </c>
      <c r="I1662" s="8"/>
      <c r="J1662" s="15" t="s">
        <v>5695</v>
      </c>
      <c r="K1662" s="8"/>
      <c r="L1662" s="15" t="s">
        <v>1685</v>
      </c>
      <c r="M1662" s="8" t="s">
        <v>5578</v>
      </c>
      <c r="N1662" s="8"/>
      <c r="O1662" s="8" t="s">
        <v>5574</v>
      </c>
      <c r="P1662" s="11"/>
      <c r="Q1662" s="8" t="s">
        <v>5696</v>
      </c>
      <c r="R1662" s="8" t="s">
        <v>5919</v>
      </c>
      <c r="S1662" s="8" t="s">
        <v>10821</v>
      </c>
    </row>
    <row r="1663" spans="1:19" ht="93" customHeight="1" x14ac:dyDescent="0.25">
      <c r="A1663" s="8" t="s">
        <v>10822</v>
      </c>
      <c r="B1663" s="8" t="s">
        <v>5693</v>
      </c>
      <c r="C1663" s="8" t="s">
        <v>5918</v>
      </c>
      <c r="D1663" s="10">
        <v>1342</v>
      </c>
      <c r="E1663" s="8" t="s">
        <v>10823</v>
      </c>
      <c r="F1663" s="8" t="s">
        <v>10824</v>
      </c>
      <c r="G1663" s="8" t="s">
        <v>4727</v>
      </c>
      <c r="H1663" s="8" t="s">
        <v>10823</v>
      </c>
      <c r="I1663" s="8"/>
      <c r="J1663" s="15" t="s">
        <v>5695</v>
      </c>
      <c r="K1663" s="8"/>
      <c r="L1663" s="15" t="s">
        <v>1685</v>
      </c>
      <c r="M1663" s="8" t="s">
        <v>5578</v>
      </c>
      <c r="N1663" s="8"/>
      <c r="O1663" s="8" t="s">
        <v>5574</v>
      </c>
      <c r="P1663" s="11"/>
      <c r="Q1663" s="8" t="s">
        <v>5696</v>
      </c>
      <c r="R1663" s="8" t="s">
        <v>5919</v>
      </c>
      <c r="S1663" s="8" t="s">
        <v>10825</v>
      </c>
    </row>
    <row r="1664" spans="1:19" ht="107.1" customHeight="1" x14ac:dyDescent="0.25">
      <c r="A1664" s="8" t="s">
        <v>10826</v>
      </c>
      <c r="B1664" s="8" t="s">
        <v>5693</v>
      </c>
      <c r="C1664" s="8" t="s">
        <v>5918</v>
      </c>
      <c r="D1664" s="10">
        <v>1343</v>
      </c>
      <c r="E1664" s="8" t="s">
        <v>10827</v>
      </c>
      <c r="F1664" s="8" t="s">
        <v>10828</v>
      </c>
      <c r="G1664" s="8" t="s">
        <v>4727</v>
      </c>
      <c r="H1664" s="8" t="s">
        <v>10827</v>
      </c>
      <c r="I1664" s="8"/>
      <c r="J1664" s="15" t="s">
        <v>5695</v>
      </c>
      <c r="K1664" s="8"/>
      <c r="L1664" s="15" t="s">
        <v>1685</v>
      </c>
      <c r="M1664" s="8" t="s">
        <v>5578</v>
      </c>
      <c r="N1664" s="8"/>
      <c r="O1664" s="8" t="s">
        <v>5574</v>
      </c>
      <c r="P1664" s="11"/>
      <c r="Q1664" s="8" t="s">
        <v>5696</v>
      </c>
      <c r="R1664" s="8" t="s">
        <v>5919</v>
      </c>
      <c r="S1664" s="8" t="s">
        <v>10829</v>
      </c>
    </row>
    <row r="1665" spans="1:19" ht="93" customHeight="1" x14ac:dyDescent="0.25">
      <c r="A1665" s="8" t="s">
        <v>10830</v>
      </c>
      <c r="B1665" s="8" t="s">
        <v>5693</v>
      </c>
      <c r="C1665" s="8" t="s">
        <v>5918</v>
      </c>
      <c r="D1665" s="10">
        <v>1344</v>
      </c>
      <c r="E1665" s="8" t="s">
        <v>10831</v>
      </c>
      <c r="F1665" s="8" t="s">
        <v>10832</v>
      </c>
      <c r="G1665" s="8" t="s">
        <v>4727</v>
      </c>
      <c r="H1665" s="8" t="s">
        <v>10831</v>
      </c>
      <c r="I1665" s="8"/>
      <c r="J1665" s="15" t="s">
        <v>5695</v>
      </c>
      <c r="K1665" s="8"/>
      <c r="L1665" s="15" t="s">
        <v>1685</v>
      </c>
      <c r="M1665" s="8" t="s">
        <v>5578</v>
      </c>
      <c r="N1665" s="8"/>
      <c r="O1665" s="8" t="s">
        <v>5574</v>
      </c>
      <c r="P1665" s="11"/>
      <c r="Q1665" s="8" t="s">
        <v>5696</v>
      </c>
      <c r="R1665" s="8" t="s">
        <v>5919</v>
      </c>
      <c r="S1665" s="8" t="s">
        <v>10833</v>
      </c>
    </row>
    <row r="1666" spans="1:19" ht="107.1" customHeight="1" x14ac:dyDescent="0.25">
      <c r="A1666" s="8" t="s">
        <v>10834</v>
      </c>
      <c r="B1666" s="8" t="s">
        <v>5693</v>
      </c>
      <c r="C1666" s="8" t="s">
        <v>5918</v>
      </c>
      <c r="D1666" s="10">
        <v>1345</v>
      </c>
      <c r="E1666" s="8" t="s">
        <v>10835</v>
      </c>
      <c r="F1666" s="8" t="s">
        <v>10836</v>
      </c>
      <c r="G1666" s="8" t="s">
        <v>4727</v>
      </c>
      <c r="H1666" s="8" t="s">
        <v>10835</v>
      </c>
      <c r="I1666" s="8"/>
      <c r="J1666" s="15" t="s">
        <v>5695</v>
      </c>
      <c r="K1666" s="8"/>
      <c r="L1666" s="15" t="s">
        <v>1685</v>
      </c>
      <c r="M1666" s="8" t="s">
        <v>5578</v>
      </c>
      <c r="N1666" s="8"/>
      <c r="O1666" s="8" t="s">
        <v>5574</v>
      </c>
      <c r="P1666" s="11"/>
      <c r="Q1666" s="8" t="s">
        <v>5696</v>
      </c>
      <c r="R1666" s="8" t="s">
        <v>5919</v>
      </c>
      <c r="S1666" s="8" t="s">
        <v>10837</v>
      </c>
    </row>
    <row r="1667" spans="1:19" ht="107.1" customHeight="1" x14ac:dyDescent="0.25">
      <c r="A1667" s="8" t="s">
        <v>10838</v>
      </c>
      <c r="B1667" s="8" t="s">
        <v>5693</v>
      </c>
      <c r="C1667" s="8" t="s">
        <v>5918</v>
      </c>
      <c r="D1667" s="10">
        <v>1346</v>
      </c>
      <c r="E1667" s="8" t="s">
        <v>10839</v>
      </c>
      <c r="F1667" s="8" t="s">
        <v>10840</v>
      </c>
      <c r="G1667" s="8" t="s">
        <v>4727</v>
      </c>
      <c r="H1667" s="8" t="s">
        <v>10839</v>
      </c>
      <c r="I1667" s="8"/>
      <c r="J1667" s="15" t="s">
        <v>5695</v>
      </c>
      <c r="K1667" s="8"/>
      <c r="L1667" s="15" t="s">
        <v>1685</v>
      </c>
      <c r="M1667" s="8" t="s">
        <v>5578</v>
      </c>
      <c r="N1667" s="8"/>
      <c r="O1667" s="8" t="s">
        <v>5574</v>
      </c>
      <c r="P1667" s="11"/>
      <c r="Q1667" s="8" t="s">
        <v>5696</v>
      </c>
      <c r="R1667" s="8" t="s">
        <v>5919</v>
      </c>
      <c r="S1667" s="8" t="s">
        <v>10841</v>
      </c>
    </row>
    <row r="1668" spans="1:19" ht="107.1" customHeight="1" x14ac:dyDescent="0.25">
      <c r="A1668" s="8" t="s">
        <v>10842</v>
      </c>
      <c r="B1668" s="8" t="s">
        <v>5693</v>
      </c>
      <c r="C1668" s="8" t="s">
        <v>5918</v>
      </c>
      <c r="D1668" s="10">
        <v>1347</v>
      </c>
      <c r="E1668" s="8" t="s">
        <v>10843</v>
      </c>
      <c r="F1668" s="8" t="s">
        <v>10844</v>
      </c>
      <c r="G1668" s="8" t="s">
        <v>4727</v>
      </c>
      <c r="H1668" s="8" t="s">
        <v>10843</v>
      </c>
      <c r="I1668" s="8"/>
      <c r="J1668" s="15" t="s">
        <v>5695</v>
      </c>
      <c r="K1668" s="8"/>
      <c r="L1668" s="15" t="s">
        <v>1685</v>
      </c>
      <c r="M1668" s="8" t="s">
        <v>5578</v>
      </c>
      <c r="N1668" s="8"/>
      <c r="O1668" s="8" t="s">
        <v>5574</v>
      </c>
      <c r="P1668" s="11"/>
      <c r="Q1668" s="8" t="s">
        <v>5696</v>
      </c>
      <c r="R1668" s="8" t="s">
        <v>5919</v>
      </c>
      <c r="S1668" s="8" t="s">
        <v>10845</v>
      </c>
    </row>
    <row r="1669" spans="1:19" ht="93" customHeight="1" x14ac:dyDescent="0.25">
      <c r="A1669" s="8" t="s">
        <v>10846</v>
      </c>
      <c r="B1669" s="8" t="s">
        <v>5693</v>
      </c>
      <c r="C1669" s="8" t="s">
        <v>5918</v>
      </c>
      <c r="D1669" s="10">
        <v>1348</v>
      </c>
      <c r="E1669" s="8" t="s">
        <v>10847</v>
      </c>
      <c r="F1669" s="8" t="s">
        <v>10848</v>
      </c>
      <c r="G1669" s="8" t="s">
        <v>4727</v>
      </c>
      <c r="H1669" s="8" t="s">
        <v>10847</v>
      </c>
      <c r="I1669" s="8"/>
      <c r="J1669" s="15" t="s">
        <v>5695</v>
      </c>
      <c r="K1669" s="8"/>
      <c r="L1669" s="15" t="s">
        <v>1685</v>
      </c>
      <c r="M1669" s="8" t="s">
        <v>5578</v>
      </c>
      <c r="N1669" s="8"/>
      <c r="O1669" s="8" t="s">
        <v>5574</v>
      </c>
      <c r="P1669" s="11"/>
      <c r="Q1669" s="8" t="s">
        <v>5696</v>
      </c>
      <c r="R1669" s="8" t="s">
        <v>5919</v>
      </c>
      <c r="S1669" s="8" t="s">
        <v>10849</v>
      </c>
    </row>
    <row r="1670" spans="1:19" ht="93" customHeight="1" x14ac:dyDescent="0.25">
      <c r="A1670" s="8" t="s">
        <v>10850</v>
      </c>
      <c r="B1670" s="8" t="s">
        <v>5693</v>
      </c>
      <c r="C1670" s="8" t="s">
        <v>5918</v>
      </c>
      <c r="D1670" s="10">
        <v>1349</v>
      </c>
      <c r="E1670" s="8" t="s">
        <v>10851</v>
      </c>
      <c r="F1670" s="8" t="s">
        <v>10852</v>
      </c>
      <c r="G1670" s="8" t="s">
        <v>4727</v>
      </c>
      <c r="H1670" s="8" t="s">
        <v>10851</v>
      </c>
      <c r="I1670" s="8"/>
      <c r="J1670" s="15" t="s">
        <v>5695</v>
      </c>
      <c r="K1670" s="8"/>
      <c r="L1670" s="15" t="s">
        <v>1685</v>
      </c>
      <c r="M1670" s="8" t="s">
        <v>5578</v>
      </c>
      <c r="N1670" s="8"/>
      <c r="O1670" s="8" t="s">
        <v>5574</v>
      </c>
      <c r="P1670" s="11"/>
      <c r="Q1670" s="8" t="s">
        <v>5696</v>
      </c>
      <c r="R1670" s="8" t="s">
        <v>5919</v>
      </c>
      <c r="S1670" s="8" t="s">
        <v>10853</v>
      </c>
    </row>
    <row r="1671" spans="1:19" ht="107.1" customHeight="1" x14ac:dyDescent="0.25">
      <c r="A1671" s="8" t="s">
        <v>10854</v>
      </c>
      <c r="B1671" s="8" t="s">
        <v>5693</v>
      </c>
      <c r="C1671" s="8" t="s">
        <v>5918</v>
      </c>
      <c r="D1671" s="10">
        <v>1350</v>
      </c>
      <c r="E1671" s="8" t="s">
        <v>10855</v>
      </c>
      <c r="F1671" s="8" t="s">
        <v>10856</v>
      </c>
      <c r="G1671" s="8" t="s">
        <v>4727</v>
      </c>
      <c r="H1671" s="8" t="s">
        <v>10855</v>
      </c>
      <c r="I1671" s="8"/>
      <c r="J1671" s="15" t="s">
        <v>5695</v>
      </c>
      <c r="K1671" s="8"/>
      <c r="L1671" s="15" t="s">
        <v>1685</v>
      </c>
      <c r="M1671" s="8" t="s">
        <v>5578</v>
      </c>
      <c r="N1671" s="8"/>
      <c r="O1671" s="8" t="s">
        <v>5574</v>
      </c>
      <c r="P1671" s="11"/>
      <c r="Q1671" s="8" t="s">
        <v>5696</v>
      </c>
      <c r="R1671" s="8" t="s">
        <v>5919</v>
      </c>
      <c r="S1671" s="8" t="s">
        <v>10857</v>
      </c>
    </row>
    <row r="1672" spans="1:19" ht="93" customHeight="1" x14ac:dyDescent="0.25">
      <c r="A1672" s="8" t="s">
        <v>10858</v>
      </c>
      <c r="B1672" s="8" t="s">
        <v>5693</v>
      </c>
      <c r="C1672" s="8" t="s">
        <v>5918</v>
      </c>
      <c r="D1672" s="10">
        <v>1351</v>
      </c>
      <c r="E1672" s="8" t="s">
        <v>10859</v>
      </c>
      <c r="F1672" s="8" t="s">
        <v>10860</v>
      </c>
      <c r="G1672" s="8" t="s">
        <v>4727</v>
      </c>
      <c r="H1672" s="8" t="s">
        <v>10859</v>
      </c>
      <c r="I1672" s="8"/>
      <c r="J1672" s="15" t="s">
        <v>5695</v>
      </c>
      <c r="K1672" s="8"/>
      <c r="L1672" s="15" t="s">
        <v>1685</v>
      </c>
      <c r="M1672" s="8" t="s">
        <v>5578</v>
      </c>
      <c r="N1672" s="8"/>
      <c r="O1672" s="8" t="s">
        <v>5574</v>
      </c>
      <c r="P1672" s="11"/>
      <c r="Q1672" s="8" t="s">
        <v>5696</v>
      </c>
      <c r="R1672" s="8" t="s">
        <v>5919</v>
      </c>
      <c r="S1672" s="8" t="s">
        <v>10861</v>
      </c>
    </row>
    <row r="1673" spans="1:19" ht="93" customHeight="1" x14ac:dyDescent="0.25">
      <c r="A1673" s="8" t="s">
        <v>10862</v>
      </c>
      <c r="B1673" s="8" t="s">
        <v>5693</v>
      </c>
      <c r="C1673" s="8" t="s">
        <v>5918</v>
      </c>
      <c r="D1673" s="10">
        <v>1352</v>
      </c>
      <c r="E1673" s="8" t="s">
        <v>10863</v>
      </c>
      <c r="F1673" s="8" t="s">
        <v>10864</v>
      </c>
      <c r="G1673" s="8" t="s">
        <v>4727</v>
      </c>
      <c r="H1673" s="8" t="s">
        <v>10863</v>
      </c>
      <c r="I1673" s="8"/>
      <c r="J1673" s="15" t="s">
        <v>5695</v>
      </c>
      <c r="K1673" s="8"/>
      <c r="L1673" s="15" t="s">
        <v>1685</v>
      </c>
      <c r="M1673" s="8" t="s">
        <v>5578</v>
      </c>
      <c r="N1673" s="8"/>
      <c r="O1673" s="8" t="s">
        <v>5574</v>
      </c>
      <c r="P1673" s="11"/>
      <c r="Q1673" s="8" t="s">
        <v>5696</v>
      </c>
      <c r="R1673" s="8" t="s">
        <v>5919</v>
      </c>
      <c r="S1673" s="8" t="s">
        <v>10865</v>
      </c>
    </row>
    <row r="1674" spans="1:19" ht="93" customHeight="1" x14ac:dyDescent="0.25">
      <c r="A1674" s="8" t="s">
        <v>10866</v>
      </c>
      <c r="B1674" s="8" t="s">
        <v>5693</v>
      </c>
      <c r="C1674" s="8" t="s">
        <v>5918</v>
      </c>
      <c r="D1674" s="10">
        <v>1353</v>
      </c>
      <c r="E1674" s="8" t="s">
        <v>10867</v>
      </c>
      <c r="F1674" s="8" t="s">
        <v>10868</v>
      </c>
      <c r="G1674" s="8" t="s">
        <v>4727</v>
      </c>
      <c r="H1674" s="8" t="s">
        <v>10867</v>
      </c>
      <c r="I1674" s="8"/>
      <c r="J1674" s="15" t="s">
        <v>5695</v>
      </c>
      <c r="K1674" s="8"/>
      <c r="L1674" s="15" t="s">
        <v>1685</v>
      </c>
      <c r="M1674" s="8" t="s">
        <v>5578</v>
      </c>
      <c r="N1674" s="8"/>
      <c r="O1674" s="8" t="s">
        <v>5574</v>
      </c>
      <c r="P1674" s="11"/>
      <c r="Q1674" s="8" t="s">
        <v>5696</v>
      </c>
      <c r="R1674" s="8" t="s">
        <v>5919</v>
      </c>
      <c r="S1674" s="8" t="s">
        <v>10869</v>
      </c>
    </row>
    <row r="1675" spans="1:19" ht="93" customHeight="1" x14ac:dyDescent="0.25">
      <c r="A1675" s="8" t="s">
        <v>10870</v>
      </c>
      <c r="B1675" s="8" t="s">
        <v>5693</v>
      </c>
      <c r="C1675" s="8" t="s">
        <v>5918</v>
      </c>
      <c r="D1675" s="10">
        <v>1354</v>
      </c>
      <c r="E1675" s="8" t="s">
        <v>10871</v>
      </c>
      <c r="F1675" s="8" t="s">
        <v>10872</v>
      </c>
      <c r="G1675" s="8" t="s">
        <v>4727</v>
      </c>
      <c r="H1675" s="8" t="s">
        <v>10871</v>
      </c>
      <c r="I1675" s="8"/>
      <c r="J1675" s="15" t="s">
        <v>5695</v>
      </c>
      <c r="K1675" s="8"/>
      <c r="L1675" s="15" t="s">
        <v>1685</v>
      </c>
      <c r="M1675" s="8" t="s">
        <v>5578</v>
      </c>
      <c r="N1675" s="8"/>
      <c r="O1675" s="8" t="s">
        <v>5574</v>
      </c>
      <c r="P1675" s="11"/>
      <c r="Q1675" s="8" t="s">
        <v>5696</v>
      </c>
      <c r="R1675" s="8" t="s">
        <v>5919</v>
      </c>
      <c r="S1675" s="8" t="s">
        <v>10873</v>
      </c>
    </row>
    <row r="1676" spans="1:19" ht="93" customHeight="1" x14ac:dyDescent="0.25">
      <c r="A1676" s="8" t="s">
        <v>10874</v>
      </c>
      <c r="B1676" s="8" t="s">
        <v>5693</v>
      </c>
      <c r="C1676" s="8" t="s">
        <v>5918</v>
      </c>
      <c r="D1676" s="10">
        <v>1355</v>
      </c>
      <c r="E1676" s="8" t="s">
        <v>10875</v>
      </c>
      <c r="F1676" s="8" t="s">
        <v>10876</v>
      </c>
      <c r="G1676" s="8" t="s">
        <v>4727</v>
      </c>
      <c r="H1676" s="8" t="s">
        <v>10875</v>
      </c>
      <c r="I1676" s="8"/>
      <c r="J1676" s="15" t="s">
        <v>5695</v>
      </c>
      <c r="K1676" s="8"/>
      <c r="L1676" s="15" t="s">
        <v>1685</v>
      </c>
      <c r="M1676" s="8" t="s">
        <v>5578</v>
      </c>
      <c r="N1676" s="8"/>
      <c r="O1676" s="8" t="s">
        <v>5574</v>
      </c>
      <c r="P1676" s="11"/>
      <c r="Q1676" s="8" t="s">
        <v>5696</v>
      </c>
      <c r="R1676" s="8" t="s">
        <v>5919</v>
      </c>
      <c r="S1676" s="8" t="s">
        <v>10877</v>
      </c>
    </row>
    <row r="1677" spans="1:19" ht="93" customHeight="1" x14ac:dyDescent="0.25">
      <c r="A1677" s="8" t="s">
        <v>10878</v>
      </c>
      <c r="B1677" s="8" t="s">
        <v>5693</v>
      </c>
      <c r="C1677" s="8" t="s">
        <v>5918</v>
      </c>
      <c r="D1677" s="10">
        <v>1356</v>
      </c>
      <c r="E1677" s="8" t="s">
        <v>10879</v>
      </c>
      <c r="F1677" s="8" t="s">
        <v>10880</v>
      </c>
      <c r="G1677" s="8" t="s">
        <v>4727</v>
      </c>
      <c r="H1677" s="8" t="s">
        <v>10879</v>
      </c>
      <c r="I1677" s="8"/>
      <c r="J1677" s="15" t="s">
        <v>5695</v>
      </c>
      <c r="K1677" s="8"/>
      <c r="L1677" s="15" t="s">
        <v>1685</v>
      </c>
      <c r="M1677" s="8" t="s">
        <v>5578</v>
      </c>
      <c r="N1677" s="8"/>
      <c r="O1677" s="8" t="s">
        <v>5574</v>
      </c>
      <c r="P1677" s="11"/>
      <c r="Q1677" s="8" t="s">
        <v>5696</v>
      </c>
      <c r="R1677" s="8" t="s">
        <v>5919</v>
      </c>
      <c r="S1677" s="8" t="s">
        <v>10881</v>
      </c>
    </row>
    <row r="1678" spans="1:19" ht="93" customHeight="1" x14ac:dyDescent="0.25">
      <c r="A1678" s="8" t="s">
        <v>10882</v>
      </c>
      <c r="B1678" s="8" t="s">
        <v>5693</v>
      </c>
      <c r="C1678" s="8" t="s">
        <v>5918</v>
      </c>
      <c r="D1678" s="10">
        <v>1357</v>
      </c>
      <c r="E1678" s="8" t="s">
        <v>10883</v>
      </c>
      <c r="F1678" s="8" t="s">
        <v>10884</v>
      </c>
      <c r="G1678" s="8" t="s">
        <v>4727</v>
      </c>
      <c r="H1678" s="8" t="s">
        <v>10883</v>
      </c>
      <c r="I1678" s="8"/>
      <c r="J1678" s="15" t="s">
        <v>5695</v>
      </c>
      <c r="K1678" s="8"/>
      <c r="L1678" s="15" t="s">
        <v>1685</v>
      </c>
      <c r="M1678" s="8" t="s">
        <v>5578</v>
      </c>
      <c r="N1678" s="8"/>
      <c r="O1678" s="8" t="s">
        <v>5574</v>
      </c>
      <c r="P1678" s="11"/>
      <c r="Q1678" s="8" t="s">
        <v>5696</v>
      </c>
      <c r="R1678" s="8" t="s">
        <v>5919</v>
      </c>
      <c r="S1678" s="8" t="s">
        <v>10885</v>
      </c>
    </row>
    <row r="1679" spans="1:19" ht="107.1" customHeight="1" x14ac:dyDescent="0.25">
      <c r="A1679" s="8" t="s">
        <v>10886</v>
      </c>
      <c r="B1679" s="8" t="s">
        <v>5693</v>
      </c>
      <c r="C1679" s="8" t="s">
        <v>5918</v>
      </c>
      <c r="D1679" s="10">
        <v>1358</v>
      </c>
      <c r="E1679" s="8" t="s">
        <v>10887</v>
      </c>
      <c r="F1679" s="8" t="s">
        <v>10888</v>
      </c>
      <c r="G1679" s="8" t="s">
        <v>4727</v>
      </c>
      <c r="H1679" s="8" t="s">
        <v>10887</v>
      </c>
      <c r="I1679" s="8"/>
      <c r="J1679" s="15" t="s">
        <v>5695</v>
      </c>
      <c r="K1679" s="8"/>
      <c r="L1679" s="15" t="s">
        <v>1685</v>
      </c>
      <c r="M1679" s="8" t="s">
        <v>5578</v>
      </c>
      <c r="N1679" s="8"/>
      <c r="O1679" s="8" t="s">
        <v>5574</v>
      </c>
      <c r="P1679" s="11"/>
      <c r="Q1679" s="8" t="s">
        <v>5696</v>
      </c>
      <c r="R1679" s="8" t="s">
        <v>5919</v>
      </c>
      <c r="S1679" s="8" t="s">
        <v>10889</v>
      </c>
    </row>
    <row r="1680" spans="1:19" ht="93" customHeight="1" x14ac:dyDescent="0.25">
      <c r="A1680" s="8" t="s">
        <v>10890</v>
      </c>
      <c r="B1680" s="8" t="s">
        <v>5693</v>
      </c>
      <c r="C1680" s="8" t="s">
        <v>5918</v>
      </c>
      <c r="D1680" s="10">
        <v>1359</v>
      </c>
      <c r="E1680" s="8" t="s">
        <v>10891</v>
      </c>
      <c r="F1680" s="8" t="s">
        <v>10892</v>
      </c>
      <c r="G1680" s="8" t="s">
        <v>4727</v>
      </c>
      <c r="H1680" s="8" t="s">
        <v>10891</v>
      </c>
      <c r="I1680" s="8"/>
      <c r="J1680" s="15" t="s">
        <v>5695</v>
      </c>
      <c r="K1680" s="8"/>
      <c r="L1680" s="15" t="s">
        <v>1685</v>
      </c>
      <c r="M1680" s="8" t="s">
        <v>5578</v>
      </c>
      <c r="N1680" s="8"/>
      <c r="O1680" s="8" t="s">
        <v>5574</v>
      </c>
      <c r="P1680" s="11"/>
      <c r="Q1680" s="8" t="s">
        <v>5696</v>
      </c>
      <c r="R1680" s="8" t="s">
        <v>5919</v>
      </c>
      <c r="S1680" s="8" t="s">
        <v>10893</v>
      </c>
    </row>
    <row r="1681" spans="1:19" ht="93" customHeight="1" x14ac:dyDescent="0.25">
      <c r="A1681" s="8" t="s">
        <v>10894</v>
      </c>
      <c r="B1681" s="8" t="s">
        <v>5693</v>
      </c>
      <c r="C1681" s="8" t="s">
        <v>5918</v>
      </c>
      <c r="D1681" s="10">
        <v>1360</v>
      </c>
      <c r="E1681" s="8" t="s">
        <v>10895</v>
      </c>
      <c r="F1681" s="8" t="s">
        <v>10896</v>
      </c>
      <c r="G1681" s="8" t="s">
        <v>4727</v>
      </c>
      <c r="H1681" s="8" t="s">
        <v>10895</v>
      </c>
      <c r="I1681" s="8"/>
      <c r="J1681" s="15" t="s">
        <v>5695</v>
      </c>
      <c r="K1681" s="8"/>
      <c r="L1681" s="15" t="s">
        <v>1685</v>
      </c>
      <c r="M1681" s="8" t="s">
        <v>5578</v>
      </c>
      <c r="N1681" s="8"/>
      <c r="O1681" s="8" t="s">
        <v>5574</v>
      </c>
      <c r="P1681" s="11"/>
      <c r="Q1681" s="8" t="s">
        <v>5696</v>
      </c>
      <c r="R1681" s="8" t="s">
        <v>5919</v>
      </c>
      <c r="S1681" s="8" t="s">
        <v>10897</v>
      </c>
    </row>
    <row r="1682" spans="1:19" ht="93" customHeight="1" x14ac:dyDescent="0.25">
      <c r="A1682" s="8" t="s">
        <v>10898</v>
      </c>
      <c r="B1682" s="8" t="s">
        <v>5693</v>
      </c>
      <c r="C1682" s="8" t="s">
        <v>5918</v>
      </c>
      <c r="D1682" s="10">
        <v>1361</v>
      </c>
      <c r="E1682" s="8" t="s">
        <v>10899</v>
      </c>
      <c r="F1682" s="8" t="s">
        <v>10900</v>
      </c>
      <c r="G1682" s="8" t="s">
        <v>4727</v>
      </c>
      <c r="H1682" s="8" t="s">
        <v>10899</v>
      </c>
      <c r="I1682" s="8"/>
      <c r="J1682" s="15" t="s">
        <v>5695</v>
      </c>
      <c r="K1682" s="8"/>
      <c r="L1682" s="15" t="s">
        <v>1685</v>
      </c>
      <c r="M1682" s="8" t="s">
        <v>5578</v>
      </c>
      <c r="N1682" s="8"/>
      <c r="O1682" s="8" t="s">
        <v>5574</v>
      </c>
      <c r="P1682" s="11"/>
      <c r="Q1682" s="8" t="s">
        <v>5696</v>
      </c>
      <c r="R1682" s="8" t="s">
        <v>5919</v>
      </c>
      <c r="S1682" s="8" t="s">
        <v>10901</v>
      </c>
    </row>
    <row r="1683" spans="1:19" ht="93" customHeight="1" x14ac:dyDescent="0.25">
      <c r="A1683" s="8" t="s">
        <v>10902</v>
      </c>
      <c r="B1683" s="8" t="s">
        <v>5693</v>
      </c>
      <c r="C1683" s="8" t="s">
        <v>5918</v>
      </c>
      <c r="D1683" s="10">
        <v>1362</v>
      </c>
      <c r="E1683" s="8" t="s">
        <v>10903</v>
      </c>
      <c r="F1683" s="8" t="s">
        <v>10904</v>
      </c>
      <c r="G1683" s="8" t="s">
        <v>4727</v>
      </c>
      <c r="H1683" s="8" t="s">
        <v>10903</v>
      </c>
      <c r="I1683" s="8"/>
      <c r="J1683" s="15" t="s">
        <v>5695</v>
      </c>
      <c r="K1683" s="8"/>
      <c r="L1683" s="15" t="s">
        <v>1685</v>
      </c>
      <c r="M1683" s="8" t="s">
        <v>5578</v>
      </c>
      <c r="N1683" s="8"/>
      <c r="O1683" s="8" t="s">
        <v>5574</v>
      </c>
      <c r="P1683" s="11"/>
      <c r="Q1683" s="8" t="s">
        <v>5696</v>
      </c>
      <c r="R1683" s="8" t="s">
        <v>5919</v>
      </c>
      <c r="S1683" s="8" t="s">
        <v>10905</v>
      </c>
    </row>
    <row r="1684" spans="1:19" ht="93" customHeight="1" x14ac:dyDescent="0.25">
      <c r="A1684" s="8" t="s">
        <v>10906</v>
      </c>
      <c r="B1684" s="8" t="s">
        <v>5693</v>
      </c>
      <c r="C1684" s="8" t="s">
        <v>5918</v>
      </c>
      <c r="D1684" s="10">
        <v>1363</v>
      </c>
      <c r="E1684" s="8" t="s">
        <v>10907</v>
      </c>
      <c r="F1684" s="8" t="s">
        <v>10908</v>
      </c>
      <c r="G1684" s="8" t="s">
        <v>4727</v>
      </c>
      <c r="H1684" s="8" t="s">
        <v>10907</v>
      </c>
      <c r="I1684" s="8"/>
      <c r="J1684" s="15" t="s">
        <v>5695</v>
      </c>
      <c r="K1684" s="8"/>
      <c r="L1684" s="15" t="s">
        <v>1685</v>
      </c>
      <c r="M1684" s="8" t="s">
        <v>5578</v>
      </c>
      <c r="N1684" s="8"/>
      <c r="O1684" s="8" t="s">
        <v>5574</v>
      </c>
      <c r="P1684" s="11"/>
      <c r="Q1684" s="8" t="s">
        <v>5696</v>
      </c>
      <c r="R1684" s="8" t="s">
        <v>5919</v>
      </c>
      <c r="S1684" s="8" t="s">
        <v>10909</v>
      </c>
    </row>
    <row r="1685" spans="1:19" ht="93" customHeight="1" x14ac:dyDescent="0.25">
      <c r="A1685" s="8" t="s">
        <v>10910</v>
      </c>
      <c r="B1685" s="8" t="s">
        <v>5693</v>
      </c>
      <c r="C1685" s="8" t="s">
        <v>5918</v>
      </c>
      <c r="D1685" s="10">
        <v>1364</v>
      </c>
      <c r="E1685" s="8" t="s">
        <v>10911</v>
      </c>
      <c r="F1685" s="8" t="s">
        <v>10912</v>
      </c>
      <c r="G1685" s="8" t="s">
        <v>4727</v>
      </c>
      <c r="H1685" s="8" t="s">
        <v>10911</v>
      </c>
      <c r="I1685" s="8"/>
      <c r="J1685" s="15" t="s">
        <v>5695</v>
      </c>
      <c r="K1685" s="8"/>
      <c r="L1685" s="15" t="s">
        <v>1685</v>
      </c>
      <c r="M1685" s="8" t="s">
        <v>5578</v>
      </c>
      <c r="N1685" s="8"/>
      <c r="O1685" s="8" t="s">
        <v>5574</v>
      </c>
      <c r="P1685" s="11"/>
      <c r="Q1685" s="8" t="s">
        <v>5696</v>
      </c>
      <c r="R1685" s="8" t="s">
        <v>5919</v>
      </c>
      <c r="S1685" s="8" t="s">
        <v>10913</v>
      </c>
    </row>
    <row r="1686" spans="1:19" ht="93" customHeight="1" x14ac:dyDescent="0.25">
      <c r="A1686" s="8" t="s">
        <v>10914</v>
      </c>
      <c r="B1686" s="8" t="s">
        <v>5693</v>
      </c>
      <c r="C1686" s="8" t="s">
        <v>5918</v>
      </c>
      <c r="D1686" s="10">
        <v>1365</v>
      </c>
      <c r="E1686" s="8" t="s">
        <v>10915</v>
      </c>
      <c r="F1686" s="8" t="s">
        <v>10916</v>
      </c>
      <c r="G1686" s="8" t="s">
        <v>4727</v>
      </c>
      <c r="H1686" s="8" t="s">
        <v>10915</v>
      </c>
      <c r="I1686" s="8"/>
      <c r="J1686" s="15" t="s">
        <v>5695</v>
      </c>
      <c r="K1686" s="8"/>
      <c r="L1686" s="15" t="s">
        <v>1685</v>
      </c>
      <c r="M1686" s="8" t="s">
        <v>5578</v>
      </c>
      <c r="N1686" s="8"/>
      <c r="O1686" s="8" t="s">
        <v>5574</v>
      </c>
      <c r="P1686" s="11"/>
      <c r="Q1686" s="8" t="s">
        <v>5696</v>
      </c>
      <c r="R1686" s="8" t="s">
        <v>5919</v>
      </c>
      <c r="S1686" s="8" t="s">
        <v>10917</v>
      </c>
    </row>
    <row r="1687" spans="1:19" ht="93" customHeight="1" x14ac:dyDescent="0.25">
      <c r="A1687" s="8" t="s">
        <v>10918</v>
      </c>
      <c r="B1687" s="8" t="s">
        <v>5693</v>
      </c>
      <c r="C1687" s="8" t="s">
        <v>5918</v>
      </c>
      <c r="D1687" s="10">
        <v>1366</v>
      </c>
      <c r="E1687" s="8" t="s">
        <v>10919</v>
      </c>
      <c r="F1687" s="8" t="s">
        <v>10920</v>
      </c>
      <c r="G1687" s="8" t="s">
        <v>4727</v>
      </c>
      <c r="H1687" s="8" t="s">
        <v>10919</v>
      </c>
      <c r="I1687" s="8"/>
      <c r="J1687" s="15" t="s">
        <v>5695</v>
      </c>
      <c r="K1687" s="8"/>
      <c r="L1687" s="15" t="s">
        <v>1685</v>
      </c>
      <c r="M1687" s="8" t="s">
        <v>5578</v>
      </c>
      <c r="N1687" s="8"/>
      <c r="O1687" s="8" t="s">
        <v>5574</v>
      </c>
      <c r="P1687" s="11"/>
      <c r="Q1687" s="8" t="s">
        <v>5696</v>
      </c>
      <c r="R1687" s="8" t="s">
        <v>5919</v>
      </c>
      <c r="S1687" s="8" t="s">
        <v>10921</v>
      </c>
    </row>
    <row r="1688" spans="1:19" ht="93" customHeight="1" x14ac:dyDescent="0.25">
      <c r="A1688" s="8" t="s">
        <v>10922</v>
      </c>
      <c r="B1688" s="8" t="s">
        <v>5693</v>
      </c>
      <c r="C1688" s="8" t="s">
        <v>5918</v>
      </c>
      <c r="D1688" s="10">
        <v>1367</v>
      </c>
      <c r="E1688" s="8" t="s">
        <v>10923</v>
      </c>
      <c r="F1688" s="8" t="s">
        <v>10924</v>
      </c>
      <c r="G1688" s="8" t="s">
        <v>4727</v>
      </c>
      <c r="H1688" s="8" t="s">
        <v>10923</v>
      </c>
      <c r="I1688" s="8"/>
      <c r="J1688" s="15" t="s">
        <v>5695</v>
      </c>
      <c r="K1688" s="8"/>
      <c r="L1688" s="15" t="s">
        <v>1685</v>
      </c>
      <c r="M1688" s="8" t="s">
        <v>5578</v>
      </c>
      <c r="N1688" s="8"/>
      <c r="O1688" s="8" t="s">
        <v>5574</v>
      </c>
      <c r="P1688" s="11"/>
      <c r="Q1688" s="8" t="s">
        <v>5696</v>
      </c>
      <c r="R1688" s="8" t="s">
        <v>5919</v>
      </c>
      <c r="S1688" s="8" t="s">
        <v>10925</v>
      </c>
    </row>
    <row r="1689" spans="1:19" ht="107.1" customHeight="1" x14ac:dyDescent="0.25">
      <c r="A1689" s="8" t="s">
        <v>10926</v>
      </c>
      <c r="B1689" s="8" t="s">
        <v>5693</v>
      </c>
      <c r="C1689" s="8" t="s">
        <v>5918</v>
      </c>
      <c r="D1689" s="10">
        <v>1368</v>
      </c>
      <c r="E1689" s="8" t="s">
        <v>10927</v>
      </c>
      <c r="F1689" s="8" t="s">
        <v>10928</v>
      </c>
      <c r="G1689" s="8" t="s">
        <v>4727</v>
      </c>
      <c r="H1689" s="8" t="s">
        <v>10927</v>
      </c>
      <c r="I1689" s="8"/>
      <c r="J1689" s="15" t="s">
        <v>5695</v>
      </c>
      <c r="K1689" s="8"/>
      <c r="L1689" s="15" t="s">
        <v>1685</v>
      </c>
      <c r="M1689" s="8" t="s">
        <v>5578</v>
      </c>
      <c r="N1689" s="8"/>
      <c r="O1689" s="8" t="s">
        <v>5574</v>
      </c>
      <c r="P1689" s="11"/>
      <c r="Q1689" s="8" t="s">
        <v>5696</v>
      </c>
      <c r="R1689" s="8" t="s">
        <v>5919</v>
      </c>
      <c r="S1689" s="8" t="s">
        <v>10929</v>
      </c>
    </row>
    <row r="1690" spans="1:19" ht="93" customHeight="1" x14ac:dyDescent="0.25">
      <c r="A1690" s="8" t="s">
        <v>10930</v>
      </c>
      <c r="B1690" s="8" t="s">
        <v>5693</v>
      </c>
      <c r="C1690" s="8" t="s">
        <v>5918</v>
      </c>
      <c r="D1690" s="10">
        <v>1369</v>
      </c>
      <c r="E1690" s="8" t="s">
        <v>10931</v>
      </c>
      <c r="F1690" s="8" t="s">
        <v>10932</v>
      </c>
      <c r="G1690" s="8" t="s">
        <v>4727</v>
      </c>
      <c r="H1690" s="8" t="s">
        <v>10931</v>
      </c>
      <c r="I1690" s="8"/>
      <c r="J1690" s="15" t="s">
        <v>5695</v>
      </c>
      <c r="K1690" s="8"/>
      <c r="L1690" s="15" t="s">
        <v>1685</v>
      </c>
      <c r="M1690" s="8" t="s">
        <v>5578</v>
      </c>
      <c r="N1690" s="8"/>
      <c r="O1690" s="8" t="s">
        <v>5574</v>
      </c>
      <c r="P1690" s="11"/>
      <c r="Q1690" s="8" t="s">
        <v>5696</v>
      </c>
      <c r="R1690" s="8" t="s">
        <v>5919</v>
      </c>
      <c r="S1690" s="8" t="s">
        <v>10933</v>
      </c>
    </row>
    <row r="1691" spans="1:19" ht="93" customHeight="1" x14ac:dyDescent="0.25">
      <c r="A1691" s="8" t="s">
        <v>10934</v>
      </c>
      <c r="B1691" s="8" t="s">
        <v>5693</v>
      </c>
      <c r="C1691" s="8" t="s">
        <v>5918</v>
      </c>
      <c r="D1691" s="10">
        <v>1370</v>
      </c>
      <c r="E1691" s="8" t="s">
        <v>10935</v>
      </c>
      <c r="F1691" s="8" t="s">
        <v>10936</v>
      </c>
      <c r="G1691" s="8" t="s">
        <v>4727</v>
      </c>
      <c r="H1691" s="8" t="s">
        <v>10935</v>
      </c>
      <c r="I1691" s="8"/>
      <c r="J1691" s="15" t="s">
        <v>5695</v>
      </c>
      <c r="K1691" s="8"/>
      <c r="L1691" s="15" t="s">
        <v>1685</v>
      </c>
      <c r="M1691" s="8" t="s">
        <v>5578</v>
      </c>
      <c r="N1691" s="8"/>
      <c r="O1691" s="8" t="s">
        <v>5574</v>
      </c>
      <c r="P1691" s="11"/>
      <c r="Q1691" s="8" t="s">
        <v>5696</v>
      </c>
      <c r="R1691" s="8" t="s">
        <v>5919</v>
      </c>
      <c r="S1691" s="8" t="s">
        <v>10937</v>
      </c>
    </row>
    <row r="1692" spans="1:19" ht="107.1" customHeight="1" x14ac:dyDescent="0.25">
      <c r="A1692" s="8" t="s">
        <v>10938</v>
      </c>
      <c r="B1692" s="8" t="s">
        <v>5693</v>
      </c>
      <c r="C1692" s="8" t="s">
        <v>5918</v>
      </c>
      <c r="D1692" s="10">
        <v>1371</v>
      </c>
      <c r="E1692" s="8" t="s">
        <v>10939</v>
      </c>
      <c r="F1692" s="8" t="s">
        <v>10940</v>
      </c>
      <c r="G1692" s="8" t="s">
        <v>4727</v>
      </c>
      <c r="H1692" s="8" t="s">
        <v>10939</v>
      </c>
      <c r="I1692" s="8"/>
      <c r="J1692" s="15" t="s">
        <v>5695</v>
      </c>
      <c r="K1692" s="8"/>
      <c r="L1692" s="15" t="s">
        <v>1685</v>
      </c>
      <c r="M1692" s="8" t="s">
        <v>5578</v>
      </c>
      <c r="N1692" s="8"/>
      <c r="O1692" s="8" t="s">
        <v>5574</v>
      </c>
      <c r="P1692" s="11"/>
      <c r="Q1692" s="8" t="s">
        <v>5696</v>
      </c>
      <c r="R1692" s="8" t="s">
        <v>5919</v>
      </c>
      <c r="S1692" s="8" t="s">
        <v>10941</v>
      </c>
    </row>
    <row r="1693" spans="1:19" ht="93" customHeight="1" x14ac:dyDescent="0.25">
      <c r="A1693" s="8" t="s">
        <v>10942</v>
      </c>
      <c r="B1693" s="8" t="s">
        <v>5693</v>
      </c>
      <c r="C1693" s="8" t="s">
        <v>5918</v>
      </c>
      <c r="D1693" s="10">
        <v>1372</v>
      </c>
      <c r="E1693" s="8" t="s">
        <v>10943</v>
      </c>
      <c r="F1693" s="8" t="s">
        <v>10944</v>
      </c>
      <c r="G1693" s="8" t="s">
        <v>4727</v>
      </c>
      <c r="H1693" s="8" t="s">
        <v>10943</v>
      </c>
      <c r="I1693" s="8"/>
      <c r="J1693" s="15" t="s">
        <v>5695</v>
      </c>
      <c r="K1693" s="8"/>
      <c r="L1693" s="15" t="s">
        <v>1685</v>
      </c>
      <c r="M1693" s="8" t="s">
        <v>5578</v>
      </c>
      <c r="N1693" s="8"/>
      <c r="O1693" s="8" t="s">
        <v>5574</v>
      </c>
      <c r="P1693" s="11"/>
      <c r="Q1693" s="8" t="s">
        <v>5696</v>
      </c>
      <c r="R1693" s="8" t="s">
        <v>5919</v>
      </c>
      <c r="S1693" s="8" t="s">
        <v>10945</v>
      </c>
    </row>
    <row r="1694" spans="1:19" ht="107.1" customHeight="1" x14ac:dyDescent="0.25">
      <c r="A1694" s="8" t="s">
        <v>10946</v>
      </c>
      <c r="B1694" s="8" t="s">
        <v>5693</v>
      </c>
      <c r="C1694" s="8" t="s">
        <v>5918</v>
      </c>
      <c r="D1694" s="10">
        <v>1373</v>
      </c>
      <c r="E1694" s="8" t="s">
        <v>10947</v>
      </c>
      <c r="F1694" s="8" t="s">
        <v>10948</v>
      </c>
      <c r="G1694" s="8" t="s">
        <v>4727</v>
      </c>
      <c r="H1694" s="8" t="s">
        <v>10947</v>
      </c>
      <c r="I1694" s="8"/>
      <c r="J1694" s="15" t="s">
        <v>5695</v>
      </c>
      <c r="K1694" s="8"/>
      <c r="L1694" s="15" t="s">
        <v>1685</v>
      </c>
      <c r="M1694" s="8" t="s">
        <v>5578</v>
      </c>
      <c r="N1694" s="8"/>
      <c r="O1694" s="8" t="s">
        <v>5574</v>
      </c>
      <c r="P1694" s="11"/>
      <c r="Q1694" s="8" t="s">
        <v>5696</v>
      </c>
      <c r="R1694" s="8" t="s">
        <v>5919</v>
      </c>
      <c r="S1694" s="8" t="s">
        <v>10949</v>
      </c>
    </row>
    <row r="1695" spans="1:19" ht="93" customHeight="1" x14ac:dyDescent="0.25">
      <c r="A1695" s="8" t="s">
        <v>10950</v>
      </c>
      <c r="B1695" s="8" t="s">
        <v>5693</v>
      </c>
      <c r="C1695" s="8" t="s">
        <v>5918</v>
      </c>
      <c r="D1695" s="10">
        <v>1374</v>
      </c>
      <c r="E1695" s="8" t="s">
        <v>10951</v>
      </c>
      <c r="F1695" s="8" t="s">
        <v>10952</v>
      </c>
      <c r="G1695" s="8" t="s">
        <v>4727</v>
      </c>
      <c r="H1695" s="8" t="s">
        <v>10951</v>
      </c>
      <c r="I1695" s="8"/>
      <c r="J1695" s="15" t="s">
        <v>5695</v>
      </c>
      <c r="K1695" s="8"/>
      <c r="L1695" s="15" t="s">
        <v>1685</v>
      </c>
      <c r="M1695" s="8" t="s">
        <v>5578</v>
      </c>
      <c r="N1695" s="8"/>
      <c r="O1695" s="8" t="s">
        <v>5574</v>
      </c>
      <c r="P1695" s="11"/>
      <c r="Q1695" s="8" t="s">
        <v>5696</v>
      </c>
      <c r="R1695" s="8" t="s">
        <v>5919</v>
      </c>
      <c r="S1695" s="8" t="s">
        <v>10953</v>
      </c>
    </row>
    <row r="1696" spans="1:19" ht="93" customHeight="1" x14ac:dyDescent="0.25">
      <c r="A1696" s="8" t="s">
        <v>10954</v>
      </c>
      <c r="B1696" s="8" t="s">
        <v>5693</v>
      </c>
      <c r="C1696" s="8" t="s">
        <v>5918</v>
      </c>
      <c r="D1696" s="10">
        <v>1375</v>
      </c>
      <c r="E1696" s="8" t="s">
        <v>10955</v>
      </c>
      <c r="F1696" s="8" t="s">
        <v>10956</v>
      </c>
      <c r="G1696" s="8" t="s">
        <v>4727</v>
      </c>
      <c r="H1696" s="8" t="s">
        <v>10955</v>
      </c>
      <c r="I1696" s="8"/>
      <c r="J1696" s="15" t="s">
        <v>5695</v>
      </c>
      <c r="K1696" s="8"/>
      <c r="L1696" s="15" t="s">
        <v>1685</v>
      </c>
      <c r="M1696" s="8" t="s">
        <v>5578</v>
      </c>
      <c r="N1696" s="8"/>
      <c r="O1696" s="8" t="s">
        <v>5574</v>
      </c>
      <c r="P1696" s="11"/>
      <c r="Q1696" s="8" t="s">
        <v>5696</v>
      </c>
      <c r="R1696" s="8" t="s">
        <v>5919</v>
      </c>
      <c r="S1696" s="8" t="s">
        <v>10957</v>
      </c>
    </row>
    <row r="1697" spans="1:19" ht="107.1" customHeight="1" x14ac:dyDescent="0.25">
      <c r="A1697" s="8" t="s">
        <v>10958</v>
      </c>
      <c r="B1697" s="8" t="s">
        <v>5693</v>
      </c>
      <c r="C1697" s="8" t="s">
        <v>5918</v>
      </c>
      <c r="D1697" s="10">
        <v>1376</v>
      </c>
      <c r="E1697" s="8" t="s">
        <v>10959</v>
      </c>
      <c r="F1697" s="8" t="s">
        <v>10960</v>
      </c>
      <c r="G1697" s="8" t="s">
        <v>4727</v>
      </c>
      <c r="H1697" s="8" t="s">
        <v>10959</v>
      </c>
      <c r="I1697" s="8"/>
      <c r="J1697" s="15" t="s">
        <v>5695</v>
      </c>
      <c r="K1697" s="8"/>
      <c r="L1697" s="15" t="s">
        <v>1685</v>
      </c>
      <c r="M1697" s="8" t="s">
        <v>5578</v>
      </c>
      <c r="N1697" s="8"/>
      <c r="O1697" s="8" t="s">
        <v>5574</v>
      </c>
      <c r="P1697" s="11"/>
      <c r="Q1697" s="8" t="s">
        <v>5696</v>
      </c>
      <c r="R1697" s="8" t="s">
        <v>5919</v>
      </c>
      <c r="S1697" s="8" t="s">
        <v>10961</v>
      </c>
    </row>
    <row r="1698" spans="1:19" ht="93" customHeight="1" x14ac:dyDescent="0.25">
      <c r="A1698" s="8" t="s">
        <v>10962</v>
      </c>
      <c r="B1698" s="8" t="s">
        <v>5693</v>
      </c>
      <c r="C1698" s="8" t="s">
        <v>5918</v>
      </c>
      <c r="D1698" s="10">
        <v>1377</v>
      </c>
      <c r="E1698" s="8" t="s">
        <v>10963</v>
      </c>
      <c r="F1698" s="8" t="s">
        <v>10964</v>
      </c>
      <c r="G1698" s="8" t="s">
        <v>4727</v>
      </c>
      <c r="H1698" s="8" t="s">
        <v>10963</v>
      </c>
      <c r="I1698" s="8"/>
      <c r="J1698" s="15" t="s">
        <v>5695</v>
      </c>
      <c r="K1698" s="8"/>
      <c r="L1698" s="15" t="s">
        <v>1685</v>
      </c>
      <c r="M1698" s="8" t="s">
        <v>5578</v>
      </c>
      <c r="N1698" s="8"/>
      <c r="O1698" s="8" t="s">
        <v>5574</v>
      </c>
      <c r="P1698" s="11"/>
      <c r="Q1698" s="8" t="s">
        <v>5696</v>
      </c>
      <c r="R1698" s="8" t="s">
        <v>5919</v>
      </c>
      <c r="S1698" s="8" t="s">
        <v>10965</v>
      </c>
    </row>
    <row r="1699" spans="1:19" ht="93" customHeight="1" x14ac:dyDescent="0.25">
      <c r="A1699" s="8" t="s">
        <v>10966</v>
      </c>
      <c r="B1699" s="8" t="s">
        <v>5693</v>
      </c>
      <c r="C1699" s="8" t="s">
        <v>5918</v>
      </c>
      <c r="D1699" s="10">
        <v>1378</v>
      </c>
      <c r="E1699" s="8" t="s">
        <v>10967</v>
      </c>
      <c r="F1699" s="8" t="s">
        <v>10968</v>
      </c>
      <c r="G1699" s="8" t="s">
        <v>4727</v>
      </c>
      <c r="H1699" s="8" t="s">
        <v>10967</v>
      </c>
      <c r="I1699" s="8"/>
      <c r="J1699" s="15" t="s">
        <v>5695</v>
      </c>
      <c r="K1699" s="8"/>
      <c r="L1699" s="15" t="s">
        <v>1685</v>
      </c>
      <c r="M1699" s="8" t="s">
        <v>5578</v>
      </c>
      <c r="N1699" s="8"/>
      <c r="O1699" s="8" t="s">
        <v>5574</v>
      </c>
      <c r="P1699" s="11"/>
      <c r="Q1699" s="8" t="s">
        <v>5696</v>
      </c>
      <c r="R1699" s="8" t="s">
        <v>5919</v>
      </c>
      <c r="S1699" s="8" t="s">
        <v>10969</v>
      </c>
    </row>
    <row r="1700" spans="1:19" ht="93" customHeight="1" x14ac:dyDescent="0.25">
      <c r="A1700" s="8" t="s">
        <v>10970</v>
      </c>
      <c r="B1700" s="8" t="s">
        <v>5693</v>
      </c>
      <c r="C1700" s="8" t="s">
        <v>5918</v>
      </c>
      <c r="D1700" s="10">
        <v>1379</v>
      </c>
      <c r="E1700" s="8" t="s">
        <v>10971</v>
      </c>
      <c r="F1700" s="8" t="s">
        <v>10972</v>
      </c>
      <c r="G1700" s="8" t="s">
        <v>4727</v>
      </c>
      <c r="H1700" s="8" t="s">
        <v>10971</v>
      </c>
      <c r="I1700" s="8"/>
      <c r="J1700" s="15" t="s">
        <v>5695</v>
      </c>
      <c r="K1700" s="8"/>
      <c r="L1700" s="15" t="s">
        <v>1685</v>
      </c>
      <c r="M1700" s="8" t="s">
        <v>5578</v>
      </c>
      <c r="N1700" s="8"/>
      <c r="O1700" s="8" t="s">
        <v>5574</v>
      </c>
      <c r="P1700" s="11"/>
      <c r="Q1700" s="8" t="s">
        <v>5696</v>
      </c>
      <c r="R1700" s="8" t="s">
        <v>5919</v>
      </c>
      <c r="S1700" s="8" t="s">
        <v>10973</v>
      </c>
    </row>
    <row r="1701" spans="1:19" ht="93" customHeight="1" x14ac:dyDescent="0.25">
      <c r="A1701" s="8" t="s">
        <v>10974</v>
      </c>
      <c r="B1701" s="8" t="s">
        <v>5693</v>
      </c>
      <c r="C1701" s="8" t="s">
        <v>5918</v>
      </c>
      <c r="D1701" s="10">
        <v>1380</v>
      </c>
      <c r="E1701" s="8" t="s">
        <v>10975</v>
      </c>
      <c r="F1701" s="8" t="s">
        <v>10976</v>
      </c>
      <c r="G1701" s="8" t="s">
        <v>4727</v>
      </c>
      <c r="H1701" s="8" t="s">
        <v>10975</v>
      </c>
      <c r="I1701" s="8"/>
      <c r="J1701" s="15" t="s">
        <v>5695</v>
      </c>
      <c r="K1701" s="8"/>
      <c r="L1701" s="15" t="s">
        <v>1685</v>
      </c>
      <c r="M1701" s="8" t="s">
        <v>5578</v>
      </c>
      <c r="N1701" s="8"/>
      <c r="O1701" s="8" t="s">
        <v>5574</v>
      </c>
      <c r="P1701" s="11"/>
      <c r="Q1701" s="8" t="s">
        <v>5696</v>
      </c>
      <c r="R1701" s="8" t="s">
        <v>5919</v>
      </c>
      <c r="S1701" s="8" t="s">
        <v>10977</v>
      </c>
    </row>
    <row r="1702" spans="1:19" ht="93" customHeight="1" x14ac:dyDescent="0.25">
      <c r="A1702" s="8" t="s">
        <v>10978</v>
      </c>
      <c r="B1702" s="8" t="s">
        <v>5693</v>
      </c>
      <c r="C1702" s="8" t="s">
        <v>5918</v>
      </c>
      <c r="D1702" s="10">
        <v>1381</v>
      </c>
      <c r="E1702" s="8" t="s">
        <v>10979</v>
      </c>
      <c r="F1702" s="8" t="s">
        <v>10980</v>
      </c>
      <c r="G1702" s="8" t="s">
        <v>4727</v>
      </c>
      <c r="H1702" s="8" t="s">
        <v>10979</v>
      </c>
      <c r="I1702" s="8"/>
      <c r="J1702" s="15" t="s">
        <v>5695</v>
      </c>
      <c r="K1702" s="8"/>
      <c r="L1702" s="15" t="s">
        <v>1685</v>
      </c>
      <c r="M1702" s="8" t="s">
        <v>5578</v>
      </c>
      <c r="N1702" s="8"/>
      <c r="O1702" s="8" t="s">
        <v>5574</v>
      </c>
      <c r="P1702" s="11"/>
      <c r="Q1702" s="8" t="s">
        <v>5696</v>
      </c>
      <c r="R1702" s="8" t="s">
        <v>5919</v>
      </c>
      <c r="S1702" s="8" t="s">
        <v>10981</v>
      </c>
    </row>
    <row r="1703" spans="1:19" ht="93" customHeight="1" x14ac:dyDescent="0.25">
      <c r="A1703" s="8" t="s">
        <v>10982</v>
      </c>
      <c r="B1703" s="8" t="s">
        <v>5693</v>
      </c>
      <c r="C1703" s="8" t="s">
        <v>5918</v>
      </c>
      <c r="D1703" s="10">
        <v>1382</v>
      </c>
      <c r="E1703" s="8" t="s">
        <v>10983</v>
      </c>
      <c r="F1703" s="8" t="s">
        <v>10984</v>
      </c>
      <c r="G1703" s="8" t="s">
        <v>4727</v>
      </c>
      <c r="H1703" s="8" t="s">
        <v>10983</v>
      </c>
      <c r="I1703" s="8"/>
      <c r="J1703" s="15" t="s">
        <v>5695</v>
      </c>
      <c r="K1703" s="8"/>
      <c r="L1703" s="15" t="s">
        <v>1685</v>
      </c>
      <c r="M1703" s="8" t="s">
        <v>5578</v>
      </c>
      <c r="N1703" s="8"/>
      <c r="O1703" s="8" t="s">
        <v>5574</v>
      </c>
      <c r="P1703" s="11"/>
      <c r="Q1703" s="8" t="s">
        <v>5696</v>
      </c>
      <c r="R1703" s="8" t="s">
        <v>5919</v>
      </c>
      <c r="S1703" s="8" t="s">
        <v>10985</v>
      </c>
    </row>
    <row r="1704" spans="1:19" ht="93" customHeight="1" x14ac:dyDescent="0.25">
      <c r="A1704" s="8" t="s">
        <v>10986</v>
      </c>
      <c r="B1704" s="8" t="s">
        <v>5693</v>
      </c>
      <c r="C1704" s="8" t="s">
        <v>5918</v>
      </c>
      <c r="D1704" s="10">
        <v>1383</v>
      </c>
      <c r="E1704" s="8" t="s">
        <v>10987</v>
      </c>
      <c r="F1704" s="8" t="s">
        <v>10988</v>
      </c>
      <c r="G1704" s="8" t="s">
        <v>4727</v>
      </c>
      <c r="H1704" s="8" t="s">
        <v>10987</v>
      </c>
      <c r="I1704" s="8"/>
      <c r="J1704" s="15" t="s">
        <v>5695</v>
      </c>
      <c r="K1704" s="8"/>
      <c r="L1704" s="15" t="s">
        <v>1685</v>
      </c>
      <c r="M1704" s="8" t="s">
        <v>5578</v>
      </c>
      <c r="N1704" s="8"/>
      <c r="O1704" s="8" t="s">
        <v>5574</v>
      </c>
      <c r="P1704" s="11"/>
      <c r="Q1704" s="8" t="s">
        <v>5696</v>
      </c>
      <c r="R1704" s="8" t="s">
        <v>5919</v>
      </c>
      <c r="S1704" s="8" t="s">
        <v>10989</v>
      </c>
    </row>
    <row r="1705" spans="1:19" ht="107.1" customHeight="1" x14ac:dyDescent="0.25">
      <c r="A1705" s="8" t="s">
        <v>10990</v>
      </c>
      <c r="B1705" s="8" t="s">
        <v>5693</v>
      </c>
      <c r="C1705" s="8" t="s">
        <v>5918</v>
      </c>
      <c r="D1705" s="10">
        <v>1384</v>
      </c>
      <c r="E1705" s="8" t="s">
        <v>10991</v>
      </c>
      <c r="F1705" s="8" t="s">
        <v>10992</v>
      </c>
      <c r="G1705" s="8" t="s">
        <v>4727</v>
      </c>
      <c r="H1705" s="8" t="s">
        <v>10991</v>
      </c>
      <c r="I1705" s="8"/>
      <c r="J1705" s="15" t="s">
        <v>5695</v>
      </c>
      <c r="K1705" s="8"/>
      <c r="L1705" s="15" t="s">
        <v>1685</v>
      </c>
      <c r="M1705" s="8" t="s">
        <v>5578</v>
      </c>
      <c r="N1705" s="8"/>
      <c r="O1705" s="8" t="s">
        <v>5574</v>
      </c>
      <c r="P1705" s="11"/>
      <c r="Q1705" s="8" t="s">
        <v>5696</v>
      </c>
      <c r="R1705" s="8" t="s">
        <v>5919</v>
      </c>
      <c r="S1705" s="8" t="s">
        <v>10993</v>
      </c>
    </row>
    <row r="1706" spans="1:19" ht="93" customHeight="1" x14ac:dyDescent="0.25">
      <c r="A1706" s="8" t="s">
        <v>10994</v>
      </c>
      <c r="B1706" s="8" t="s">
        <v>5693</v>
      </c>
      <c r="C1706" s="8" t="s">
        <v>5918</v>
      </c>
      <c r="D1706" s="10">
        <v>1385</v>
      </c>
      <c r="E1706" s="8" t="s">
        <v>10995</v>
      </c>
      <c r="F1706" s="8" t="s">
        <v>10996</v>
      </c>
      <c r="G1706" s="8" t="s">
        <v>4727</v>
      </c>
      <c r="H1706" s="8" t="s">
        <v>10995</v>
      </c>
      <c r="I1706" s="8"/>
      <c r="J1706" s="15" t="s">
        <v>5695</v>
      </c>
      <c r="K1706" s="8"/>
      <c r="L1706" s="15" t="s">
        <v>1685</v>
      </c>
      <c r="M1706" s="8" t="s">
        <v>5578</v>
      </c>
      <c r="N1706" s="8"/>
      <c r="O1706" s="8" t="s">
        <v>5574</v>
      </c>
      <c r="P1706" s="11"/>
      <c r="Q1706" s="8" t="s">
        <v>5696</v>
      </c>
      <c r="R1706" s="8" t="s">
        <v>5919</v>
      </c>
      <c r="S1706" s="8" t="s">
        <v>10997</v>
      </c>
    </row>
    <row r="1707" spans="1:19" ht="93" customHeight="1" x14ac:dyDescent="0.25">
      <c r="A1707" s="8" t="s">
        <v>10998</v>
      </c>
      <c r="B1707" s="8" t="s">
        <v>5693</v>
      </c>
      <c r="C1707" s="8" t="s">
        <v>5918</v>
      </c>
      <c r="D1707" s="10">
        <v>1386</v>
      </c>
      <c r="E1707" s="8" t="s">
        <v>10999</v>
      </c>
      <c r="F1707" s="8" t="s">
        <v>11000</v>
      </c>
      <c r="G1707" s="8" t="s">
        <v>4727</v>
      </c>
      <c r="H1707" s="8" t="s">
        <v>10999</v>
      </c>
      <c r="I1707" s="8"/>
      <c r="J1707" s="15" t="s">
        <v>5695</v>
      </c>
      <c r="K1707" s="8"/>
      <c r="L1707" s="15" t="s">
        <v>1685</v>
      </c>
      <c r="M1707" s="8" t="s">
        <v>5578</v>
      </c>
      <c r="N1707" s="8"/>
      <c r="O1707" s="8" t="s">
        <v>5574</v>
      </c>
      <c r="P1707" s="11"/>
      <c r="Q1707" s="8" t="s">
        <v>5696</v>
      </c>
      <c r="R1707" s="8" t="s">
        <v>5919</v>
      </c>
      <c r="S1707" s="8" t="s">
        <v>11001</v>
      </c>
    </row>
    <row r="1708" spans="1:19" ht="93" customHeight="1" x14ac:dyDescent="0.25">
      <c r="A1708" s="8" t="s">
        <v>11002</v>
      </c>
      <c r="B1708" s="8" t="s">
        <v>5693</v>
      </c>
      <c r="C1708" s="8" t="s">
        <v>5918</v>
      </c>
      <c r="D1708" s="10">
        <v>1387</v>
      </c>
      <c r="E1708" s="8" t="s">
        <v>11003</v>
      </c>
      <c r="F1708" s="8" t="s">
        <v>11004</v>
      </c>
      <c r="G1708" s="8" t="s">
        <v>4727</v>
      </c>
      <c r="H1708" s="8" t="s">
        <v>11003</v>
      </c>
      <c r="I1708" s="8"/>
      <c r="J1708" s="15" t="s">
        <v>5695</v>
      </c>
      <c r="K1708" s="8"/>
      <c r="L1708" s="15" t="s">
        <v>1685</v>
      </c>
      <c r="M1708" s="8" t="s">
        <v>5578</v>
      </c>
      <c r="N1708" s="8"/>
      <c r="O1708" s="8" t="s">
        <v>5574</v>
      </c>
      <c r="P1708" s="11"/>
      <c r="Q1708" s="8" t="s">
        <v>5696</v>
      </c>
      <c r="R1708" s="8" t="s">
        <v>5919</v>
      </c>
      <c r="S1708" s="8" t="s">
        <v>11005</v>
      </c>
    </row>
    <row r="1709" spans="1:19" ht="93" customHeight="1" x14ac:dyDescent="0.25">
      <c r="A1709" s="8" t="s">
        <v>11006</v>
      </c>
      <c r="B1709" s="8" t="s">
        <v>5693</v>
      </c>
      <c r="C1709" s="8" t="s">
        <v>5918</v>
      </c>
      <c r="D1709" s="10">
        <v>1388</v>
      </c>
      <c r="E1709" s="8" t="s">
        <v>11007</v>
      </c>
      <c r="F1709" s="8" t="s">
        <v>11008</v>
      </c>
      <c r="G1709" s="8" t="s">
        <v>4727</v>
      </c>
      <c r="H1709" s="8" t="s">
        <v>11007</v>
      </c>
      <c r="I1709" s="8"/>
      <c r="J1709" s="15" t="s">
        <v>5695</v>
      </c>
      <c r="K1709" s="8"/>
      <c r="L1709" s="15" t="s">
        <v>1685</v>
      </c>
      <c r="M1709" s="8" t="s">
        <v>5578</v>
      </c>
      <c r="N1709" s="8"/>
      <c r="O1709" s="8" t="s">
        <v>5574</v>
      </c>
      <c r="P1709" s="11"/>
      <c r="Q1709" s="8" t="s">
        <v>5696</v>
      </c>
      <c r="R1709" s="8" t="s">
        <v>5919</v>
      </c>
      <c r="S1709" s="8" t="s">
        <v>11009</v>
      </c>
    </row>
    <row r="1710" spans="1:19" ht="93" customHeight="1" x14ac:dyDescent="0.25">
      <c r="A1710" s="8" t="s">
        <v>11010</v>
      </c>
      <c r="B1710" s="8" t="s">
        <v>5693</v>
      </c>
      <c r="C1710" s="8" t="s">
        <v>5918</v>
      </c>
      <c r="D1710" s="10">
        <v>1389</v>
      </c>
      <c r="E1710" s="8" t="s">
        <v>11011</v>
      </c>
      <c r="F1710" s="8" t="s">
        <v>11012</v>
      </c>
      <c r="G1710" s="8" t="s">
        <v>4727</v>
      </c>
      <c r="H1710" s="8" t="s">
        <v>11011</v>
      </c>
      <c r="I1710" s="8"/>
      <c r="J1710" s="15" t="s">
        <v>5695</v>
      </c>
      <c r="K1710" s="8"/>
      <c r="L1710" s="15" t="s">
        <v>1685</v>
      </c>
      <c r="M1710" s="8" t="s">
        <v>5578</v>
      </c>
      <c r="N1710" s="8"/>
      <c r="O1710" s="8" t="s">
        <v>5574</v>
      </c>
      <c r="P1710" s="11"/>
      <c r="Q1710" s="8" t="s">
        <v>5696</v>
      </c>
      <c r="R1710" s="8" t="s">
        <v>5919</v>
      </c>
      <c r="S1710" s="8" t="s">
        <v>11013</v>
      </c>
    </row>
    <row r="1711" spans="1:19" ht="93" customHeight="1" x14ac:dyDescent="0.25">
      <c r="A1711" s="8" t="s">
        <v>11014</v>
      </c>
      <c r="B1711" s="8" t="s">
        <v>5693</v>
      </c>
      <c r="C1711" s="8" t="s">
        <v>5918</v>
      </c>
      <c r="D1711" s="10">
        <v>1390</v>
      </c>
      <c r="E1711" s="8" t="s">
        <v>11015</v>
      </c>
      <c r="F1711" s="8" t="s">
        <v>11016</v>
      </c>
      <c r="G1711" s="8" t="s">
        <v>4727</v>
      </c>
      <c r="H1711" s="8" t="s">
        <v>11015</v>
      </c>
      <c r="I1711" s="8"/>
      <c r="J1711" s="15" t="s">
        <v>5695</v>
      </c>
      <c r="K1711" s="8"/>
      <c r="L1711" s="15" t="s">
        <v>1685</v>
      </c>
      <c r="M1711" s="8" t="s">
        <v>5578</v>
      </c>
      <c r="N1711" s="8"/>
      <c r="O1711" s="8" t="s">
        <v>5574</v>
      </c>
      <c r="P1711" s="11"/>
      <c r="Q1711" s="8" t="s">
        <v>5696</v>
      </c>
      <c r="R1711" s="8" t="s">
        <v>5919</v>
      </c>
      <c r="S1711" s="8" t="s">
        <v>11017</v>
      </c>
    </row>
    <row r="1712" spans="1:19" ht="93" customHeight="1" x14ac:dyDescent="0.25">
      <c r="A1712" s="8" t="s">
        <v>11018</v>
      </c>
      <c r="B1712" s="8" t="s">
        <v>5693</v>
      </c>
      <c r="C1712" s="8" t="s">
        <v>5918</v>
      </c>
      <c r="D1712" s="10">
        <v>1391</v>
      </c>
      <c r="E1712" s="8" t="s">
        <v>11019</v>
      </c>
      <c r="F1712" s="8" t="s">
        <v>11020</v>
      </c>
      <c r="G1712" s="8" t="s">
        <v>4727</v>
      </c>
      <c r="H1712" s="8" t="s">
        <v>11019</v>
      </c>
      <c r="I1712" s="8"/>
      <c r="J1712" s="15" t="s">
        <v>5695</v>
      </c>
      <c r="K1712" s="8"/>
      <c r="L1712" s="15" t="s">
        <v>1685</v>
      </c>
      <c r="M1712" s="8" t="s">
        <v>5578</v>
      </c>
      <c r="N1712" s="8"/>
      <c r="O1712" s="8" t="s">
        <v>5574</v>
      </c>
      <c r="P1712" s="11"/>
      <c r="Q1712" s="8" t="s">
        <v>5696</v>
      </c>
      <c r="R1712" s="8" t="s">
        <v>5919</v>
      </c>
      <c r="S1712" s="8" t="s">
        <v>11021</v>
      </c>
    </row>
    <row r="1713" spans="1:19" ht="93" customHeight="1" x14ac:dyDescent="0.25">
      <c r="A1713" s="8" t="s">
        <v>11022</v>
      </c>
      <c r="B1713" s="8" t="s">
        <v>5693</v>
      </c>
      <c r="C1713" s="8" t="s">
        <v>5918</v>
      </c>
      <c r="D1713" s="10">
        <v>1392</v>
      </c>
      <c r="E1713" s="8" t="s">
        <v>11023</v>
      </c>
      <c r="F1713" s="8" t="s">
        <v>11024</v>
      </c>
      <c r="G1713" s="8" t="s">
        <v>4727</v>
      </c>
      <c r="H1713" s="8" t="s">
        <v>11023</v>
      </c>
      <c r="I1713" s="8"/>
      <c r="J1713" s="15" t="s">
        <v>5695</v>
      </c>
      <c r="K1713" s="8"/>
      <c r="L1713" s="15" t="s">
        <v>1685</v>
      </c>
      <c r="M1713" s="8" t="s">
        <v>5578</v>
      </c>
      <c r="N1713" s="8"/>
      <c r="O1713" s="8" t="s">
        <v>5574</v>
      </c>
      <c r="P1713" s="11"/>
      <c r="Q1713" s="8" t="s">
        <v>5696</v>
      </c>
      <c r="R1713" s="8" t="s">
        <v>5919</v>
      </c>
      <c r="S1713" s="8" t="s">
        <v>11025</v>
      </c>
    </row>
    <row r="1714" spans="1:19" ht="93" customHeight="1" x14ac:dyDescent="0.25">
      <c r="A1714" s="8" t="s">
        <v>11026</v>
      </c>
      <c r="B1714" s="8" t="s">
        <v>5693</v>
      </c>
      <c r="C1714" s="8" t="s">
        <v>5918</v>
      </c>
      <c r="D1714" s="10">
        <v>1393</v>
      </c>
      <c r="E1714" s="8" t="s">
        <v>11027</v>
      </c>
      <c r="F1714" s="8" t="s">
        <v>11028</v>
      </c>
      <c r="G1714" s="8" t="s">
        <v>4727</v>
      </c>
      <c r="H1714" s="8" t="s">
        <v>11027</v>
      </c>
      <c r="I1714" s="8"/>
      <c r="J1714" s="15" t="s">
        <v>5695</v>
      </c>
      <c r="K1714" s="8"/>
      <c r="L1714" s="15" t="s">
        <v>1685</v>
      </c>
      <c r="M1714" s="8" t="s">
        <v>5578</v>
      </c>
      <c r="N1714" s="8"/>
      <c r="O1714" s="8" t="s">
        <v>5574</v>
      </c>
      <c r="P1714" s="11"/>
      <c r="Q1714" s="8" t="s">
        <v>5696</v>
      </c>
      <c r="R1714" s="8" t="s">
        <v>5919</v>
      </c>
      <c r="S1714" s="8" t="s">
        <v>11029</v>
      </c>
    </row>
    <row r="1715" spans="1:19" ht="93" customHeight="1" x14ac:dyDescent="0.25">
      <c r="A1715" s="8" t="s">
        <v>11030</v>
      </c>
      <c r="B1715" s="8" t="s">
        <v>5693</v>
      </c>
      <c r="C1715" s="8" t="s">
        <v>5918</v>
      </c>
      <c r="D1715" s="10">
        <v>1394</v>
      </c>
      <c r="E1715" s="8" t="s">
        <v>11031</v>
      </c>
      <c r="F1715" s="8" t="s">
        <v>11032</v>
      </c>
      <c r="G1715" s="8" t="s">
        <v>4727</v>
      </c>
      <c r="H1715" s="8" t="s">
        <v>11031</v>
      </c>
      <c r="I1715" s="8"/>
      <c r="J1715" s="15" t="s">
        <v>5695</v>
      </c>
      <c r="K1715" s="8"/>
      <c r="L1715" s="15" t="s">
        <v>1685</v>
      </c>
      <c r="M1715" s="8" t="s">
        <v>5578</v>
      </c>
      <c r="N1715" s="8"/>
      <c r="O1715" s="8" t="s">
        <v>5574</v>
      </c>
      <c r="P1715" s="11"/>
      <c r="Q1715" s="8" t="s">
        <v>5696</v>
      </c>
      <c r="R1715" s="8" t="s">
        <v>5919</v>
      </c>
      <c r="S1715" s="8" t="s">
        <v>11033</v>
      </c>
    </row>
    <row r="1716" spans="1:19" ht="93" customHeight="1" x14ac:dyDescent="0.25">
      <c r="A1716" s="8" t="s">
        <v>11034</v>
      </c>
      <c r="B1716" s="8" t="s">
        <v>5693</v>
      </c>
      <c r="C1716" s="8" t="s">
        <v>5918</v>
      </c>
      <c r="D1716" s="10">
        <v>1395</v>
      </c>
      <c r="E1716" s="8" t="s">
        <v>11035</v>
      </c>
      <c r="F1716" s="8" t="s">
        <v>11036</v>
      </c>
      <c r="G1716" s="8" t="s">
        <v>4727</v>
      </c>
      <c r="H1716" s="8" t="s">
        <v>11035</v>
      </c>
      <c r="I1716" s="8"/>
      <c r="J1716" s="15" t="s">
        <v>5695</v>
      </c>
      <c r="K1716" s="8"/>
      <c r="L1716" s="15" t="s">
        <v>1685</v>
      </c>
      <c r="M1716" s="8" t="s">
        <v>5578</v>
      </c>
      <c r="N1716" s="8"/>
      <c r="O1716" s="8" t="s">
        <v>5574</v>
      </c>
      <c r="P1716" s="11"/>
      <c r="Q1716" s="8" t="s">
        <v>5696</v>
      </c>
      <c r="R1716" s="8" t="s">
        <v>5919</v>
      </c>
      <c r="S1716" s="8" t="s">
        <v>11037</v>
      </c>
    </row>
    <row r="1717" spans="1:19" ht="93" customHeight="1" x14ac:dyDescent="0.25">
      <c r="A1717" s="8" t="s">
        <v>11038</v>
      </c>
      <c r="B1717" s="8" t="s">
        <v>5693</v>
      </c>
      <c r="C1717" s="8" t="s">
        <v>5918</v>
      </c>
      <c r="D1717" s="10">
        <v>1396</v>
      </c>
      <c r="E1717" s="8" t="s">
        <v>11039</v>
      </c>
      <c r="F1717" s="8" t="s">
        <v>11040</v>
      </c>
      <c r="G1717" s="8" t="s">
        <v>4727</v>
      </c>
      <c r="H1717" s="8" t="s">
        <v>11039</v>
      </c>
      <c r="I1717" s="8"/>
      <c r="J1717" s="15" t="s">
        <v>5695</v>
      </c>
      <c r="K1717" s="8"/>
      <c r="L1717" s="15" t="s">
        <v>1685</v>
      </c>
      <c r="M1717" s="8" t="s">
        <v>5578</v>
      </c>
      <c r="N1717" s="8"/>
      <c r="O1717" s="8" t="s">
        <v>5574</v>
      </c>
      <c r="P1717" s="11"/>
      <c r="Q1717" s="8" t="s">
        <v>5696</v>
      </c>
      <c r="R1717" s="8" t="s">
        <v>5919</v>
      </c>
      <c r="S1717" s="8" t="s">
        <v>11041</v>
      </c>
    </row>
    <row r="1718" spans="1:19" ht="93" customHeight="1" x14ac:dyDescent="0.25">
      <c r="A1718" s="8" t="s">
        <v>11042</v>
      </c>
      <c r="B1718" s="8" t="s">
        <v>5693</v>
      </c>
      <c r="C1718" s="8" t="s">
        <v>5918</v>
      </c>
      <c r="D1718" s="10">
        <v>1397</v>
      </c>
      <c r="E1718" s="8" t="s">
        <v>11043</v>
      </c>
      <c r="F1718" s="8" t="s">
        <v>11044</v>
      </c>
      <c r="G1718" s="8" t="s">
        <v>4727</v>
      </c>
      <c r="H1718" s="8" t="s">
        <v>11043</v>
      </c>
      <c r="I1718" s="8"/>
      <c r="J1718" s="15" t="s">
        <v>5695</v>
      </c>
      <c r="K1718" s="8"/>
      <c r="L1718" s="15" t="s">
        <v>1685</v>
      </c>
      <c r="M1718" s="8" t="s">
        <v>5578</v>
      </c>
      <c r="N1718" s="8"/>
      <c r="O1718" s="8" t="s">
        <v>5574</v>
      </c>
      <c r="P1718" s="11"/>
      <c r="Q1718" s="8" t="s">
        <v>5696</v>
      </c>
      <c r="R1718" s="8" t="s">
        <v>5919</v>
      </c>
      <c r="S1718" s="8" t="s">
        <v>11045</v>
      </c>
    </row>
    <row r="1719" spans="1:19" ht="93" customHeight="1" x14ac:dyDescent="0.25">
      <c r="A1719" s="8" t="s">
        <v>11046</v>
      </c>
      <c r="B1719" s="8" t="s">
        <v>5693</v>
      </c>
      <c r="C1719" s="8" t="s">
        <v>5918</v>
      </c>
      <c r="D1719" s="10">
        <v>1398</v>
      </c>
      <c r="E1719" s="8" t="s">
        <v>11047</v>
      </c>
      <c r="F1719" s="8" t="s">
        <v>11048</v>
      </c>
      <c r="G1719" s="8" t="s">
        <v>4727</v>
      </c>
      <c r="H1719" s="8" t="s">
        <v>11047</v>
      </c>
      <c r="I1719" s="8"/>
      <c r="J1719" s="15" t="s">
        <v>5695</v>
      </c>
      <c r="K1719" s="8"/>
      <c r="L1719" s="15" t="s">
        <v>1685</v>
      </c>
      <c r="M1719" s="8" t="s">
        <v>5578</v>
      </c>
      <c r="N1719" s="8"/>
      <c r="O1719" s="8" t="s">
        <v>5574</v>
      </c>
      <c r="P1719" s="11"/>
      <c r="Q1719" s="8" t="s">
        <v>5696</v>
      </c>
      <c r="R1719" s="8" t="s">
        <v>5919</v>
      </c>
      <c r="S1719" s="8" t="s">
        <v>11049</v>
      </c>
    </row>
    <row r="1720" spans="1:19" ht="93" customHeight="1" x14ac:dyDescent="0.25">
      <c r="A1720" s="8" t="s">
        <v>11050</v>
      </c>
      <c r="B1720" s="8" t="s">
        <v>5693</v>
      </c>
      <c r="C1720" s="8" t="s">
        <v>5918</v>
      </c>
      <c r="D1720" s="10">
        <v>1399</v>
      </c>
      <c r="E1720" s="8" t="s">
        <v>11051</v>
      </c>
      <c r="F1720" s="8" t="s">
        <v>11052</v>
      </c>
      <c r="G1720" s="8" t="s">
        <v>4727</v>
      </c>
      <c r="H1720" s="8" t="s">
        <v>11051</v>
      </c>
      <c r="I1720" s="8"/>
      <c r="J1720" s="15" t="s">
        <v>5695</v>
      </c>
      <c r="K1720" s="8"/>
      <c r="L1720" s="15" t="s">
        <v>1685</v>
      </c>
      <c r="M1720" s="8" t="s">
        <v>5578</v>
      </c>
      <c r="N1720" s="8"/>
      <c r="O1720" s="8" t="s">
        <v>5574</v>
      </c>
      <c r="P1720" s="11"/>
      <c r="Q1720" s="8" t="s">
        <v>5696</v>
      </c>
      <c r="R1720" s="8" t="s">
        <v>5919</v>
      </c>
      <c r="S1720" s="8" t="s">
        <v>11053</v>
      </c>
    </row>
    <row r="1721" spans="1:19" ht="93" customHeight="1" x14ac:dyDescent="0.25">
      <c r="A1721" s="8" t="s">
        <v>11054</v>
      </c>
      <c r="B1721" s="8" t="s">
        <v>5693</v>
      </c>
      <c r="C1721" s="8" t="s">
        <v>5918</v>
      </c>
      <c r="D1721" s="10">
        <v>1400</v>
      </c>
      <c r="E1721" s="8" t="s">
        <v>11055</v>
      </c>
      <c r="F1721" s="8" t="s">
        <v>11056</v>
      </c>
      <c r="G1721" s="8" t="s">
        <v>4727</v>
      </c>
      <c r="H1721" s="8" t="s">
        <v>11055</v>
      </c>
      <c r="I1721" s="8"/>
      <c r="J1721" s="15" t="s">
        <v>5695</v>
      </c>
      <c r="K1721" s="8"/>
      <c r="L1721" s="15" t="s">
        <v>1685</v>
      </c>
      <c r="M1721" s="8" t="s">
        <v>5578</v>
      </c>
      <c r="N1721" s="8"/>
      <c r="O1721" s="8" t="s">
        <v>5574</v>
      </c>
      <c r="P1721" s="11"/>
      <c r="Q1721" s="8" t="s">
        <v>5696</v>
      </c>
      <c r="R1721" s="8" t="s">
        <v>5919</v>
      </c>
      <c r="S1721" s="8" t="s">
        <v>11057</v>
      </c>
    </row>
    <row r="1722" spans="1:19" ht="93" customHeight="1" x14ac:dyDescent="0.25">
      <c r="A1722" s="8" t="s">
        <v>11058</v>
      </c>
      <c r="B1722" s="8" t="s">
        <v>5693</v>
      </c>
      <c r="C1722" s="8" t="s">
        <v>5918</v>
      </c>
      <c r="D1722" s="10">
        <v>1401</v>
      </c>
      <c r="E1722" s="8" t="s">
        <v>11059</v>
      </c>
      <c r="F1722" s="8" t="s">
        <v>11060</v>
      </c>
      <c r="G1722" s="8" t="s">
        <v>4727</v>
      </c>
      <c r="H1722" s="8" t="s">
        <v>11059</v>
      </c>
      <c r="I1722" s="8"/>
      <c r="J1722" s="15" t="s">
        <v>5695</v>
      </c>
      <c r="K1722" s="8"/>
      <c r="L1722" s="15" t="s">
        <v>1685</v>
      </c>
      <c r="M1722" s="8" t="s">
        <v>5578</v>
      </c>
      <c r="N1722" s="8"/>
      <c r="O1722" s="8" t="s">
        <v>5574</v>
      </c>
      <c r="P1722" s="11"/>
      <c r="Q1722" s="8" t="s">
        <v>5696</v>
      </c>
      <c r="R1722" s="8" t="s">
        <v>5919</v>
      </c>
      <c r="S1722" s="8" t="s">
        <v>11061</v>
      </c>
    </row>
    <row r="1723" spans="1:19" ht="93" customHeight="1" x14ac:dyDescent="0.25">
      <c r="A1723" s="8" t="s">
        <v>11062</v>
      </c>
      <c r="B1723" s="8" t="s">
        <v>5693</v>
      </c>
      <c r="C1723" s="8" t="s">
        <v>5918</v>
      </c>
      <c r="D1723" s="10">
        <v>1402</v>
      </c>
      <c r="E1723" s="8" t="s">
        <v>11063</v>
      </c>
      <c r="F1723" s="8" t="s">
        <v>11064</v>
      </c>
      <c r="G1723" s="8" t="s">
        <v>4727</v>
      </c>
      <c r="H1723" s="8" t="s">
        <v>11063</v>
      </c>
      <c r="I1723" s="8"/>
      <c r="J1723" s="15" t="s">
        <v>5695</v>
      </c>
      <c r="K1723" s="8"/>
      <c r="L1723" s="15" t="s">
        <v>1685</v>
      </c>
      <c r="M1723" s="8" t="s">
        <v>5578</v>
      </c>
      <c r="N1723" s="8"/>
      <c r="O1723" s="8" t="s">
        <v>5574</v>
      </c>
      <c r="P1723" s="11"/>
      <c r="Q1723" s="8" t="s">
        <v>5696</v>
      </c>
      <c r="R1723" s="8" t="s">
        <v>5919</v>
      </c>
      <c r="S1723" s="8" t="s">
        <v>11065</v>
      </c>
    </row>
    <row r="1724" spans="1:19" ht="93" customHeight="1" x14ac:dyDescent="0.25">
      <c r="A1724" s="8" t="s">
        <v>11066</v>
      </c>
      <c r="B1724" s="8" t="s">
        <v>5693</v>
      </c>
      <c r="C1724" s="8" t="s">
        <v>5918</v>
      </c>
      <c r="D1724" s="10">
        <v>1403</v>
      </c>
      <c r="E1724" s="8" t="s">
        <v>11067</v>
      </c>
      <c r="F1724" s="8" t="s">
        <v>11068</v>
      </c>
      <c r="G1724" s="8" t="s">
        <v>4727</v>
      </c>
      <c r="H1724" s="8" t="s">
        <v>11067</v>
      </c>
      <c r="I1724" s="8"/>
      <c r="J1724" s="15" t="s">
        <v>5695</v>
      </c>
      <c r="K1724" s="8"/>
      <c r="L1724" s="15" t="s">
        <v>1685</v>
      </c>
      <c r="M1724" s="8" t="s">
        <v>5578</v>
      </c>
      <c r="N1724" s="8"/>
      <c r="O1724" s="8" t="s">
        <v>5574</v>
      </c>
      <c r="P1724" s="11"/>
      <c r="Q1724" s="8" t="s">
        <v>5696</v>
      </c>
      <c r="R1724" s="8" t="s">
        <v>5919</v>
      </c>
      <c r="S1724" s="8" t="s">
        <v>11069</v>
      </c>
    </row>
    <row r="1725" spans="1:19" ht="93" customHeight="1" x14ac:dyDescent="0.25">
      <c r="A1725" s="8" t="s">
        <v>11070</v>
      </c>
      <c r="B1725" s="8" t="s">
        <v>5693</v>
      </c>
      <c r="C1725" s="8" t="s">
        <v>5918</v>
      </c>
      <c r="D1725" s="10">
        <v>1404</v>
      </c>
      <c r="E1725" s="8" t="s">
        <v>11071</v>
      </c>
      <c r="F1725" s="8" t="s">
        <v>11072</v>
      </c>
      <c r="G1725" s="8" t="s">
        <v>4727</v>
      </c>
      <c r="H1725" s="8" t="s">
        <v>11071</v>
      </c>
      <c r="I1725" s="8"/>
      <c r="J1725" s="15" t="s">
        <v>5695</v>
      </c>
      <c r="K1725" s="8"/>
      <c r="L1725" s="15" t="s">
        <v>1685</v>
      </c>
      <c r="M1725" s="8" t="s">
        <v>5578</v>
      </c>
      <c r="N1725" s="8"/>
      <c r="O1725" s="8" t="s">
        <v>5574</v>
      </c>
      <c r="P1725" s="11"/>
      <c r="Q1725" s="8" t="s">
        <v>5696</v>
      </c>
      <c r="R1725" s="8" t="s">
        <v>5919</v>
      </c>
      <c r="S1725" s="8" t="s">
        <v>11073</v>
      </c>
    </row>
    <row r="1726" spans="1:19" ht="93" customHeight="1" x14ac:dyDescent="0.25">
      <c r="A1726" s="8" t="s">
        <v>11074</v>
      </c>
      <c r="B1726" s="8" t="s">
        <v>5693</v>
      </c>
      <c r="C1726" s="8" t="s">
        <v>5918</v>
      </c>
      <c r="D1726" s="10">
        <v>1405</v>
      </c>
      <c r="E1726" s="8" t="s">
        <v>11075</v>
      </c>
      <c r="F1726" s="8" t="s">
        <v>11076</v>
      </c>
      <c r="G1726" s="8" t="s">
        <v>4727</v>
      </c>
      <c r="H1726" s="8" t="s">
        <v>11075</v>
      </c>
      <c r="I1726" s="8"/>
      <c r="J1726" s="15" t="s">
        <v>5695</v>
      </c>
      <c r="K1726" s="8"/>
      <c r="L1726" s="15" t="s">
        <v>1685</v>
      </c>
      <c r="M1726" s="8" t="s">
        <v>5578</v>
      </c>
      <c r="N1726" s="8"/>
      <c r="O1726" s="8" t="s">
        <v>5574</v>
      </c>
      <c r="P1726" s="11"/>
      <c r="Q1726" s="8" t="s">
        <v>5696</v>
      </c>
      <c r="R1726" s="8" t="s">
        <v>5919</v>
      </c>
      <c r="S1726" s="8" t="s">
        <v>11077</v>
      </c>
    </row>
    <row r="1727" spans="1:19" ht="93" customHeight="1" x14ac:dyDescent="0.25">
      <c r="A1727" s="8" t="s">
        <v>11078</v>
      </c>
      <c r="B1727" s="8" t="s">
        <v>5693</v>
      </c>
      <c r="C1727" s="8" t="s">
        <v>5918</v>
      </c>
      <c r="D1727" s="10">
        <v>1406</v>
      </c>
      <c r="E1727" s="8" t="s">
        <v>11079</v>
      </c>
      <c r="F1727" s="8" t="s">
        <v>11080</v>
      </c>
      <c r="G1727" s="8" t="s">
        <v>4727</v>
      </c>
      <c r="H1727" s="8" t="s">
        <v>11079</v>
      </c>
      <c r="I1727" s="8"/>
      <c r="J1727" s="15" t="s">
        <v>5695</v>
      </c>
      <c r="K1727" s="8"/>
      <c r="L1727" s="15" t="s">
        <v>1685</v>
      </c>
      <c r="M1727" s="8" t="s">
        <v>5578</v>
      </c>
      <c r="N1727" s="8"/>
      <c r="O1727" s="8" t="s">
        <v>5574</v>
      </c>
      <c r="P1727" s="11"/>
      <c r="Q1727" s="8" t="s">
        <v>5696</v>
      </c>
      <c r="R1727" s="8" t="s">
        <v>5919</v>
      </c>
      <c r="S1727" s="8" t="s">
        <v>11081</v>
      </c>
    </row>
    <row r="1728" spans="1:19" ht="93" customHeight="1" x14ac:dyDescent="0.25">
      <c r="A1728" s="8" t="s">
        <v>11082</v>
      </c>
      <c r="B1728" s="8" t="s">
        <v>5693</v>
      </c>
      <c r="C1728" s="8" t="s">
        <v>5918</v>
      </c>
      <c r="D1728" s="10">
        <v>1407</v>
      </c>
      <c r="E1728" s="8" t="s">
        <v>11083</v>
      </c>
      <c r="F1728" s="8" t="s">
        <v>11084</v>
      </c>
      <c r="G1728" s="8" t="s">
        <v>4727</v>
      </c>
      <c r="H1728" s="8" t="s">
        <v>11083</v>
      </c>
      <c r="I1728" s="8"/>
      <c r="J1728" s="15" t="s">
        <v>5695</v>
      </c>
      <c r="K1728" s="8"/>
      <c r="L1728" s="15" t="s">
        <v>1685</v>
      </c>
      <c r="M1728" s="8" t="s">
        <v>5578</v>
      </c>
      <c r="N1728" s="8"/>
      <c r="O1728" s="8" t="s">
        <v>5574</v>
      </c>
      <c r="P1728" s="11"/>
      <c r="Q1728" s="8" t="s">
        <v>5696</v>
      </c>
      <c r="R1728" s="8" t="s">
        <v>5919</v>
      </c>
      <c r="S1728" s="8" t="s">
        <v>11085</v>
      </c>
    </row>
    <row r="1729" spans="1:19" ht="93" customHeight="1" x14ac:dyDescent="0.25">
      <c r="A1729" s="8" t="s">
        <v>11086</v>
      </c>
      <c r="B1729" s="8" t="s">
        <v>5693</v>
      </c>
      <c r="C1729" s="8" t="s">
        <v>5918</v>
      </c>
      <c r="D1729" s="10">
        <v>1408</v>
      </c>
      <c r="E1729" s="8" t="s">
        <v>11087</v>
      </c>
      <c r="F1729" s="8" t="s">
        <v>11088</v>
      </c>
      <c r="G1729" s="8" t="s">
        <v>4727</v>
      </c>
      <c r="H1729" s="8" t="s">
        <v>11087</v>
      </c>
      <c r="I1729" s="8"/>
      <c r="J1729" s="15" t="s">
        <v>5695</v>
      </c>
      <c r="K1729" s="8"/>
      <c r="L1729" s="15" t="s">
        <v>1685</v>
      </c>
      <c r="M1729" s="8" t="s">
        <v>5578</v>
      </c>
      <c r="N1729" s="8"/>
      <c r="O1729" s="8" t="s">
        <v>5574</v>
      </c>
      <c r="P1729" s="11"/>
      <c r="Q1729" s="8" t="s">
        <v>5696</v>
      </c>
      <c r="R1729" s="8" t="s">
        <v>5919</v>
      </c>
      <c r="S1729" s="8" t="s">
        <v>11089</v>
      </c>
    </row>
    <row r="1730" spans="1:19" ht="93" customHeight="1" x14ac:dyDescent="0.25">
      <c r="A1730" s="8" t="s">
        <v>11090</v>
      </c>
      <c r="B1730" s="8" t="s">
        <v>5693</v>
      </c>
      <c r="C1730" s="8" t="s">
        <v>5918</v>
      </c>
      <c r="D1730" s="10">
        <v>1409</v>
      </c>
      <c r="E1730" s="8" t="s">
        <v>11091</v>
      </c>
      <c r="F1730" s="8" t="s">
        <v>11092</v>
      </c>
      <c r="G1730" s="8" t="s">
        <v>4727</v>
      </c>
      <c r="H1730" s="8" t="s">
        <v>11091</v>
      </c>
      <c r="I1730" s="8"/>
      <c r="J1730" s="15" t="s">
        <v>5695</v>
      </c>
      <c r="K1730" s="8"/>
      <c r="L1730" s="15" t="s">
        <v>1685</v>
      </c>
      <c r="M1730" s="8" t="s">
        <v>5578</v>
      </c>
      <c r="N1730" s="8"/>
      <c r="O1730" s="8" t="s">
        <v>5574</v>
      </c>
      <c r="P1730" s="11"/>
      <c r="Q1730" s="8" t="s">
        <v>5696</v>
      </c>
      <c r="R1730" s="8" t="s">
        <v>5919</v>
      </c>
      <c r="S1730" s="8" t="s">
        <v>11093</v>
      </c>
    </row>
    <row r="1731" spans="1:19" ht="93" customHeight="1" x14ac:dyDescent="0.25">
      <c r="A1731" s="8" t="s">
        <v>11094</v>
      </c>
      <c r="B1731" s="8" t="s">
        <v>5693</v>
      </c>
      <c r="C1731" s="8" t="s">
        <v>5918</v>
      </c>
      <c r="D1731" s="10">
        <v>1410</v>
      </c>
      <c r="E1731" s="8" t="s">
        <v>11095</v>
      </c>
      <c r="F1731" s="8" t="s">
        <v>11096</v>
      </c>
      <c r="G1731" s="8" t="s">
        <v>4727</v>
      </c>
      <c r="H1731" s="8" t="s">
        <v>11095</v>
      </c>
      <c r="I1731" s="8"/>
      <c r="J1731" s="15" t="s">
        <v>5695</v>
      </c>
      <c r="K1731" s="8"/>
      <c r="L1731" s="15" t="s">
        <v>1685</v>
      </c>
      <c r="M1731" s="8" t="s">
        <v>5578</v>
      </c>
      <c r="N1731" s="8"/>
      <c r="O1731" s="8" t="s">
        <v>5574</v>
      </c>
      <c r="P1731" s="11"/>
      <c r="Q1731" s="8" t="s">
        <v>5696</v>
      </c>
      <c r="R1731" s="8" t="s">
        <v>5919</v>
      </c>
      <c r="S1731" s="8" t="s">
        <v>11097</v>
      </c>
    </row>
    <row r="1732" spans="1:19" ht="93" customHeight="1" x14ac:dyDescent="0.25">
      <c r="A1732" s="8" t="s">
        <v>11098</v>
      </c>
      <c r="B1732" s="8" t="s">
        <v>5693</v>
      </c>
      <c r="C1732" s="8" t="s">
        <v>5918</v>
      </c>
      <c r="D1732" s="10">
        <v>1411</v>
      </c>
      <c r="E1732" s="8" t="s">
        <v>11099</v>
      </c>
      <c r="F1732" s="8" t="s">
        <v>11100</v>
      </c>
      <c r="G1732" s="8" t="s">
        <v>4727</v>
      </c>
      <c r="H1732" s="8" t="s">
        <v>11099</v>
      </c>
      <c r="I1732" s="8"/>
      <c r="J1732" s="15" t="s">
        <v>5695</v>
      </c>
      <c r="K1732" s="8"/>
      <c r="L1732" s="15" t="s">
        <v>1685</v>
      </c>
      <c r="M1732" s="8" t="s">
        <v>5578</v>
      </c>
      <c r="N1732" s="8"/>
      <c r="O1732" s="8" t="s">
        <v>5574</v>
      </c>
      <c r="P1732" s="11"/>
      <c r="Q1732" s="8" t="s">
        <v>5696</v>
      </c>
      <c r="R1732" s="8" t="s">
        <v>5919</v>
      </c>
      <c r="S1732" s="8" t="s">
        <v>11101</v>
      </c>
    </row>
    <row r="1733" spans="1:19" ht="93" customHeight="1" x14ac:dyDescent="0.25">
      <c r="A1733" s="8" t="s">
        <v>11102</v>
      </c>
      <c r="B1733" s="8" t="s">
        <v>5693</v>
      </c>
      <c r="C1733" s="8" t="s">
        <v>5918</v>
      </c>
      <c r="D1733" s="10">
        <v>1412</v>
      </c>
      <c r="E1733" s="8" t="s">
        <v>11103</v>
      </c>
      <c r="F1733" s="8" t="s">
        <v>11104</v>
      </c>
      <c r="G1733" s="8" t="s">
        <v>4727</v>
      </c>
      <c r="H1733" s="8" t="s">
        <v>11103</v>
      </c>
      <c r="I1733" s="8"/>
      <c r="J1733" s="15" t="s">
        <v>5695</v>
      </c>
      <c r="K1733" s="8"/>
      <c r="L1733" s="15" t="s">
        <v>1685</v>
      </c>
      <c r="M1733" s="8" t="s">
        <v>5578</v>
      </c>
      <c r="N1733" s="8"/>
      <c r="O1733" s="8" t="s">
        <v>5574</v>
      </c>
      <c r="P1733" s="11"/>
      <c r="Q1733" s="8" t="s">
        <v>5696</v>
      </c>
      <c r="R1733" s="8" t="s">
        <v>5919</v>
      </c>
      <c r="S1733" s="8" t="s">
        <v>11105</v>
      </c>
    </row>
    <row r="1734" spans="1:19" ht="93" customHeight="1" x14ac:dyDescent="0.25">
      <c r="A1734" s="8" t="s">
        <v>11106</v>
      </c>
      <c r="B1734" s="8" t="s">
        <v>5693</v>
      </c>
      <c r="C1734" s="8" t="s">
        <v>5918</v>
      </c>
      <c r="D1734" s="10">
        <v>1413</v>
      </c>
      <c r="E1734" s="8" t="s">
        <v>11107</v>
      </c>
      <c r="F1734" s="8" t="s">
        <v>11108</v>
      </c>
      <c r="G1734" s="8" t="s">
        <v>4727</v>
      </c>
      <c r="H1734" s="8" t="s">
        <v>11107</v>
      </c>
      <c r="I1734" s="8"/>
      <c r="J1734" s="15" t="s">
        <v>5695</v>
      </c>
      <c r="K1734" s="8"/>
      <c r="L1734" s="15" t="s">
        <v>1685</v>
      </c>
      <c r="M1734" s="8" t="s">
        <v>5578</v>
      </c>
      <c r="N1734" s="8"/>
      <c r="O1734" s="8" t="s">
        <v>5574</v>
      </c>
      <c r="P1734" s="11"/>
      <c r="Q1734" s="8" t="s">
        <v>5696</v>
      </c>
      <c r="R1734" s="8" t="s">
        <v>5919</v>
      </c>
      <c r="S1734" s="8" t="s">
        <v>11109</v>
      </c>
    </row>
    <row r="1735" spans="1:19" ht="93" customHeight="1" x14ac:dyDescent="0.25">
      <c r="A1735" s="8" t="s">
        <v>11110</v>
      </c>
      <c r="B1735" s="8" t="s">
        <v>5693</v>
      </c>
      <c r="C1735" s="8" t="s">
        <v>5918</v>
      </c>
      <c r="D1735" s="10">
        <v>1414</v>
      </c>
      <c r="E1735" s="8" t="s">
        <v>11111</v>
      </c>
      <c r="F1735" s="8" t="s">
        <v>11112</v>
      </c>
      <c r="G1735" s="8" t="s">
        <v>4727</v>
      </c>
      <c r="H1735" s="8" t="s">
        <v>11111</v>
      </c>
      <c r="I1735" s="8"/>
      <c r="J1735" s="15" t="s">
        <v>5695</v>
      </c>
      <c r="K1735" s="8"/>
      <c r="L1735" s="15" t="s">
        <v>1685</v>
      </c>
      <c r="M1735" s="8" t="s">
        <v>5578</v>
      </c>
      <c r="N1735" s="8"/>
      <c r="O1735" s="8" t="s">
        <v>5574</v>
      </c>
      <c r="P1735" s="11"/>
      <c r="Q1735" s="8" t="s">
        <v>5696</v>
      </c>
      <c r="R1735" s="8" t="s">
        <v>5919</v>
      </c>
      <c r="S1735" s="8" t="s">
        <v>11113</v>
      </c>
    </row>
    <row r="1736" spans="1:19" ht="93" customHeight="1" x14ac:dyDescent="0.25">
      <c r="A1736" s="8" t="s">
        <v>11114</v>
      </c>
      <c r="B1736" s="8" t="s">
        <v>5693</v>
      </c>
      <c r="C1736" s="8" t="s">
        <v>5918</v>
      </c>
      <c r="D1736" s="10">
        <v>1415</v>
      </c>
      <c r="E1736" s="8" t="s">
        <v>11115</v>
      </c>
      <c r="F1736" s="8" t="s">
        <v>11116</v>
      </c>
      <c r="G1736" s="8" t="s">
        <v>4727</v>
      </c>
      <c r="H1736" s="8" t="s">
        <v>11115</v>
      </c>
      <c r="I1736" s="8"/>
      <c r="J1736" s="15" t="s">
        <v>5695</v>
      </c>
      <c r="K1736" s="8"/>
      <c r="L1736" s="15" t="s">
        <v>1685</v>
      </c>
      <c r="M1736" s="8" t="s">
        <v>5578</v>
      </c>
      <c r="N1736" s="8"/>
      <c r="O1736" s="8" t="s">
        <v>5574</v>
      </c>
      <c r="P1736" s="11"/>
      <c r="Q1736" s="8" t="s">
        <v>5696</v>
      </c>
      <c r="R1736" s="8" t="s">
        <v>5919</v>
      </c>
      <c r="S1736" s="8" t="s">
        <v>11117</v>
      </c>
    </row>
    <row r="1737" spans="1:19" ht="93" customHeight="1" x14ac:dyDescent="0.25">
      <c r="A1737" s="8" t="s">
        <v>11118</v>
      </c>
      <c r="B1737" s="8" t="s">
        <v>5693</v>
      </c>
      <c r="C1737" s="8" t="s">
        <v>5918</v>
      </c>
      <c r="D1737" s="10">
        <v>1416</v>
      </c>
      <c r="E1737" s="8" t="s">
        <v>11119</v>
      </c>
      <c r="F1737" s="8" t="s">
        <v>11120</v>
      </c>
      <c r="G1737" s="8" t="s">
        <v>4727</v>
      </c>
      <c r="H1737" s="8" t="s">
        <v>11119</v>
      </c>
      <c r="I1737" s="8"/>
      <c r="J1737" s="15" t="s">
        <v>5695</v>
      </c>
      <c r="K1737" s="8"/>
      <c r="L1737" s="15" t="s">
        <v>1685</v>
      </c>
      <c r="M1737" s="8" t="s">
        <v>5578</v>
      </c>
      <c r="N1737" s="8"/>
      <c r="O1737" s="8" t="s">
        <v>5574</v>
      </c>
      <c r="P1737" s="11"/>
      <c r="Q1737" s="8" t="s">
        <v>5696</v>
      </c>
      <c r="R1737" s="8" t="s">
        <v>5919</v>
      </c>
      <c r="S1737" s="8" t="s">
        <v>11121</v>
      </c>
    </row>
    <row r="1738" spans="1:19" ht="107.1" customHeight="1" x14ac:dyDescent="0.25">
      <c r="A1738" s="8" t="s">
        <v>11122</v>
      </c>
      <c r="B1738" s="8" t="s">
        <v>5693</v>
      </c>
      <c r="C1738" s="8" t="s">
        <v>5918</v>
      </c>
      <c r="D1738" s="10">
        <v>1417</v>
      </c>
      <c r="E1738" s="8" t="s">
        <v>11123</v>
      </c>
      <c r="F1738" s="8" t="s">
        <v>11124</v>
      </c>
      <c r="G1738" s="8" t="s">
        <v>4727</v>
      </c>
      <c r="H1738" s="8" t="s">
        <v>11123</v>
      </c>
      <c r="I1738" s="8"/>
      <c r="J1738" s="15" t="s">
        <v>5695</v>
      </c>
      <c r="K1738" s="8"/>
      <c r="L1738" s="15" t="s">
        <v>1685</v>
      </c>
      <c r="M1738" s="8" t="s">
        <v>5578</v>
      </c>
      <c r="N1738" s="8"/>
      <c r="O1738" s="8" t="s">
        <v>5574</v>
      </c>
      <c r="P1738" s="11"/>
      <c r="Q1738" s="8" t="s">
        <v>5696</v>
      </c>
      <c r="R1738" s="8" t="s">
        <v>5919</v>
      </c>
      <c r="S1738" s="8" t="s">
        <v>11125</v>
      </c>
    </row>
    <row r="1739" spans="1:19" ht="107.1" customHeight="1" x14ac:dyDescent="0.25">
      <c r="A1739" s="8" t="s">
        <v>11126</v>
      </c>
      <c r="B1739" s="8" t="s">
        <v>5693</v>
      </c>
      <c r="C1739" s="8" t="s">
        <v>5918</v>
      </c>
      <c r="D1739" s="10">
        <v>1418</v>
      </c>
      <c r="E1739" s="8" t="s">
        <v>11127</v>
      </c>
      <c r="F1739" s="8" t="s">
        <v>11128</v>
      </c>
      <c r="G1739" s="8" t="s">
        <v>4727</v>
      </c>
      <c r="H1739" s="8" t="s">
        <v>11127</v>
      </c>
      <c r="I1739" s="8"/>
      <c r="J1739" s="15" t="s">
        <v>5695</v>
      </c>
      <c r="K1739" s="8"/>
      <c r="L1739" s="15" t="s">
        <v>1685</v>
      </c>
      <c r="M1739" s="8" t="s">
        <v>5578</v>
      </c>
      <c r="N1739" s="8"/>
      <c r="O1739" s="8" t="s">
        <v>5574</v>
      </c>
      <c r="P1739" s="11"/>
      <c r="Q1739" s="8" t="s">
        <v>5696</v>
      </c>
      <c r="R1739" s="8" t="s">
        <v>5919</v>
      </c>
      <c r="S1739" s="8" t="s">
        <v>11129</v>
      </c>
    </row>
    <row r="1740" spans="1:19" ht="107.1" customHeight="1" x14ac:dyDescent="0.25">
      <c r="A1740" s="8" t="s">
        <v>11130</v>
      </c>
      <c r="B1740" s="8" t="s">
        <v>5693</v>
      </c>
      <c r="C1740" s="8" t="s">
        <v>5918</v>
      </c>
      <c r="D1740" s="10">
        <v>1419</v>
      </c>
      <c r="E1740" s="8" t="s">
        <v>11131</v>
      </c>
      <c r="F1740" s="8" t="s">
        <v>11132</v>
      </c>
      <c r="G1740" s="8" t="s">
        <v>4727</v>
      </c>
      <c r="H1740" s="8" t="s">
        <v>11131</v>
      </c>
      <c r="I1740" s="8"/>
      <c r="J1740" s="15" t="s">
        <v>5695</v>
      </c>
      <c r="K1740" s="8"/>
      <c r="L1740" s="15" t="s">
        <v>1685</v>
      </c>
      <c r="M1740" s="8" t="s">
        <v>5578</v>
      </c>
      <c r="N1740" s="8"/>
      <c r="O1740" s="8" t="s">
        <v>5574</v>
      </c>
      <c r="P1740" s="11"/>
      <c r="Q1740" s="8" t="s">
        <v>5696</v>
      </c>
      <c r="R1740" s="8" t="s">
        <v>5919</v>
      </c>
      <c r="S1740" s="8" t="s">
        <v>11133</v>
      </c>
    </row>
    <row r="1741" spans="1:19" ht="93" customHeight="1" x14ac:dyDescent="0.25">
      <c r="A1741" s="8" t="s">
        <v>11134</v>
      </c>
      <c r="B1741" s="8" t="s">
        <v>5693</v>
      </c>
      <c r="C1741" s="8" t="s">
        <v>5918</v>
      </c>
      <c r="D1741" s="10">
        <v>1420</v>
      </c>
      <c r="E1741" s="8" t="s">
        <v>11135</v>
      </c>
      <c r="F1741" s="8" t="s">
        <v>11136</v>
      </c>
      <c r="G1741" s="8" t="s">
        <v>4727</v>
      </c>
      <c r="H1741" s="8" t="s">
        <v>11135</v>
      </c>
      <c r="I1741" s="8"/>
      <c r="J1741" s="15" t="s">
        <v>5695</v>
      </c>
      <c r="K1741" s="8"/>
      <c r="L1741" s="15" t="s">
        <v>1685</v>
      </c>
      <c r="M1741" s="8" t="s">
        <v>5578</v>
      </c>
      <c r="N1741" s="8"/>
      <c r="O1741" s="8" t="s">
        <v>5574</v>
      </c>
      <c r="P1741" s="11"/>
      <c r="Q1741" s="8" t="s">
        <v>5696</v>
      </c>
      <c r="R1741" s="8" t="s">
        <v>5919</v>
      </c>
      <c r="S1741" s="8" t="s">
        <v>11137</v>
      </c>
    </row>
    <row r="1742" spans="1:19" ht="93" customHeight="1" x14ac:dyDescent="0.25">
      <c r="A1742" s="8" t="s">
        <v>11138</v>
      </c>
      <c r="B1742" s="8" t="s">
        <v>5693</v>
      </c>
      <c r="C1742" s="8" t="s">
        <v>5918</v>
      </c>
      <c r="D1742" s="10">
        <v>1421</v>
      </c>
      <c r="E1742" s="8" t="s">
        <v>11139</v>
      </c>
      <c r="F1742" s="8" t="s">
        <v>11140</v>
      </c>
      <c r="G1742" s="8" t="s">
        <v>4727</v>
      </c>
      <c r="H1742" s="8" t="s">
        <v>11139</v>
      </c>
      <c r="I1742" s="8"/>
      <c r="J1742" s="15" t="s">
        <v>5695</v>
      </c>
      <c r="K1742" s="8"/>
      <c r="L1742" s="15" t="s">
        <v>1685</v>
      </c>
      <c r="M1742" s="8" t="s">
        <v>5578</v>
      </c>
      <c r="N1742" s="8"/>
      <c r="O1742" s="8" t="s">
        <v>5574</v>
      </c>
      <c r="P1742" s="11"/>
      <c r="Q1742" s="8" t="s">
        <v>5696</v>
      </c>
      <c r="R1742" s="8" t="s">
        <v>5919</v>
      </c>
      <c r="S1742" s="8" t="s">
        <v>11141</v>
      </c>
    </row>
    <row r="1743" spans="1:19" ht="107.1" customHeight="1" x14ac:dyDescent="0.25">
      <c r="A1743" s="8" t="s">
        <v>11142</v>
      </c>
      <c r="B1743" s="8" t="s">
        <v>5693</v>
      </c>
      <c r="C1743" s="8" t="s">
        <v>5918</v>
      </c>
      <c r="D1743" s="10">
        <v>1422</v>
      </c>
      <c r="E1743" s="8" t="s">
        <v>11143</v>
      </c>
      <c r="F1743" s="8" t="s">
        <v>11144</v>
      </c>
      <c r="G1743" s="8" t="s">
        <v>4727</v>
      </c>
      <c r="H1743" s="8" t="s">
        <v>11143</v>
      </c>
      <c r="I1743" s="8"/>
      <c r="J1743" s="15" t="s">
        <v>5695</v>
      </c>
      <c r="K1743" s="8"/>
      <c r="L1743" s="15" t="s">
        <v>1685</v>
      </c>
      <c r="M1743" s="8" t="s">
        <v>5578</v>
      </c>
      <c r="N1743" s="8"/>
      <c r="O1743" s="8" t="s">
        <v>5574</v>
      </c>
      <c r="P1743" s="11"/>
      <c r="Q1743" s="8" t="s">
        <v>5696</v>
      </c>
      <c r="R1743" s="8" t="s">
        <v>5919</v>
      </c>
      <c r="S1743" s="8" t="s">
        <v>11145</v>
      </c>
    </row>
    <row r="1744" spans="1:19" ht="93" customHeight="1" x14ac:dyDescent="0.25">
      <c r="A1744" s="8" t="s">
        <v>11146</v>
      </c>
      <c r="B1744" s="8" t="s">
        <v>5693</v>
      </c>
      <c r="C1744" s="8" t="s">
        <v>5918</v>
      </c>
      <c r="D1744" s="10">
        <v>1423</v>
      </c>
      <c r="E1744" s="8" t="s">
        <v>11147</v>
      </c>
      <c r="F1744" s="8" t="s">
        <v>11148</v>
      </c>
      <c r="G1744" s="8" t="s">
        <v>4727</v>
      </c>
      <c r="H1744" s="8" t="s">
        <v>11147</v>
      </c>
      <c r="I1744" s="8"/>
      <c r="J1744" s="15" t="s">
        <v>5695</v>
      </c>
      <c r="K1744" s="8"/>
      <c r="L1744" s="15" t="s">
        <v>1685</v>
      </c>
      <c r="M1744" s="8" t="s">
        <v>5578</v>
      </c>
      <c r="N1744" s="8"/>
      <c r="O1744" s="8" t="s">
        <v>5574</v>
      </c>
      <c r="P1744" s="11"/>
      <c r="Q1744" s="8" t="s">
        <v>5696</v>
      </c>
      <c r="R1744" s="8" t="s">
        <v>5919</v>
      </c>
      <c r="S1744" s="8" t="s">
        <v>11149</v>
      </c>
    </row>
    <row r="1745" spans="1:19" ht="107.1" customHeight="1" x14ac:dyDescent="0.25">
      <c r="A1745" s="8" t="s">
        <v>11150</v>
      </c>
      <c r="B1745" s="8" t="s">
        <v>5693</v>
      </c>
      <c r="C1745" s="8" t="s">
        <v>5918</v>
      </c>
      <c r="D1745" s="10">
        <v>1424</v>
      </c>
      <c r="E1745" s="8" t="s">
        <v>11151</v>
      </c>
      <c r="F1745" s="8" t="s">
        <v>11152</v>
      </c>
      <c r="G1745" s="8" t="s">
        <v>4727</v>
      </c>
      <c r="H1745" s="8" t="s">
        <v>11151</v>
      </c>
      <c r="I1745" s="8"/>
      <c r="J1745" s="15" t="s">
        <v>5695</v>
      </c>
      <c r="K1745" s="8"/>
      <c r="L1745" s="15" t="s">
        <v>1685</v>
      </c>
      <c r="M1745" s="8" t="s">
        <v>5578</v>
      </c>
      <c r="N1745" s="8"/>
      <c r="O1745" s="8" t="s">
        <v>5574</v>
      </c>
      <c r="P1745" s="11"/>
      <c r="Q1745" s="8" t="s">
        <v>5696</v>
      </c>
      <c r="R1745" s="8" t="s">
        <v>5919</v>
      </c>
      <c r="S1745" s="8" t="s">
        <v>11153</v>
      </c>
    </row>
    <row r="1746" spans="1:19" ht="93" customHeight="1" x14ac:dyDescent="0.25">
      <c r="A1746" s="8" t="s">
        <v>11154</v>
      </c>
      <c r="B1746" s="8" t="s">
        <v>5693</v>
      </c>
      <c r="C1746" s="8" t="s">
        <v>5918</v>
      </c>
      <c r="D1746" s="10">
        <v>1425</v>
      </c>
      <c r="E1746" s="8" t="s">
        <v>11155</v>
      </c>
      <c r="F1746" s="8" t="s">
        <v>11156</v>
      </c>
      <c r="G1746" s="8" t="s">
        <v>4727</v>
      </c>
      <c r="H1746" s="8" t="s">
        <v>11155</v>
      </c>
      <c r="I1746" s="8"/>
      <c r="J1746" s="15" t="s">
        <v>5695</v>
      </c>
      <c r="K1746" s="8"/>
      <c r="L1746" s="15" t="s">
        <v>1685</v>
      </c>
      <c r="M1746" s="8" t="s">
        <v>5578</v>
      </c>
      <c r="N1746" s="8"/>
      <c r="O1746" s="8" t="s">
        <v>5574</v>
      </c>
      <c r="P1746" s="11"/>
      <c r="Q1746" s="8" t="s">
        <v>5696</v>
      </c>
      <c r="R1746" s="8" t="s">
        <v>5919</v>
      </c>
      <c r="S1746" s="8" t="s">
        <v>11157</v>
      </c>
    </row>
    <row r="1747" spans="1:19" ht="93" customHeight="1" x14ac:dyDescent="0.25">
      <c r="A1747" s="8" t="s">
        <v>11158</v>
      </c>
      <c r="B1747" s="8" t="s">
        <v>5693</v>
      </c>
      <c r="C1747" s="8" t="s">
        <v>5918</v>
      </c>
      <c r="D1747" s="10">
        <v>1426</v>
      </c>
      <c r="E1747" s="8" t="s">
        <v>11159</v>
      </c>
      <c r="F1747" s="8" t="s">
        <v>11160</v>
      </c>
      <c r="G1747" s="8" t="s">
        <v>4727</v>
      </c>
      <c r="H1747" s="8" t="s">
        <v>11159</v>
      </c>
      <c r="I1747" s="8"/>
      <c r="J1747" s="15" t="s">
        <v>5695</v>
      </c>
      <c r="K1747" s="8"/>
      <c r="L1747" s="15" t="s">
        <v>1685</v>
      </c>
      <c r="M1747" s="8" t="s">
        <v>5578</v>
      </c>
      <c r="N1747" s="8"/>
      <c r="O1747" s="8" t="s">
        <v>5574</v>
      </c>
      <c r="P1747" s="11"/>
      <c r="Q1747" s="8" t="s">
        <v>5696</v>
      </c>
      <c r="R1747" s="8" t="s">
        <v>5919</v>
      </c>
      <c r="S1747" s="8" t="s">
        <v>11161</v>
      </c>
    </row>
    <row r="1748" spans="1:19" ht="93" customHeight="1" x14ac:dyDescent="0.25">
      <c r="A1748" s="8" t="s">
        <v>11162</v>
      </c>
      <c r="B1748" s="8" t="s">
        <v>5693</v>
      </c>
      <c r="C1748" s="8" t="s">
        <v>5918</v>
      </c>
      <c r="D1748" s="10">
        <v>1427</v>
      </c>
      <c r="E1748" s="8" t="s">
        <v>11163</v>
      </c>
      <c r="F1748" s="8" t="s">
        <v>11164</v>
      </c>
      <c r="G1748" s="8" t="s">
        <v>4727</v>
      </c>
      <c r="H1748" s="8" t="s">
        <v>11163</v>
      </c>
      <c r="I1748" s="8"/>
      <c r="J1748" s="15" t="s">
        <v>5695</v>
      </c>
      <c r="K1748" s="8"/>
      <c r="L1748" s="15" t="s">
        <v>1685</v>
      </c>
      <c r="M1748" s="8" t="s">
        <v>5578</v>
      </c>
      <c r="N1748" s="8"/>
      <c r="O1748" s="8" t="s">
        <v>5574</v>
      </c>
      <c r="P1748" s="11"/>
      <c r="Q1748" s="8" t="s">
        <v>5696</v>
      </c>
      <c r="R1748" s="8" t="s">
        <v>5919</v>
      </c>
      <c r="S1748" s="8" t="s">
        <v>11165</v>
      </c>
    </row>
    <row r="1749" spans="1:19" ht="93" customHeight="1" x14ac:dyDescent="0.25">
      <c r="A1749" s="8" t="s">
        <v>11166</v>
      </c>
      <c r="B1749" s="8" t="s">
        <v>5693</v>
      </c>
      <c r="C1749" s="8" t="s">
        <v>5918</v>
      </c>
      <c r="D1749" s="10">
        <v>1428</v>
      </c>
      <c r="E1749" s="8" t="s">
        <v>11167</v>
      </c>
      <c r="F1749" s="8" t="s">
        <v>11168</v>
      </c>
      <c r="G1749" s="8" t="s">
        <v>4727</v>
      </c>
      <c r="H1749" s="8" t="s">
        <v>11167</v>
      </c>
      <c r="I1749" s="8"/>
      <c r="J1749" s="15" t="s">
        <v>5695</v>
      </c>
      <c r="K1749" s="8"/>
      <c r="L1749" s="15" t="s">
        <v>1685</v>
      </c>
      <c r="M1749" s="8" t="s">
        <v>5578</v>
      </c>
      <c r="N1749" s="8"/>
      <c r="O1749" s="8" t="s">
        <v>5574</v>
      </c>
      <c r="P1749" s="11"/>
      <c r="Q1749" s="8" t="s">
        <v>5696</v>
      </c>
      <c r="R1749" s="8" t="s">
        <v>5919</v>
      </c>
      <c r="S1749" s="8" t="s">
        <v>11169</v>
      </c>
    </row>
    <row r="1750" spans="1:19" ht="107.1" customHeight="1" x14ac:dyDescent="0.25">
      <c r="A1750" s="8" t="s">
        <v>11170</v>
      </c>
      <c r="B1750" s="8" t="s">
        <v>5693</v>
      </c>
      <c r="C1750" s="8" t="s">
        <v>5918</v>
      </c>
      <c r="D1750" s="10">
        <v>1429</v>
      </c>
      <c r="E1750" s="8" t="s">
        <v>11171</v>
      </c>
      <c r="F1750" s="8" t="s">
        <v>11172</v>
      </c>
      <c r="G1750" s="8" t="s">
        <v>4727</v>
      </c>
      <c r="H1750" s="8" t="s">
        <v>11171</v>
      </c>
      <c r="I1750" s="8"/>
      <c r="J1750" s="15" t="s">
        <v>5695</v>
      </c>
      <c r="K1750" s="8"/>
      <c r="L1750" s="15" t="s">
        <v>1685</v>
      </c>
      <c r="M1750" s="8" t="s">
        <v>5578</v>
      </c>
      <c r="N1750" s="8"/>
      <c r="O1750" s="8" t="s">
        <v>5574</v>
      </c>
      <c r="P1750" s="11"/>
      <c r="Q1750" s="8" t="s">
        <v>5696</v>
      </c>
      <c r="R1750" s="8" t="s">
        <v>5919</v>
      </c>
      <c r="S1750" s="8" t="s">
        <v>11173</v>
      </c>
    </row>
    <row r="1751" spans="1:19" ht="93" customHeight="1" x14ac:dyDescent="0.25">
      <c r="A1751" s="8" t="s">
        <v>11174</v>
      </c>
      <c r="B1751" s="8" t="s">
        <v>5693</v>
      </c>
      <c r="C1751" s="8" t="s">
        <v>5918</v>
      </c>
      <c r="D1751" s="10">
        <v>1430</v>
      </c>
      <c r="E1751" s="8" t="s">
        <v>11175</v>
      </c>
      <c r="F1751" s="8" t="s">
        <v>11176</v>
      </c>
      <c r="G1751" s="8" t="s">
        <v>4727</v>
      </c>
      <c r="H1751" s="8" t="s">
        <v>11175</v>
      </c>
      <c r="I1751" s="8"/>
      <c r="J1751" s="15" t="s">
        <v>5695</v>
      </c>
      <c r="K1751" s="8"/>
      <c r="L1751" s="15" t="s">
        <v>1685</v>
      </c>
      <c r="M1751" s="8" t="s">
        <v>5578</v>
      </c>
      <c r="N1751" s="8"/>
      <c r="O1751" s="8" t="s">
        <v>5574</v>
      </c>
      <c r="P1751" s="11"/>
      <c r="Q1751" s="8" t="s">
        <v>5696</v>
      </c>
      <c r="R1751" s="8" t="s">
        <v>5919</v>
      </c>
      <c r="S1751" s="8" t="s">
        <v>11177</v>
      </c>
    </row>
    <row r="1752" spans="1:19" ht="93" customHeight="1" x14ac:dyDescent="0.25">
      <c r="A1752" s="8" t="s">
        <v>11178</v>
      </c>
      <c r="B1752" s="8" t="s">
        <v>5693</v>
      </c>
      <c r="C1752" s="8" t="s">
        <v>5918</v>
      </c>
      <c r="D1752" s="10">
        <v>1431</v>
      </c>
      <c r="E1752" s="8" t="s">
        <v>11179</v>
      </c>
      <c r="F1752" s="8" t="s">
        <v>11180</v>
      </c>
      <c r="G1752" s="8" t="s">
        <v>4727</v>
      </c>
      <c r="H1752" s="8" t="s">
        <v>11179</v>
      </c>
      <c r="I1752" s="8"/>
      <c r="J1752" s="15" t="s">
        <v>5695</v>
      </c>
      <c r="K1752" s="8"/>
      <c r="L1752" s="15" t="s">
        <v>1685</v>
      </c>
      <c r="M1752" s="8" t="s">
        <v>5578</v>
      </c>
      <c r="N1752" s="8"/>
      <c r="O1752" s="8" t="s">
        <v>5574</v>
      </c>
      <c r="P1752" s="11"/>
      <c r="Q1752" s="8" t="s">
        <v>5696</v>
      </c>
      <c r="R1752" s="8" t="s">
        <v>5919</v>
      </c>
      <c r="S1752" s="8" t="s">
        <v>11181</v>
      </c>
    </row>
    <row r="1753" spans="1:19" ht="107.1" customHeight="1" x14ac:dyDescent="0.25">
      <c r="A1753" s="8" t="s">
        <v>11182</v>
      </c>
      <c r="B1753" s="8" t="s">
        <v>5693</v>
      </c>
      <c r="C1753" s="8" t="s">
        <v>5918</v>
      </c>
      <c r="D1753" s="10">
        <v>1432</v>
      </c>
      <c r="E1753" s="8" t="s">
        <v>11183</v>
      </c>
      <c r="F1753" s="8" t="s">
        <v>11184</v>
      </c>
      <c r="G1753" s="8" t="s">
        <v>4727</v>
      </c>
      <c r="H1753" s="8" t="s">
        <v>11183</v>
      </c>
      <c r="I1753" s="8"/>
      <c r="J1753" s="15" t="s">
        <v>5695</v>
      </c>
      <c r="K1753" s="8"/>
      <c r="L1753" s="15" t="s">
        <v>1685</v>
      </c>
      <c r="M1753" s="8" t="s">
        <v>5578</v>
      </c>
      <c r="N1753" s="8"/>
      <c r="O1753" s="8" t="s">
        <v>5574</v>
      </c>
      <c r="P1753" s="11"/>
      <c r="Q1753" s="8" t="s">
        <v>5696</v>
      </c>
      <c r="R1753" s="8" t="s">
        <v>5919</v>
      </c>
      <c r="S1753" s="8" t="s">
        <v>11185</v>
      </c>
    </row>
    <row r="1754" spans="1:19" ht="93" customHeight="1" x14ac:dyDescent="0.25">
      <c r="A1754" s="8" t="s">
        <v>11186</v>
      </c>
      <c r="B1754" s="8" t="s">
        <v>5693</v>
      </c>
      <c r="C1754" s="8" t="s">
        <v>5918</v>
      </c>
      <c r="D1754" s="10">
        <v>1433</v>
      </c>
      <c r="E1754" s="8" t="s">
        <v>11187</v>
      </c>
      <c r="F1754" s="8" t="s">
        <v>11188</v>
      </c>
      <c r="G1754" s="8" t="s">
        <v>4727</v>
      </c>
      <c r="H1754" s="8" t="s">
        <v>11187</v>
      </c>
      <c r="I1754" s="8"/>
      <c r="J1754" s="15" t="s">
        <v>5695</v>
      </c>
      <c r="K1754" s="8"/>
      <c r="L1754" s="15" t="s">
        <v>1685</v>
      </c>
      <c r="M1754" s="8" t="s">
        <v>5578</v>
      </c>
      <c r="N1754" s="8"/>
      <c r="O1754" s="8" t="s">
        <v>5574</v>
      </c>
      <c r="P1754" s="11"/>
      <c r="Q1754" s="8" t="s">
        <v>5696</v>
      </c>
      <c r="R1754" s="8" t="s">
        <v>5919</v>
      </c>
      <c r="S1754" s="8" t="s">
        <v>11189</v>
      </c>
    </row>
    <row r="1755" spans="1:19" ht="93" customHeight="1" x14ac:dyDescent="0.25">
      <c r="A1755" s="8" t="s">
        <v>11190</v>
      </c>
      <c r="B1755" s="8" t="s">
        <v>5693</v>
      </c>
      <c r="C1755" s="8" t="s">
        <v>5918</v>
      </c>
      <c r="D1755" s="10">
        <v>1434</v>
      </c>
      <c r="E1755" s="8" t="s">
        <v>11191</v>
      </c>
      <c r="F1755" s="8" t="s">
        <v>11192</v>
      </c>
      <c r="G1755" s="8" t="s">
        <v>4727</v>
      </c>
      <c r="H1755" s="8" t="s">
        <v>11191</v>
      </c>
      <c r="I1755" s="8"/>
      <c r="J1755" s="15" t="s">
        <v>5695</v>
      </c>
      <c r="K1755" s="8"/>
      <c r="L1755" s="15" t="s">
        <v>1685</v>
      </c>
      <c r="M1755" s="8" t="s">
        <v>5578</v>
      </c>
      <c r="N1755" s="8"/>
      <c r="O1755" s="8" t="s">
        <v>5574</v>
      </c>
      <c r="P1755" s="11"/>
      <c r="Q1755" s="8" t="s">
        <v>5696</v>
      </c>
      <c r="R1755" s="8" t="s">
        <v>5919</v>
      </c>
      <c r="S1755" s="8" t="s">
        <v>11193</v>
      </c>
    </row>
    <row r="1756" spans="1:19" ht="93" customHeight="1" x14ac:dyDescent="0.25">
      <c r="A1756" s="8" t="s">
        <v>11194</v>
      </c>
      <c r="B1756" s="8" t="s">
        <v>5693</v>
      </c>
      <c r="C1756" s="8" t="s">
        <v>5918</v>
      </c>
      <c r="D1756" s="10">
        <v>1435</v>
      </c>
      <c r="E1756" s="8" t="s">
        <v>11195</v>
      </c>
      <c r="F1756" s="8" t="s">
        <v>11196</v>
      </c>
      <c r="G1756" s="8" t="s">
        <v>4727</v>
      </c>
      <c r="H1756" s="8" t="s">
        <v>11195</v>
      </c>
      <c r="I1756" s="8"/>
      <c r="J1756" s="15" t="s">
        <v>5695</v>
      </c>
      <c r="K1756" s="8"/>
      <c r="L1756" s="15" t="s">
        <v>1685</v>
      </c>
      <c r="M1756" s="8" t="s">
        <v>5578</v>
      </c>
      <c r="N1756" s="8"/>
      <c r="O1756" s="8" t="s">
        <v>5574</v>
      </c>
      <c r="P1756" s="11"/>
      <c r="Q1756" s="8" t="s">
        <v>5696</v>
      </c>
      <c r="R1756" s="8" t="s">
        <v>5919</v>
      </c>
      <c r="S1756" s="8" t="s">
        <v>11197</v>
      </c>
    </row>
    <row r="1757" spans="1:19" ht="93" customHeight="1" x14ac:dyDescent="0.25">
      <c r="A1757" s="8" t="s">
        <v>11198</v>
      </c>
      <c r="B1757" s="8" t="s">
        <v>5693</v>
      </c>
      <c r="C1757" s="8" t="s">
        <v>5918</v>
      </c>
      <c r="D1757" s="10">
        <v>1436</v>
      </c>
      <c r="E1757" s="8" t="s">
        <v>11199</v>
      </c>
      <c r="F1757" s="8" t="s">
        <v>11200</v>
      </c>
      <c r="G1757" s="8" t="s">
        <v>4727</v>
      </c>
      <c r="H1757" s="8" t="s">
        <v>11199</v>
      </c>
      <c r="I1757" s="8"/>
      <c r="J1757" s="15" t="s">
        <v>5695</v>
      </c>
      <c r="K1757" s="8"/>
      <c r="L1757" s="15" t="s">
        <v>1685</v>
      </c>
      <c r="M1757" s="8" t="s">
        <v>5578</v>
      </c>
      <c r="N1757" s="8"/>
      <c r="O1757" s="8" t="s">
        <v>5574</v>
      </c>
      <c r="P1757" s="11"/>
      <c r="Q1757" s="8" t="s">
        <v>5696</v>
      </c>
      <c r="R1757" s="8" t="s">
        <v>5919</v>
      </c>
      <c r="S1757" s="8" t="s">
        <v>11201</v>
      </c>
    </row>
    <row r="1758" spans="1:19" ht="93" customHeight="1" x14ac:dyDescent="0.25">
      <c r="A1758" s="8" t="s">
        <v>11202</v>
      </c>
      <c r="B1758" s="8" t="s">
        <v>5693</v>
      </c>
      <c r="C1758" s="8" t="s">
        <v>5918</v>
      </c>
      <c r="D1758" s="10">
        <v>1437</v>
      </c>
      <c r="E1758" s="8" t="s">
        <v>11203</v>
      </c>
      <c r="F1758" s="8" t="s">
        <v>11204</v>
      </c>
      <c r="G1758" s="8" t="s">
        <v>4727</v>
      </c>
      <c r="H1758" s="8" t="s">
        <v>11203</v>
      </c>
      <c r="I1758" s="8"/>
      <c r="J1758" s="15" t="s">
        <v>5695</v>
      </c>
      <c r="K1758" s="8"/>
      <c r="L1758" s="15" t="s">
        <v>1685</v>
      </c>
      <c r="M1758" s="8" t="s">
        <v>5578</v>
      </c>
      <c r="N1758" s="8"/>
      <c r="O1758" s="8" t="s">
        <v>5574</v>
      </c>
      <c r="P1758" s="11"/>
      <c r="Q1758" s="8" t="s">
        <v>5696</v>
      </c>
      <c r="R1758" s="8" t="s">
        <v>5919</v>
      </c>
      <c r="S1758" s="8" t="s">
        <v>11205</v>
      </c>
    </row>
    <row r="1759" spans="1:19" ht="93" customHeight="1" x14ac:dyDescent="0.25">
      <c r="A1759" s="8" t="s">
        <v>11206</v>
      </c>
      <c r="B1759" s="8" t="s">
        <v>5693</v>
      </c>
      <c r="C1759" s="8" t="s">
        <v>5918</v>
      </c>
      <c r="D1759" s="10">
        <v>1438</v>
      </c>
      <c r="E1759" s="8" t="s">
        <v>11207</v>
      </c>
      <c r="F1759" s="8" t="s">
        <v>11208</v>
      </c>
      <c r="G1759" s="8" t="s">
        <v>4727</v>
      </c>
      <c r="H1759" s="8" t="s">
        <v>11207</v>
      </c>
      <c r="I1759" s="8"/>
      <c r="J1759" s="15" t="s">
        <v>5695</v>
      </c>
      <c r="K1759" s="8"/>
      <c r="L1759" s="15" t="s">
        <v>1685</v>
      </c>
      <c r="M1759" s="8" t="s">
        <v>5578</v>
      </c>
      <c r="N1759" s="8"/>
      <c r="O1759" s="8" t="s">
        <v>5574</v>
      </c>
      <c r="P1759" s="11"/>
      <c r="Q1759" s="8" t="s">
        <v>5696</v>
      </c>
      <c r="R1759" s="8" t="s">
        <v>5919</v>
      </c>
      <c r="S1759" s="8" t="s">
        <v>11209</v>
      </c>
    </row>
    <row r="1760" spans="1:19" ht="93" customHeight="1" x14ac:dyDescent="0.25">
      <c r="A1760" s="8" t="s">
        <v>11210</v>
      </c>
      <c r="B1760" s="8" t="s">
        <v>5693</v>
      </c>
      <c r="C1760" s="8" t="s">
        <v>5918</v>
      </c>
      <c r="D1760" s="10">
        <v>1439</v>
      </c>
      <c r="E1760" s="8" t="s">
        <v>11211</v>
      </c>
      <c r="F1760" s="8" t="s">
        <v>11212</v>
      </c>
      <c r="G1760" s="8" t="s">
        <v>4727</v>
      </c>
      <c r="H1760" s="8" t="s">
        <v>11211</v>
      </c>
      <c r="I1760" s="8"/>
      <c r="J1760" s="15" t="s">
        <v>5695</v>
      </c>
      <c r="K1760" s="8"/>
      <c r="L1760" s="15" t="s">
        <v>1685</v>
      </c>
      <c r="M1760" s="8" t="s">
        <v>5578</v>
      </c>
      <c r="N1760" s="8"/>
      <c r="O1760" s="8" t="s">
        <v>5574</v>
      </c>
      <c r="P1760" s="11"/>
      <c r="Q1760" s="8" t="s">
        <v>5696</v>
      </c>
      <c r="R1760" s="8" t="s">
        <v>5919</v>
      </c>
      <c r="S1760" s="8" t="s">
        <v>11213</v>
      </c>
    </row>
    <row r="1761" spans="1:19" ht="107.1" customHeight="1" x14ac:dyDescent="0.25">
      <c r="A1761" s="8" t="s">
        <v>11214</v>
      </c>
      <c r="B1761" s="8" t="s">
        <v>5693</v>
      </c>
      <c r="C1761" s="8" t="s">
        <v>5918</v>
      </c>
      <c r="D1761" s="10">
        <v>1440</v>
      </c>
      <c r="E1761" s="8" t="s">
        <v>11215</v>
      </c>
      <c r="F1761" s="8" t="s">
        <v>11216</v>
      </c>
      <c r="G1761" s="8" t="s">
        <v>4727</v>
      </c>
      <c r="H1761" s="8" t="s">
        <v>11215</v>
      </c>
      <c r="I1761" s="8"/>
      <c r="J1761" s="15" t="s">
        <v>5695</v>
      </c>
      <c r="K1761" s="8"/>
      <c r="L1761" s="15" t="s">
        <v>1685</v>
      </c>
      <c r="M1761" s="8" t="s">
        <v>5578</v>
      </c>
      <c r="N1761" s="8"/>
      <c r="O1761" s="8" t="s">
        <v>5574</v>
      </c>
      <c r="P1761" s="11"/>
      <c r="Q1761" s="8" t="s">
        <v>5696</v>
      </c>
      <c r="R1761" s="8" t="s">
        <v>5919</v>
      </c>
      <c r="S1761" s="8" t="s">
        <v>11217</v>
      </c>
    </row>
    <row r="1762" spans="1:19" ht="107.1" customHeight="1" x14ac:dyDescent="0.25">
      <c r="A1762" s="8" t="s">
        <v>11218</v>
      </c>
      <c r="B1762" s="8" t="s">
        <v>5693</v>
      </c>
      <c r="C1762" s="8" t="s">
        <v>5918</v>
      </c>
      <c r="D1762" s="10">
        <v>1441</v>
      </c>
      <c r="E1762" s="8" t="s">
        <v>11219</v>
      </c>
      <c r="F1762" s="8" t="s">
        <v>11220</v>
      </c>
      <c r="G1762" s="8" t="s">
        <v>4727</v>
      </c>
      <c r="H1762" s="8" t="s">
        <v>11219</v>
      </c>
      <c r="I1762" s="8"/>
      <c r="J1762" s="15" t="s">
        <v>5695</v>
      </c>
      <c r="K1762" s="8"/>
      <c r="L1762" s="15" t="s">
        <v>1685</v>
      </c>
      <c r="M1762" s="8" t="s">
        <v>5578</v>
      </c>
      <c r="N1762" s="8"/>
      <c r="O1762" s="8" t="s">
        <v>5574</v>
      </c>
      <c r="P1762" s="11"/>
      <c r="Q1762" s="8" t="s">
        <v>5696</v>
      </c>
      <c r="R1762" s="8" t="s">
        <v>5919</v>
      </c>
      <c r="S1762" s="8" t="s">
        <v>11221</v>
      </c>
    </row>
    <row r="1763" spans="1:19" ht="93" customHeight="1" x14ac:dyDescent="0.25">
      <c r="A1763" s="8" t="s">
        <v>11222</v>
      </c>
      <c r="B1763" s="8" t="s">
        <v>5693</v>
      </c>
      <c r="C1763" s="8" t="s">
        <v>5918</v>
      </c>
      <c r="D1763" s="10">
        <v>1442</v>
      </c>
      <c r="E1763" s="8" t="s">
        <v>11223</v>
      </c>
      <c r="F1763" s="8" t="s">
        <v>11224</v>
      </c>
      <c r="G1763" s="8" t="s">
        <v>4727</v>
      </c>
      <c r="H1763" s="8" t="s">
        <v>11223</v>
      </c>
      <c r="I1763" s="8"/>
      <c r="J1763" s="15" t="s">
        <v>5695</v>
      </c>
      <c r="K1763" s="8"/>
      <c r="L1763" s="15" t="s">
        <v>1685</v>
      </c>
      <c r="M1763" s="8" t="s">
        <v>5578</v>
      </c>
      <c r="N1763" s="8"/>
      <c r="O1763" s="8" t="s">
        <v>5574</v>
      </c>
      <c r="P1763" s="11"/>
      <c r="Q1763" s="8" t="s">
        <v>5696</v>
      </c>
      <c r="R1763" s="8" t="s">
        <v>5919</v>
      </c>
      <c r="S1763" s="8" t="s">
        <v>11225</v>
      </c>
    </row>
    <row r="1764" spans="1:19" ht="93" customHeight="1" x14ac:dyDescent="0.25">
      <c r="A1764" s="8" t="s">
        <v>11226</v>
      </c>
      <c r="B1764" s="8" t="s">
        <v>5693</v>
      </c>
      <c r="C1764" s="8" t="s">
        <v>5918</v>
      </c>
      <c r="D1764" s="10">
        <v>1443</v>
      </c>
      <c r="E1764" s="8" t="s">
        <v>11227</v>
      </c>
      <c r="F1764" s="8" t="s">
        <v>11228</v>
      </c>
      <c r="G1764" s="8" t="s">
        <v>4727</v>
      </c>
      <c r="H1764" s="8" t="s">
        <v>11227</v>
      </c>
      <c r="I1764" s="8"/>
      <c r="J1764" s="15" t="s">
        <v>5695</v>
      </c>
      <c r="K1764" s="8"/>
      <c r="L1764" s="15" t="s">
        <v>1685</v>
      </c>
      <c r="M1764" s="8" t="s">
        <v>5578</v>
      </c>
      <c r="N1764" s="8"/>
      <c r="O1764" s="8" t="s">
        <v>5574</v>
      </c>
      <c r="P1764" s="11"/>
      <c r="Q1764" s="8" t="s">
        <v>5696</v>
      </c>
      <c r="R1764" s="8" t="s">
        <v>5919</v>
      </c>
      <c r="S1764" s="8" t="s">
        <v>11229</v>
      </c>
    </row>
    <row r="1765" spans="1:19" ht="93" customHeight="1" x14ac:dyDescent="0.25">
      <c r="A1765" s="8" t="s">
        <v>11230</v>
      </c>
      <c r="B1765" s="8" t="s">
        <v>5693</v>
      </c>
      <c r="C1765" s="8" t="s">
        <v>5918</v>
      </c>
      <c r="D1765" s="10">
        <v>1444</v>
      </c>
      <c r="E1765" s="8" t="s">
        <v>11231</v>
      </c>
      <c r="F1765" s="8" t="s">
        <v>11232</v>
      </c>
      <c r="G1765" s="8" t="s">
        <v>4727</v>
      </c>
      <c r="H1765" s="8" t="s">
        <v>11231</v>
      </c>
      <c r="I1765" s="8"/>
      <c r="J1765" s="15" t="s">
        <v>5695</v>
      </c>
      <c r="K1765" s="8"/>
      <c r="L1765" s="15" t="s">
        <v>1685</v>
      </c>
      <c r="M1765" s="8" t="s">
        <v>5578</v>
      </c>
      <c r="N1765" s="8"/>
      <c r="O1765" s="8" t="s">
        <v>5574</v>
      </c>
      <c r="P1765" s="11"/>
      <c r="Q1765" s="8" t="s">
        <v>5696</v>
      </c>
      <c r="R1765" s="8" t="s">
        <v>5919</v>
      </c>
      <c r="S1765" s="8" t="s">
        <v>11233</v>
      </c>
    </row>
    <row r="1766" spans="1:19" ht="93" customHeight="1" x14ac:dyDescent="0.25">
      <c r="A1766" s="8" t="s">
        <v>11234</v>
      </c>
      <c r="B1766" s="8" t="s">
        <v>5693</v>
      </c>
      <c r="C1766" s="8" t="s">
        <v>5918</v>
      </c>
      <c r="D1766" s="10">
        <v>1445</v>
      </c>
      <c r="E1766" s="8" t="s">
        <v>11235</v>
      </c>
      <c r="F1766" s="8" t="s">
        <v>11236</v>
      </c>
      <c r="G1766" s="8" t="s">
        <v>4727</v>
      </c>
      <c r="H1766" s="8" t="s">
        <v>11235</v>
      </c>
      <c r="I1766" s="8"/>
      <c r="J1766" s="15" t="s">
        <v>5695</v>
      </c>
      <c r="K1766" s="8"/>
      <c r="L1766" s="15" t="s">
        <v>1685</v>
      </c>
      <c r="M1766" s="8" t="s">
        <v>5578</v>
      </c>
      <c r="N1766" s="8"/>
      <c r="O1766" s="8" t="s">
        <v>5574</v>
      </c>
      <c r="P1766" s="11"/>
      <c r="Q1766" s="8" t="s">
        <v>5696</v>
      </c>
      <c r="R1766" s="8" t="s">
        <v>5919</v>
      </c>
      <c r="S1766" s="8" t="s">
        <v>11237</v>
      </c>
    </row>
    <row r="1767" spans="1:19" ht="93" customHeight="1" x14ac:dyDescent="0.25">
      <c r="A1767" s="8" t="s">
        <v>11238</v>
      </c>
      <c r="B1767" s="8" t="s">
        <v>5693</v>
      </c>
      <c r="C1767" s="8" t="s">
        <v>5918</v>
      </c>
      <c r="D1767" s="10">
        <v>1446</v>
      </c>
      <c r="E1767" s="8" t="s">
        <v>11239</v>
      </c>
      <c r="F1767" s="8" t="s">
        <v>11240</v>
      </c>
      <c r="G1767" s="8" t="s">
        <v>4727</v>
      </c>
      <c r="H1767" s="8" t="s">
        <v>11239</v>
      </c>
      <c r="I1767" s="8"/>
      <c r="J1767" s="15" t="s">
        <v>5695</v>
      </c>
      <c r="K1767" s="8"/>
      <c r="L1767" s="15" t="s">
        <v>1685</v>
      </c>
      <c r="M1767" s="8" t="s">
        <v>5578</v>
      </c>
      <c r="N1767" s="8"/>
      <c r="O1767" s="8" t="s">
        <v>5574</v>
      </c>
      <c r="P1767" s="11"/>
      <c r="Q1767" s="8" t="s">
        <v>5696</v>
      </c>
      <c r="R1767" s="8" t="s">
        <v>5919</v>
      </c>
      <c r="S1767" s="8" t="s">
        <v>11241</v>
      </c>
    </row>
    <row r="1768" spans="1:19" ht="107.1" customHeight="1" x14ac:dyDescent="0.25">
      <c r="A1768" s="8" t="s">
        <v>11242</v>
      </c>
      <c r="B1768" s="8" t="s">
        <v>5693</v>
      </c>
      <c r="C1768" s="8" t="s">
        <v>5918</v>
      </c>
      <c r="D1768" s="10">
        <v>1447</v>
      </c>
      <c r="E1768" s="8" t="s">
        <v>11243</v>
      </c>
      <c r="F1768" s="8" t="s">
        <v>11244</v>
      </c>
      <c r="G1768" s="8" t="s">
        <v>4727</v>
      </c>
      <c r="H1768" s="8" t="s">
        <v>11243</v>
      </c>
      <c r="I1768" s="8"/>
      <c r="J1768" s="15" t="s">
        <v>5695</v>
      </c>
      <c r="K1768" s="8"/>
      <c r="L1768" s="15" t="s">
        <v>1685</v>
      </c>
      <c r="M1768" s="8" t="s">
        <v>5578</v>
      </c>
      <c r="N1768" s="8"/>
      <c r="O1768" s="8" t="s">
        <v>5574</v>
      </c>
      <c r="P1768" s="11"/>
      <c r="Q1768" s="8" t="s">
        <v>5696</v>
      </c>
      <c r="R1768" s="8" t="s">
        <v>5919</v>
      </c>
      <c r="S1768" s="8" t="s">
        <v>11245</v>
      </c>
    </row>
    <row r="1769" spans="1:19" ht="93" customHeight="1" x14ac:dyDescent="0.25">
      <c r="A1769" s="8" t="s">
        <v>11246</v>
      </c>
      <c r="B1769" s="8" t="s">
        <v>5693</v>
      </c>
      <c r="C1769" s="8" t="s">
        <v>5918</v>
      </c>
      <c r="D1769" s="10">
        <v>1448</v>
      </c>
      <c r="E1769" s="8" t="s">
        <v>11247</v>
      </c>
      <c r="F1769" s="8" t="s">
        <v>11248</v>
      </c>
      <c r="G1769" s="8" t="s">
        <v>4727</v>
      </c>
      <c r="H1769" s="8" t="s">
        <v>11247</v>
      </c>
      <c r="I1769" s="8"/>
      <c r="J1769" s="15" t="s">
        <v>5695</v>
      </c>
      <c r="K1769" s="8"/>
      <c r="L1769" s="15" t="s">
        <v>1685</v>
      </c>
      <c r="M1769" s="8" t="s">
        <v>5578</v>
      </c>
      <c r="N1769" s="8"/>
      <c r="O1769" s="8" t="s">
        <v>5574</v>
      </c>
      <c r="P1769" s="11"/>
      <c r="Q1769" s="8" t="s">
        <v>5696</v>
      </c>
      <c r="R1769" s="8" t="s">
        <v>5919</v>
      </c>
      <c r="S1769" s="8" t="s">
        <v>11249</v>
      </c>
    </row>
    <row r="1770" spans="1:19" ht="120.95" customHeight="1" x14ac:dyDescent="0.25">
      <c r="A1770" s="8" t="s">
        <v>11250</v>
      </c>
      <c r="B1770" s="8" t="s">
        <v>5693</v>
      </c>
      <c r="C1770" s="8" t="s">
        <v>5918</v>
      </c>
      <c r="D1770" s="10">
        <v>1449</v>
      </c>
      <c r="E1770" s="8" t="s">
        <v>11251</v>
      </c>
      <c r="F1770" s="8" t="s">
        <v>11252</v>
      </c>
      <c r="G1770" s="8" t="s">
        <v>4727</v>
      </c>
      <c r="H1770" s="8" t="s">
        <v>11251</v>
      </c>
      <c r="I1770" s="8"/>
      <c r="J1770" s="15" t="s">
        <v>5695</v>
      </c>
      <c r="K1770" s="8"/>
      <c r="L1770" s="15" t="s">
        <v>1685</v>
      </c>
      <c r="M1770" s="8" t="s">
        <v>5578</v>
      </c>
      <c r="N1770" s="8"/>
      <c r="O1770" s="8" t="s">
        <v>5574</v>
      </c>
      <c r="P1770" s="11"/>
      <c r="Q1770" s="8" t="s">
        <v>5696</v>
      </c>
      <c r="R1770" s="8" t="s">
        <v>5919</v>
      </c>
      <c r="S1770" s="8" t="s">
        <v>11253</v>
      </c>
    </row>
    <row r="1771" spans="1:19" ht="120.95" customHeight="1" x14ac:dyDescent="0.25">
      <c r="A1771" s="8" t="s">
        <v>11254</v>
      </c>
      <c r="B1771" s="8" t="s">
        <v>5693</v>
      </c>
      <c r="C1771" s="8" t="s">
        <v>5918</v>
      </c>
      <c r="D1771" s="10">
        <v>1450</v>
      </c>
      <c r="E1771" s="8" t="s">
        <v>11255</v>
      </c>
      <c r="F1771" s="8" t="s">
        <v>11256</v>
      </c>
      <c r="G1771" s="8" t="s">
        <v>4727</v>
      </c>
      <c r="H1771" s="8" t="s">
        <v>11255</v>
      </c>
      <c r="I1771" s="8"/>
      <c r="J1771" s="15" t="s">
        <v>5695</v>
      </c>
      <c r="K1771" s="8"/>
      <c r="L1771" s="15" t="s">
        <v>1685</v>
      </c>
      <c r="M1771" s="8" t="s">
        <v>5578</v>
      </c>
      <c r="N1771" s="8"/>
      <c r="O1771" s="8" t="s">
        <v>5574</v>
      </c>
      <c r="P1771" s="11"/>
      <c r="Q1771" s="8" t="s">
        <v>5696</v>
      </c>
      <c r="R1771" s="8" t="s">
        <v>5919</v>
      </c>
      <c r="S1771" s="8" t="s">
        <v>11257</v>
      </c>
    </row>
    <row r="1772" spans="1:19" ht="107.1" customHeight="1" x14ac:dyDescent="0.25">
      <c r="A1772" s="8" t="s">
        <v>11258</v>
      </c>
      <c r="B1772" s="8" t="s">
        <v>5693</v>
      </c>
      <c r="C1772" s="8" t="s">
        <v>5918</v>
      </c>
      <c r="D1772" s="10">
        <v>1451</v>
      </c>
      <c r="E1772" s="8" t="s">
        <v>555</v>
      </c>
      <c r="F1772" s="8" t="s">
        <v>3244</v>
      </c>
      <c r="G1772" s="8" t="s">
        <v>4727</v>
      </c>
      <c r="H1772" s="8" t="s">
        <v>555</v>
      </c>
      <c r="I1772" s="8"/>
      <c r="J1772" s="15" t="s">
        <v>5695</v>
      </c>
      <c r="K1772" s="8"/>
      <c r="L1772" s="15" t="s">
        <v>1685</v>
      </c>
      <c r="M1772" s="8" t="s">
        <v>5578</v>
      </c>
      <c r="N1772" s="8"/>
      <c r="O1772" s="8" t="s">
        <v>5574</v>
      </c>
      <c r="P1772" s="11"/>
      <c r="Q1772" s="8" t="s">
        <v>5696</v>
      </c>
      <c r="R1772" s="8" t="s">
        <v>5919</v>
      </c>
      <c r="S1772" s="8" t="s">
        <v>11259</v>
      </c>
    </row>
    <row r="1773" spans="1:19" ht="107.1" customHeight="1" x14ac:dyDescent="0.25">
      <c r="A1773" s="8" t="s">
        <v>11260</v>
      </c>
      <c r="B1773" s="8" t="s">
        <v>5693</v>
      </c>
      <c r="C1773" s="8" t="s">
        <v>5918</v>
      </c>
      <c r="D1773" s="10">
        <v>1452</v>
      </c>
      <c r="E1773" s="8" t="s">
        <v>11261</v>
      </c>
      <c r="F1773" s="8" t="s">
        <v>11262</v>
      </c>
      <c r="G1773" s="8" t="s">
        <v>4727</v>
      </c>
      <c r="H1773" s="8" t="s">
        <v>11261</v>
      </c>
      <c r="I1773" s="8"/>
      <c r="J1773" s="15" t="s">
        <v>5695</v>
      </c>
      <c r="K1773" s="8"/>
      <c r="L1773" s="15" t="s">
        <v>1685</v>
      </c>
      <c r="M1773" s="8" t="s">
        <v>5578</v>
      </c>
      <c r="N1773" s="8"/>
      <c r="O1773" s="8" t="s">
        <v>5574</v>
      </c>
      <c r="P1773" s="11"/>
      <c r="Q1773" s="8" t="s">
        <v>5696</v>
      </c>
      <c r="R1773" s="8" t="s">
        <v>5919</v>
      </c>
      <c r="S1773" s="8" t="s">
        <v>11263</v>
      </c>
    </row>
    <row r="1774" spans="1:19" ht="107.1" customHeight="1" x14ac:dyDescent="0.25">
      <c r="A1774" s="8" t="s">
        <v>11264</v>
      </c>
      <c r="B1774" s="8" t="s">
        <v>5693</v>
      </c>
      <c r="C1774" s="8" t="s">
        <v>5918</v>
      </c>
      <c r="D1774" s="10">
        <v>1453</v>
      </c>
      <c r="E1774" s="8" t="s">
        <v>11265</v>
      </c>
      <c r="F1774" s="8" t="s">
        <v>11266</v>
      </c>
      <c r="G1774" s="8" t="s">
        <v>4727</v>
      </c>
      <c r="H1774" s="8" t="s">
        <v>11265</v>
      </c>
      <c r="I1774" s="8"/>
      <c r="J1774" s="15" t="s">
        <v>5695</v>
      </c>
      <c r="K1774" s="8"/>
      <c r="L1774" s="15" t="s">
        <v>1685</v>
      </c>
      <c r="M1774" s="8" t="s">
        <v>5578</v>
      </c>
      <c r="N1774" s="8"/>
      <c r="O1774" s="8" t="s">
        <v>5574</v>
      </c>
      <c r="P1774" s="11"/>
      <c r="Q1774" s="8" t="s">
        <v>5696</v>
      </c>
      <c r="R1774" s="8" t="s">
        <v>5919</v>
      </c>
      <c r="S1774" s="8" t="s">
        <v>11267</v>
      </c>
    </row>
    <row r="1775" spans="1:19" ht="107.1" customHeight="1" x14ac:dyDescent="0.25">
      <c r="A1775" s="8" t="s">
        <v>11268</v>
      </c>
      <c r="B1775" s="8" t="s">
        <v>5693</v>
      </c>
      <c r="C1775" s="8" t="s">
        <v>5918</v>
      </c>
      <c r="D1775" s="10">
        <v>1454</v>
      </c>
      <c r="E1775" s="8" t="s">
        <v>11269</v>
      </c>
      <c r="F1775" s="8" t="s">
        <v>11270</v>
      </c>
      <c r="G1775" s="8" t="s">
        <v>4727</v>
      </c>
      <c r="H1775" s="8" t="s">
        <v>11269</v>
      </c>
      <c r="I1775" s="8"/>
      <c r="J1775" s="15" t="s">
        <v>5695</v>
      </c>
      <c r="K1775" s="8"/>
      <c r="L1775" s="15" t="s">
        <v>1685</v>
      </c>
      <c r="M1775" s="8" t="s">
        <v>5578</v>
      </c>
      <c r="N1775" s="8"/>
      <c r="O1775" s="8" t="s">
        <v>5574</v>
      </c>
      <c r="P1775" s="11"/>
      <c r="Q1775" s="8" t="s">
        <v>5696</v>
      </c>
      <c r="R1775" s="8" t="s">
        <v>5919</v>
      </c>
      <c r="S1775" s="8" t="s">
        <v>11271</v>
      </c>
    </row>
    <row r="1776" spans="1:19" ht="107.1" customHeight="1" x14ac:dyDescent="0.25">
      <c r="A1776" s="8" t="s">
        <v>11272</v>
      </c>
      <c r="B1776" s="8" t="s">
        <v>5693</v>
      </c>
      <c r="C1776" s="8" t="s">
        <v>5918</v>
      </c>
      <c r="D1776" s="10">
        <v>1455</v>
      </c>
      <c r="E1776" s="8" t="s">
        <v>11273</v>
      </c>
      <c r="F1776" s="8" t="s">
        <v>11274</v>
      </c>
      <c r="G1776" s="8" t="s">
        <v>4727</v>
      </c>
      <c r="H1776" s="8" t="s">
        <v>11273</v>
      </c>
      <c r="I1776" s="8"/>
      <c r="J1776" s="15" t="s">
        <v>5695</v>
      </c>
      <c r="K1776" s="8"/>
      <c r="L1776" s="15" t="s">
        <v>1685</v>
      </c>
      <c r="M1776" s="8" t="s">
        <v>5578</v>
      </c>
      <c r="N1776" s="8"/>
      <c r="O1776" s="8" t="s">
        <v>5574</v>
      </c>
      <c r="P1776" s="11"/>
      <c r="Q1776" s="8" t="s">
        <v>5696</v>
      </c>
      <c r="R1776" s="8" t="s">
        <v>5919</v>
      </c>
      <c r="S1776" s="8" t="s">
        <v>11275</v>
      </c>
    </row>
    <row r="1777" spans="1:19" ht="107.1" customHeight="1" x14ac:dyDescent="0.25">
      <c r="A1777" s="8" t="s">
        <v>11276</v>
      </c>
      <c r="B1777" s="8" t="s">
        <v>5693</v>
      </c>
      <c r="C1777" s="8" t="s">
        <v>5918</v>
      </c>
      <c r="D1777" s="10">
        <v>1456</v>
      </c>
      <c r="E1777" s="8" t="s">
        <v>11277</v>
      </c>
      <c r="F1777" s="8" t="s">
        <v>11278</v>
      </c>
      <c r="G1777" s="8" t="s">
        <v>4727</v>
      </c>
      <c r="H1777" s="8" t="s">
        <v>11277</v>
      </c>
      <c r="I1777" s="8"/>
      <c r="J1777" s="15" t="s">
        <v>5695</v>
      </c>
      <c r="K1777" s="8"/>
      <c r="L1777" s="15" t="s">
        <v>1685</v>
      </c>
      <c r="M1777" s="8" t="s">
        <v>5578</v>
      </c>
      <c r="N1777" s="8"/>
      <c r="O1777" s="8" t="s">
        <v>5574</v>
      </c>
      <c r="P1777" s="11"/>
      <c r="Q1777" s="8" t="s">
        <v>5696</v>
      </c>
      <c r="R1777" s="8" t="s">
        <v>5919</v>
      </c>
      <c r="S1777" s="8" t="s">
        <v>11279</v>
      </c>
    </row>
    <row r="1778" spans="1:19" ht="107.1" customHeight="1" x14ac:dyDescent="0.25">
      <c r="A1778" s="8" t="s">
        <v>11280</v>
      </c>
      <c r="B1778" s="8" t="s">
        <v>5693</v>
      </c>
      <c r="C1778" s="8" t="s">
        <v>5918</v>
      </c>
      <c r="D1778" s="10">
        <v>1457</v>
      </c>
      <c r="E1778" s="8" t="s">
        <v>11281</v>
      </c>
      <c r="F1778" s="8" t="s">
        <v>3194</v>
      </c>
      <c r="G1778" s="8" t="s">
        <v>4727</v>
      </c>
      <c r="H1778" s="8" t="s">
        <v>11281</v>
      </c>
      <c r="I1778" s="8"/>
      <c r="J1778" s="15" t="s">
        <v>5695</v>
      </c>
      <c r="K1778" s="8"/>
      <c r="L1778" s="15" t="s">
        <v>1685</v>
      </c>
      <c r="M1778" s="8" t="s">
        <v>5578</v>
      </c>
      <c r="N1778" s="8"/>
      <c r="O1778" s="8" t="s">
        <v>5574</v>
      </c>
      <c r="P1778" s="11"/>
      <c r="Q1778" s="8" t="s">
        <v>5696</v>
      </c>
      <c r="R1778" s="8" t="s">
        <v>5919</v>
      </c>
      <c r="S1778" s="8" t="s">
        <v>11282</v>
      </c>
    </row>
    <row r="1779" spans="1:19" ht="107.1" customHeight="1" x14ac:dyDescent="0.25">
      <c r="A1779" s="8" t="s">
        <v>11283</v>
      </c>
      <c r="B1779" s="8" t="s">
        <v>5693</v>
      </c>
      <c r="C1779" s="8" t="s">
        <v>5918</v>
      </c>
      <c r="D1779" s="10">
        <v>1458</v>
      </c>
      <c r="E1779" s="8" t="s">
        <v>11284</v>
      </c>
      <c r="F1779" s="8" t="s">
        <v>11285</v>
      </c>
      <c r="G1779" s="8" t="s">
        <v>4727</v>
      </c>
      <c r="H1779" s="8" t="s">
        <v>11284</v>
      </c>
      <c r="I1779" s="8"/>
      <c r="J1779" s="15" t="s">
        <v>5695</v>
      </c>
      <c r="K1779" s="8"/>
      <c r="L1779" s="15" t="s">
        <v>1685</v>
      </c>
      <c r="M1779" s="8" t="s">
        <v>5578</v>
      </c>
      <c r="N1779" s="8"/>
      <c r="O1779" s="8" t="s">
        <v>5574</v>
      </c>
      <c r="P1779" s="11"/>
      <c r="Q1779" s="8" t="s">
        <v>5696</v>
      </c>
      <c r="R1779" s="8" t="s">
        <v>5919</v>
      </c>
      <c r="S1779" s="8" t="s">
        <v>11286</v>
      </c>
    </row>
    <row r="1780" spans="1:19" ht="107.1" customHeight="1" x14ac:dyDescent="0.25">
      <c r="A1780" s="8" t="s">
        <v>11287</v>
      </c>
      <c r="B1780" s="8" t="s">
        <v>5693</v>
      </c>
      <c r="C1780" s="8" t="s">
        <v>5918</v>
      </c>
      <c r="D1780" s="10">
        <v>1459</v>
      </c>
      <c r="E1780" s="8" t="s">
        <v>436</v>
      </c>
      <c r="F1780" s="8" t="s">
        <v>440</v>
      </c>
      <c r="G1780" s="8" t="s">
        <v>4727</v>
      </c>
      <c r="H1780" s="8" t="s">
        <v>436</v>
      </c>
      <c r="I1780" s="8"/>
      <c r="J1780" s="15" t="s">
        <v>5695</v>
      </c>
      <c r="K1780" s="8"/>
      <c r="L1780" s="15" t="s">
        <v>1685</v>
      </c>
      <c r="M1780" s="8" t="s">
        <v>5578</v>
      </c>
      <c r="N1780" s="8"/>
      <c r="O1780" s="8" t="s">
        <v>5574</v>
      </c>
      <c r="P1780" s="11"/>
      <c r="Q1780" s="8" t="s">
        <v>5696</v>
      </c>
      <c r="R1780" s="8" t="s">
        <v>5919</v>
      </c>
      <c r="S1780" s="8" t="s">
        <v>11288</v>
      </c>
    </row>
    <row r="1781" spans="1:19" ht="107.1" customHeight="1" x14ac:dyDescent="0.25">
      <c r="A1781" s="8" t="s">
        <v>11289</v>
      </c>
      <c r="B1781" s="8" t="s">
        <v>5693</v>
      </c>
      <c r="C1781" s="8" t="s">
        <v>5918</v>
      </c>
      <c r="D1781" s="10">
        <v>1460</v>
      </c>
      <c r="E1781" s="8" t="s">
        <v>11290</v>
      </c>
      <c r="F1781" s="8" t="s">
        <v>11291</v>
      </c>
      <c r="G1781" s="8" t="s">
        <v>4727</v>
      </c>
      <c r="H1781" s="8" t="s">
        <v>11290</v>
      </c>
      <c r="I1781" s="8"/>
      <c r="J1781" s="15" t="s">
        <v>5695</v>
      </c>
      <c r="K1781" s="8"/>
      <c r="L1781" s="15" t="s">
        <v>1685</v>
      </c>
      <c r="M1781" s="8" t="s">
        <v>5578</v>
      </c>
      <c r="N1781" s="8"/>
      <c r="O1781" s="8" t="s">
        <v>5574</v>
      </c>
      <c r="P1781" s="11"/>
      <c r="Q1781" s="8" t="s">
        <v>5696</v>
      </c>
      <c r="R1781" s="8" t="s">
        <v>5919</v>
      </c>
      <c r="S1781" s="8" t="s">
        <v>11292</v>
      </c>
    </row>
    <row r="1782" spans="1:19" ht="107.1" customHeight="1" x14ac:dyDescent="0.25">
      <c r="A1782" s="8" t="s">
        <v>11293</v>
      </c>
      <c r="B1782" s="8" t="s">
        <v>5693</v>
      </c>
      <c r="C1782" s="8" t="s">
        <v>5918</v>
      </c>
      <c r="D1782" s="10">
        <v>1461</v>
      </c>
      <c r="E1782" s="8" t="s">
        <v>680</v>
      </c>
      <c r="F1782" s="8" t="s">
        <v>3200</v>
      </c>
      <c r="G1782" s="8" t="s">
        <v>4727</v>
      </c>
      <c r="H1782" s="8" t="s">
        <v>680</v>
      </c>
      <c r="I1782" s="8"/>
      <c r="J1782" s="15" t="s">
        <v>5695</v>
      </c>
      <c r="K1782" s="8"/>
      <c r="L1782" s="15" t="s">
        <v>1685</v>
      </c>
      <c r="M1782" s="8" t="s">
        <v>5578</v>
      </c>
      <c r="N1782" s="8"/>
      <c r="O1782" s="8" t="s">
        <v>5574</v>
      </c>
      <c r="P1782" s="11"/>
      <c r="Q1782" s="8" t="s">
        <v>5696</v>
      </c>
      <c r="R1782" s="8" t="s">
        <v>5919</v>
      </c>
      <c r="S1782" s="8" t="s">
        <v>11294</v>
      </c>
    </row>
    <row r="1783" spans="1:19" ht="107.1" customHeight="1" x14ac:dyDescent="0.25">
      <c r="A1783" s="8" t="s">
        <v>11295</v>
      </c>
      <c r="B1783" s="8" t="s">
        <v>5693</v>
      </c>
      <c r="C1783" s="8" t="s">
        <v>5918</v>
      </c>
      <c r="D1783" s="10">
        <v>1462</v>
      </c>
      <c r="E1783" s="8" t="s">
        <v>11296</v>
      </c>
      <c r="F1783" s="8" t="s">
        <v>11297</v>
      </c>
      <c r="G1783" s="8" t="s">
        <v>4727</v>
      </c>
      <c r="H1783" s="8" t="s">
        <v>11296</v>
      </c>
      <c r="I1783" s="8"/>
      <c r="J1783" s="15" t="s">
        <v>5695</v>
      </c>
      <c r="K1783" s="8"/>
      <c r="L1783" s="15" t="s">
        <v>1685</v>
      </c>
      <c r="M1783" s="8" t="s">
        <v>5578</v>
      </c>
      <c r="N1783" s="8"/>
      <c r="O1783" s="8" t="s">
        <v>5574</v>
      </c>
      <c r="P1783" s="11"/>
      <c r="Q1783" s="8" t="s">
        <v>5696</v>
      </c>
      <c r="R1783" s="8" t="s">
        <v>5919</v>
      </c>
      <c r="S1783" s="8" t="s">
        <v>11298</v>
      </c>
    </row>
    <row r="1784" spans="1:19" ht="107.1" customHeight="1" x14ac:dyDescent="0.25">
      <c r="A1784" s="8" t="s">
        <v>11299</v>
      </c>
      <c r="B1784" s="8" t="s">
        <v>5693</v>
      </c>
      <c r="C1784" s="8" t="s">
        <v>5918</v>
      </c>
      <c r="D1784" s="10">
        <v>1463</v>
      </c>
      <c r="E1784" s="8" t="s">
        <v>11300</v>
      </c>
      <c r="F1784" s="8" t="s">
        <v>11301</v>
      </c>
      <c r="G1784" s="8" t="s">
        <v>4727</v>
      </c>
      <c r="H1784" s="8" t="s">
        <v>11300</v>
      </c>
      <c r="I1784" s="8"/>
      <c r="J1784" s="15" t="s">
        <v>5695</v>
      </c>
      <c r="K1784" s="8"/>
      <c r="L1784" s="15" t="s">
        <v>1685</v>
      </c>
      <c r="M1784" s="8" t="s">
        <v>5578</v>
      </c>
      <c r="N1784" s="8"/>
      <c r="O1784" s="8" t="s">
        <v>5574</v>
      </c>
      <c r="P1784" s="11"/>
      <c r="Q1784" s="8" t="s">
        <v>5696</v>
      </c>
      <c r="R1784" s="8" t="s">
        <v>5919</v>
      </c>
      <c r="S1784" s="8" t="s">
        <v>11302</v>
      </c>
    </row>
    <row r="1785" spans="1:19" ht="107.1" customHeight="1" x14ac:dyDescent="0.25">
      <c r="A1785" s="8" t="s">
        <v>11303</v>
      </c>
      <c r="B1785" s="8" t="s">
        <v>5693</v>
      </c>
      <c r="C1785" s="8" t="s">
        <v>5918</v>
      </c>
      <c r="D1785" s="10">
        <v>1464</v>
      </c>
      <c r="E1785" s="8" t="s">
        <v>11304</v>
      </c>
      <c r="F1785" s="8" t="s">
        <v>11305</v>
      </c>
      <c r="G1785" s="8" t="s">
        <v>4727</v>
      </c>
      <c r="H1785" s="8" t="s">
        <v>11304</v>
      </c>
      <c r="I1785" s="8"/>
      <c r="J1785" s="15" t="s">
        <v>5695</v>
      </c>
      <c r="K1785" s="8"/>
      <c r="L1785" s="15" t="s">
        <v>1685</v>
      </c>
      <c r="M1785" s="8" t="s">
        <v>5578</v>
      </c>
      <c r="N1785" s="8"/>
      <c r="O1785" s="8" t="s">
        <v>5574</v>
      </c>
      <c r="P1785" s="11"/>
      <c r="Q1785" s="8" t="s">
        <v>5696</v>
      </c>
      <c r="R1785" s="8" t="s">
        <v>5919</v>
      </c>
      <c r="S1785" s="8" t="s">
        <v>11306</v>
      </c>
    </row>
    <row r="1786" spans="1:19" ht="107.1" customHeight="1" x14ac:dyDescent="0.25">
      <c r="A1786" s="8" t="s">
        <v>11307</v>
      </c>
      <c r="B1786" s="8" t="s">
        <v>5693</v>
      </c>
      <c r="C1786" s="8" t="s">
        <v>5918</v>
      </c>
      <c r="D1786" s="10">
        <v>1465</v>
      </c>
      <c r="E1786" s="8" t="s">
        <v>11308</v>
      </c>
      <c r="F1786" s="8" t="s">
        <v>11309</v>
      </c>
      <c r="G1786" s="8" t="s">
        <v>4727</v>
      </c>
      <c r="H1786" s="8" t="s">
        <v>11308</v>
      </c>
      <c r="I1786" s="8"/>
      <c r="J1786" s="15" t="s">
        <v>5695</v>
      </c>
      <c r="K1786" s="8"/>
      <c r="L1786" s="15" t="s">
        <v>1685</v>
      </c>
      <c r="M1786" s="8" t="s">
        <v>5578</v>
      </c>
      <c r="N1786" s="8"/>
      <c r="O1786" s="8" t="s">
        <v>5574</v>
      </c>
      <c r="P1786" s="11"/>
      <c r="Q1786" s="8" t="s">
        <v>5696</v>
      </c>
      <c r="R1786" s="8" t="s">
        <v>5919</v>
      </c>
      <c r="S1786" s="8" t="s">
        <v>11310</v>
      </c>
    </row>
    <row r="1787" spans="1:19" ht="107.1" customHeight="1" x14ac:dyDescent="0.25">
      <c r="A1787" s="8" t="s">
        <v>11311</v>
      </c>
      <c r="B1787" s="8" t="s">
        <v>5693</v>
      </c>
      <c r="C1787" s="8" t="s">
        <v>5918</v>
      </c>
      <c r="D1787" s="10">
        <v>1466</v>
      </c>
      <c r="E1787" s="8" t="s">
        <v>11312</v>
      </c>
      <c r="F1787" s="8" t="s">
        <v>11313</v>
      </c>
      <c r="G1787" s="8" t="s">
        <v>4727</v>
      </c>
      <c r="H1787" s="8" t="s">
        <v>11312</v>
      </c>
      <c r="I1787" s="8"/>
      <c r="J1787" s="15" t="s">
        <v>5695</v>
      </c>
      <c r="K1787" s="8"/>
      <c r="L1787" s="15" t="s">
        <v>1685</v>
      </c>
      <c r="M1787" s="8" t="s">
        <v>5578</v>
      </c>
      <c r="N1787" s="8"/>
      <c r="O1787" s="8" t="s">
        <v>5574</v>
      </c>
      <c r="P1787" s="11"/>
      <c r="Q1787" s="8" t="s">
        <v>5696</v>
      </c>
      <c r="R1787" s="8" t="s">
        <v>5919</v>
      </c>
      <c r="S1787" s="8" t="s">
        <v>11314</v>
      </c>
    </row>
    <row r="1788" spans="1:19" ht="107.1" customHeight="1" x14ac:dyDescent="0.25">
      <c r="A1788" s="8" t="s">
        <v>11315</v>
      </c>
      <c r="B1788" s="8" t="s">
        <v>5693</v>
      </c>
      <c r="C1788" s="8" t="s">
        <v>5918</v>
      </c>
      <c r="D1788" s="10">
        <v>1467</v>
      </c>
      <c r="E1788" s="8" t="s">
        <v>11316</v>
      </c>
      <c r="F1788" s="8" t="s">
        <v>11317</v>
      </c>
      <c r="G1788" s="8" t="s">
        <v>4727</v>
      </c>
      <c r="H1788" s="8" t="s">
        <v>11316</v>
      </c>
      <c r="I1788" s="8"/>
      <c r="J1788" s="15" t="s">
        <v>5695</v>
      </c>
      <c r="K1788" s="8"/>
      <c r="L1788" s="15" t="s">
        <v>1685</v>
      </c>
      <c r="M1788" s="8" t="s">
        <v>5578</v>
      </c>
      <c r="N1788" s="8"/>
      <c r="O1788" s="8" t="s">
        <v>5574</v>
      </c>
      <c r="P1788" s="11"/>
      <c r="Q1788" s="8" t="s">
        <v>5696</v>
      </c>
      <c r="R1788" s="8" t="s">
        <v>5919</v>
      </c>
      <c r="S1788" s="8" t="s">
        <v>11318</v>
      </c>
    </row>
    <row r="1789" spans="1:19" ht="107.1" customHeight="1" x14ac:dyDescent="0.25">
      <c r="A1789" s="8" t="s">
        <v>11319</v>
      </c>
      <c r="B1789" s="8" t="s">
        <v>5693</v>
      </c>
      <c r="C1789" s="8" t="s">
        <v>5918</v>
      </c>
      <c r="D1789" s="10">
        <v>1468</v>
      </c>
      <c r="E1789" s="8" t="s">
        <v>11320</v>
      </c>
      <c r="F1789" s="8" t="s">
        <v>11321</v>
      </c>
      <c r="G1789" s="8" t="s">
        <v>4727</v>
      </c>
      <c r="H1789" s="8" t="s">
        <v>11320</v>
      </c>
      <c r="I1789" s="8"/>
      <c r="J1789" s="15" t="s">
        <v>5695</v>
      </c>
      <c r="K1789" s="8"/>
      <c r="L1789" s="15" t="s">
        <v>1685</v>
      </c>
      <c r="M1789" s="8" t="s">
        <v>5578</v>
      </c>
      <c r="N1789" s="8"/>
      <c r="O1789" s="8" t="s">
        <v>5574</v>
      </c>
      <c r="P1789" s="11"/>
      <c r="Q1789" s="8" t="s">
        <v>5696</v>
      </c>
      <c r="R1789" s="8" t="s">
        <v>5919</v>
      </c>
      <c r="S1789" s="8" t="s">
        <v>11322</v>
      </c>
    </row>
    <row r="1790" spans="1:19" ht="107.1" customHeight="1" x14ac:dyDescent="0.25">
      <c r="A1790" s="8" t="s">
        <v>11323</v>
      </c>
      <c r="B1790" s="8" t="s">
        <v>5693</v>
      </c>
      <c r="C1790" s="8" t="s">
        <v>5918</v>
      </c>
      <c r="D1790" s="10">
        <v>1469</v>
      </c>
      <c r="E1790" s="8" t="s">
        <v>11324</v>
      </c>
      <c r="F1790" s="8" t="s">
        <v>11325</v>
      </c>
      <c r="G1790" s="8" t="s">
        <v>4727</v>
      </c>
      <c r="H1790" s="8" t="s">
        <v>11324</v>
      </c>
      <c r="I1790" s="8"/>
      <c r="J1790" s="15" t="s">
        <v>5695</v>
      </c>
      <c r="K1790" s="8"/>
      <c r="L1790" s="15" t="s">
        <v>1685</v>
      </c>
      <c r="M1790" s="8" t="s">
        <v>5578</v>
      </c>
      <c r="N1790" s="8"/>
      <c r="O1790" s="8" t="s">
        <v>5574</v>
      </c>
      <c r="P1790" s="11"/>
      <c r="Q1790" s="8" t="s">
        <v>5696</v>
      </c>
      <c r="R1790" s="8" t="s">
        <v>5919</v>
      </c>
      <c r="S1790" s="8" t="s">
        <v>11326</v>
      </c>
    </row>
    <row r="1791" spans="1:19" ht="107.1" customHeight="1" x14ac:dyDescent="0.25">
      <c r="A1791" s="8" t="s">
        <v>11327</v>
      </c>
      <c r="B1791" s="8" t="s">
        <v>5693</v>
      </c>
      <c r="C1791" s="8" t="s">
        <v>5918</v>
      </c>
      <c r="D1791" s="10">
        <v>1470</v>
      </c>
      <c r="E1791" s="8" t="s">
        <v>11328</v>
      </c>
      <c r="F1791" s="8" t="s">
        <v>11329</v>
      </c>
      <c r="G1791" s="8" t="s">
        <v>4727</v>
      </c>
      <c r="H1791" s="8" t="s">
        <v>11328</v>
      </c>
      <c r="I1791" s="8"/>
      <c r="J1791" s="15" t="s">
        <v>5695</v>
      </c>
      <c r="K1791" s="8"/>
      <c r="L1791" s="15" t="s">
        <v>1685</v>
      </c>
      <c r="M1791" s="8" t="s">
        <v>5578</v>
      </c>
      <c r="N1791" s="8"/>
      <c r="O1791" s="8" t="s">
        <v>5574</v>
      </c>
      <c r="P1791" s="11"/>
      <c r="Q1791" s="8" t="s">
        <v>5696</v>
      </c>
      <c r="R1791" s="8" t="s">
        <v>5919</v>
      </c>
      <c r="S1791" s="8" t="s">
        <v>11330</v>
      </c>
    </row>
    <row r="1792" spans="1:19" ht="107.1" customHeight="1" x14ac:dyDescent="0.25">
      <c r="A1792" s="8" t="s">
        <v>11331</v>
      </c>
      <c r="B1792" s="8" t="s">
        <v>5693</v>
      </c>
      <c r="C1792" s="8" t="s">
        <v>5918</v>
      </c>
      <c r="D1792" s="10">
        <v>1471</v>
      </c>
      <c r="E1792" s="8" t="s">
        <v>11332</v>
      </c>
      <c r="F1792" s="8" t="s">
        <v>11333</v>
      </c>
      <c r="G1792" s="8" t="s">
        <v>4727</v>
      </c>
      <c r="H1792" s="8" t="s">
        <v>11332</v>
      </c>
      <c r="I1792" s="8"/>
      <c r="J1792" s="15" t="s">
        <v>5695</v>
      </c>
      <c r="K1792" s="8"/>
      <c r="L1792" s="15" t="s">
        <v>1685</v>
      </c>
      <c r="M1792" s="8" t="s">
        <v>5578</v>
      </c>
      <c r="N1792" s="8"/>
      <c r="O1792" s="8" t="s">
        <v>5574</v>
      </c>
      <c r="P1792" s="11"/>
      <c r="Q1792" s="8" t="s">
        <v>5696</v>
      </c>
      <c r="R1792" s="8" t="s">
        <v>5919</v>
      </c>
      <c r="S1792" s="8" t="s">
        <v>11334</v>
      </c>
    </row>
    <row r="1793" spans="1:19" ht="107.1" customHeight="1" x14ac:dyDescent="0.25">
      <c r="A1793" s="8" t="s">
        <v>11335</v>
      </c>
      <c r="B1793" s="8" t="s">
        <v>5693</v>
      </c>
      <c r="C1793" s="8" t="s">
        <v>5918</v>
      </c>
      <c r="D1793" s="10">
        <v>1472</v>
      </c>
      <c r="E1793" s="8" t="s">
        <v>11336</v>
      </c>
      <c r="F1793" s="8" t="s">
        <v>11337</v>
      </c>
      <c r="G1793" s="8" t="s">
        <v>4727</v>
      </c>
      <c r="H1793" s="8" t="s">
        <v>11336</v>
      </c>
      <c r="I1793" s="8"/>
      <c r="J1793" s="15" t="s">
        <v>5695</v>
      </c>
      <c r="K1793" s="8"/>
      <c r="L1793" s="15" t="s">
        <v>1685</v>
      </c>
      <c r="M1793" s="8" t="s">
        <v>5578</v>
      </c>
      <c r="N1793" s="8"/>
      <c r="O1793" s="8" t="s">
        <v>5574</v>
      </c>
      <c r="P1793" s="11"/>
      <c r="Q1793" s="8" t="s">
        <v>5696</v>
      </c>
      <c r="R1793" s="8" t="s">
        <v>5919</v>
      </c>
      <c r="S1793" s="8" t="s">
        <v>11338</v>
      </c>
    </row>
    <row r="1794" spans="1:19" ht="107.1" customHeight="1" x14ac:dyDescent="0.25">
      <c r="A1794" s="8" t="s">
        <v>11339</v>
      </c>
      <c r="B1794" s="8" t="s">
        <v>5693</v>
      </c>
      <c r="C1794" s="8" t="s">
        <v>5918</v>
      </c>
      <c r="D1794" s="10">
        <v>1473</v>
      </c>
      <c r="E1794" s="8" t="s">
        <v>11340</v>
      </c>
      <c r="F1794" s="8" t="s">
        <v>11341</v>
      </c>
      <c r="G1794" s="8" t="s">
        <v>4727</v>
      </c>
      <c r="H1794" s="8" t="s">
        <v>11340</v>
      </c>
      <c r="I1794" s="8"/>
      <c r="J1794" s="15" t="s">
        <v>5695</v>
      </c>
      <c r="K1794" s="8"/>
      <c r="L1794" s="15" t="s">
        <v>1685</v>
      </c>
      <c r="M1794" s="8" t="s">
        <v>5578</v>
      </c>
      <c r="N1794" s="8"/>
      <c r="O1794" s="8" t="s">
        <v>5574</v>
      </c>
      <c r="P1794" s="11"/>
      <c r="Q1794" s="8" t="s">
        <v>5696</v>
      </c>
      <c r="R1794" s="8" t="s">
        <v>5919</v>
      </c>
      <c r="S1794" s="8" t="s">
        <v>11342</v>
      </c>
    </row>
    <row r="1795" spans="1:19" ht="107.1" customHeight="1" x14ac:dyDescent="0.25">
      <c r="A1795" s="8" t="s">
        <v>11343</v>
      </c>
      <c r="B1795" s="8" t="s">
        <v>5693</v>
      </c>
      <c r="C1795" s="8" t="s">
        <v>5918</v>
      </c>
      <c r="D1795" s="10">
        <v>1474</v>
      </c>
      <c r="E1795" s="8" t="s">
        <v>11344</v>
      </c>
      <c r="F1795" s="8" t="s">
        <v>11345</v>
      </c>
      <c r="G1795" s="8" t="s">
        <v>4727</v>
      </c>
      <c r="H1795" s="8" t="s">
        <v>11344</v>
      </c>
      <c r="I1795" s="8"/>
      <c r="J1795" s="15" t="s">
        <v>5695</v>
      </c>
      <c r="K1795" s="8"/>
      <c r="L1795" s="15" t="s">
        <v>1685</v>
      </c>
      <c r="M1795" s="8" t="s">
        <v>5578</v>
      </c>
      <c r="N1795" s="8"/>
      <c r="O1795" s="8" t="s">
        <v>5574</v>
      </c>
      <c r="P1795" s="11"/>
      <c r="Q1795" s="8" t="s">
        <v>5696</v>
      </c>
      <c r="R1795" s="8" t="s">
        <v>5919</v>
      </c>
      <c r="S1795" s="8" t="s">
        <v>11346</v>
      </c>
    </row>
    <row r="1796" spans="1:19" ht="107.1" customHeight="1" x14ac:dyDescent="0.25">
      <c r="A1796" s="8" t="s">
        <v>11347</v>
      </c>
      <c r="B1796" s="8" t="s">
        <v>5693</v>
      </c>
      <c r="C1796" s="8" t="s">
        <v>5918</v>
      </c>
      <c r="D1796" s="10">
        <v>1475</v>
      </c>
      <c r="E1796" s="8" t="s">
        <v>11348</v>
      </c>
      <c r="F1796" s="8" t="s">
        <v>11349</v>
      </c>
      <c r="G1796" s="8" t="s">
        <v>4727</v>
      </c>
      <c r="H1796" s="8" t="s">
        <v>11348</v>
      </c>
      <c r="I1796" s="8"/>
      <c r="J1796" s="15" t="s">
        <v>5695</v>
      </c>
      <c r="K1796" s="8"/>
      <c r="L1796" s="15" t="s">
        <v>1685</v>
      </c>
      <c r="M1796" s="8" t="s">
        <v>5578</v>
      </c>
      <c r="N1796" s="8"/>
      <c r="O1796" s="8" t="s">
        <v>5574</v>
      </c>
      <c r="P1796" s="11"/>
      <c r="Q1796" s="8" t="s">
        <v>5696</v>
      </c>
      <c r="R1796" s="8" t="s">
        <v>5919</v>
      </c>
      <c r="S1796" s="8" t="s">
        <v>11350</v>
      </c>
    </row>
    <row r="1797" spans="1:19" ht="107.1" customHeight="1" x14ac:dyDescent="0.25">
      <c r="A1797" s="8" t="s">
        <v>11351</v>
      </c>
      <c r="B1797" s="8" t="s">
        <v>5693</v>
      </c>
      <c r="C1797" s="8" t="s">
        <v>5918</v>
      </c>
      <c r="D1797" s="10">
        <v>1476</v>
      </c>
      <c r="E1797" s="8" t="s">
        <v>11352</v>
      </c>
      <c r="F1797" s="8" t="s">
        <v>11353</v>
      </c>
      <c r="G1797" s="8" t="s">
        <v>4727</v>
      </c>
      <c r="H1797" s="8" t="s">
        <v>11352</v>
      </c>
      <c r="I1797" s="8"/>
      <c r="J1797" s="15" t="s">
        <v>5695</v>
      </c>
      <c r="K1797" s="8"/>
      <c r="L1797" s="15" t="s">
        <v>1685</v>
      </c>
      <c r="M1797" s="8" t="s">
        <v>5578</v>
      </c>
      <c r="N1797" s="8"/>
      <c r="O1797" s="8" t="s">
        <v>5574</v>
      </c>
      <c r="P1797" s="11"/>
      <c r="Q1797" s="8" t="s">
        <v>5696</v>
      </c>
      <c r="R1797" s="8" t="s">
        <v>5919</v>
      </c>
      <c r="S1797" s="8" t="s">
        <v>11354</v>
      </c>
    </row>
    <row r="1798" spans="1:19" ht="107.1" customHeight="1" x14ac:dyDescent="0.25">
      <c r="A1798" s="8" t="s">
        <v>11355</v>
      </c>
      <c r="B1798" s="8" t="s">
        <v>5693</v>
      </c>
      <c r="C1798" s="8" t="s">
        <v>5918</v>
      </c>
      <c r="D1798" s="10">
        <v>1477</v>
      </c>
      <c r="E1798" s="8" t="s">
        <v>11356</v>
      </c>
      <c r="F1798" s="8" t="s">
        <v>11357</v>
      </c>
      <c r="G1798" s="8" t="s">
        <v>4727</v>
      </c>
      <c r="H1798" s="8" t="s">
        <v>11356</v>
      </c>
      <c r="I1798" s="8"/>
      <c r="J1798" s="15" t="s">
        <v>5695</v>
      </c>
      <c r="K1798" s="8"/>
      <c r="L1798" s="15" t="s">
        <v>1685</v>
      </c>
      <c r="M1798" s="8" t="s">
        <v>5578</v>
      </c>
      <c r="N1798" s="8"/>
      <c r="O1798" s="8" t="s">
        <v>5574</v>
      </c>
      <c r="P1798" s="11"/>
      <c r="Q1798" s="8" t="s">
        <v>5696</v>
      </c>
      <c r="R1798" s="8" t="s">
        <v>5919</v>
      </c>
      <c r="S1798" s="8" t="s">
        <v>11358</v>
      </c>
    </row>
    <row r="1799" spans="1:19" ht="107.1" customHeight="1" x14ac:dyDescent="0.25">
      <c r="A1799" s="8" t="s">
        <v>11359</v>
      </c>
      <c r="B1799" s="8" t="s">
        <v>5693</v>
      </c>
      <c r="C1799" s="8" t="s">
        <v>5918</v>
      </c>
      <c r="D1799" s="10">
        <v>1478</v>
      </c>
      <c r="E1799" s="8" t="s">
        <v>11360</v>
      </c>
      <c r="F1799" s="8" t="s">
        <v>11361</v>
      </c>
      <c r="G1799" s="8" t="s">
        <v>4727</v>
      </c>
      <c r="H1799" s="8" t="s">
        <v>11360</v>
      </c>
      <c r="I1799" s="8"/>
      <c r="J1799" s="15" t="s">
        <v>5695</v>
      </c>
      <c r="K1799" s="8"/>
      <c r="L1799" s="15" t="s">
        <v>1685</v>
      </c>
      <c r="M1799" s="8" t="s">
        <v>5578</v>
      </c>
      <c r="N1799" s="8"/>
      <c r="O1799" s="8" t="s">
        <v>5574</v>
      </c>
      <c r="P1799" s="11"/>
      <c r="Q1799" s="8" t="s">
        <v>5696</v>
      </c>
      <c r="R1799" s="8" t="s">
        <v>5919</v>
      </c>
      <c r="S1799" s="8" t="s">
        <v>11362</v>
      </c>
    </row>
    <row r="1800" spans="1:19" ht="107.1" customHeight="1" x14ac:dyDescent="0.25">
      <c r="A1800" s="8" t="s">
        <v>11363</v>
      </c>
      <c r="B1800" s="8" t="s">
        <v>5693</v>
      </c>
      <c r="C1800" s="8" t="s">
        <v>5918</v>
      </c>
      <c r="D1800" s="10">
        <v>1479</v>
      </c>
      <c r="E1800" s="8" t="s">
        <v>11364</v>
      </c>
      <c r="F1800" s="8" t="s">
        <v>11365</v>
      </c>
      <c r="G1800" s="8" t="s">
        <v>4727</v>
      </c>
      <c r="H1800" s="8" t="s">
        <v>11364</v>
      </c>
      <c r="I1800" s="8"/>
      <c r="J1800" s="15" t="s">
        <v>5695</v>
      </c>
      <c r="K1800" s="8"/>
      <c r="L1800" s="15" t="s">
        <v>1685</v>
      </c>
      <c r="M1800" s="8" t="s">
        <v>5578</v>
      </c>
      <c r="N1800" s="8"/>
      <c r="O1800" s="8" t="s">
        <v>5574</v>
      </c>
      <c r="P1800" s="11"/>
      <c r="Q1800" s="8" t="s">
        <v>5696</v>
      </c>
      <c r="R1800" s="8" t="s">
        <v>5919</v>
      </c>
      <c r="S1800" s="8" t="s">
        <v>11366</v>
      </c>
    </row>
    <row r="1801" spans="1:19" ht="107.1" customHeight="1" x14ac:dyDescent="0.25">
      <c r="A1801" s="8" t="s">
        <v>11367</v>
      </c>
      <c r="B1801" s="8" t="s">
        <v>5693</v>
      </c>
      <c r="C1801" s="8" t="s">
        <v>5918</v>
      </c>
      <c r="D1801" s="10">
        <v>1480</v>
      </c>
      <c r="E1801" s="8" t="s">
        <v>11368</v>
      </c>
      <c r="F1801" s="8" t="s">
        <v>11369</v>
      </c>
      <c r="G1801" s="8" t="s">
        <v>4727</v>
      </c>
      <c r="H1801" s="8" t="s">
        <v>11368</v>
      </c>
      <c r="I1801" s="8"/>
      <c r="J1801" s="15" t="s">
        <v>5695</v>
      </c>
      <c r="K1801" s="8"/>
      <c r="L1801" s="15" t="s">
        <v>1685</v>
      </c>
      <c r="M1801" s="8" t="s">
        <v>5578</v>
      </c>
      <c r="N1801" s="8"/>
      <c r="O1801" s="8" t="s">
        <v>5574</v>
      </c>
      <c r="P1801" s="11"/>
      <c r="Q1801" s="8" t="s">
        <v>5696</v>
      </c>
      <c r="R1801" s="8" t="s">
        <v>5919</v>
      </c>
      <c r="S1801" s="8" t="s">
        <v>11370</v>
      </c>
    </row>
    <row r="1802" spans="1:19" ht="107.1" customHeight="1" x14ac:dyDescent="0.25">
      <c r="A1802" s="8" t="s">
        <v>11371</v>
      </c>
      <c r="B1802" s="8" t="s">
        <v>5693</v>
      </c>
      <c r="C1802" s="8" t="s">
        <v>5918</v>
      </c>
      <c r="D1802" s="10">
        <v>1481</v>
      </c>
      <c r="E1802" s="8" t="s">
        <v>11372</v>
      </c>
      <c r="F1802" s="8" t="s">
        <v>11373</v>
      </c>
      <c r="G1802" s="8" t="s">
        <v>4727</v>
      </c>
      <c r="H1802" s="8" t="s">
        <v>11372</v>
      </c>
      <c r="I1802" s="8"/>
      <c r="J1802" s="15" t="s">
        <v>5695</v>
      </c>
      <c r="K1802" s="8"/>
      <c r="L1802" s="15" t="s">
        <v>1685</v>
      </c>
      <c r="M1802" s="8" t="s">
        <v>5578</v>
      </c>
      <c r="N1802" s="8"/>
      <c r="O1802" s="8" t="s">
        <v>5574</v>
      </c>
      <c r="P1802" s="11"/>
      <c r="Q1802" s="8" t="s">
        <v>5696</v>
      </c>
      <c r="R1802" s="8" t="s">
        <v>5919</v>
      </c>
      <c r="S1802" s="8" t="s">
        <v>11374</v>
      </c>
    </row>
    <row r="1803" spans="1:19" ht="107.1" customHeight="1" x14ac:dyDescent="0.25">
      <c r="A1803" s="8" t="s">
        <v>11375</v>
      </c>
      <c r="B1803" s="8" t="s">
        <v>5693</v>
      </c>
      <c r="C1803" s="8" t="s">
        <v>5918</v>
      </c>
      <c r="D1803" s="10">
        <v>1482</v>
      </c>
      <c r="E1803" s="8" t="s">
        <v>11376</v>
      </c>
      <c r="F1803" s="8" t="s">
        <v>11377</v>
      </c>
      <c r="G1803" s="8" t="s">
        <v>4727</v>
      </c>
      <c r="H1803" s="8" t="s">
        <v>11376</v>
      </c>
      <c r="I1803" s="8"/>
      <c r="J1803" s="15" t="s">
        <v>5695</v>
      </c>
      <c r="K1803" s="8"/>
      <c r="L1803" s="15" t="s">
        <v>1685</v>
      </c>
      <c r="M1803" s="8" t="s">
        <v>5578</v>
      </c>
      <c r="N1803" s="8"/>
      <c r="O1803" s="8" t="s">
        <v>5574</v>
      </c>
      <c r="P1803" s="11"/>
      <c r="Q1803" s="8" t="s">
        <v>5696</v>
      </c>
      <c r="R1803" s="8" t="s">
        <v>5919</v>
      </c>
      <c r="S1803" s="8" t="s">
        <v>11378</v>
      </c>
    </row>
    <row r="1804" spans="1:19" ht="107.1" customHeight="1" x14ac:dyDescent="0.25">
      <c r="A1804" s="8" t="s">
        <v>11379</v>
      </c>
      <c r="B1804" s="8" t="s">
        <v>5693</v>
      </c>
      <c r="C1804" s="8" t="s">
        <v>5918</v>
      </c>
      <c r="D1804" s="10">
        <v>1483</v>
      </c>
      <c r="E1804" s="8" t="s">
        <v>11380</v>
      </c>
      <c r="F1804" s="8" t="s">
        <v>11381</v>
      </c>
      <c r="G1804" s="8" t="s">
        <v>4727</v>
      </c>
      <c r="H1804" s="8" t="s">
        <v>11380</v>
      </c>
      <c r="I1804" s="8"/>
      <c r="J1804" s="15" t="s">
        <v>5695</v>
      </c>
      <c r="K1804" s="8"/>
      <c r="L1804" s="15" t="s">
        <v>1685</v>
      </c>
      <c r="M1804" s="8" t="s">
        <v>5578</v>
      </c>
      <c r="N1804" s="8"/>
      <c r="O1804" s="8" t="s">
        <v>5574</v>
      </c>
      <c r="P1804" s="11"/>
      <c r="Q1804" s="8" t="s">
        <v>5696</v>
      </c>
      <c r="R1804" s="8" t="s">
        <v>5919</v>
      </c>
      <c r="S1804" s="8" t="s">
        <v>11382</v>
      </c>
    </row>
    <row r="1805" spans="1:19" ht="120.95" customHeight="1" x14ac:dyDescent="0.25">
      <c r="A1805" s="8" t="s">
        <v>11383</v>
      </c>
      <c r="B1805" s="8" t="s">
        <v>5693</v>
      </c>
      <c r="C1805" s="8" t="s">
        <v>5918</v>
      </c>
      <c r="D1805" s="10">
        <v>1484</v>
      </c>
      <c r="E1805" s="8" t="s">
        <v>11384</v>
      </c>
      <c r="F1805" s="8" t="s">
        <v>11385</v>
      </c>
      <c r="G1805" s="8" t="s">
        <v>4727</v>
      </c>
      <c r="H1805" s="8" t="s">
        <v>11384</v>
      </c>
      <c r="I1805" s="8"/>
      <c r="J1805" s="15" t="s">
        <v>5695</v>
      </c>
      <c r="K1805" s="8"/>
      <c r="L1805" s="15" t="s">
        <v>1685</v>
      </c>
      <c r="M1805" s="8" t="s">
        <v>5578</v>
      </c>
      <c r="N1805" s="8"/>
      <c r="O1805" s="8" t="s">
        <v>5574</v>
      </c>
      <c r="P1805" s="11"/>
      <c r="Q1805" s="8" t="s">
        <v>5696</v>
      </c>
      <c r="R1805" s="8" t="s">
        <v>5919</v>
      </c>
      <c r="S1805" s="8" t="s">
        <v>11386</v>
      </c>
    </row>
    <row r="1806" spans="1:19" ht="120.95" customHeight="1" x14ac:dyDescent="0.25">
      <c r="A1806" s="8" t="s">
        <v>11387</v>
      </c>
      <c r="B1806" s="8" t="s">
        <v>5693</v>
      </c>
      <c r="C1806" s="8" t="s">
        <v>5918</v>
      </c>
      <c r="D1806" s="10">
        <v>1485</v>
      </c>
      <c r="E1806" s="8" t="s">
        <v>11388</v>
      </c>
      <c r="F1806" s="8" t="s">
        <v>11389</v>
      </c>
      <c r="G1806" s="8" t="s">
        <v>4727</v>
      </c>
      <c r="H1806" s="8" t="s">
        <v>11388</v>
      </c>
      <c r="I1806" s="8"/>
      <c r="J1806" s="15" t="s">
        <v>5695</v>
      </c>
      <c r="K1806" s="8"/>
      <c r="L1806" s="15" t="s">
        <v>1685</v>
      </c>
      <c r="M1806" s="8" t="s">
        <v>5578</v>
      </c>
      <c r="N1806" s="8"/>
      <c r="O1806" s="8" t="s">
        <v>5574</v>
      </c>
      <c r="P1806" s="11"/>
      <c r="Q1806" s="8" t="s">
        <v>5696</v>
      </c>
      <c r="R1806" s="8" t="s">
        <v>5919</v>
      </c>
      <c r="S1806" s="8" t="s">
        <v>11390</v>
      </c>
    </row>
    <row r="1807" spans="1:19" ht="107.1" customHeight="1" x14ac:dyDescent="0.25">
      <c r="A1807" s="8" t="s">
        <v>11391</v>
      </c>
      <c r="B1807" s="8" t="s">
        <v>5693</v>
      </c>
      <c r="C1807" s="8" t="s">
        <v>5918</v>
      </c>
      <c r="D1807" s="10">
        <v>1486</v>
      </c>
      <c r="E1807" s="8" t="s">
        <v>11392</v>
      </c>
      <c r="F1807" s="8" t="s">
        <v>11393</v>
      </c>
      <c r="G1807" s="8" t="s">
        <v>4727</v>
      </c>
      <c r="H1807" s="8" t="s">
        <v>11392</v>
      </c>
      <c r="I1807" s="8"/>
      <c r="J1807" s="15" t="s">
        <v>5695</v>
      </c>
      <c r="K1807" s="8"/>
      <c r="L1807" s="15" t="s">
        <v>1685</v>
      </c>
      <c r="M1807" s="8" t="s">
        <v>5578</v>
      </c>
      <c r="N1807" s="8"/>
      <c r="O1807" s="8" t="s">
        <v>5574</v>
      </c>
      <c r="P1807" s="11"/>
      <c r="Q1807" s="8" t="s">
        <v>5696</v>
      </c>
      <c r="R1807" s="8" t="s">
        <v>5919</v>
      </c>
      <c r="S1807" s="8" t="s">
        <v>11394</v>
      </c>
    </row>
    <row r="1808" spans="1:19" ht="107.1" customHeight="1" x14ac:dyDescent="0.25">
      <c r="A1808" s="8" t="s">
        <v>11395</v>
      </c>
      <c r="B1808" s="8" t="s">
        <v>5693</v>
      </c>
      <c r="C1808" s="8" t="s">
        <v>5918</v>
      </c>
      <c r="D1808" s="10">
        <v>1487</v>
      </c>
      <c r="E1808" s="8" t="s">
        <v>11396</v>
      </c>
      <c r="F1808" s="8" t="s">
        <v>11397</v>
      </c>
      <c r="G1808" s="8" t="s">
        <v>4727</v>
      </c>
      <c r="H1808" s="8" t="s">
        <v>11396</v>
      </c>
      <c r="I1808" s="8"/>
      <c r="J1808" s="15" t="s">
        <v>5695</v>
      </c>
      <c r="K1808" s="8"/>
      <c r="L1808" s="15" t="s">
        <v>1685</v>
      </c>
      <c r="M1808" s="8" t="s">
        <v>5578</v>
      </c>
      <c r="N1808" s="8"/>
      <c r="O1808" s="8" t="s">
        <v>5574</v>
      </c>
      <c r="P1808" s="11"/>
      <c r="Q1808" s="8" t="s">
        <v>5696</v>
      </c>
      <c r="R1808" s="8" t="s">
        <v>5919</v>
      </c>
      <c r="S1808" s="8" t="s">
        <v>11398</v>
      </c>
    </row>
    <row r="1809" spans="1:19" ht="107.1" customHeight="1" x14ac:dyDescent="0.25">
      <c r="A1809" s="8" t="s">
        <v>11399</v>
      </c>
      <c r="B1809" s="8" t="s">
        <v>5693</v>
      </c>
      <c r="C1809" s="8" t="s">
        <v>5918</v>
      </c>
      <c r="D1809" s="10">
        <v>1488</v>
      </c>
      <c r="E1809" s="8" t="s">
        <v>11400</v>
      </c>
      <c r="F1809" s="8" t="s">
        <v>11401</v>
      </c>
      <c r="G1809" s="8" t="s">
        <v>4727</v>
      </c>
      <c r="H1809" s="8" t="s">
        <v>11400</v>
      </c>
      <c r="I1809" s="8"/>
      <c r="J1809" s="15" t="s">
        <v>5695</v>
      </c>
      <c r="K1809" s="8"/>
      <c r="L1809" s="15" t="s">
        <v>1685</v>
      </c>
      <c r="M1809" s="8" t="s">
        <v>5578</v>
      </c>
      <c r="N1809" s="8"/>
      <c r="O1809" s="8" t="s">
        <v>5574</v>
      </c>
      <c r="P1809" s="11"/>
      <c r="Q1809" s="8" t="s">
        <v>5696</v>
      </c>
      <c r="R1809" s="8" t="s">
        <v>5919</v>
      </c>
      <c r="S1809" s="8" t="s">
        <v>11402</v>
      </c>
    </row>
    <row r="1810" spans="1:19" ht="107.1" customHeight="1" x14ac:dyDescent="0.25">
      <c r="A1810" s="8" t="s">
        <v>11403</v>
      </c>
      <c r="B1810" s="8" t="s">
        <v>5693</v>
      </c>
      <c r="C1810" s="8" t="s">
        <v>5918</v>
      </c>
      <c r="D1810" s="10">
        <v>1489</v>
      </c>
      <c r="E1810" s="8" t="s">
        <v>11404</v>
      </c>
      <c r="F1810" s="8" t="s">
        <v>11405</v>
      </c>
      <c r="G1810" s="8" t="s">
        <v>4727</v>
      </c>
      <c r="H1810" s="8" t="s">
        <v>11404</v>
      </c>
      <c r="I1810" s="8"/>
      <c r="J1810" s="15" t="s">
        <v>5695</v>
      </c>
      <c r="K1810" s="8"/>
      <c r="L1810" s="15" t="s">
        <v>1685</v>
      </c>
      <c r="M1810" s="8" t="s">
        <v>5578</v>
      </c>
      <c r="N1810" s="8"/>
      <c r="O1810" s="8" t="s">
        <v>5574</v>
      </c>
      <c r="P1810" s="11"/>
      <c r="Q1810" s="8" t="s">
        <v>5696</v>
      </c>
      <c r="R1810" s="8" t="s">
        <v>5919</v>
      </c>
      <c r="S1810" s="8" t="s">
        <v>11406</v>
      </c>
    </row>
    <row r="1811" spans="1:19" ht="107.1" customHeight="1" x14ac:dyDescent="0.25">
      <c r="A1811" s="8" t="s">
        <v>11407</v>
      </c>
      <c r="B1811" s="8" t="s">
        <v>5693</v>
      </c>
      <c r="C1811" s="8" t="s">
        <v>5918</v>
      </c>
      <c r="D1811" s="10">
        <v>1490</v>
      </c>
      <c r="E1811" s="8" t="s">
        <v>11408</v>
      </c>
      <c r="F1811" s="8" t="s">
        <v>11409</v>
      </c>
      <c r="G1811" s="8" t="s">
        <v>4727</v>
      </c>
      <c r="H1811" s="8" t="s">
        <v>11408</v>
      </c>
      <c r="I1811" s="8"/>
      <c r="J1811" s="15" t="s">
        <v>5695</v>
      </c>
      <c r="K1811" s="8"/>
      <c r="L1811" s="15" t="s">
        <v>1685</v>
      </c>
      <c r="M1811" s="8" t="s">
        <v>5578</v>
      </c>
      <c r="N1811" s="8"/>
      <c r="O1811" s="8" t="s">
        <v>5574</v>
      </c>
      <c r="P1811" s="11"/>
      <c r="Q1811" s="8" t="s">
        <v>5696</v>
      </c>
      <c r="R1811" s="8" t="s">
        <v>5919</v>
      </c>
      <c r="S1811" s="8" t="s">
        <v>11410</v>
      </c>
    </row>
    <row r="1812" spans="1:19" ht="107.1" customHeight="1" x14ac:dyDescent="0.25">
      <c r="A1812" s="8" t="s">
        <v>11411</v>
      </c>
      <c r="B1812" s="8" t="s">
        <v>5693</v>
      </c>
      <c r="C1812" s="8" t="s">
        <v>5918</v>
      </c>
      <c r="D1812" s="10">
        <v>1491</v>
      </c>
      <c r="E1812" s="8" t="s">
        <v>11412</v>
      </c>
      <c r="F1812" s="8" t="s">
        <v>11413</v>
      </c>
      <c r="G1812" s="8" t="s">
        <v>4727</v>
      </c>
      <c r="H1812" s="8" t="s">
        <v>11412</v>
      </c>
      <c r="I1812" s="8"/>
      <c r="J1812" s="15" t="s">
        <v>5695</v>
      </c>
      <c r="K1812" s="8"/>
      <c r="L1812" s="15" t="s">
        <v>1685</v>
      </c>
      <c r="M1812" s="8" t="s">
        <v>5578</v>
      </c>
      <c r="N1812" s="8"/>
      <c r="O1812" s="8" t="s">
        <v>5574</v>
      </c>
      <c r="P1812" s="11"/>
      <c r="Q1812" s="8" t="s">
        <v>5696</v>
      </c>
      <c r="R1812" s="8" t="s">
        <v>5919</v>
      </c>
      <c r="S1812" s="8" t="s">
        <v>11414</v>
      </c>
    </row>
    <row r="1813" spans="1:19" ht="107.1" customHeight="1" x14ac:dyDescent="0.25">
      <c r="A1813" s="8" t="s">
        <v>11415</v>
      </c>
      <c r="B1813" s="8" t="s">
        <v>5693</v>
      </c>
      <c r="C1813" s="8" t="s">
        <v>5918</v>
      </c>
      <c r="D1813" s="10">
        <v>1492</v>
      </c>
      <c r="E1813" s="8" t="s">
        <v>11416</v>
      </c>
      <c r="F1813" s="8" t="s">
        <v>11417</v>
      </c>
      <c r="G1813" s="8" t="s">
        <v>4727</v>
      </c>
      <c r="H1813" s="8" t="s">
        <v>11416</v>
      </c>
      <c r="I1813" s="8"/>
      <c r="J1813" s="15" t="s">
        <v>5695</v>
      </c>
      <c r="K1813" s="8"/>
      <c r="L1813" s="15" t="s">
        <v>1685</v>
      </c>
      <c r="M1813" s="8" t="s">
        <v>5578</v>
      </c>
      <c r="N1813" s="8"/>
      <c r="O1813" s="8" t="s">
        <v>5574</v>
      </c>
      <c r="P1813" s="11"/>
      <c r="Q1813" s="8" t="s">
        <v>5696</v>
      </c>
      <c r="R1813" s="8" t="s">
        <v>5919</v>
      </c>
      <c r="S1813" s="8" t="s">
        <v>11418</v>
      </c>
    </row>
    <row r="1814" spans="1:19" ht="107.1" customHeight="1" x14ac:dyDescent="0.25">
      <c r="A1814" s="8" t="s">
        <v>11419</v>
      </c>
      <c r="B1814" s="8" t="s">
        <v>5693</v>
      </c>
      <c r="C1814" s="8" t="s">
        <v>5918</v>
      </c>
      <c r="D1814" s="10">
        <v>1493</v>
      </c>
      <c r="E1814" s="8" t="s">
        <v>11420</v>
      </c>
      <c r="F1814" s="8" t="s">
        <v>11421</v>
      </c>
      <c r="G1814" s="8" t="s">
        <v>4727</v>
      </c>
      <c r="H1814" s="8" t="s">
        <v>11420</v>
      </c>
      <c r="I1814" s="8"/>
      <c r="J1814" s="15" t="s">
        <v>5695</v>
      </c>
      <c r="K1814" s="8"/>
      <c r="L1814" s="15" t="s">
        <v>1685</v>
      </c>
      <c r="M1814" s="8" t="s">
        <v>5578</v>
      </c>
      <c r="N1814" s="8"/>
      <c r="O1814" s="8" t="s">
        <v>5574</v>
      </c>
      <c r="P1814" s="11"/>
      <c r="Q1814" s="8" t="s">
        <v>5696</v>
      </c>
      <c r="R1814" s="8" t="s">
        <v>5919</v>
      </c>
      <c r="S1814" s="8" t="s">
        <v>11422</v>
      </c>
    </row>
    <row r="1815" spans="1:19" ht="107.1" customHeight="1" x14ac:dyDescent="0.25">
      <c r="A1815" s="8" t="s">
        <v>11423</v>
      </c>
      <c r="B1815" s="8" t="s">
        <v>5693</v>
      </c>
      <c r="C1815" s="8" t="s">
        <v>5918</v>
      </c>
      <c r="D1815" s="10">
        <v>1494</v>
      </c>
      <c r="E1815" s="8" t="s">
        <v>11424</v>
      </c>
      <c r="F1815" s="8" t="s">
        <v>11425</v>
      </c>
      <c r="G1815" s="8" t="s">
        <v>4727</v>
      </c>
      <c r="H1815" s="8" t="s">
        <v>11424</v>
      </c>
      <c r="I1815" s="8"/>
      <c r="J1815" s="15" t="s">
        <v>5695</v>
      </c>
      <c r="K1815" s="8"/>
      <c r="L1815" s="15" t="s">
        <v>1685</v>
      </c>
      <c r="M1815" s="8" t="s">
        <v>5578</v>
      </c>
      <c r="N1815" s="8"/>
      <c r="O1815" s="8" t="s">
        <v>5574</v>
      </c>
      <c r="P1815" s="11"/>
      <c r="Q1815" s="8" t="s">
        <v>5696</v>
      </c>
      <c r="R1815" s="8" t="s">
        <v>5919</v>
      </c>
      <c r="S1815" s="8" t="s">
        <v>11426</v>
      </c>
    </row>
    <row r="1816" spans="1:19" ht="107.1" customHeight="1" x14ac:dyDescent="0.25">
      <c r="A1816" s="8" t="s">
        <v>11427</v>
      </c>
      <c r="B1816" s="8" t="s">
        <v>5693</v>
      </c>
      <c r="C1816" s="8" t="s">
        <v>5918</v>
      </c>
      <c r="D1816" s="10">
        <v>1495</v>
      </c>
      <c r="E1816" s="8" t="s">
        <v>11428</v>
      </c>
      <c r="F1816" s="8" t="s">
        <v>11429</v>
      </c>
      <c r="G1816" s="8" t="s">
        <v>4727</v>
      </c>
      <c r="H1816" s="8" t="s">
        <v>11428</v>
      </c>
      <c r="I1816" s="8"/>
      <c r="J1816" s="15" t="s">
        <v>5695</v>
      </c>
      <c r="K1816" s="8"/>
      <c r="L1816" s="15" t="s">
        <v>1685</v>
      </c>
      <c r="M1816" s="8" t="s">
        <v>5578</v>
      </c>
      <c r="N1816" s="8"/>
      <c r="O1816" s="8" t="s">
        <v>5574</v>
      </c>
      <c r="P1816" s="11"/>
      <c r="Q1816" s="8" t="s">
        <v>5696</v>
      </c>
      <c r="R1816" s="8" t="s">
        <v>5919</v>
      </c>
      <c r="S1816" s="8" t="s">
        <v>11430</v>
      </c>
    </row>
    <row r="1817" spans="1:19" ht="107.1" customHeight="1" x14ac:dyDescent="0.25">
      <c r="A1817" s="8" t="s">
        <v>11431</v>
      </c>
      <c r="B1817" s="8" t="s">
        <v>5693</v>
      </c>
      <c r="C1817" s="8" t="s">
        <v>5918</v>
      </c>
      <c r="D1817" s="10">
        <v>1496</v>
      </c>
      <c r="E1817" s="8" t="s">
        <v>11432</v>
      </c>
      <c r="F1817" s="8" t="s">
        <v>11433</v>
      </c>
      <c r="G1817" s="8" t="s">
        <v>4727</v>
      </c>
      <c r="H1817" s="8" t="s">
        <v>11432</v>
      </c>
      <c r="I1817" s="8"/>
      <c r="J1817" s="15" t="s">
        <v>5695</v>
      </c>
      <c r="K1817" s="8"/>
      <c r="L1817" s="15" t="s">
        <v>1685</v>
      </c>
      <c r="M1817" s="8" t="s">
        <v>5578</v>
      </c>
      <c r="N1817" s="8"/>
      <c r="O1817" s="8" t="s">
        <v>5574</v>
      </c>
      <c r="P1817" s="11"/>
      <c r="Q1817" s="8" t="s">
        <v>5696</v>
      </c>
      <c r="R1817" s="8" t="s">
        <v>5919</v>
      </c>
      <c r="S1817" s="8" t="s">
        <v>11434</v>
      </c>
    </row>
    <row r="1818" spans="1:19" ht="107.1" customHeight="1" x14ac:dyDescent="0.25">
      <c r="A1818" s="8" t="s">
        <v>11435</v>
      </c>
      <c r="B1818" s="8" t="s">
        <v>5693</v>
      </c>
      <c r="C1818" s="8" t="s">
        <v>5918</v>
      </c>
      <c r="D1818" s="10">
        <v>1497</v>
      </c>
      <c r="E1818" s="8" t="s">
        <v>11436</v>
      </c>
      <c r="F1818" s="8" t="s">
        <v>11437</v>
      </c>
      <c r="G1818" s="8" t="s">
        <v>4727</v>
      </c>
      <c r="H1818" s="8" t="s">
        <v>11436</v>
      </c>
      <c r="I1818" s="8"/>
      <c r="J1818" s="15" t="s">
        <v>5695</v>
      </c>
      <c r="K1818" s="8"/>
      <c r="L1818" s="15" t="s">
        <v>1685</v>
      </c>
      <c r="M1818" s="8" t="s">
        <v>5578</v>
      </c>
      <c r="N1818" s="8"/>
      <c r="O1818" s="8" t="s">
        <v>5574</v>
      </c>
      <c r="P1818" s="11"/>
      <c r="Q1818" s="8" t="s">
        <v>5696</v>
      </c>
      <c r="R1818" s="8" t="s">
        <v>5919</v>
      </c>
      <c r="S1818" s="8" t="s">
        <v>11438</v>
      </c>
    </row>
    <row r="1819" spans="1:19" ht="107.1" customHeight="1" x14ac:dyDescent="0.25">
      <c r="A1819" s="8" t="s">
        <v>11439</v>
      </c>
      <c r="B1819" s="8" t="s">
        <v>5693</v>
      </c>
      <c r="C1819" s="8" t="s">
        <v>5918</v>
      </c>
      <c r="D1819" s="10">
        <v>1498</v>
      </c>
      <c r="E1819" s="8" t="s">
        <v>11440</v>
      </c>
      <c r="F1819" s="8" t="s">
        <v>11441</v>
      </c>
      <c r="G1819" s="8" t="s">
        <v>4727</v>
      </c>
      <c r="H1819" s="8" t="s">
        <v>11440</v>
      </c>
      <c r="I1819" s="8"/>
      <c r="J1819" s="15" t="s">
        <v>5695</v>
      </c>
      <c r="K1819" s="8"/>
      <c r="L1819" s="15" t="s">
        <v>1685</v>
      </c>
      <c r="M1819" s="8" t="s">
        <v>5578</v>
      </c>
      <c r="N1819" s="8"/>
      <c r="O1819" s="8" t="s">
        <v>5574</v>
      </c>
      <c r="P1819" s="11"/>
      <c r="Q1819" s="8" t="s">
        <v>5696</v>
      </c>
      <c r="R1819" s="8" t="s">
        <v>5919</v>
      </c>
      <c r="S1819" s="8" t="s">
        <v>11442</v>
      </c>
    </row>
    <row r="1820" spans="1:19" ht="107.1" customHeight="1" x14ac:dyDescent="0.25">
      <c r="A1820" s="8" t="s">
        <v>11443</v>
      </c>
      <c r="B1820" s="8" t="s">
        <v>5693</v>
      </c>
      <c r="C1820" s="8" t="s">
        <v>5918</v>
      </c>
      <c r="D1820" s="10">
        <v>1499</v>
      </c>
      <c r="E1820" s="8" t="s">
        <v>11444</v>
      </c>
      <c r="F1820" s="8" t="s">
        <v>11445</v>
      </c>
      <c r="G1820" s="8" t="s">
        <v>4727</v>
      </c>
      <c r="H1820" s="8" t="s">
        <v>11444</v>
      </c>
      <c r="I1820" s="8"/>
      <c r="J1820" s="15" t="s">
        <v>5695</v>
      </c>
      <c r="K1820" s="8"/>
      <c r="L1820" s="15" t="s">
        <v>1685</v>
      </c>
      <c r="M1820" s="8" t="s">
        <v>5578</v>
      </c>
      <c r="N1820" s="8"/>
      <c r="O1820" s="8" t="s">
        <v>5574</v>
      </c>
      <c r="P1820" s="11"/>
      <c r="Q1820" s="8" t="s">
        <v>5696</v>
      </c>
      <c r="R1820" s="8" t="s">
        <v>5919</v>
      </c>
      <c r="S1820" s="8" t="s">
        <v>11446</v>
      </c>
    </row>
    <row r="1821" spans="1:19" ht="107.1" customHeight="1" x14ac:dyDescent="0.25">
      <c r="A1821" s="8" t="s">
        <v>11447</v>
      </c>
      <c r="B1821" s="8" t="s">
        <v>5693</v>
      </c>
      <c r="C1821" s="8" t="s">
        <v>5918</v>
      </c>
      <c r="D1821" s="10">
        <v>1500</v>
      </c>
      <c r="E1821" s="8" t="s">
        <v>11448</v>
      </c>
      <c r="F1821" s="8" t="s">
        <v>11449</v>
      </c>
      <c r="G1821" s="8" t="s">
        <v>4727</v>
      </c>
      <c r="H1821" s="8" t="s">
        <v>11448</v>
      </c>
      <c r="I1821" s="8"/>
      <c r="J1821" s="15" t="s">
        <v>5695</v>
      </c>
      <c r="K1821" s="8"/>
      <c r="L1821" s="15" t="s">
        <v>1685</v>
      </c>
      <c r="M1821" s="8" t="s">
        <v>5578</v>
      </c>
      <c r="N1821" s="8"/>
      <c r="O1821" s="8" t="s">
        <v>5574</v>
      </c>
      <c r="P1821" s="11"/>
      <c r="Q1821" s="8" t="s">
        <v>5696</v>
      </c>
      <c r="R1821" s="8" t="s">
        <v>5919</v>
      </c>
      <c r="S1821" s="8" t="s">
        <v>11450</v>
      </c>
    </row>
    <row r="1822" spans="1:19" ht="107.1" customHeight="1" x14ac:dyDescent="0.25">
      <c r="A1822" s="8" t="s">
        <v>11451</v>
      </c>
      <c r="B1822" s="8" t="s">
        <v>5693</v>
      </c>
      <c r="C1822" s="8" t="s">
        <v>5918</v>
      </c>
      <c r="D1822" s="10">
        <v>1501</v>
      </c>
      <c r="E1822" s="8" t="s">
        <v>11452</v>
      </c>
      <c r="F1822" s="8" t="s">
        <v>11453</v>
      </c>
      <c r="G1822" s="8" t="s">
        <v>4727</v>
      </c>
      <c r="H1822" s="8" t="s">
        <v>11452</v>
      </c>
      <c r="I1822" s="8"/>
      <c r="J1822" s="15" t="s">
        <v>5695</v>
      </c>
      <c r="K1822" s="8"/>
      <c r="L1822" s="15" t="s">
        <v>1685</v>
      </c>
      <c r="M1822" s="8" t="s">
        <v>5578</v>
      </c>
      <c r="N1822" s="8"/>
      <c r="O1822" s="8" t="s">
        <v>5574</v>
      </c>
      <c r="P1822" s="11"/>
      <c r="Q1822" s="8" t="s">
        <v>5696</v>
      </c>
      <c r="R1822" s="8" t="s">
        <v>5919</v>
      </c>
      <c r="S1822" s="8" t="s">
        <v>11454</v>
      </c>
    </row>
    <row r="1823" spans="1:19" ht="107.1" customHeight="1" x14ac:dyDescent="0.25">
      <c r="A1823" s="8" t="s">
        <v>11455</v>
      </c>
      <c r="B1823" s="8" t="s">
        <v>5693</v>
      </c>
      <c r="C1823" s="8" t="s">
        <v>5918</v>
      </c>
      <c r="D1823" s="10">
        <v>1502</v>
      </c>
      <c r="E1823" s="8" t="s">
        <v>11456</v>
      </c>
      <c r="F1823" s="8" t="s">
        <v>11457</v>
      </c>
      <c r="G1823" s="8" t="s">
        <v>4727</v>
      </c>
      <c r="H1823" s="8" t="s">
        <v>11456</v>
      </c>
      <c r="I1823" s="8"/>
      <c r="J1823" s="15" t="s">
        <v>5695</v>
      </c>
      <c r="K1823" s="8"/>
      <c r="L1823" s="15" t="s">
        <v>1685</v>
      </c>
      <c r="M1823" s="8" t="s">
        <v>5578</v>
      </c>
      <c r="N1823" s="8"/>
      <c r="O1823" s="8" t="s">
        <v>5574</v>
      </c>
      <c r="P1823" s="11"/>
      <c r="Q1823" s="8" t="s">
        <v>5696</v>
      </c>
      <c r="R1823" s="8" t="s">
        <v>5919</v>
      </c>
      <c r="S1823" s="8" t="s">
        <v>11458</v>
      </c>
    </row>
    <row r="1824" spans="1:19" ht="107.1" customHeight="1" x14ac:dyDescent="0.25">
      <c r="A1824" s="8" t="s">
        <v>11459</v>
      </c>
      <c r="B1824" s="8" t="s">
        <v>5693</v>
      </c>
      <c r="C1824" s="8" t="s">
        <v>5918</v>
      </c>
      <c r="D1824" s="10">
        <v>1503</v>
      </c>
      <c r="E1824" s="8" t="s">
        <v>11460</v>
      </c>
      <c r="F1824" s="8" t="s">
        <v>11461</v>
      </c>
      <c r="G1824" s="8" t="s">
        <v>4727</v>
      </c>
      <c r="H1824" s="8" t="s">
        <v>11460</v>
      </c>
      <c r="I1824" s="8"/>
      <c r="J1824" s="15" t="s">
        <v>5695</v>
      </c>
      <c r="K1824" s="8"/>
      <c r="L1824" s="15" t="s">
        <v>1685</v>
      </c>
      <c r="M1824" s="8" t="s">
        <v>5578</v>
      </c>
      <c r="N1824" s="8"/>
      <c r="O1824" s="8" t="s">
        <v>5574</v>
      </c>
      <c r="P1824" s="11"/>
      <c r="Q1824" s="8" t="s">
        <v>5696</v>
      </c>
      <c r="R1824" s="8" t="s">
        <v>5919</v>
      </c>
      <c r="S1824" s="8" t="s">
        <v>11462</v>
      </c>
    </row>
    <row r="1825" spans="1:19" ht="107.1" customHeight="1" x14ac:dyDescent="0.25">
      <c r="A1825" s="8" t="s">
        <v>11463</v>
      </c>
      <c r="B1825" s="8" t="s">
        <v>5693</v>
      </c>
      <c r="C1825" s="8" t="s">
        <v>5918</v>
      </c>
      <c r="D1825" s="10">
        <v>1504</v>
      </c>
      <c r="E1825" s="8" t="s">
        <v>11464</v>
      </c>
      <c r="F1825" s="8" t="s">
        <v>11465</v>
      </c>
      <c r="G1825" s="8" t="s">
        <v>4727</v>
      </c>
      <c r="H1825" s="8" t="s">
        <v>11464</v>
      </c>
      <c r="I1825" s="8"/>
      <c r="J1825" s="15" t="s">
        <v>5695</v>
      </c>
      <c r="K1825" s="8"/>
      <c r="L1825" s="15" t="s">
        <v>1685</v>
      </c>
      <c r="M1825" s="8" t="s">
        <v>5578</v>
      </c>
      <c r="N1825" s="8"/>
      <c r="O1825" s="8" t="s">
        <v>5574</v>
      </c>
      <c r="P1825" s="11"/>
      <c r="Q1825" s="8" t="s">
        <v>5696</v>
      </c>
      <c r="R1825" s="8" t="s">
        <v>5919</v>
      </c>
      <c r="S1825" s="8" t="s">
        <v>11466</v>
      </c>
    </row>
    <row r="1826" spans="1:19" ht="107.1" customHeight="1" x14ac:dyDescent="0.25">
      <c r="A1826" s="8" t="s">
        <v>11467</v>
      </c>
      <c r="B1826" s="8" t="s">
        <v>5693</v>
      </c>
      <c r="C1826" s="8" t="s">
        <v>5918</v>
      </c>
      <c r="D1826" s="10">
        <v>1505</v>
      </c>
      <c r="E1826" s="8" t="s">
        <v>11468</v>
      </c>
      <c r="F1826" s="8" t="s">
        <v>11469</v>
      </c>
      <c r="G1826" s="8" t="s">
        <v>4727</v>
      </c>
      <c r="H1826" s="8" t="s">
        <v>11468</v>
      </c>
      <c r="I1826" s="8"/>
      <c r="J1826" s="15" t="s">
        <v>5695</v>
      </c>
      <c r="K1826" s="8"/>
      <c r="L1826" s="15" t="s">
        <v>1685</v>
      </c>
      <c r="M1826" s="8" t="s">
        <v>5578</v>
      </c>
      <c r="N1826" s="8"/>
      <c r="O1826" s="8" t="s">
        <v>5574</v>
      </c>
      <c r="P1826" s="11"/>
      <c r="Q1826" s="8" t="s">
        <v>5696</v>
      </c>
      <c r="R1826" s="8" t="s">
        <v>5919</v>
      </c>
      <c r="S1826" s="8" t="s">
        <v>11470</v>
      </c>
    </row>
    <row r="1827" spans="1:19" ht="107.1" customHeight="1" x14ac:dyDescent="0.25">
      <c r="A1827" s="8" t="s">
        <v>11471</v>
      </c>
      <c r="B1827" s="8" t="s">
        <v>5693</v>
      </c>
      <c r="C1827" s="8" t="s">
        <v>5918</v>
      </c>
      <c r="D1827" s="10">
        <v>1506</v>
      </c>
      <c r="E1827" s="8" t="s">
        <v>11472</v>
      </c>
      <c r="F1827" s="8" t="s">
        <v>11473</v>
      </c>
      <c r="G1827" s="8" t="s">
        <v>4727</v>
      </c>
      <c r="H1827" s="8" t="s">
        <v>11472</v>
      </c>
      <c r="I1827" s="8"/>
      <c r="J1827" s="15" t="s">
        <v>5695</v>
      </c>
      <c r="K1827" s="8"/>
      <c r="L1827" s="15" t="s">
        <v>1685</v>
      </c>
      <c r="M1827" s="8" t="s">
        <v>5578</v>
      </c>
      <c r="N1827" s="8"/>
      <c r="O1827" s="8" t="s">
        <v>5574</v>
      </c>
      <c r="P1827" s="11"/>
      <c r="Q1827" s="8" t="s">
        <v>5696</v>
      </c>
      <c r="R1827" s="8" t="s">
        <v>5919</v>
      </c>
      <c r="S1827" s="8" t="s">
        <v>11474</v>
      </c>
    </row>
    <row r="1828" spans="1:19" ht="107.1" customHeight="1" x14ac:dyDescent="0.25">
      <c r="A1828" s="8" t="s">
        <v>11475</v>
      </c>
      <c r="B1828" s="8" t="s">
        <v>5693</v>
      </c>
      <c r="C1828" s="8" t="s">
        <v>5918</v>
      </c>
      <c r="D1828" s="10">
        <v>1507</v>
      </c>
      <c r="E1828" s="8" t="s">
        <v>11476</v>
      </c>
      <c r="F1828" s="8" t="s">
        <v>11477</v>
      </c>
      <c r="G1828" s="8" t="s">
        <v>4727</v>
      </c>
      <c r="H1828" s="8" t="s">
        <v>11476</v>
      </c>
      <c r="I1828" s="8"/>
      <c r="J1828" s="15" t="s">
        <v>5695</v>
      </c>
      <c r="K1828" s="8"/>
      <c r="L1828" s="15" t="s">
        <v>1685</v>
      </c>
      <c r="M1828" s="8" t="s">
        <v>5578</v>
      </c>
      <c r="N1828" s="8"/>
      <c r="O1828" s="8" t="s">
        <v>5574</v>
      </c>
      <c r="P1828" s="11"/>
      <c r="Q1828" s="8" t="s">
        <v>5696</v>
      </c>
      <c r="R1828" s="8" t="s">
        <v>5919</v>
      </c>
      <c r="S1828" s="8" t="s">
        <v>11478</v>
      </c>
    </row>
    <row r="1829" spans="1:19" ht="107.1" customHeight="1" x14ac:dyDescent="0.25">
      <c r="A1829" s="8" t="s">
        <v>11479</v>
      </c>
      <c r="B1829" s="8" t="s">
        <v>5693</v>
      </c>
      <c r="C1829" s="8" t="s">
        <v>5918</v>
      </c>
      <c r="D1829" s="10">
        <v>1508</v>
      </c>
      <c r="E1829" s="8" t="s">
        <v>11480</v>
      </c>
      <c r="F1829" s="8" t="s">
        <v>11481</v>
      </c>
      <c r="G1829" s="8" t="s">
        <v>4727</v>
      </c>
      <c r="H1829" s="8" t="s">
        <v>11480</v>
      </c>
      <c r="I1829" s="8"/>
      <c r="J1829" s="15" t="s">
        <v>5695</v>
      </c>
      <c r="K1829" s="8"/>
      <c r="L1829" s="15" t="s">
        <v>1685</v>
      </c>
      <c r="M1829" s="8" t="s">
        <v>5578</v>
      </c>
      <c r="N1829" s="8"/>
      <c r="O1829" s="8" t="s">
        <v>5574</v>
      </c>
      <c r="P1829" s="11"/>
      <c r="Q1829" s="8" t="s">
        <v>5696</v>
      </c>
      <c r="R1829" s="8" t="s">
        <v>5919</v>
      </c>
      <c r="S1829" s="8" t="s">
        <v>11482</v>
      </c>
    </row>
    <row r="1830" spans="1:19" ht="107.1" customHeight="1" x14ac:dyDescent="0.25">
      <c r="A1830" s="8" t="s">
        <v>11483</v>
      </c>
      <c r="B1830" s="8" t="s">
        <v>5693</v>
      </c>
      <c r="C1830" s="8" t="s">
        <v>5918</v>
      </c>
      <c r="D1830" s="10">
        <v>1509</v>
      </c>
      <c r="E1830" s="8" t="s">
        <v>11484</v>
      </c>
      <c r="F1830" s="8" t="s">
        <v>11485</v>
      </c>
      <c r="G1830" s="8" t="s">
        <v>4727</v>
      </c>
      <c r="H1830" s="8" t="s">
        <v>11484</v>
      </c>
      <c r="I1830" s="8"/>
      <c r="J1830" s="15" t="s">
        <v>5695</v>
      </c>
      <c r="K1830" s="8"/>
      <c r="L1830" s="15" t="s">
        <v>1685</v>
      </c>
      <c r="M1830" s="8" t="s">
        <v>5578</v>
      </c>
      <c r="N1830" s="8"/>
      <c r="O1830" s="8" t="s">
        <v>5574</v>
      </c>
      <c r="P1830" s="11"/>
      <c r="Q1830" s="8" t="s">
        <v>5696</v>
      </c>
      <c r="R1830" s="8" t="s">
        <v>5919</v>
      </c>
      <c r="S1830" s="8" t="s">
        <v>11486</v>
      </c>
    </row>
    <row r="1831" spans="1:19" ht="107.1" customHeight="1" x14ac:dyDescent="0.25">
      <c r="A1831" s="8" t="s">
        <v>11487</v>
      </c>
      <c r="B1831" s="8" t="s">
        <v>5693</v>
      </c>
      <c r="C1831" s="8" t="s">
        <v>5918</v>
      </c>
      <c r="D1831" s="10">
        <v>1510</v>
      </c>
      <c r="E1831" s="8" t="s">
        <v>11488</v>
      </c>
      <c r="F1831" s="8" t="s">
        <v>11489</v>
      </c>
      <c r="G1831" s="8" t="s">
        <v>4727</v>
      </c>
      <c r="H1831" s="8" t="s">
        <v>11488</v>
      </c>
      <c r="I1831" s="8"/>
      <c r="J1831" s="15" t="s">
        <v>5695</v>
      </c>
      <c r="K1831" s="8"/>
      <c r="L1831" s="15" t="s">
        <v>1685</v>
      </c>
      <c r="M1831" s="8" t="s">
        <v>5578</v>
      </c>
      <c r="N1831" s="8"/>
      <c r="O1831" s="8" t="s">
        <v>5574</v>
      </c>
      <c r="P1831" s="11"/>
      <c r="Q1831" s="8" t="s">
        <v>5696</v>
      </c>
      <c r="R1831" s="8" t="s">
        <v>5919</v>
      </c>
      <c r="S1831" s="8" t="s">
        <v>11490</v>
      </c>
    </row>
    <row r="1832" spans="1:19" ht="107.1" customHeight="1" x14ac:dyDescent="0.25">
      <c r="A1832" s="8" t="s">
        <v>11491</v>
      </c>
      <c r="B1832" s="8" t="s">
        <v>5693</v>
      </c>
      <c r="C1832" s="8" t="s">
        <v>5918</v>
      </c>
      <c r="D1832" s="10">
        <v>1511</v>
      </c>
      <c r="E1832" s="8" t="s">
        <v>11492</v>
      </c>
      <c r="F1832" s="8" t="s">
        <v>11493</v>
      </c>
      <c r="G1832" s="8" t="s">
        <v>4727</v>
      </c>
      <c r="H1832" s="8" t="s">
        <v>11492</v>
      </c>
      <c r="I1832" s="8"/>
      <c r="J1832" s="15" t="s">
        <v>5695</v>
      </c>
      <c r="K1832" s="8"/>
      <c r="L1832" s="15" t="s">
        <v>1685</v>
      </c>
      <c r="M1832" s="8" t="s">
        <v>5578</v>
      </c>
      <c r="N1832" s="8"/>
      <c r="O1832" s="8" t="s">
        <v>5574</v>
      </c>
      <c r="P1832" s="11"/>
      <c r="Q1832" s="8" t="s">
        <v>5696</v>
      </c>
      <c r="R1832" s="8" t="s">
        <v>5919</v>
      </c>
      <c r="S1832" s="8" t="s">
        <v>11494</v>
      </c>
    </row>
    <row r="1833" spans="1:19" ht="107.1" customHeight="1" x14ac:dyDescent="0.25">
      <c r="A1833" s="8" t="s">
        <v>11495</v>
      </c>
      <c r="B1833" s="8" t="s">
        <v>5693</v>
      </c>
      <c r="C1833" s="8" t="s">
        <v>5918</v>
      </c>
      <c r="D1833" s="10">
        <v>1512</v>
      </c>
      <c r="E1833" s="8" t="s">
        <v>11496</v>
      </c>
      <c r="F1833" s="8" t="s">
        <v>11497</v>
      </c>
      <c r="G1833" s="8" t="s">
        <v>4727</v>
      </c>
      <c r="H1833" s="8" t="s">
        <v>11496</v>
      </c>
      <c r="I1833" s="8"/>
      <c r="J1833" s="15" t="s">
        <v>5695</v>
      </c>
      <c r="K1833" s="8"/>
      <c r="L1833" s="15" t="s">
        <v>1685</v>
      </c>
      <c r="M1833" s="8" t="s">
        <v>5578</v>
      </c>
      <c r="N1833" s="8"/>
      <c r="O1833" s="8" t="s">
        <v>5574</v>
      </c>
      <c r="P1833" s="11"/>
      <c r="Q1833" s="8" t="s">
        <v>5696</v>
      </c>
      <c r="R1833" s="8" t="s">
        <v>5919</v>
      </c>
      <c r="S1833" s="8" t="s">
        <v>11498</v>
      </c>
    </row>
    <row r="1834" spans="1:19" ht="107.1" customHeight="1" x14ac:dyDescent="0.25">
      <c r="A1834" s="8" t="s">
        <v>11499</v>
      </c>
      <c r="B1834" s="8" t="s">
        <v>5693</v>
      </c>
      <c r="C1834" s="8" t="s">
        <v>5918</v>
      </c>
      <c r="D1834" s="10">
        <v>1513</v>
      </c>
      <c r="E1834" s="8" t="s">
        <v>11500</v>
      </c>
      <c r="F1834" s="8" t="s">
        <v>11501</v>
      </c>
      <c r="G1834" s="8" t="s">
        <v>4727</v>
      </c>
      <c r="H1834" s="8" t="s">
        <v>11500</v>
      </c>
      <c r="I1834" s="8"/>
      <c r="J1834" s="15" t="s">
        <v>5695</v>
      </c>
      <c r="K1834" s="8"/>
      <c r="L1834" s="15" t="s">
        <v>1685</v>
      </c>
      <c r="M1834" s="8" t="s">
        <v>5578</v>
      </c>
      <c r="N1834" s="8"/>
      <c r="O1834" s="8" t="s">
        <v>5574</v>
      </c>
      <c r="P1834" s="11"/>
      <c r="Q1834" s="8" t="s">
        <v>5696</v>
      </c>
      <c r="R1834" s="8" t="s">
        <v>5919</v>
      </c>
      <c r="S1834" s="8" t="s">
        <v>11502</v>
      </c>
    </row>
    <row r="1835" spans="1:19" ht="107.1" customHeight="1" x14ac:dyDescent="0.25">
      <c r="A1835" s="8" t="s">
        <v>11503</v>
      </c>
      <c r="B1835" s="8" t="s">
        <v>5693</v>
      </c>
      <c r="C1835" s="8" t="s">
        <v>5918</v>
      </c>
      <c r="D1835" s="10">
        <v>1514</v>
      </c>
      <c r="E1835" s="8" t="s">
        <v>11504</v>
      </c>
      <c r="F1835" s="8" t="s">
        <v>11505</v>
      </c>
      <c r="G1835" s="8" t="s">
        <v>4727</v>
      </c>
      <c r="H1835" s="8" t="s">
        <v>11504</v>
      </c>
      <c r="I1835" s="8"/>
      <c r="J1835" s="15" t="s">
        <v>5695</v>
      </c>
      <c r="K1835" s="8"/>
      <c r="L1835" s="15" t="s">
        <v>1685</v>
      </c>
      <c r="M1835" s="8" t="s">
        <v>5578</v>
      </c>
      <c r="N1835" s="8"/>
      <c r="O1835" s="8" t="s">
        <v>5574</v>
      </c>
      <c r="P1835" s="11"/>
      <c r="Q1835" s="8" t="s">
        <v>5696</v>
      </c>
      <c r="R1835" s="8" t="s">
        <v>5919</v>
      </c>
      <c r="S1835" s="8" t="s">
        <v>11506</v>
      </c>
    </row>
    <row r="1836" spans="1:19" ht="107.1" customHeight="1" x14ac:dyDescent="0.25">
      <c r="A1836" s="8" t="s">
        <v>11507</v>
      </c>
      <c r="B1836" s="8" t="s">
        <v>5693</v>
      </c>
      <c r="C1836" s="8" t="s">
        <v>5918</v>
      </c>
      <c r="D1836" s="10">
        <v>1515</v>
      </c>
      <c r="E1836" s="8" t="s">
        <v>11508</v>
      </c>
      <c r="F1836" s="8" t="s">
        <v>11509</v>
      </c>
      <c r="G1836" s="8" t="s">
        <v>4727</v>
      </c>
      <c r="H1836" s="8" t="s">
        <v>11508</v>
      </c>
      <c r="I1836" s="8"/>
      <c r="J1836" s="15" t="s">
        <v>5695</v>
      </c>
      <c r="K1836" s="8"/>
      <c r="L1836" s="15" t="s">
        <v>1685</v>
      </c>
      <c r="M1836" s="8" t="s">
        <v>5578</v>
      </c>
      <c r="N1836" s="8"/>
      <c r="O1836" s="8" t="s">
        <v>5574</v>
      </c>
      <c r="P1836" s="11"/>
      <c r="Q1836" s="8" t="s">
        <v>5696</v>
      </c>
      <c r="R1836" s="8" t="s">
        <v>5919</v>
      </c>
      <c r="S1836" s="8" t="s">
        <v>11510</v>
      </c>
    </row>
    <row r="1837" spans="1:19" ht="107.1" customHeight="1" x14ac:dyDescent="0.25">
      <c r="A1837" s="8" t="s">
        <v>11511</v>
      </c>
      <c r="B1837" s="8" t="s">
        <v>5693</v>
      </c>
      <c r="C1837" s="8" t="s">
        <v>5918</v>
      </c>
      <c r="D1837" s="10">
        <v>1516</v>
      </c>
      <c r="E1837" s="8" t="s">
        <v>11512</v>
      </c>
      <c r="F1837" s="8" t="s">
        <v>11513</v>
      </c>
      <c r="G1837" s="8" t="s">
        <v>4727</v>
      </c>
      <c r="H1837" s="8" t="s">
        <v>11512</v>
      </c>
      <c r="I1837" s="8"/>
      <c r="J1837" s="15" t="s">
        <v>5695</v>
      </c>
      <c r="K1837" s="8"/>
      <c r="L1837" s="15" t="s">
        <v>1685</v>
      </c>
      <c r="M1837" s="8" t="s">
        <v>5578</v>
      </c>
      <c r="N1837" s="8"/>
      <c r="O1837" s="8" t="s">
        <v>5574</v>
      </c>
      <c r="P1837" s="11"/>
      <c r="Q1837" s="8" t="s">
        <v>5696</v>
      </c>
      <c r="R1837" s="8" t="s">
        <v>5919</v>
      </c>
      <c r="S1837" s="8" t="s">
        <v>11514</v>
      </c>
    </row>
    <row r="1838" spans="1:19" ht="107.1" customHeight="1" x14ac:dyDescent="0.25">
      <c r="A1838" s="8" t="s">
        <v>11515</v>
      </c>
      <c r="B1838" s="8" t="s">
        <v>5693</v>
      </c>
      <c r="C1838" s="8" t="s">
        <v>5918</v>
      </c>
      <c r="D1838" s="10">
        <v>1517</v>
      </c>
      <c r="E1838" s="8" t="s">
        <v>11516</v>
      </c>
      <c r="F1838" s="8" t="s">
        <v>11517</v>
      </c>
      <c r="G1838" s="8" t="s">
        <v>4727</v>
      </c>
      <c r="H1838" s="8" t="s">
        <v>11516</v>
      </c>
      <c r="I1838" s="8"/>
      <c r="J1838" s="15" t="s">
        <v>5695</v>
      </c>
      <c r="K1838" s="8"/>
      <c r="L1838" s="15" t="s">
        <v>1685</v>
      </c>
      <c r="M1838" s="8" t="s">
        <v>5578</v>
      </c>
      <c r="N1838" s="8"/>
      <c r="O1838" s="8" t="s">
        <v>5574</v>
      </c>
      <c r="P1838" s="11"/>
      <c r="Q1838" s="8" t="s">
        <v>5696</v>
      </c>
      <c r="R1838" s="8" t="s">
        <v>5919</v>
      </c>
      <c r="S1838" s="8" t="s">
        <v>11518</v>
      </c>
    </row>
    <row r="1839" spans="1:19" ht="107.1" customHeight="1" x14ac:dyDescent="0.25">
      <c r="A1839" s="8" t="s">
        <v>11519</v>
      </c>
      <c r="B1839" s="8" t="s">
        <v>5693</v>
      </c>
      <c r="C1839" s="8" t="s">
        <v>5918</v>
      </c>
      <c r="D1839" s="10">
        <v>1518</v>
      </c>
      <c r="E1839" s="8" t="s">
        <v>11520</v>
      </c>
      <c r="F1839" s="8" t="s">
        <v>11521</v>
      </c>
      <c r="G1839" s="8" t="s">
        <v>4727</v>
      </c>
      <c r="H1839" s="8" t="s">
        <v>11520</v>
      </c>
      <c r="I1839" s="8"/>
      <c r="J1839" s="15" t="s">
        <v>5695</v>
      </c>
      <c r="K1839" s="8"/>
      <c r="L1839" s="15" t="s">
        <v>1685</v>
      </c>
      <c r="M1839" s="8" t="s">
        <v>5578</v>
      </c>
      <c r="N1839" s="8"/>
      <c r="O1839" s="8" t="s">
        <v>5574</v>
      </c>
      <c r="P1839" s="11"/>
      <c r="Q1839" s="8" t="s">
        <v>5696</v>
      </c>
      <c r="R1839" s="8" t="s">
        <v>5919</v>
      </c>
      <c r="S1839" s="8" t="s">
        <v>11522</v>
      </c>
    </row>
    <row r="1840" spans="1:19" ht="107.1" customHeight="1" x14ac:dyDescent="0.25">
      <c r="A1840" s="8" t="s">
        <v>11523</v>
      </c>
      <c r="B1840" s="8" t="s">
        <v>5693</v>
      </c>
      <c r="C1840" s="8" t="s">
        <v>5918</v>
      </c>
      <c r="D1840" s="10">
        <v>1519</v>
      </c>
      <c r="E1840" s="8" t="s">
        <v>11524</v>
      </c>
      <c r="F1840" s="8" t="s">
        <v>11525</v>
      </c>
      <c r="G1840" s="8" t="s">
        <v>4727</v>
      </c>
      <c r="H1840" s="8" t="s">
        <v>11524</v>
      </c>
      <c r="I1840" s="8"/>
      <c r="J1840" s="15" t="s">
        <v>5695</v>
      </c>
      <c r="K1840" s="8"/>
      <c r="L1840" s="15" t="s">
        <v>1685</v>
      </c>
      <c r="M1840" s="8" t="s">
        <v>5578</v>
      </c>
      <c r="N1840" s="8"/>
      <c r="O1840" s="8" t="s">
        <v>5574</v>
      </c>
      <c r="P1840" s="11"/>
      <c r="Q1840" s="8" t="s">
        <v>5696</v>
      </c>
      <c r="R1840" s="8" t="s">
        <v>5919</v>
      </c>
      <c r="S1840" s="8" t="s">
        <v>11526</v>
      </c>
    </row>
    <row r="1841" spans="1:19" ht="107.1" customHeight="1" x14ac:dyDescent="0.25">
      <c r="A1841" s="8" t="s">
        <v>11527</v>
      </c>
      <c r="B1841" s="8" t="s">
        <v>5693</v>
      </c>
      <c r="C1841" s="8" t="s">
        <v>5918</v>
      </c>
      <c r="D1841" s="10">
        <v>1520</v>
      </c>
      <c r="E1841" s="8" t="s">
        <v>11528</v>
      </c>
      <c r="F1841" s="8" t="s">
        <v>11529</v>
      </c>
      <c r="G1841" s="8" t="s">
        <v>4727</v>
      </c>
      <c r="H1841" s="8" t="s">
        <v>11528</v>
      </c>
      <c r="I1841" s="8"/>
      <c r="J1841" s="15" t="s">
        <v>5695</v>
      </c>
      <c r="K1841" s="8"/>
      <c r="L1841" s="15" t="s">
        <v>1685</v>
      </c>
      <c r="M1841" s="8" t="s">
        <v>5578</v>
      </c>
      <c r="N1841" s="8"/>
      <c r="O1841" s="8" t="s">
        <v>5574</v>
      </c>
      <c r="P1841" s="11"/>
      <c r="Q1841" s="8" t="s">
        <v>5696</v>
      </c>
      <c r="R1841" s="8" t="s">
        <v>5919</v>
      </c>
      <c r="S1841" s="8" t="s">
        <v>11530</v>
      </c>
    </row>
    <row r="1842" spans="1:19" ht="107.1" customHeight="1" x14ac:dyDescent="0.25">
      <c r="A1842" s="8" t="s">
        <v>11531</v>
      </c>
      <c r="B1842" s="8" t="s">
        <v>5693</v>
      </c>
      <c r="C1842" s="8" t="s">
        <v>5918</v>
      </c>
      <c r="D1842" s="10">
        <v>1521</v>
      </c>
      <c r="E1842" s="8" t="s">
        <v>11532</v>
      </c>
      <c r="F1842" s="8" t="s">
        <v>11533</v>
      </c>
      <c r="G1842" s="8" t="s">
        <v>4727</v>
      </c>
      <c r="H1842" s="8" t="s">
        <v>11532</v>
      </c>
      <c r="I1842" s="8"/>
      <c r="J1842" s="15" t="s">
        <v>5695</v>
      </c>
      <c r="K1842" s="8"/>
      <c r="L1842" s="15" t="s">
        <v>1685</v>
      </c>
      <c r="M1842" s="8" t="s">
        <v>5578</v>
      </c>
      <c r="N1842" s="8"/>
      <c r="O1842" s="8" t="s">
        <v>5574</v>
      </c>
      <c r="P1842" s="11"/>
      <c r="Q1842" s="8" t="s">
        <v>5696</v>
      </c>
      <c r="R1842" s="8" t="s">
        <v>5919</v>
      </c>
      <c r="S1842" s="8" t="s">
        <v>11534</v>
      </c>
    </row>
    <row r="1843" spans="1:19" ht="107.1" customHeight="1" x14ac:dyDescent="0.25">
      <c r="A1843" s="8" t="s">
        <v>11535</v>
      </c>
      <c r="B1843" s="8" t="s">
        <v>5693</v>
      </c>
      <c r="C1843" s="8" t="s">
        <v>5918</v>
      </c>
      <c r="D1843" s="10">
        <v>1522</v>
      </c>
      <c r="E1843" s="8" t="s">
        <v>11536</v>
      </c>
      <c r="F1843" s="8" t="s">
        <v>11537</v>
      </c>
      <c r="G1843" s="8" t="s">
        <v>4727</v>
      </c>
      <c r="H1843" s="8" t="s">
        <v>11536</v>
      </c>
      <c r="I1843" s="8"/>
      <c r="J1843" s="15" t="s">
        <v>5695</v>
      </c>
      <c r="K1843" s="8"/>
      <c r="L1843" s="15" t="s">
        <v>1685</v>
      </c>
      <c r="M1843" s="8" t="s">
        <v>5578</v>
      </c>
      <c r="N1843" s="8"/>
      <c r="O1843" s="8" t="s">
        <v>5574</v>
      </c>
      <c r="P1843" s="11"/>
      <c r="Q1843" s="8" t="s">
        <v>5696</v>
      </c>
      <c r="R1843" s="8" t="s">
        <v>5919</v>
      </c>
      <c r="S1843" s="8" t="s">
        <v>11538</v>
      </c>
    </row>
    <row r="1844" spans="1:19" ht="107.1" customHeight="1" x14ac:dyDescent="0.25">
      <c r="A1844" s="8" t="s">
        <v>11539</v>
      </c>
      <c r="B1844" s="8" t="s">
        <v>5693</v>
      </c>
      <c r="C1844" s="8" t="s">
        <v>5918</v>
      </c>
      <c r="D1844" s="10">
        <v>1523</v>
      </c>
      <c r="E1844" s="8" t="s">
        <v>11540</v>
      </c>
      <c r="F1844" s="8" t="s">
        <v>11541</v>
      </c>
      <c r="G1844" s="8" t="s">
        <v>4727</v>
      </c>
      <c r="H1844" s="8" t="s">
        <v>11540</v>
      </c>
      <c r="I1844" s="8"/>
      <c r="J1844" s="15" t="s">
        <v>5695</v>
      </c>
      <c r="K1844" s="8"/>
      <c r="L1844" s="15" t="s">
        <v>1685</v>
      </c>
      <c r="M1844" s="8" t="s">
        <v>5578</v>
      </c>
      <c r="N1844" s="8"/>
      <c r="O1844" s="8" t="s">
        <v>5574</v>
      </c>
      <c r="P1844" s="11"/>
      <c r="Q1844" s="8" t="s">
        <v>5696</v>
      </c>
      <c r="R1844" s="8" t="s">
        <v>5919</v>
      </c>
      <c r="S1844" s="8" t="s">
        <v>11542</v>
      </c>
    </row>
    <row r="1845" spans="1:19" ht="107.1" customHeight="1" x14ac:dyDescent="0.25">
      <c r="A1845" s="8" t="s">
        <v>11543</v>
      </c>
      <c r="B1845" s="8" t="s">
        <v>5693</v>
      </c>
      <c r="C1845" s="8" t="s">
        <v>5918</v>
      </c>
      <c r="D1845" s="10">
        <v>1524</v>
      </c>
      <c r="E1845" s="8" t="s">
        <v>11544</v>
      </c>
      <c r="F1845" s="8" t="s">
        <v>11545</v>
      </c>
      <c r="G1845" s="8" t="s">
        <v>4727</v>
      </c>
      <c r="H1845" s="8" t="s">
        <v>11544</v>
      </c>
      <c r="I1845" s="8"/>
      <c r="J1845" s="15" t="s">
        <v>5695</v>
      </c>
      <c r="K1845" s="8"/>
      <c r="L1845" s="15" t="s">
        <v>1685</v>
      </c>
      <c r="M1845" s="8" t="s">
        <v>5578</v>
      </c>
      <c r="N1845" s="8"/>
      <c r="O1845" s="8" t="s">
        <v>5574</v>
      </c>
      <c r="P1845" s="11"/>
      <c r="Q1845" s="8" t="s">
        <v>5696</v>
      </c>
      <c r="R1845" s="8" t="s">
        <v>5919</v>
      </c>
      <c r="S1845" s="8" t="s">
        <v>11546</v>
      </c>
    </row>
    <row r="1846" spans="1:19" ht="107.1" customHeight="1" x14ac:dyDescent="0.25">
      <c r="A1846" s="8" t="s">
        <v>11547</v>
      </c>
      <c r="B1846" s="8" t="s">
        <v>5693</v>
      </c>
      <c r="C1846" s="8" t="s">
        <v>5918</v>
      </c>
      <c r="D1846" s="10">
        <v>1525</v>
      </c>
      <c r="E1846" s="8" t="s">
        <v>11548</v>
      </c>
      <c r="F1846" s="8" t="s">
        <v>11549</v>
      </c>
      <c r="G1846" s="8" t="s">
        <v>4727</v>
      </c>
      <c r="H1846" s="8" t="s">
        <v>11548</v>
      </c>
      <c r="I1846" s="8"/>
      <c r="J1846" s="15" t="s">
        <v>5695</v>
      </c>
      <c r="K1846" s="8"/>
      <c r="L1846" s="15" t="s">
        <v>1685</v>
      </c>
      <c r="M1846" s="8" t="s">
        <v>5578</v>
      </c>
      <c r="N1846" s="8"/>
      <c r="O1846" s="8" t="s">
        <v>5574</v>
      </c>
      <c r="P1846" s="11"/>
      <c r="Q1846" s="8" t="s">
        <v>5696</v>
      </c>
      <c r="R1846" s="8" t="s">
        <v>5919</v>
      </c>
      <c r="S1846" s="8" t="s">
        <v>11550</v>
      </c>
    </row>
    <row r="1847" spans="1:19" ht="107.1" customHeight="1" x14ac:dyDescent="0.25">
      <c r="A1847" s="8" t="s">
        <v>11551</v>
      </c>
      <c r="B1847" s="8" t="s">
        <v>5693</v>
      </c>
      <c r="C1847" s="8" t="s">
        <v>5918</v>
      </c>
      <c r="D1847" s="10">
        <v>1526</v>
      </c>
      <c r="E1847" s="8" t="s">
        <v>11552</v>
      </c>
      <c r="F1847" s="8" t="s">
        <v>11553</v>
      </c>
      <c r="G1847" s="8" t="s">
        <v>4727</v>
      </c>
      <c r="H1847" s="8" t="s">
        <v>11552</v>
      </c>
      <c r="I1847" s="8"/>
      <c r="J1847" s="15" t="s">
        <v>5695</v>
      </c>
      <c r="K1847" s="8"/>
      <c r="L1847" s="15" t="s">
        <v>1685</v>
      </c>
      <c r="M1847" s="8" t="s">
        <v>5578</v>
      </c>
      <c r="N1847" s="8"/>
      <c r="O1847" s="8" t="s">
        <v>5574</v>
      </c>
      <c r="P1847" s="11"/>
      <c r="Q1847" s="8" t="s">
        <v>5696</v>
      </c>
      <c r="R1847" s="8" t="s">
        <v>5919</v>
      </c>
      <c r="S1847" s="8" t="s">
        <v>11554</v>
      </c>
    </row>
    <row r="1848" spans="1:19" ht="107.1" customHeight="1" x14ac:dyDescent="0.25">
      <c r="A1848" s="8" t="s">
        <v>11555</v>
      </c>
      <c r="B1848" s="8" t="s">
        <v>5693</v>
      </c>
      <c r="C1848" s="8" t="s">
        <v>5918</v>
      </c>
      <c r="D1848" s="10">
        <v>1527</v>
      </c>
      <c r="E1848" s="8" t="s">
        <v>11556</v>
      </c>
      <c r="F1848" s="8" t="s">
        <v>11557</v>
      </c>
      <c r="G1848" s="8" t="s">
        <v>4727</v>
      </c>
      <c r="H1848" s="8" t="s">
        <v>11556</v>
      </c>
      <c r="I1848" s="8"/>
      <c r="J1848" s="15" t="s">
        <v>5695</v>
      </c>
      <c r="K1848" s="8"/>
      <c r="L1848" s="15" t="s">
        <v>1685</v>
      </c>
      <c r="M1848" s="8" t="s">
        <v>5578</v>
      </c>
      <c r="N1848" s="8"/>
      <c r="O1848" s="8" t="s">
        <v>5574</v>
      </c>
      <c r="P1848" s="11"/>
      <c r="Q1848" s="8" t="s">
        <v>5696</v>
      </c>
      <c r="R1848" s="8" t="s">
        <v>5919</v>
      </c>
      <c r="S1848" s="8" t="s">
        <v>11558</v>
      </c>
    </row>
    <row r="1849" spans="1:19" ht="107.1" customHeight="1" x14ac:dyDescent="0.25">
      <c r="A1849" s="8" t="s">
        <v>11559</v>
      </c>
      <c r="B1849" s="8" t="s">
        <v>5693</v>
      </c>
      <c r="C1849" s="8" t="s">
        <v>5918</v>
      </c>
      <c r="D1849" s="10">
        <v>1528</v>
      </c>
      <c r="E1849" s="8" t="s">
        <v>11560</v>
      </c>
      <c r="F1849" s="8" t="s">
        <v>11561</v>
      </c>
      <c r="G1849" s="8" t="s">
        <v>4727</v>
      </c>
      <c r="H1849" s="8" t="s">
        <v>11560</v>
      </c>
      <c r="I1849" s="8"/>
      <c r="J1849" s="15" t="s">
        <v>5695</v>
      </c>
      <c r="K1849" s="8"/>
      <c r="L1849" s="15" t="s">
        <v>1685</v>
      </c>
      <c r="M1849" s="8" t="s">
        <v>5578</v>
      </c>
      <c r="N1849" s="8"/>
      <c r="O1849" s="8" t="s">
        <v>5574</v>
      </c>
      <c r="P1849" s="11"/>
      <c r="Q1849" s="8" t="s">
        <v>5696</v>
      </c>
      <c r="R1849" s="8" t="s">
        <v>5919</v>
      </c>
      <c r="S1849" s="8" t="s">
        <v>11562</v>
      </c>
    </row>
    <row r="1850" spans="1:19" ht="107.1" customHeight="1" x14ac:dyDescent="0.25">
      <c r="A1850" s="8" t="s">
        <v>11563</v>
      </c>
      <c r="B1850" s="8" t="s">
        <v>5693</v>
      </c>
      <c r="C1850" s="8" t="s">
        <v>5918</v>
      </c>
      <c r="D1850" s="10">
        <v>1529</v>
      </c>
      <c r="E1850" s="8" t="s">
        <v>11564</v>
      </c>
      <c r="F1850" s="8" t="s">
        <v>11565</v>
      </c>
      <c r="G1850" s="8" t="s">
        <v>4727</v>
      </c>
      <c r="H1850" s="8" t="s">
        <v>11564</v>
      </c>
      <c r="I1850" s="8"/>
      <c r="J1850" s="15" t="s">
        <v>5695</v>
      </c>
      <c r="K1850" s="8"/>
      <c r="L1850" s="15" t="s">
        <v>1685</v>
      </c>
      <c r="M1850" s="8" t="s">
        <v>5578</v>
      </c>
      <c r="N1850" s="8"/>
      <c r="O1850" s="8" t="s">
        <v>5574</v>
      </c>
      <c r="P1850" s="11"/>
      <c r="Q1850" s="8" t="s">
        <v>5696</v>
      </c>
      <c r="R1850" s="8" t="s">
        <v>5919</v>
      </c>
      <c r="S1850" s="8" t="s">
        <v>11566</v>
      </c>
    </row>
    <row r="1851" spans="1:19" ht="107.1" customHeight="1" x14ac:dyDescent="0.25">
      <c r="A1851" s="8" t="s">
        <v>11567</v>
      </c>
      <c r="B1851" s="8" t="s">
        <v>5693</v>
      </c>
      <c r="C1851" s="8" t="s">
        <v>5918</v>
      </c>
      <c r="D1851" s="10">
        <v>1530</v>
      </c>
      <c r="E1851" s="8" t="s">
        <v>11568</v>
      </c>
      <c r="F1851" s="8" t="s">
        <v>11569</v>
      </c>
      <c r="G1851" s="8" t="s">
        <v>4727</v>
      </c>
      <c r="H1851" s="8" t="s">
        <v>11568</v>
      </c>
      <c r="I1851" s="8"/>
      <c r="J1851" s="15" t="s">
        <v>5695</v>
      </c>
      <c r="K1851" s="8"/>
      <c r="L1851" s="15" t="s">
        <v>1685</v>
      </c>
      <c r="M1851" s="8" t="s">
        <v>5578</v>
      </c>
      <c r="N1851" s="8"/>
      <c r="O1851" s="8" t="s">
        <v>5574</v>
      </c>
      <c r="P1851" s="11"/>
      <c r="Q1851" s="8" t="s">
        <v>5696</v>
      </c>
      <c r="R1851" s="8" t="s">
        <v>5919</v>
      </c>
      <c r="S1851" s="8" t="s">
        <v>11570</v>
      </c>
    </row>
    <row r="1852" spans="1:19" ht="107.1" customHeight="1" x14ac:dyDescent="0.25">
      <c r="A1852" s="8" t="s">
        <v>11571</v>
      </c>
      <c r="B1852" s="8" t="s">
        <v>5693</v>
      </c>
      <c r="C1852" s="8" t="s">
        <v>5918</v>
      </c>
      <c r="D1852" s="10">
        <v>1531</v>
      </c>
      <c r="E1852" s="8" t="s">
        <v>11572</v>
      </c>
      <c r="F1852" s="8" t="s">
        <v>11573</v>
      </c>
      <c r="G1852" s="8" t="s">
        <v>4727</v>
      </c>
      <c r="H1852" s="8" t="s">
        <v>11572</v>
      </c>
      <c r="I1852" s="8"/>
      <c r="J1852" s="15" t="s">
        <v>5695</v>
      </c>
      <c r="K1852" s="8"/>
      <c r="L1852" s="15" t="s">
        <v>1685</v>
      </c>
      <c r="M1852" s="8" t="s">
        <v>5578</v>
      </c>
      <c r="N1852" s="8"/>
      <c r="O1852" s="8" t="s">
        <v>5574</v>
      </c>
      <c r="P1852" s="11"/>
      <c r="Q1852" s="8" t="s">
        <v>5696</v>
      </c>
      <c r="R1852" s="8" t="s">
        <v>5919</v>
      </c>
      <c r="S1852" s="8" t="s">
        <v>11574</v>
      </c>
    </row>
    <row r="1853" spans="1:19" ht="107.1" customHeight="1" x14ac:dyDescent="0.25">
      <c r="A1853" s="8" t="s">
        <v>11575</v>
      </c>
      <c r="B1853" s="8" t="s">
        <v>5693</v>
      </c>
      <c r="C1853" s="8" t="s">
        <v>5918</v>
      </c>
      <c r="D1853" s="10">
        <v>1532</v>
      </c>
      <c r="E1853" s="8" t="s">
        <v>11576</v>
      </c>
      <c r="F1853" s="8" t="s">
        <v>11577</v>
      </c>
      <c r="G1853" s="8" t="s">
        <v>4727</v>
      </c>
      <c r="H1853" s="8" t="s">
        <v>11576</v>
      </c>
      <c r="I1853" s="8"/>
      <c r="J1853" s="15" t="s">
        <v>5695</v>
      </c>
      <c r="K1853" s="8"/>
      <c r="L1853" s="15" t="s">
        <v>1685</v>
      </c>
      <c r="M1853" s="8" t="s">
        <v>5578</v>
      </c>
      <c r="N1853" s="8"/>
      <c r="O1853" s="8" t="s">
        <v>5574</v>
      </c>
      <c r="P1853" s="11"/>
      <c r="Q1853" s="8" t="s">
        <v>5696</v>
      </c>
      <c r="R1853" s="8" t="s">
        <v>5919</v>
      </c>
      <c r="S1853" s="8" t="s">
        <v>11578</v>
      </c>
    </row>
    <row r="1854" spans="1:19" ht="107.1" customHeight="1" x14ac:dyDescent="0.25">
      <c r="A1854" s="8" t="s">
        <v>11579</v>
      </c>
      <c r="B1854" s="8" t="s">
        <v>5693</v>
      </c>
      <c r="C1854" s="8" t="s">
        <v>5918</v>
      </c>
      <c r="D1854" s="10">
        <v>1533</v>
      </c>
      <c r="E1854" s="8" t="s">
        <v>11580</v>
      </c>
      <c r="F1854" s="8" t="s">
        <v>11581</v>
      </c>
      <c r="G1854" s="8" t="s">
        <v>4727</v>
      </c>
      <c r="H1854" s="8" t="s">
        <v>11580</v>
      </c>
      <c r="I1854" s="8"/>
      <c r="J1854" s="15" t="s">
        <v>5695</v>
      </c>
      <c r="K1854" s="8"/>
      <c r="L1854" s="15" t="s">
        <v>1685</v>
      </c>
      <c r="M1854" s="8" t="s">
        <v>5578</v>
      </c>
      <c r="N1854" s="8"/>
      <c r="O1854" s="8" t="s">
        <v>5574</v>
      </c>
      <c r="P1854" s="11"/>
      <c r="Q1854" s="8" t="s">
        <v>5696</v>
      </c>
      <c r="R1854" s="8" t="s">
        <v>5919</v>
      </c>
      <c r="S1854" s="8" t="s">
        <v>11582</v>
      </c>
    </row>
    <row r="1855" spans="1:19" ht="107.1" customHeight="1" x14ac:dyDescent="0.25">
      <c r="A1855" s="8" t="s">
        <v>11583</v>
      </c>
      <c r="B1855" s="8" t="s">
        <v>5693</v>
      </c>
      <c r="C1855" s="8" t="s">
        <v>5918</v>
      </c>
      <c r="D1855" s="10">
        <v>1534</v>
      </c>
      <c r="E1855" s="8" t="s">
        <v>11584</v>
      </c>
      <c r="F1855" s="8" t="s">
        <v>11585</v>
      </c>
      <c r="G1855" s="8" t="s">
        <v>4727</v>
      </c>
      <c r="H1855" s="8" t="s">
        <v>11584</v>
      </c>
      <c r="I1855" s="8"/>
      <c r="J1855" s="15" t="s">
        <v>5695</v>
      </c>
      <c r="K1855" s="8"/>
      <c r="L1855" s="15" t="s">
        <v>1685</v>
      </c>
      <c r="M1855" s="8" t="s">
        <v>5578</v>
      </c>
      <c r="N1855" s="8"/>
      <c r="O1855" s="8" t="s">
        <v>5574</v>
      </c>
      <c r="P1855" s="11"/>
      <c r="Q1855" s="8" t="s">
        <v>5696</v>
      </c>
      <c r="R1855" s="8" t="s">
        <v>5919</v>
      </c>
      <c r="S1855" s="8" t="s">
        <v>11586</v>
      </c>
    </row>
    <row r="1856" spans="1:19" ht="107.1" customHeight="1" x14ac:dyDescent="0.25">
      <c r="A1856" s="8" t="s">
        <v>11587</v>
      </c>
      <c r="B1856" s="8" t="s">
        <v>5693</v>
      </c>
      <c r="C1856" s="8" t="s">
        <v>5918</v>
      </c>
      <c r="D1856" s="10">
        <v>1535</v>
      </c>
      <c r="E1856" s="8" t="s">
        <v>11588</v>
      </c>
      <c r="F1856" s="8" t="s">
        <v>11589</v>
      </c>
      <c r="G1856" s="8" t="s">
        <v>4727</v>
      </c>
      <c r="H1856" s="8" t="s">
        <v>11588</v>
      </c>
      <c r="I1856" s="8"/>
      <c r="J1856" s="15" t="s">
        <v>5695</v>
      </c>
      <c r="K1856" s="8"/>
      <c r="L1856" s="15" t="s">
        <v>1685</v>
      </c>
      <c r="M1856" s="8" t="s">
        <v>5578</v>
      </c>
      <c r="N1856" s="8"/>
      <c r="O1856" s="8" t="s">
        <v>5574</v>
      </c>
      <c r="P1856" s="11"/>
      <c r="Q1856" s="8" t="s">
        <v>5696</v>
      </c>
      <c r="R1856" s="8" t="s">
        <v>5919</v>
      </c>
      <c r="S1856" s="8" t="s">
        <v>11590</v>
      </c>
    </row>
    <row r="1857" spans="1:19" ht="107.1" customHeight="1" x14ac:dyDescent="0.25">
      <c r="A1857" s="8" t="s">
        <v>11591</v>
      </c>
      <c r="B1857" s="8" t="s">
        <v>5693</v>
      </c>
      <c r="C1857" s="8" t="s">
        <v>5918</v>
      </c>
      <c r="D1857" s="10">
        <v>1536</v>
      </c>
      <c r="E1857" s="8" t="s">
        <v>11592</v>
      </c>
      <c r="F1857" s="8" t="s">
        <v>11593</v>
      </c>
      <c r="G1857" s="8" t="s">
        <v>4727</v>
      </c>
      <c r="H1857" s="8" t="s">
        <v>11592</v>
      </c>
      <c r="I1857" s="8"/>
      <c r="J1857" s="15" t="s">
        <v>5695</v>
      </c>
      <c r="K1857" s="8"/>
      <c r="L1857" s="15" t="s">
        <v>1685</v>
      </c>
      <c r="M1857" s="8" t="s">
        <v>5578</v>
      </c>
      <c r="N1857" s="8"/>
      <c r="O1857" s="8" t="s">
        <v>5574</v>
      </c>
      <c r="P1857" s="11"/>
      <c r="Q1857" s="8" t="s">
        <v>5696</v>
      </c>
      <c r="R1857" s="8" t="s">
        <v>5919</v>
      </c>
      <c r="S1857" s="8" t="s">
        <v>11594</v>
      </c>
    </row>
    <row r="1858" spans="1:19" ht="107.1" customHeight="1" x14ac:dyDescent="0.25">
      <c r="A1858" s="8" t="s">
        <v>11595</v>
      </c>
      <c r="B1858" s="8" t="s">
        <v>5693</v>
      </c>
      <c r="C1858" s="8" t="s">
        <v>5918</v>
      </c>
      <c r="D1858" s="10">
        <v>1537</v>
      </c>
      <c r="E1858" s="8" t="s">
        <v>11596</v>
      </c>
      <c r="F1858" s="8" t="s">
        <v>11597</v>
      </c>
      <c r="G1858" s="8" t="s">
        <v>4727</v>
      </c>
      <c r="H1858" s="8" t="s">
        <v>11596</v>
      </c>
      <c r="I1858" s="8"/>
      <c r="J1858" s="15" t="s">
        <v>5695</v>
      </c>
      <c r="K1858" s="8"/>
      <c r="L1858" s="15" t="s">
        <v>1685</v>
      </c>
      <c r="M1858" s="8" t="s">
        <v>5578</v>
      </c>
      <c r="N1858" s="8"/>
      <c r="O1858" s="8" t="s">
        <v>5574</v>
      </c>
      <c r="P1858" s="11"/>
      <c r="Q1858" s="8" t="s">
        <v>5696</v>
      </c>
      <c r="R1858" s="8" t="s">
        <v>5919</v>
      </c>
      <c r="S1858" s="8" t="s">
        <v>11598</v>
      </c>
    </row>
    <row r="1859" spans="1:19" ht="107.1" customHeight="1" x14ac:dyDescent="0.25">
      <c r="A1859" s="8" t="s">
        <v>11599</v>
      </c>
      <c r="B1859" s="8" t="s">
        <v>5693</v>
      </c>
      <c r="C1859" s="8" t="s">
        <v>5918</v>
      </c>
      <c r="D1859" s="10">
        <v>1538</v>
      </c>
      <c r="E1859" s="8" t="s">
        <v>11600</v>
      </c>
      <c r="F1859" s="8" t="s">
        <v>11601</v>
      </c>
      <c r="G1859" s="8" t="s">
        <v>4727</v>
      </c>
      <c r="H1859" s="8" t="s">
        <v>11600</v>
      </c>
      <c r="I1859" s="8"/>
      <c r="J1859" s="15" t="s">
        <v>5695</v>
      </c>
      <c r="K1859" s="8"/>
      <c r="L1859" s="15" t="s">
        <v>1685</v>
      </c>
      <c r="M1859" s="8" t="s">
        <v>5578</v>
      </c>
      <c r="N1859" s="8"/>
      <c r="O1859" s="8" t="s">
        <v>5574</v>
      </c>
      <c r="P1859" s="11"/>
      <c r="Q1859" s="8" t="s">
        <v>5696</v>
      </c>
      <c r="R1859" s="8" t="s">
        <v>5919</v>
      </c>
      <c r="S1859" s="8" t="s">
        <v>11602</v>
      </c>
    </row>
    <row r="1860" spans="1:19" ht="107.1" customHeight="1" x14ac:dyDescent="0.25">
      <c r="A1860" s="8" t="s">
        <v>11603</v>
      </c>
      <c r="B1860" s="8" t="s">
        <v>5693</v>
      </c>
      <c r="C1860" s="8" t="s">
        <v>5918</v>
      </c>
      <c r="D1860" s="10">
        <v>1539</v>
      </c>
      <c r="E1860" s="8" t="s">
        <v>11604</v>
      </c>
      <c r="F1860" s="8" t="s">
        <v>11605</v>
      </c>
      <c r="G1860" s="8" t="s">
        <v>4727</v>
      </c>
      <c r="H1860" s="8" t="s">
        <v>11604</v>
      </c>
      <c r="I1860" s="8"/>
      <c r="J1860" s="15" t="s">
        <v>5695</v>
      </c>
      <c r="K1860" s="8"/>
      <c r="L1860" s="15" t="s">
        <v>1685</v>
      </c>
      <c r="M1860" s="8" t="s">
        <v>5578</v>
      </c>
      <c r="N1860" s="8"/>
      <c r="O1860" s="8" t="s">
        <v>5574</v>
      </c>
      <c r="P1860" s="11"/>
      <c r="Q1860" s="8" t="s">
        <v>5696</v>
      </c>
      <c r="R1860" s="8" t="s">
        <v>5919</v>
      </c>
      <c r="S1860" s="8" t="s">
        <v>11606</v>
      </c>
    </row>
    <row r="1861" spans="1:19" ht="107.1" customHeight="1" x14ac:dyDescent="0.25">
      <c r="A1861" s="8" t="s">
        <v>11607</v>
      </c>
      <c r="B1861" s="8" t="s">
        <v>5693</v>
      </c>
      <c r="C1861" s="8" t="s">
        <v>5918</v>
      </c>
      <c r="D1861" s="10">
        <v>1540</v>
      </c>
      <c r="E1861" s="8" t="s">
        <v>11608</v>
      </c>
      <c r="F1861" s="8" t="s">
        <v>11609</v>
      </c>
      <c r="G1861" s="8" t="s">
        <v>4727</v>
      </c>
      <c r="H1861" s="8" t="s">
        <v>11608</v>
      </c>
      <c r="I1861" s="8"/>
      <c r="J1861" s="15" t="s">
        <v>5695</v>
      </c>
      <c r="K1861" s="8"/>
      <c r="L1861" s="15" t="s">
        <v>1685</v>
      </c>
      <c r="M1861" s="8" t="s">
        <v>5578</v>
      </c>
      <c r="N1861" s="8"/>
      <c r="O1861" s="8" t="s">
        <v>5574</v>
      </c>
      <c r="P1861" s="11"/>
      <c r="Q1861" s="8" t="s">
        <v>5696</v>
      </c>
      <c r="R1861" s="8" t="s">
        <v>5919</v>
      </c>
      <c r="S1861" s="8" t="s">
        <v>11610</v>
      </c>
    </row>
    <row r="1862" spans="1:19" ht="107.1" customHeight="1" x14ac:dyDescent="0.25">
      <c r="A1862" s="8" t="s">
        <v>11611</v>
      </c>
      <c r="B1862" s="8" t="s">
        <v>5693</v>
      </c>
      <c r="C1862" s="8" t="s">
        <v>5918</v>
      </c>
      <c r="D1862" s="10">
        <v>1541</v>
      </c>
      <c r="E1862" s="8" t="s">
        <v>11612</v>
      </c>
      <c r="F1862" s="8" t="s">
        <v>11613</v>
      </c>
      <c r="G1862" s="8" t="s">
        <v>4727</v>
      </c>
      <c r="H1862" s="8" t="s">
        <v>11612</v>
      </c>
      <c r="I1862" s="8"/>
      <c r="J1862" s="15" t="s">
        <v>5695</v>
      </c>
      <c r="K1862" s="8"/>
      <c r="L1862" s="15" t="s">
        <v>1685</v>
      </c>
      <c r="M1862" s="8" t="s">
        <v>5578</v>
      </c>
      <c r="N1862" s="8"/>
      <c r="O1862" s="8" t="s">
        <v>5574</v>
      </c>
      <c r="P1862" s="11"/>
      <c r="Q1862" s="8" t="s">
        <v>5696</v>
      </c>
      <c r="R1862" s="8" t="s">
        <v>5919</v>
      </c>
      <c r="S1862" s="8" t="s">
        <v>11614</v>
      </c>
    </row>
    <row r="1863" spans="1:19" ht="107.1" customHeight="1" x14ac:dyDescent="0.25">
      <c r="A1863" s="8" t="s">
        <v>11615</v>
      </c>
      <c r="B1863" s="8" t="s">
        <v>5693</v>
      </c>
      <c r="C1863" s="8" t="s">
        <v>5918</v>
      </c>
      <c r="D1863" s="10">
        <v>1542</v>
      </c>
      <c r="E1863" s="8" t="s">
        <v>11616</v>
      </c>
      <c r="F1863" s="8" t="s">
        <v>11617</v>
      </c>
      <c r="G1863" s="8" t="s">
        <v>4727</v>
      </c>
      <c r="H1863" s="8" t="s">
        <v>11616</v>
      </c>
      <c r="I1863" s="8"/>
      <c r="J1863" s="15" t="s">
        <v>5695</v>
      </c>
      <c r="K1863" s="8"/>
      <c r="L1863" s="15" t="s">
        <v>1685</v>
      </c>
      <c r="M1863" s="8" t="s">
        <v>5578</v>
      </c>
      <c r="N1863" s="8"/>
      <c r="O1863" s="8" t="s">
        <v>5574</v>
      </c>
      <c r="P1863" s="11"/>
      <c r="Q1863" s="8" t="s">
        <v>5696</v>
      </c>
      <c r="R1863" s="8" t="s">
        <v>5919</v>
      </c>
      <c r="S1863" s="8" t="s">
        <v>11618</v>
      </c>
    </row>
    <row r="1864" spans="1:19" ht="107.1" customHeight="1" x14ac:dyDescent="0.25">
      <c r="A1864" s="8" t="s">
        <v>11619</v>
      </c>
      <c r="B1864" s="8" t="s">
        <v>5693</v>
      </c>
      <c r="C1864" s="8" t="s">
        <v>5918</v>
      </c>
      <c r="D1864" s="10">
        <v>1543</v>
      </c>
      <c r="E1864" s="8" t="s">
        <v>11620</v>
      </c>
      <c r="F1864" s="8" t="s">
        <v>11621</v>
      </c>
      <c r="G1864" s="8" t="s">
        <v>4727</v>
      </c>
      <c r="H1864" s="8" t="s">
        <v>11620</v>
      </c>
      <c r="I1864" s="8"/>
      <c r="J1864" s="15" t="s">
        <v>5695</v>
      </c>
      <c r="K1864" s="8"/>
      <c r="L1864" s="15" t="s">
        <v>1685</v>
      </c>
      <c r="M1864" s="8" t="s">
        <v>5578</v>
      </c>
      <c r="N1864" s="8"/>
      <c r="O1864" s="8" t="s">
        <v>5574</v>
      </c>
      <c r="P1864" s="11"/>
      <c r="Q1864" s="8" t="s">
        <v>5696</v>
      </c>
      <c r="R1864" s="8" t="s">
        <v>5919</v>
      </c>
      <c r="S1864" s="8" t="s">
        <v>11622</v>
      </c>
    </row>
    <row r="1865" spans="1:19" ht="120.95" customHeight="1" x14ac:dyDescent="0.25">
      <c r="A1865" s="8" t="s">
        <v>11623</v>
      </c>
      <c r="B1865" s="8" t="s">
        <v>5693</v>
      </c>
      <c r="C1865" s="8" t="s">
        <v>5918</v>
      </c>
      <c r="D1865" s="10">
        <v>1544</v>
      </c>
      <c r="E1865" s="8" t="s">
        <v>11624</v>
      </c>
      <c r="F1865" s="8" t="s">
        <v>11625</v>
      </c>
      <c r="G1865" s="8" t="s">
        <v>4727</v>
      </c>
      <c r="H1865" s="8" t="s">
        <v>11624</v>
      </c>
      <c r="I1865" s="8"/>
      <c r="J1865" s="15" t="s">
        <v>5695</v>
      </c>
      <c r="K1865" s="8"/>
      <c r="L1865" s="15" t="s">
        <v>1685</v>
      </c>
      <c r="M1865" s="8" t="s">
        <v>5578</v>
      </c>
      <c r="N1865" s="8"/>
      <c r="O1865" s="8" t="s">
        <v>5574</v>
      </c>
      <c r="P1865" s="11"/>
      <c r="Q1865" s="8" t="s">
        <v>5696</v>
      </c>
      <c r="R1865" s="8" t="s">
        <v>5919</v>
      </c>
      <c r="S1865" s="8" t="s">
        <v>11626</v>
      </c>
    </row>
    <row r="1866" spans="1:19" ht="107.1" customHeight="1" x14ac:dyDescent="0.25">
      <c r="A1866" s="8" t="s">
        <v>11627</v>
      </c>
      <c r="B1866" s="8" t="s">
        <v>5693</v>
      </c>
      <c r="C1866" s="8" t="s">
        <v>5918</v>
      </c>
      <c r="D1866" s="10">
        <v>1545</v>
      </c>
      <c r="E1866" s="8" t="s">
        <v>11628</v>
      </c>
      <c r="F1866" s="8" t="s">
        <v>11629</v>
      </c>
      <c r="G1866" s="8" t="s">
        <v>4727</v>
      </c>
      <c r="H1866" s="8" t="s">
        <v>11628</v>
      </c>
      <c r="I1866" s="8"/>
      <c r="J1866" s="15" t="s">
        <v>5695</v>
      </c>
      <c r="K1866" s="8"/>
      <c r="L1866" s="15" t="s">
        <v>1685</v>
      </c>
      <c r="M1866" s="8" t="s">
        <v>5578</v>
      </c>
      <c r="N1866" s="8"/>
      <c r="O1866" s="8" t="s">
        <v>5574</v>
      </c>
      <c r="P1866" s="11"/>
      <c r="Q1866" s="8" t="s">
        <v>5696</v>
      </c>
      <c r="R1866" s="8" t="s">
        <v>5919</v>
      </c>
      <c r="S1866" s="8" t="s">
        <v>11630</v>
      </c>
    </row>
    <row r="1867" spans="1:19" ht="107.1" customHeight="1" x14ac:dyDescent="0.25">
      <c r="A1867" s="8" t="s">
        <v>11631</v>
      </c>
      <c r="B1867" s="8" t="s">
        <v>5693</v>
      </c>
      <c r="C1867" s="8" t="s">
        <v>5918</v>
      </c>
      <c r="D1867" s="10">
        <v>1546</v>
      </c>
      <c r="E1867" s="8" t="s">
        <v>11632</v>
      </c>
      <c r="F1867" s="8" t="s">
        <v>11633</v>
      </c>
      <c r="G1867" s="8" t="s">
        <v>4727</v>
      </c>
      <c r="H1867" s="8" t="s">
        <v>11632</v>
      </c>
      <c r="I1867" s="8"/>
      <c r="J1867" s="15" t="s">
        <v>5695</v>
      </c>
      <c r="K1867" s="8"/>
      <c r="L1867" s="15" t="s">
        <v>1685</v>
      </c>
      <c r="M1867" s="8" t="s">
        <v>5578</v>
      </c>
      <c r="N1867" s="8"/>
      <c r="O1867" s="8" t="s">
        <v>5574</v>
      </c>
      <c r="P1867" s="11"/>
      <c r="Q1867" s="8" t="s">
        <v>5696</v>
      </c>
      <c r="R1867" s="8" t="s">
        <v>5919</v>
      </c>
      <c r="S1867" s="8" t="s">
        <v>11634</v>
      </c>
    </row>
    <row r="1868" spans="1:19" ht="107.1" customHeight="1" x14ac:dyDescent="0.25">
      <c r="A1868" s="8" t="s">
        <v>11635</v>
      </c>
      <c r="B1868" s="8" t="s">
        <v>5693</v>
      </c>
      <c r="C1868" s="8" t="s">
        <v>5918</v>
      </c>
      <c r="D1868" s="10">
        <v>1547</v>
      </c>
      <c r="E1868" s="8" t="s">
        <v>11636</v>
      </c>
      <c r="F1868" s="8" t="s">
        <v>11637</v>
      </c>
      <c r="G1868" s="8" t="s">
        <v>4727</v>
      </c>
      <c r="H1868" s="8" t="s">
        <v>11636</v>
      </c>
      <c r="I1868" s="8"/>
      <c r="J1868" s="15" t="s">
        <v>5695</v>
      </c>
      <c r="K1868" s="8"/>
      <c r="L1868" s="15" t="s">
        <v>1685</v>
      </c>
      <c r="M1868" s="8" t="s">
        <v>5578</v>
      </c>
      <c r="N1868" s="8"/>
      <c r="O1868" s="8" t="s">
        <v>5574</v>
      </c>
      <c r="P1868" s="11"/>
      <c r="Q1868" s="8" t="s">
        <v>5696</v>
      </c>
      <c r="R1868" s="8" t="s">
        <v>5919</v>
      </c>
      <c r="S1868" s="8" t="s">
        <v>11638</v>
      </c>
    </row>
    <row r="1869" spans="1:19" ht="107.1" customHeight="1" x14ac:dyDescent="0.25">
      <c r="A1869" s="8" t="s">
        <v>11639</v>
      </c>
      <c r="B1869" s="8" t="s">
        <v>5693</v>
      </c>
      <c r="C1869" s="8" t="s">
        <v>5918</v>
      </c>
      <c r="D1869" s="10">
        <v>1548</v>
      </c>
      <c r="E1869" s="8" t="s">
        <v>11640</v>
      </c>
      <c r="F1869" s="8" t="s">
        <v>11641</v>
      </c>
      <c r="G1869" s="8" t="s">
        <v>4727</v>
      </c>
      <c r="H1869" s="8" t="s">
        <v>11640</v>
      </c>
      <c r="I1869" s="8"/>
      <c r="J1869" s="15" t="s">
        <v>5695</v>
      </c>
      <c r="K1869" s="8"/>
      <c r="L1869" s="15" t="s">
        <v>1685</v>
      </c>
      <c r="M1869" s="8" t="s">
        <v>5578</v>
      </c>
      <c r="N1869" s="8"/>
      <c r="O1869" s="8" t="s">
        <v>5574</v>
      </c>
      <c r="P1869" s="11"/>
      <c r="Q1869" s="8" t="s">
        <v>5696</v>
      </c>
      <c r="R1869" s="8" t="s">
        <v>5919</v>
      </c>
      <c r="S1869" s="8" t="s">
        <v>11642</v>
      </c>
    </row>
    <row r="1870" spans="1:19" ht="107.1" customHeight="1" x14ac:dyDescent="0.25">
      <c r="A1870" s="8" t="s">
        <v>11643</v>
      </c>
      <c r="B1870" s="8" t="s">
        <v>5693</v>
      </c>
      <c r="C1870" s="8" t="s">
        <v>5918</v>
      </c>
      <c r="D1870" s="10">
        <v>1549</v>
      </c>
      <c r="E1870" s="8" t="s">
        <v>11644</v>
      </c>
      <c r="F1870" s="8" t="s">
        <v>11645</v>
      </c>
      <c r="G1870" s="8" t="s">
        <v>4727</v>
      </c>
      <c r="H1870" s="8" t="s">
        <v>11644</v>
      </c>
      <c r="I1870" s="8"/>
      <c r="J1870" s="15" t="s">
        <v>5695</v>
      </c>
      <c r="K1870" s="8"/>
      <c r="L1870" s="15" t="s">
        <v>1685</v>
      </c>
      <c r="M1870" s="8" t="s">
        <v>5578</v>
      </c>
      <c r="N1870" s="8"/>
      <c r="O1870" s="8" t="s">
        <v>5574</v>
      </c>
      <c r="P1870" s="11"/>
      <c r="Q1870" s="8" t="s">
        <v>5696</v>
      </c>
      <c r="R1870" s="8" t="s">
        <v>5919</v>
      </c>
      <c r="S1870" s="8" t="s">
        <v>11646</v>
      </c>
    </row>
    <row r="1871" spans="1:19" ht="107.1" customHeight="1" x14ac:dyDescent="0.25">
      <c r="A1871" s="8" t="s">
        <v>11647</v>
      </c>
      <c r="B1871" s="8" t="s">
        <v>5693</v>
      </c>
      <c r="C1871" s="8" t="s">
        <v>5918</v>
      </c>
      <c r="D1871" s="10">
        <v>1550</v>
      </c>
      <c r="E1871" s="8" t="s">
        <v>11648</v>
      </c>
      <c r="F1871" s="8" t="s">
        <v>11649</v>
      </c>
      <c r="G1871" s="8" t="s">
        <v>4727</v>
      </c>
      <c r="H1871" s="8" t="s">
        <v>11648</v>
      </c>
      <c r="I1871" s="8"/>
      <c r="J1871" s="15" t="s">
        <v>5695</v>
      </c>
      <c r="K1871" s="8"/>
      <c r="L1871" s="15" t="s">
        <v>1685</v>
      </c>
      <c r="M1871" s="8" t="s">
        <v>5578</v>
      </c>
      <c r="N1871" s="8"/>
      <c r="O1871" s="8" t="s">
        <v>5574</v>
      </c>
      <c r="P1871" s="11"/>
      <c r="Q1871" s="8" t="s">
        <v>5696</v>
      </c>
      <c r="R1871" s="8" t="s">
        <v>5919</v>
      </c>
      <c r="S1871" s="8" t="s">
        <v>11650</v>
      </c>
    </row>
    <row r="1872" spans="1:19" ht="107.1" customHeight="1" x14ac:dyDescent="0.25">
      <c r="A1872" s="8" t="s">
        <v>11651</v>
      </c>
      <c r="B1872" s="8" t="s">
        <v>5693</v>
      </c>
      <c r="C1872" s="8" t="s">
        <v>5918</v>
      </c>
      <c r="D1872" s="10">
        <v>1551</v>
      </c>
      <c r="E1872" s="8" t="s">
        <v>11652</v>
      </c>
      <c r="F1872" s="8" t="s">
        <v>11653</v>
      </c>
      <c r="G1872" s="8" t="s">
        <v>4727</v>
      </c>
      <c r="H1872" s="8" t="s">
        <v>11652</v>
      </c>
      <c r="I1872" s="8"/>
      <c r="J1872" s="15" t="s">
        <v>5695</v>
      </c>
      <c r="K1872" s="8"/>
      <c r="L1872" s="15" t="s">
        <v>1685</v>
      </c>
      <c r="M1872" s="8" t="s">
        <v>5578</v>
      </c>
      <c r="N1872" s="8"/>
      <c r="O1872" s="8" t="s">
        <v>5574</v>
      </c>
      <c r="P1872" s="11"/>
      <c r="Q1872" s="8" t="s">
        <v>5696</v>
      </c>
      <c r="R1872" s="8" t="s">
        <v>5919</v>
      </c>
      <c r="S1872" s="8" t="s">
        <v>11654</v>
      </c>
    </row>
    <row r="1873" spans="1:19" ht="107.1" customHeight="1" x14ac:dyDescent="0.25">
      <c r="A1873" s="8" t="s">
        <v>11655</v>
      </c>
      <c r="B1873" s="8" t="s">
        <v>5693</v>
      </c>
      <c r="C1873" s="8" t="s">
        <v>5918</v>
      </c>
      <c r="D1873" s="10">
        <v>1552</v>
      </c>
      <c r="E1873" s="8" t="s">
        <v>11656</v>
      </c>
      <c r="F1873" s="8" t="s">
        <v>11657</v>
      </c>
      <c r="G1873" s="8" t="s">
        <v>4727</v>
      </c>
      <c r="H1873" s="8" t="s">
        <v>11656</v>
      </c>
      <c r="I1873" s="8"/>
      <c r="J1873" s="15" t="s">
        <v>5695</v>
      </c>
      <c r="K1873" s="8"/>
      <c r="L1873" s="15" t="s">
        <v>1685</v>
      </c>
      <c r="M1873" s="8" t="s">
        <v>5578</v>
      </c>
      <c r="N1873" s="8"/>
      <c r="O1873" s="8" t="s">
        <v>5574</v>
      </c>
      <c r="P1873" s="11"/>
      <c r="Q1873" s="8" t="s">
        <v>5696</v>
      </c>
      <c r="R1873" s="8" t="s">
        <v>5919</v>
      </c>
      <c r="S1873" s="8" t="s">
        <v>11658</v>
      </c>
    </row>
    <row r="1874" spans="1:19" ht="107.1" customHeight="1" x14ac:dyDescent="0.25">
      <c r="A1874" s="8" t="s">
        <v>11659</v>
      </c>
      <c r="B1874" s="8" t="s">
        <v>5693</v>
      </c>
      <c r="C1874" s="8" t="s">
        <v>5918</v>
      </c>
      <c r="D1874" s="10">
        <v>1553</v>
      </c>
      <c r="E1874" s="8" t="s">
        <v>11660</v>
      </c>
      <c r="F1874" s="8" t="s">
        <v>11661</v>
      </c>
      <c r="G1874" s="8" t="s">
        <v>4727</v>
      </c>
      <c r="H1874" s="8" t="s">
        <v>11660</v>
      </c>
      <c r="I1874" s="8"/>
      <c r="J1874" s="15" t="s">
        <v>5695</v>
      </c>
      <c r="K1874" s="8"/>
      <c r="L1874" s="15" t="s">
        <v>1685</v>
      </c>
      <c r="M1874" s="8" t="s">
        <v>5578</v>
      </c>
      <c r="N1874" s="8"/>
      <c r="O1874" s="8" t="s">
        <v>5574</v>
      </c>
      <c r="P1874" s="11"/>
      <c r="Q1874" s="8" t="s">
        <v>5696</v>
      </c>
      <c r="R1874" s="8" t="s">
        <v>5919</v>
      </c>
      <c r="S1874" s="8" t="s">
        <v>11662</v>
      </c>
    </row>
    <row r="1875" spans="1:19" ht="107.1" customHeight="1" x14ac:dyDescent="0.25">
      <c r="A1875" s="8" t="s">
        <v>11663</v>
      </c>
      <c r="B1875" s="8" t="s">
        <v>5693</v>
      </c>
      <c r="C1875" s="8" t="s">
        <v>5918</v>
      </c>
      <c r="D1875" s="10">
        <v>1554</v>
      </c>
      <c r="E1875" s="8" t="s">
        <v>11664</v>
      </c>
      <c r="F1875" s="8" t="s">
        <v>11665</v>
      </c>
      <c r="G1875" s="8" t="s">
        <v>4727</v>
      </c>
      <c r="H1875" s="8" t="s">
        <v>11664</v>
      </c>
      <c r="I1875" s="8"/>
      <c r="J1875" s="15" t="s">
        <v>5695</v>
      </c>
      <c r="K1875" s="8"/>
      <c r="L1875" s="15" t="s">
        <v>1685</v>
      </c>
      <c r="M1875" s="8" t="s">
        <v>5578</v>
      </c>
      <c r="N1875" s="8"/>
      <c r="O1875" s="8" t="s">
        <v>5574</v>
      </c>
      <c r="P1875" s="11"/>
      <c r="Q1875" s="8" t="s">
        <v>5696</v>
      </c>
      <c r="R1875" s="8" t="s">
        <v>5919</v>
      </c>
      <c r="S1875" s="8" t="s">
        <v>11666</v>
      </c>
    </row>
    <row r="1876" spans="1:19" ht="107.1" customHeight="1" x14ac:dyDescent="0.25">
      <c r="A1876" s="8" t="s">
        <v>11667</v>
      </c>
      <c r="B1876" s="8" t="s">
        <v>5693</v>
      </c>
      <c r="C1876" s="8" t="s">
        <v>5918</v>
      </c>
      <c r="D1876" s="10">
        <v>1555</v>
      </c>
      <c r="E1876" s="8" t="s">
        <v>11668</v>
      </c>
      <c r="F1876" s="8" t="s">
        <v>11669</v>
      </c>
      <c r="G1876" s="8" t="s">
        <v>4727</v>
      </c>
      <c r="H1876" s="8" t="s">
        <v>11668</v>
      </c>
      <c r="I1876" s="8"/>
      <c r="J1876" s="15" t="s">
        <v>5695</v>
      </c>
      <c r="K1876" s="8"/>
      <c r="L1876" s="15" t="s">
        <v>1685</v>
      </c>
      <c r="M1876" s="8" t="s">
        <v>5578</v>
      </c>
      <c r="N1876" s="8"/>
      <c r="O1876" s="8" t="s">
        <v>5574</v>
      </c>
      <c r="P1876" s="11"/>
      <c r="Q1876" s="8" t="s">
        <v>5696</v>
      </c>
      <c r="R1876" s="8" t="s">
        <v>5919</v>
      </c>
      <c r="S1876" s="8" t="s">
        <v>11670</v>
      </c>
    </row>
    <row r="1877" spans="1:19" ht="107.1" customHeight="1" x14ac:dyDescent="0.25">
      <c r="A1877" s="8" t="s">
        <v>11671</v>
      </c>
      <c r="B1877" s="8" t="s">
        <v>5693</v>
      </c>
      <c r="C1877" s="8" t="s">
        <v>5918</v>
      </c>
      <c r="D1877" s="10">
        <v>1556</v>
      </c>
      <c r="E1877" s="8" t="s">
        <v>11672</v>
      </c>
      <c r="F1877" s="8" t="s">
        <v>11673</v>
      </c>
      <c r="G1877" s="8" t="s">
        <v>4727</v>
      </c>
      <c r="H1877" s="8" t="s">
        <v>11672</v>
      </c>
      <c r="I1877" s="8"/>
      <c r="J1877" s="15" t="s">
        <v>5695</v>
      </c>
      <c r="K1877" s="8"/>
      <c r="L1877" s="15" t="s">
        <v>1685</v>
      </c>
      <c r="M1877" s="8" t="s">
        <v>5578</v>
      </c>
      <c r="N1877" s="8"/>
      <c r="O1877" s="8" t="s">
        <v>5574</v>
      </c>
      <c r="P1877" s="11"/>
      <c r="Q1877" s="8" t="s">
        <v>5696</v>
      </c>
      <c r="R1877" s="8" t="s">
        <v>5919</v>
      </c>
      <c r="S1877" s="8" t="s">
        <v>11674</v>
      </c>
    </row>
    <row r="1878" spans="1:19" ht="107.1" customHeight="1" x14ac:dyDescent="0.25">
      <c r="A1878" s="8" t="s">
        <v>11675</v>
      </c>
      <c r="B1878" s="8" t="s">
        <v>5693</v>
      </c>
      <c r="C1878" s="8" t="s">
        <v>5918</v>
      </c>
      <c r="D1878" s="10">
        <v>1557</v>
      </c>
      <c r="E1878" s="8" t="s">
        <v>11676</v>
      </c>
      <c r="F1878" s="8" t="s">
        <v>11677</v>
      </c>
      <c r="G1878" s="8" t="s">
        <v>4727</v>
      </c>
      <c r="H1878" s="8" t="s">
        <v>11676</v>
      </c>
      <c r="I1878" s="8"/>
      <c r="J1878" s="15" t="s">
        <v>5695</v>
      </c>
      <c r="K1878" s="8"/>
      <c r="L1878" s="15" t="s">
        <v>1685</v>
      </c>
      <c r="M1878" s="8" t="s">
        <v>5578</v>
      </c>
      <c r="N1878" s="8"/>
      <c r="O1878" s="8" t="s">
        <v>5574</v>
      </c>
      <c r="P1878" s="11"/>
      <c r="Q1878" s="8" t="s">
        <v>5696</v>
      </c>
      <c r="R1878" s="8" t="s">
        <v>5919</v>
      </c>
      <c r="S1878" s="8" t="s">
        <v>11678</v>
      </c>
    </row>
    <row r="1879" spans="1:19" ht="107.1" customHeight="1" x14ac:dyDescent="0.25">
      <c r="A1879" s="8" t="s">
        <v>11679</v>
      </c>
      <c r="B1879" s="8" t="s">
        <v>5693</v>
      </c>
      <c r="C1879" s="8" t="s">
        <v>5918</v>
      </c>
      <c r="D1879" s="10">
        <v>1558</v>
      </c>
      <c r="E1879" s="8" t="s">
        <v>11680</v>
      </c>
      <c r="F1879" s="8" t="s">
        <v>11681</v>
      </c>
      <c r="G1879" s="8" t="s">
        <v>4727</v>
      </c>
      <c r="H1879" s="8" t="s">
        <v>11680</v>
      </c>
      <c r="I1879" s="8"/>
      <c r="J1879" s="15" t="s">
        <v>5695</v>
      </c>
      <c r="K1879" s="8"/>
      <c r="L1879" s="15" t="s">
        <v>1685</v>
      </c>
      <c r="M1879" s="8" t="s">
        <v>5578</v>
      </c>
      <c r="N1879" s="8"/>
      <c r="O1879" s="8" t="s">
        <v>5574</v>
      </c>
      <c r="P1879" s="11"/>
      <c r="Q1879" s="8" t="s">
        <v>5696</v>
      </c>
      <c r="R1879" s="8" t="s">
        <v>5919</v>
      </c>
      <c r="S1879" s="8" t="s">
        <v>11682</v>
      </c>
    </row>
    <row r="1880" spans="1:19" ht="107.1" customHeight="1" x14ac:dyDescent="0.25">
      <c r="A1880" s="8" t="s">
        <v>11683</v>
      </c>
      <c r="B1880" s="8" t="s">
        <v>5693</v>
      </c>
      <c r="C1880" s="8" t="s">
        <v>5918</v>
      </c>
      <c r="D1880" s="10">
        <v>1559</v>
      </c>
      <c r="E1880" s="8" t="s">
        <v>11684</v>
      </c>
      <c r="F1880" s="8" t="s">
        <v>11685</v>
      </c>
      <c r="G1880" s="8" t="s">
        <v>4727</v>
      </c>
      <c r="H1880" s="8" t="s">
        <v>11684</v>
      </c>
      <c r="I1880" s="8"/>
      <c r="J1880" s="15" t="s">
        <v>5695</v>
      </c>
      <c r="K1880" s="8"/>
      <c r="L1880" s="15" t="s">
        <v>1685</v>
      </c>
      <c r="M1880" s="8" t="s">
        <v>5578</v>
      </c>
      <c r="N1880" s="8"/>
      <c r="O1880" s="8" t="s">
        <v>5574</v>
      </c>
      <c r="P1880" s="11"/>
      <c r="Q1880" s="8" t="s">
        <v>5696</v>
      </c>
      <c r="R1880" s="8" t="s">
        <v>5919</v>
      </c>
      <c r="S1880" s="8" t="s">
        <v>11686</v>
      </c>
    </row>
    <row r="1881" spans="1:19" ht="107.1" customHeight="1" x14ac:dyDescent="0.25">
      <c r="A1881" s="8" t="s">
        <v>11687</v>
      </c>
      <c r="B1881" s="8" t="s">
        <v>5693</v>
      </c>
      <c r="C1881" s="8" t="s">
        <v>5918</v>
      </c>
      <c r="D1881" s="10">
        <v>1560</v>
      </c>
      <c r="E1881" s="8" t="s">
        <v>11688</v>
      </c>
      <c r="F1881" s="8" t="s">
        <v>11689</v>
      </c>
      <c r="G1881" s="8" t="s">
        <v>4727</v>
      </c>
      <c r="H1881" s="8" t="s">
        <v>11688</v>
      </c>
      <c r="I1881" s="8"/>
      <c r="J1881" s="15" t="s">
        <v>5695</v>
      </c>
      <c r="K1881" s="8"/>
      <c r="L1881" s="15" t="s">
        <v>1685</v>
      </c>
      <c r="M1881" s="8" t="s">
        <v>5578</v>
      </c>
      <c r="N1881" s="8"/>
      <c r="O1881" s="8" t="s">
        <v>5574</v>
      </c>
      <c r="P1881" s="11"/>
      <c r="Q1881" s="8" t="s">
        <v>5696</v>
      </c>
      <c r="R1881" s="8" t="s">
        <v>5919</v>
      </c>
      <c r="S1881" s="8" t="s">
        <v>11690</v>
      </c>
    </row>
    <row r="1882" spans="1:19" ht="107.1" customHeight="1" x14ac:dyDescent="0.25">
      <c r="A1882" s="8" t="s">
        <v>11691</v>
      </c>
      <c r="B1882" s="8" t="s">
        <v>5693</v>
      </c>
      <c r="C1882" s="8" t="s">
        <v>5918</v>
      </c>
      <c r="D1882" s="10">
        <v>1561</v>
      </c>
      <c r="E1882" s="8" t="s">
        <v>11692</v>
      </c>
      <c r="F1882" s="8" t="s">
        <v>11693</v>
      </c>
      <c r="G1882" s="8" t="s">
        <v>4727</v>
      </c>
      <c r="H1882" s="8" t="s">
        <v>11692</v>
      </c>
      <c r="I1882" s="8"/>
      <c r="J1882" s="15" t="s">
        <v>5695</v>
      </c>
      <c r="K1882" s="8"/>
      <c r="L1882" s="15" t="s">
        <v>1685</v>
      </c>
      <c r="M1882" s="8" t="s">
        <v>5578</v>
      </c>
      <c r="N1882" s="8"/>
      <c r="O1882" s="8" t="s">
        <v>5574</v>
      </c>
      <c r="P1882" s="11"/>
      <c r="Q1882" s="8" t="s">
        <v>5696</v>
      </c>
      <c r="R1882" s="8" t="s">
        <v>5919</v>
      </c>
      <c r="S1882" s="8" t="s">
        <v>11694</v>
      </c>
    </row>
    <row r="1883" spans="1:19" ht="107.1" customHeight="1" x14ac:dyDescent="0.25">
      <c r="A1883" s="8" t="s">
        <v>11695</v>
      </c>
      <c r="B1883" s="8" t="s">
        <v>5693</v>
      </c>
      <c r="C1883" s="8" t="s">
        <v>5918</v>
      </c>
      <c r="D1883" s="10">
        <v>1562</v>
      </c>
      <c r="E1883" s="8" t="s">
        <v>11696</v>
      </c>
      <c r="F1883" s="8" t="s">
        <v>11697</v>
      </c>
      <c r="G1883" s="8" t="s">
        <v>4727</v>
      </c>
      <c r="H1883" s="8" t="s">
        <v>11696</v>
      </c>
      <c r="I1883" s="8"/>
      <c r="J1883" s="15" t="s">
        <v>5695</v>
      </c>
      <c r="K1883" s="8"/>
      <c r="L1883" s="15" t="s">
        <v>1685</v>
      </c>
      <c r="M1883" s="8" t="s">
        <v>5578</v>
      </c>
      <c r="N1883" s="8"/>
      <c r="O1883" s="8" t="s">
        <v>5574</v>
      </c>
      <c r="P1883" s="11"/>
      <c r="Q1883" s="8" t="s">
        <v>5696</v>
      </c>
      <c r="R1883" s="8" t="s">
        <v>5919</v>
      </c>
      <c r="S1883" s="8" t="s">
        <v>11698</v>
      </c>
    </row>
    <row r="1884" spans="1:19" ht="107.1" customHeight="1" x14ac:dyDescent="0.25">
      <c r="A1884" s="8" t="s">
        <v>11699</v>
      </c>
      <c r="B1884" s="8" t="s">
        <v>5693</v>
      </c>
      <c r="C1884" s="8" t="s">
        <v>5918</v>
      </c>
      <c r="D1884" s="10">
        <v>1563</v>
      </c>
      <c r="E1884" s="8" t="s">
        <v>11700</v>
      </c>
      <c r="F1884" s="8" t="s">
        <v>11701</v>
      </c>
      <c r="G1884" s="8" t="s">
        <v>4727</v>
      </c>
      <c r="H1884" s="8" t="s">
        <v>11700</v>
      </c>
      <c r="I1884" s="8"/>
      <c r="J1884" s="15" t="s">
        <v>5695</v>
      </c>
      <c r="K1884" s="8"/>
      <c r="L1884" s="15" t="s">
        <v>1685</v>
      </c>
      <c r="M1884" s="8" t="s">
        <v>5578</v>
      </c>
      <c r="N1884" s="8"/>
      <c r="O1884" s="8" t="s">
        <v>5574</v>
      </c>
      <c r="P1884" s="11"/>
      <c r="Q1884" s="8" t="s">
        <v>5696</v>
      </c>
      <c r="R1884" s="8" t="s">
        <v>5919</v>
      </c>
      <c r="S1884" s="8" t="s">
        <v>11702</v>
      </c>
    </row>
    <row r="1885" spans="1:19" ht="107.1" customHeight="1" x14ac:dyDescent="0.25">
      <c r="A1885" s="8" t="s">
        <v>11703</v>
      </c>
      <c r="B1885" s="8" t="s">
        <v>5693</v>
      </c>
      <c r="C1885" s="8" t="s">
        <v>5918</v>
      </c>
      <c r="D1885" s="10">
        <v>1564</v>
      </c>
      <c r="E1885" s="8" t="s">
        <v>11704</v>
      </c>
      <c r="F1885" s="8" t="s">
        <v>11705</v>
      </c>
      <c r="G1885" s="8" t="s">
        <v>4727</v>
      </c>
      <c r="H1885" s="8" t="s">
        <v>11704</v>
      </c>
      <c r="I1885" s="8"/>
      <c r="J1885" s="15" t="s">
        <v>5695</v>
      </c>
      <c r="K1885" s="8"/>
      <c r="L1885" s="15" t="s">
        <v>1685</v>
      </c>
      <c r="M1885" s="8" t="s">
        <v>5578</v>
      </c>
      <c r="N1885" s="8"/>
      <c r="O1885" s="8" t="s">
        <v>5574</v>
      </c>
      <c r="P1885" s="11"/>
      <c r="Q1885" s="8" t="s">
        <v>5696</v>
      </c>
      <c r="R1885" s="8" t="s">
        <v>5919</v>
      </c>
      <c r="S1885" s="8" t="s">
        <v>11706</v>
      </c>
    </row>
    <row r="1886" spans="1:19" ht="107.1" customHeight="1" x14ac:dyDescent="0.25">
      <c r="A1886" s="8" t="s">
        <v>11707</v>
      </c>
      <c r="B1886" s="8" t="s">
        <v>5693</v>
      </c>
      <c r="C1886" s="8" t="s">
        <v>5918</v>
      </c>
      <c r="D1886" s="10">
        <v>1565</v>
      </c>
      <c r="E1886" s="8" t="s">
        <v>11708</v>
      </c>
      <c r="F1886" s="8" t="s">
        <v>11709</v>
      </c>
      <c r="G1886" s="8" t="s">
        <v>4727</v>
      </c>
      <c r="H1886" s="8" t="s">
        <v>11708</v>
      </c>
      <c r="I1886" s="8"/>
      <c r="J1886" s="15" t="s">
        <v>5695</v>
      </c>
      <c r="K1886" s="8"/>
      <c r="L1886" s="15" t="s">
        <v>1685</v>
      </c>
      <c r="M1886" s="8" t="s">
        <v>5578</v>
      </c>
      <c r="N1886" s="8"/>
      <c r="O1886" s="8" t="s">
        <v>5574</v>
      </c>
      <c r="P1886" s="11"/>
      <c r="Q1886" s="8" t="s">
        <v>5696</v>
      </c>
      <c r="R1886" s="8" t="s">
        <v>5919</v>
      </c>
      <c r="S1886" s="8" t="s">
        <v>11710</v>
      </c>
    </row>
    <row r="1887" spans="1:19" ht="107.1" customHeight="1" x14ac:dyDescent="0.25">
      <c r="A1887" s="8" t="s">
        <v>11711</v>
      </c>
      <c r="B1887" s="8" t="s">
        <v>5693</v>
      </c>
      <c r="C1887" s="8" t="s">
        <v>5918</v>
      </c>
      <c r="D1887" s="10">
        <v>1566</v>
      </c>
      <c r="E1887" s="8" t="s">
        <v>11712</v>
      </c>
      <c r="F1887" s="8" t="s">
        <v>11713</v>
      </c>
      <c r="G1887" s="8" t="s">
        <v>4727</v>
      </c>
      <c r="H1887" s="8" t="s">
        <v>11712</v>
      </c>
      <c r="I1887" s="8"/>
      <c r="J1887" s="15" t="s">
        <v>5695</v>
      </c>
      <c r="K1887" s="8"/>
      <c r="L1887" s="15" t="s">
        <v>1685</v>
      </c>
      <c r="M1887" s="8" t="s">
        <v>5578</v>
      </c>
      <c r="N1887" s="8"/>
      <c r="O1887" s="8" t="s">
        <v>5574</v>
      </c>
      <c r="P1887" s="11"/>
      <c r="Q1887" s="8" t="s">
        <v>5696</v>
      </c>
      <c r="R1887" s="8" t="s">
        <v>5919</v>
      </c>
      <c r="S1887" s="8" t="s">
        <v>11714</v>
      </c>
    </row>
    <row r="1888" spans="1:19" ht="107.1" customHeight="1" x14ac:dyDescent="0.25">
      <c r="A1888" s="8" t="s">
        <v>11715</v>
      </c>
      <c r="B1888" s="8" t="s">
        <v>5693</v>
      </c>
      <c r="C1888" s="8" t="s">
        <v>5918</v>
      </c>
      <c r="D1888" s="10">
        <v>1567</v>
      </c>
      <c r="E1888" s="8" t="s">
        <v>11716</v>
      </c>
      <c r="F1888" s="8" t="s">
        <v>11717</v>
      </c>
      <c r="G1888" s="8" t="s">
        <v>4727</v>
      </c>
      <c r="H1888" s="8" t="s">
        <v>11716</v>
      </c>
      <c r="I1888" s="8"/>
      <c r="J1888" s="15" t="s">
        <v>5695</v>
      </c>
      <c r="K1888" s="8"/>
      <c r="L1888" s="15" t="s">
        <v>1685</v>
      </c>
      <c r="M1888" s="8" t="s">
        <v>5578</v>
      </c>
      <c r="N1888" s="8"/>
      <c r="O1888" s="8" t="s">
        <v>5574</v>
      </c>
      <c r="P1888" s="11"/>
      <c r="Q1888" s="8" t="s">
        <v>5696</v>
      </c>
      <c r="R1888" s="8" t="s">
        <v>5919</v>
      </c>
      <c r="S1888" s="8" t="s">
        <v>11718</v>
      </c>
    </row>
    <row r="1889" spans="1:19" ht="107.1" customHeight="1" x14ac:dyDescent="0.25">
      <c r="A1889" s="8" t="s">
        <v>11719</v>
      </c>
      <c r="B1889" s="8" t="s">
        <v>5693</v>
      </c>
      <c r="C1889" s="8" t="s">
        <v>5918</v>
      </c>
      <c r="D1889" s="10">
        <v>1568</v>
      </c>
      <c r="E1889" s="8" t="s">
        <v>11720</v>
      </c>
      <c r="F1889" s="8" t="s">
        <v>11721</v>
      </c>
      <c r="G1889" s="8" t="s">
        <v>4727</v>
      </c>
      <c r="H1889" s="8" t="s">
        <v>11720</v>
      </c>
      <c r="I1889" s="8"/>
      <c r="J1889" s="15" t="s">
        <v>5695</v>
      </c>
      <c r="K1889" s="8"/>
      <c r="L1889" s="15" t="s">
        <v>1685</v>
      </c>
      <c r="M1889" s="8" t="s">
        <v>5578</v>
      </c>
      <c r="N1889" s="8"/>
      <c r="O1889" s="8" t="s">
        <v>5574</v>
      </c>
      <c r="P1889" s="11"/>
      <c r="Q1889" s="8" t="s">
        <v>5696</v>
      </c>
      <c r="R1889" s="8" t="s">
        <v>5919</v>
      </c>
      <c r="S1889" s="8" t="s">
        <v>11722</v>
      </c>
    </row>
    <row r="1890" spans="1:19" ht="107.1" customHeight="1" x14ac:dyDescent="0.25">
      <c r="A1890" s="8" t="s">
        <v>11723</v>
      </c>
      <c r="B1890" s="8" t="s">
        <v>5693</v>
      </c>
      <c r="C1890" s="8" t="s">
        <v>5918</v>
      </c>
      <c r="D1890" s="10">
        <v>1569</v>
      </c>
      <c r="E1890" s="8" t="s">
        <v>11724</v>
      </c>
      <c r="F1890" s="8" t="s">
        <v>11725</v>
      </c>
      <c r="G1890" s="8" t="s">
        <v>4727</v>
      </c>
      <c r="H1890" s="8" t="s">
        <v>11724</v>
      </c>
      <c r="I1890" s="8"/>
      <c r="J1890" s="15" t="s">
        <v>5695</v>
      </c>
      <c r="K1890" s="8"/>
      <c r="L1890" s="15" t="s">
        <v>1685</v>
      </c>
      <c r="M1890" s="8" t="s">
        <v>5578</v>
      </c>
      <c r="N1890" s="8"/>
      <c r="O1890" s="8" t="s">
        <v>5574</v>
      </c>
      <c r="P1890" s="11"/>
      <c r="Q1890" s="8" t="s">
        <v>5696</v>
      </c>
      <c r="R1890" s="8" t="s">
        <v>5919</v>
      </c>
      <c r="S1890" s="8" t="s">
        <v>11726</v>
      </c>
    </row>
    <row r="1891" spans="1:19" ht="107.1" customHeight="1" x14ac:dyDescent="0.25">
      <c r="A1891" s="8" t="s">
        <v>11727</v>
      </c>
      <c r="B1891" s="8" t="s">
        <v>5693</v>
      </c>
      <c r="C1891" s="8" t="s">
        <v>5918</v>
      </c>
      <c r="D1891" s="10">
        <v>1570</v>
      </c>
      <c r="E1891" s="8" t="s">
        <v>11728</v>
      </c>
      <c r="F1891" s="8" t="s">
        <v>11729</v>
      </c>
      <c r="G1891" s="8" t="s">
        <v>4727</v>
      </c>
      <c r="H1891" s="8" t="s">
        <v>11728</v>
      </c>
      <c r="I1891" s="8"/>
      <c r="J1891" s="15" t="s">
        <v>5695</v>
      </c>
      <c r="K1891" s="8"/>
      <c r="L1891" s="15" t="s">
        <v>1685</v>
      </c>
      <c r="M1891" s="8" t="s">
        <v>5578</v>
      </c>
      <c r="N1891" s="8"/>
      <c r="O1891" s="8" t="s">
        <v>5574</v>
      </c>
      <c r="P1891" s="11"/>
      <c r="Q1891" s="8" t="s">
        <v>5696</v>
      </c>
      <c r="R1891" s="8" t="s">
        <v>5919</v>
      </c>
      <c r="S1891" s="8" t="s">
        <v>11730</v>
      </c>
    </row>
    <row r="1892" spans="1:19" ht="107.1" customHeight="1" x14ac:dyDescent="0.25">
      <c r="A1892" s="8" t="s">
        <v>11731</v>
      </c>
      <c r="B1892" s="8" t="s">
        <v>5693</v>
      </c>
      <c r="C1892" s="8" t="s">
        <v>5918</v>
      </c>
      <c r="D1892" s="10">
        <v>1571</v>
      </c>
      <c r="E1892" s="8" t="s">
        <v>11732</v>
      </c>
      <c r="F1892" s="8" t="s">
        <v>11733</v>
      </c>
      <c r="G1892" s="8" t="s">
        <v>4727</v>
      </c>
      <c r="H1892" s="8" t="s">
        <v>11732</v>
      </c>
      <c r="I1892" s="8"/>
      <c r="J1892" s="15" t="s">
        <v>5695</v>
      </c>
      <c r="K1892" s="8"/>
      <c r="L1892" s="15" t="s">
        <v>1685</v>
      </c>
      <c r="M1892" s="8" t="s">
        <v>5578</v>
      </c>
      <c r="N1892" s="8"/>
      <c r="O1892" s="8" t="s">
        <v>5574</v>
      </c>
      <c r="P1892" s="11"/>
      <c r="Q1892" s="8" t="s">
        <v>5696</v>
      </c>
      <c r="R1892" s="8" t="s">
        <v>5919</v>
      </c>
      <c r="S1892" s="8" t="s">
        <v>11734</v>
      </c>
    </row>
    <row r="1893" spans="1:19" ht="107.1" customHeight="1" x14ac:dyDescent="0.25">
      <c r="A1893" s="8" t="s">
        <v>11735</v>
      </c>
      <c r="B1893" s="8" t="s">
        <v>5693</v>
      </c>
      <c r="C1893" s="8" t="s">
        <v>5918</v>
      </c>
      <c r="D1893" s="10">
        <v>1572</v>
      </c>
      <c r="E1893" s="8" t="s">
        <v>11736</v>
      </c>
      <c r="F1893" s="8" t="s">
        <v>11737</v>
      </c>
      <c r="G1893" s="8" t="s">
        <v>4727</v>
      </c>
      <c r="H1893" s="8" t="s">
        <v>11736</v>
      </c>
      <c r="I1893" s="8"/>
      <c r="J1893" s="15" t="s">
        <v>5695</v>
      </c>
      <c r="K1893" s="8"/>
      <c r="L1893" s="15" t="s">
        <v>1685</v>
      </c>
      <c r="M1893" s="8" t="s">
        <v>5578</v>
      </c>
      <c r="N1893" s="8"/>
      <c r="O1893" s="8" t="s">
        <v>5574</v>
      </c>
      <c r="P1893" s="11"/>
      <c r="Q1893" s="8" t="s">
        <v>5696</v>
      </c>
      <c r="R1893" s="8" t="s">
        <v>5919</v>
      </c>
      <c r="S1893" s="8" t="s">
        <v>11738</v>
      </c>
    </row>
    <row r="1894" spans="1:19" ht="107.1" customHeight="1" x14ac:dyDescent="0.25">
      <c r="A1894" s="8" t="s">
        <v>11739</v>
      </c>
      <c r="B1894" s="8" t="s">
        <v>5693</v>
      </c>
      <c r="C1894" s="8" t="s">
        <v>5918</v>
      </c>
      <c r="D1894" s="10">
        <v>1573</v>
      </c>
      <c r="E1894" s="8" t="s">
        <v>11740</v>
      </c>
      <c r="F1894" s="8" t="s">
        <v>11741</v>
      </c>
      <c r="G1894" s="8" t="s">
        <v>4727</v>
      </c>
      <c r="H1894" s="8" t="s">
        <v>11740</v>
      </c>
      <c r="I1894" s="8"/>
      <c r="J1894" s="15" t="s">
        <v>5695</v>
      </c>
      <c r="K1894" s="8"/>
      <c r="L1894" s="15" t="s">
        <v>1685</v>
      </c>
      <c r="M1894" s="8" t="s">
        <v>5578</v>
      </c>
      <c r="N1894" s="8"/>
      <c r="O1894" s="8" t="s">
        <v>5574</v>
      </c>
      <c r="P1894" s="11"/>
      <c r="Q1894" s="8" t="s">
        <v>5696</v>
      </c>
      <c r="R1894" s="8" t="s">
        <v>5919</v>
      </c>
      <c r="S1894" s="8" t="s">
        <v>11742</v>
      </c>
    </row>
    <row r="1895" spans="1:19" ht="107.1" customHeight="1" x14ac:dyDescent="0.25">
      <c r="A1895" s="8" t="s">
        <v>11743</v>
      </c>
      <c r="B1895" s="8" t="s">
        <v>5693</v>
      </c>
      <c r="C1895" s="8" t="s">
        <v>5918</v>
      </c>
      <c r="D1895" s="10">
        <v>1574</v>
      </c>
      <c r="E1895" s="8" t="s">
        <v>11744</v>
      </c>
      <c r="F1895" s="8" t="s">
        <v>11745</v>
      </c>
      <c r="G1895" s="8" t="s">
        <v>4727</v>
      </c>
      <c r="H1895" s="8" t="s">
        <v>11744</v>
      </c>
      <c r="I1895" s="8"/>
      <c r="J1895" s="15" t="s">
        <v>5695</v>
      </c>
      <c r="K1895" s="8"/>
      <c r="L1895" s="15" t="s">
        <v>1685</v>
      </c>
      <c r="M1895" s="8" t="s">
        <v>5578</v>
      </c>
      <c r="N1895" s="8"/>
      <c r="O1895" s="8" t="s">
        <v>5574</v>
      </c>
      <c r="P1895" s="11"/>
      <c r="Q1895" s="8" t="s">
        <v>5696</v>
      </c>
      <c r="R1895" s="8" t="s">
        <v>5919</v>
      </c>
      <c r="S1895" s="8" t="s">
        <v>11746</v>
      </c>
    </row>
    <row r="1896" spans="1:19" ht="107.1" customHeight="1" x14ac:dyDescent="0.25">
      <c r="A1896" s="8" t="s">
        <v>11747</v>
      </c>
      <c r="B1896" s="8" t="s">
        <v>5693</v>
      </c>
      <c r="C1896" s="8" t="s">
        <v>5918</v>
      </c>
      <c r="D1896" s="10">
        <v>1575</v>
      </c>
      <c r="E1896" s="8" t="s">
        <v>11748</v>
      </c>
      <c r="F1896" s="8" t="s">
        <v>11749</v>
      </c>
      <c r="G1896" s="8" t="s">
        <v>4727</v>
      </c>
      <c r="H1896" s="8" t="s">
        <v>11748</v>
      </c>
      <c r="I1896" s="8"/>
      <c r="J1896" s="15" t="s">
        <v>5695</v>
      </c>
      <c r="K1896" s="8"/>
      <c r="L1896" s="15" t="s">
        <v>1685</v>
      </c>
      <c r="M1896" s="8" t="s">
        <v>5578</v>
      </c>
      <c r="N1896" s="8"/>
      <c r="O1896" s="8" t="s">
        <v>5574</v>
      </c>
      <c r="P1896" s="11"/>
      <c r="Q1896" s="8" t="s">
        <v>5696</v>
      </c>
      <c r="R1896" s="8" t="s">
        <v>5919</v>
      </c>
      <c r="S1896" s="8" t="s">
        <v>11750</v>
      </c>
    </row>
    <row r="1897" spans="1:19" ht="107.1" customHeight="1" x14ac:dyDescent="0.25">
      <c r="A1897" s="8" t="s">
        <v>11751</v>
      </c>
      <c r="B1897" s="8" t="s">
        <v>5693</v>
      </c>
      <c r="C1897" s="8" t="s">
        <v>5918</v>
      </c>
      <c r="D1897" s="10">
        <v>1576</v>
      </c>
      <c r="E1897" s="8" t="s">
        <v>11752</v>
      </c>
      <c r="F1897" s="8" t="s">
        <v>11753</v>
      </c>
      <c r="G1897" s="8" t="s">
        <v>4727</v>
      </c>
      <c r="H1897" s="8" t="s">
        <v>11752</v>
      </c>
      <c r="I1897" s="8"/>
      <c r="J1897" s="15" t="s">
        <v>5695</v>
      </c>
      <c r="K1897" s="8"/>
      <c r="L1897" s="15" t="s">
        <v>1685</v>
      </c>
      <c r="M1897" s="8" t="s">
        <v>5578</v>
      </c>
      <c r="N1897" s="8"/>
      <c r="O1897" s="8" t="s">
        <v>5574</v>
      </c>
      <c r="P1897" s="11"/>
      <c r="Q1897" s="8" t="s">
        <v>5696</v>
      </c>
      <c r="R1897" s="8" t="s">
        <v>5919</v>
      </c>
      <c r="S1897" s="8" t="s">
        <v>11754</v>
      </c>
    </row>
    <row r="1898" spans="1:19" ht="107.1" customHeight="1" x14ac:dyDescent="0.25">
      <c r="A1898" s="8" t="s">
        <v>11755</v>
      </c>
      <c r="B1898" s="8" t="s">
        <v>5693</v>
      </c>
      <c r="C1898" s="8" t="s">
        <v>5918</v>
      </c>
      <c r="D1898" s="10">
        <v>1577</v>
      </c>
      <c r="E1898" s="8" t="s">
        <v>11756</v>
      </c>
      <c r="F1898" s="8" t="s">
        <v>11757</v>
      </c>
      <c r="G1898" s="8" t="s">
        <v>4727</v>
      </c>
      <c r="H1898" s="8" t="s">
        <v>11756</v>
      </c>
      <c r="I1898" s="8"/>
      <c r="J1898" s="15" t="s">
        <v>5695</v>
      </c>
      <c r="K1898" s="8"/>
      <c r="L1898" s="15" t="s">
        <v>1685</v>
      </c>
      <c r="M1898" s="8" t="s">
        <v>5578</v>
      </c>
      <c r="N1898" s="8"/>
      <c r="O1898" s="8" t="s">
        <v>5574</v>
      </c>
      <c r="P1898" s="11"/>
      <c r="Q1898" s="8" t="s">
        <v>5696</v>
      </c>
      <c r="R1898" s="8" t="s">
        <v>5919</v>
      </c>
      <c r="S1898" s="8" t="s">
        <v>11758</v>
      </c>
    </row>
    <row r="1899" spans="1:19" ht="107.1" customHeight="1" x14ac:dyDescent="0.25">
      <c r="A1899" s="8" t="s">
        <v>11759</v>
      </c>
      <c r="B1899" s="8" t="s">
        <v>5693</v>
      </c>
      <c r="C1899" s="8" t="s">
        <v>5918</v>
      </c>
      <c r="D1899" s="10">
        <v>1578</v>
      </c>
      <c r="E1899" s="8" t="s">
        <v>11760</v>
      </c>
      <c r="F1899" s="8" t="s">
        <v>11761</v>
      </c>
      <c r="G1899" s="8" t="s">
        <v>4727</v>
      </c>
      <c r="H1899" s="8" t="s">
        <v>11760</v>
      </c>
      <c r="I1899" s="8"/>
      <c r="J1899" s="15" t="s">
        <v>5695</v>
      </c>
      <c r="K1899" s="8"/>
      <c r="L1899" s="15" t="s">
        <v>1685</v>
      </c>
      <c r="M1899" s="8" t="s">
        <v>5578</v>
      </c>
      <c r="N1899" s="8"/>
      <c r="O1899" s="8" t="s">
        <v>5574</v>
      </c>
      <c r="P1899" s="11"/>
      <c r="Q1899" s="8" t="s">
        <v>5696</v>
      </c>
      <c r="R1899" s="8" t="s">
        <v>5919</v>
      </c>
      <c r="S1899" s="8" t="s">
        <v>11762</v>
      </c>
    </row>
    <row r="1900" spans="1:19" ht="107.1" customHeight="1" x14ac:dyDescent="0.25">
      <c r="A1900" s="8" t="s">
        <v>11763</v>
      </c>
      <c r="B1900" s="8" t="s">
        <v>5693</v>
      </c>
      <c r="C1900" s="8" t="s">
        <v>5918</v>
      </c>
      <c r="D1900" s="10">
        <v>1579</v>
      </c>
      <c r="E1900" s="8" t="s">
        <v>11764</v>
      </c>
      <c r="F1900" s="8" t="s">
        <v>11765</v>
      </c>
      <c r="G1900" s="8" t="s">
        <v>4727</v>
      </c>
      <c r="H1900" s="8" t="s">
        <v>11764</v>
      </c>
      <c r="I1900" s="8"/>
      <c r="J1900" s="15" t="s">
        <v>5695</v>
      </c>
      <c r="K1900" s="8"/>
      <c r="L1900" s="15" t="s">
        <v>1685</v>
      </c>
      <c r="M1900" s="8" t="s">
        <v>5578</v>
      </c>
      <c r="N1900" s="8"/>
      <c r="O1900" s="8" t="s">
        <v>5574</v>
      </c>
      <c r="P1900" s="11"/>
      <c r="Q1900" s="8" t="s">
        <v>5696</v>
      </c>
      <c r="R1900" s="8" t="s">
        <v>5919</v>
      </c>
      <c r="S1900" s="8" t="s">
        <v>11766</v>
      </c>
    </row>
    <row r="1901" spans="1:19" ht="107.1" customHeight="1" x14ac:dyDescent="0.25">
      <c r="A1901" s="8" t="s">
        <v>11767</v>
      </c>
      <c r="B1901" s="8" t="s">
        <v>5693</v>
      </c>
      <c r="C1901" s="8" t="s">
        <v>5918</v>
      </c>
      <c r="D1901" s="10">
        <v>1580</v>
      </c>
      <c r="E1901" s="8" t="s">
        <v>11768</v>
      </c>
      <c r="F1901" s="8" t="s">
        <v>11769</v>
      </c>
      <c r="G1901" s="8" t="s">
        <v>4727</v>
      </c>
      <c r="H1901" s="8" t="s">
        <v>11768</v>
      </c>
      <c r="I1901" s="8"/>
      <c r="J1901" s="15" t="s">
        <v>5695</v>
      </c>
      <c r="K1901" s="8"/>
      <c r="L1901" s="15" t="s">
        <v>1685</v>
      </c>
      <c r="M1901" s="8" t="s">
        <v>5578</v>
      </c>
      <c r="N1901" s="8"/>
      <c r="O1901" s="8" t="s">
        <v>5574</v>
      </c>
      <c r="P1901" s="11"/>
      <c r="Q1901" s="8" t="s">
        <v>5696</v>
      </c>
      <c r="R1901" s="8" t="s">
        <v>5919</v>
      </c>
      <c r="S1901" s="8" t="s">
        <v>11770</v>
      </c>
    </row>
    <row r="1902" spans="1:19" ht="107.1" customHeight="1" x14ac:dyDescent="0.25">
      <c r="A1902" s="8" t="s">
        <v>11771</v>
      </c>
      <c r="B1902" s="8" t="s">
        <v>5693</v>
      </c>
      <c r="C1902" s="8" t="s">
        <v>5918</v>
      </c>
      <c r="D1902" s="10">
        <v>1581</v>
      </c>
      <c r="E1902" s="8" t="s">
        <v>11772</v>
      </c>
      <c r="F1902" s="8" t="s">
        <v>11773</v>
      </c>
      <c r="G1902" s="8" t="s">
        <v>4727</v>
      </c>
      <c r="H1902" s="8" t="s">
        <v>11772</v>
      </c>
      <c r="I1902" s="8"/>
      <c r="J1902" s="15" t="s">
        <v>5695</v>
      </c>
      <c r="K1902" s="8"/>
      <c r="L1902" s="15" t="s">
        <v>1685</v>
      </c>
      <c r="M1902" s="8" t="s">
        <v>5578</v>
      </c>
      <c r="N1902" s="8"/>
      <c r="O1902" s="8" t="s">
        <v>5574</v>
      </c>
      <c r="P1902" s="11"/>
      <c r="Q1902" s="8" t="s">
        <v>5696</v>
      </c>
      <c r="R1902" s="8" t="s">
        <v>5919</v>
      </c>
      <c r="S1902" s="8" t="s">
        <v>11774</v>
      </c>
    </row>
    <row r="1903" spans="1:19" ht="107.1" customHeight="1" x14ac:dyDescent="0.25">
      <c r="A1903" s="8" t="s">
        <v>11775</v>
      </c>
      <c r="B1903" s="8" t="s">
        <v>5693</v>
      </c>
      <c r="C1903" s="8" t="s">
        <v>5918</v>
      </c>
      <c r="D1903" s="10">
        <v>1582</v>
      </c>
      <c r="E1903" s="8" t="s">
        <v>11776</v>
      </c>
      <c r="F1903" s="8" t="s">
        <v>11777</v>
      </c>
      <c r="G1903" s="8" t="s">
        <v>4727</v>
      </c>
      <c r="H1903" s="8" t="s">
        <v>11776</v>
      </c>
      <c r="I1903" s="8"/>
      <c r="J1903" s="15" t="s">
        <v>5695</v>
      </c>
      <c r="K1903" s="8"/>
      <c r="L1903" s="15" t="s">
        <v>1685</v>
      </c>
      <c r="M1903" s="8" t="s">
        <v>5578</v>
      </c>
      <c r="N1903" s="8"/>
      <c r="O1903" s="8" t="s">
        <v>5574</v>
      </c>
      <c r="P1903" s="11"/>
      <c r="Q1903" s="8" t="s">
        <v>5696</v>
      </c>
      <c r="R1903" s="8" t="s">
        <v>5919</v>
      </c>
      <c r="S1903" s="8" t="s">
        <v>11778</v>
      </c>
    </row>
    <row r="1904" spans="1:19" ht="107.1" customHeight="1" x14ac:dyDescent="0.25">
      <c r="A1904" s="8" t="s">
        <v>11779</v>
      </c>
      <c r="B1904" s="8" t="s">
        <v>5693</v>
      </c>
      <c r="C1904" s="8" t="s">
        <v>5918</v>
      </c>
      <c r="D1904" s="10">
        <v>1583</v>
      </c>
      <c r="E1904" s="8" t="s">
        <v>11780</v>
      </c>
      <c r="F1904" s="8" t="s">
        <v>11781</v>
      </c>
      <c r="G1904" s="8" t="s">
        <v>4727</v>
      </c>
      <c r="H1904" s="8" t="s">
        <v>11780</v>
      </c>
      <c r="I1904" s="8"/>
      <c r="J1904" s="15" t="s">
        <v>5695</v>
      </c>
      <c r="K1904" s="8"/>
      <c r="L1904" s="15" t="s">
        <v>1685</v>
      </c>
      <c r="M1904" s="8" t="s">
        <v>5578</v>
      </c>
      <c r="N1904" s="8"/>
      <c r="O1904" s="8" t="s">
        <v>5574</v>
      </c>
      <c r="P1904" s="11"/>
      <c r="Q1904" s="8" t="s">
        <v>5696</v>
      </c>
      <c r="R1904" s="8" t="s">
        <v>5919</v>
      </c>
      <c r="S1904" s="8" t="s">
        <v>11782</v>
      </c>
    </row>
    <row r="1905" spans="1:19" ht="107.1" customHeight="1" x14ac:dyDescent="0.25">
      <c r="A1905" s="8" t="s">
        <v>11783</v>
      </c>
      <c r="B1905" s="8" t="s">
        <v>5693</v>
      </c>
      <c r="C1905" s="8" t="s">
        <v>5918</v>
      </c>
      <c r="D1905" s="10">
        <v>1584</v>
      </c>
      <c r="E1905" s="8" t="s">
        <v>11784</v>
      </c>
      <c r="F1905" s="8" t="s">
        <v>11785</v>
      </c>
      <c r="G1905" s="8" t="s">
        <v>4727</v>
      </c>
      <c r="H1905" s="8" t="s">
        <v>11784</v>
      </c>
      <c r="I1905" s="8"/>
      <c r="J1905" s="15" t="s">
        <v>5695</v>
      </c>
      <c r="K1905" s="8"/>
      <c r="L1905" s="15" t="s">
        <v>1685</v>
      </c>
      <c r="M1905" s="8" t="s">
        <v>5578</v>
      </c>
      <c r="N1905" s="8"/>
      <c r="O1905" s="8" t="s">
        <v>5574</v>
      </c>
      <c r="P1905" s="11"/>
      <c r="Q1905" s="8" t="s">
        <v>5696</v>
      </c>
      <c r="R1905" s="8" t="s">
        <v>5919</v>
      </c>
      <c r="S1905" s="8" t="s">
        <v>11786</v>
      </c>
    </row>
    <row r="1906" spans="1:19" ht="107.1" customHeight="1" x14ac:dyDescent="0.25">
      <c r="A1906" s="8" t="s">
        <v>11787</v>
      </c>
      <c r="B1906" s="8" t="s">
        <v>5693</v>
      </c>
      <c r="C1906" s="8" t="s">
        <v>5918</v>
      </c>
      <c r="D1906" s="10">
        <v>1585</v>
      </c>
      <c r="E1906" s="8" t="s">
        <v>11788</v>
      </c>
      <c r="F1906" s="8" t="s">
        <v>11789</v>
      </c>
      <c r="G1906" s="8" t="s">
        <v>4727</v>
      </c>
      <c r="H1906" s="8" t="s">
        <v>11788</v>
      </c>
      <c r="I1906" s="8"/>
      <c r="J1906" s="15" t="s">
        <v>5695</v>
      </c>
      <c r="K1906" s="8"/>
      <c r="L1906" s="15" t="s">
        <v>1685</v>
      </c>
      <c r="M1906" s="8" t="s">
        <v>5578</v>
      </c>
      <c r="N1906" s="8"/>
      <c r="O1906" s="8" t="s">
        <v>5574</v>
      </c>
      <c r="P1906" s="11"/>
      <c r="Q1906" s="8" t="s">
        <v>5696</v>
      </c>
      <c r="R1906" s="8" t="s">
        <v>5919</v>
      </c>
      <c r="S1906" s="8" t="s">
        <v>11790</v>
      </c>
    </row>
    <row r="1907" spans="1:19" ht="107.1" customHeight="1" x14ac:dyDescent="0.25">
      <c r="A1907" s="8" t="s">
        <v>11791</v>
      </c>
      <c r="B1907" s="8" t="s">
        <v>5693</v>
      </c>
      <c r="C1907" s="8" t="s">
        <v>5918</v>
      </c>
      <c r="D1907" s="10">
        <v>1586</v>
      </c>
      <c r="E1907" s="8" t="s">
        <v>11792</v>
      </c>
      <c r="F1907" s="8" t="s">
        <v>11793</v>
      </c>
      <c r="G1907" s="8" t="s">
        <v>4727</v>
      </c>
      <c r="H1907" s="8" t="s">
        <v>11792</v>
      </c>
      <c r="I1907" s="8"/>
      <c r="J1907" s="15" t="s">
        <v>5695</v>
      </c>
      <c r="K1907" s="8"/>
      <c r="L1907" s="15" t="s">
        <v>1685</v>
      </c>
      <c r="M1907" s="8" t="s">
        <v>5578</v>
      </c>
      <c r="N1907" s="8"/>
      <c r="O1907" s="8" t="s">
        <v>5574</v>
      </c>
      <c r="P1907" s="11"/>
      <c r="Q1907" s="8" t="s">
        <v>5696</v>
      </c>
      <c r="R1907" s="8" t="s">
        <v>5919</v>
      </c>
      <c r="S1907" s="8" t="s">
        <v>11794</v>
      </c>
    </row>
    <row r="1908" spans="1:19" ht="107.1" customHeight="1" x14ac:dyDescent="0.25">
      <c r="A1908" s="8" t="s">
        <v>11795</v>
      </c>
      <c r="B1908" s="8" t="s">
        <v>5693</v>
      </c>
      <c r="C1908" s="8" t="s">
        <v>5918</v>
      </c>
      <c r="D1908" s="10">
        <v>1587</v>
      </c>
      <c r="E1908" s="8" t="s">
        <v>11796</v>
      </c>
      <c r="F1908" s="8" t="s">
        <v>11797</v>
      </c>
      <c r="G1908" s="8" t="s">
        <v>4727</v>
      </c>
      <c r="H1908" s="8" t="s">
        <v>11796</v>
      </c>
      <c r="I1908" s="8"/>
      <c r="J1908" s="15" t="s">
        <v>5695</v>
      </c>
      <c r="K1908" s="8"/>
      <c r="L1908" s="15" t="s">
        <v>1685</v>
      </c>
      <c r="M1908" s="8" t="s">
        <v>5578</v>
      </c>
      <c r="N1908" s="8"/>
      <c r="O1908" s="8" t="s">
        <v>5574</v>
      </c>
      <c r="P1908" s="11"/>
      <c r="Q1908" s="8" t="s">
        <v>5696</v>
      </c>
      <c r="R1908" s="8" t="s">
        <v>5919</v>
      </c>
      <c r="S1908" s="8" t="s">
        <v>11798</v>
      </c>
    </row>
    <row r="1909" spans="1:19" ht="107.1" customHeight="1" x14ac:dyDescent="0.25">
      <c r="A1909" s="8" t="s">
        <v>11799</v>
      </c>
      <c r="B1909" s="8" t="s">
        <v>5693</v>
      </c>
      <c r="C1909" s="8" t="s">
        <v>5918</v>
      </c>
      <c r="D1909" s="10">
        <v>1588</v>
      </c>
      <c r="E1909" s="8" t="s">
        <v>11800</v>
      </c>
      <c r="F1909" s="8" t="s">
        <v>11801</v>
      </c>
      <c r="G1909" s="8" t="s">
        <v>4727</v>
      </c>
      <c r="H1909" s="8" t="s">
        <v>11800</v>
      </c>
      <c r="I1909" s="8"/>
      <c r="J1909" s="15" t="s">
        <v>5695</v>
      </c>
      <c r="K1909" s="8"/>
      <c r="L1909" s="15" t="s">
        <v>1685</v>
      </c>
      <c r="M1909" s="8" t="s">
        <v>5578</v>
      </c>
      <c r="N1909" s="8"/>
      <c r="O1909" s="8" t="s">
        <v>5574</v>
      </c>
      <c r="P1909" s="11"/>
      <c r="Q1909" s="8" t="s">
        <v>5696</v>
      </c>
      <c r="R1909" s="8" t="s">
        <v>5919</v>
      </c>
      <c r="S1909" s="8" t="s">
        <v>11802</v>
      </c>
    </row>
    <row r="1910" spans="1:19" ht="107.1" customHeight="1" x14ac:dyDescent="0.25">
      <c r="A1910" s="8" t="s">
        <v>11803</v>
      </c>
      <c r="B1910" s="8" t="s">
        <v>5693</v>
      </c>
      <c r="C1910" s="8" t="s">
        <v>5918</v>
      </c>
      <c r="D1910" s="10">
        <v>1589</v>
      </c>
      <c r="E1910" s="8" t="s">
        <v>11804</v>
      </c>
      <c r="F1910" s="8" t="s">
        <v>11805</v>
      </c>
      <c r="G1910" s="8" t="s">
        <v>4727</v>
      </c>
      <c r="H1910" s="8" t="s">
        <v>11804</v>
      </c>
      <c r="I1910" s="8"/>
      <c r="J1910" s="15" t="s">
        <v>5695</v>
      </c>
      <c r="K1910" s="8"/>
      <c r="L1910" s="15" t="s">
        <v>1685</v>
      </c>
      <c r="M1910" s="8" t="s">
        <v>5578</v>
      </c>
      <c r="N1910" s="8"/>
      <c r="O1910" s="8" t="s">
        <v>5574</v>
      </c>
      <c r="P1910" s="11"/>
      <c r="Q1910" s="8" t="s">
        <v>5696</v>
      </c>
      <c r="R1910" s="8" t="s">
        <v>5919</v>
      </c>
      <c r="S1910" s="8" t="s">
        <v>11806</v>
      </c>
    </row>
    <row r="1911" spans="1:19" ht="107.1" customHeight="1" x14ac:dyDescent="0.25">
      <c r="A1911" s="8" t="s">
        <v>11807</v>
      </c>
      <c r="B1911" s="8" t="s">
        <v>5693</v>
      </c>
      <c r="C1911" s="8" t="s">
        <v>5918</v>
      </c>
      <c r="D1911" s="10">
        <v>1590</v>
      </c>
      <c r="E1911" s="8" t="s">
        <v>11808</v>
      </c>
      <c r="F1911" s="8" t="s">
        <v>11809</v>
      </c>
      <c r="G1911" s="8" t="s">
        <v>4727</v>
      </c>
      <c r="H1911" s="8" t="s">
        <v>11808</v>
      </c>
      <c r="I1911" s="8"/>
      <c r="J1911" s="15" t="s">
        <v>5695</v>
      </c>
      <c r="K1911" s="8"/>
      <c r="L1911" s="15" t="s">
        <v>1685</v>
      </c>
      <c r="M1911" s="8" t="s">
        <v>5578</v>
      </c>
      <c r="N1911" s="8"/>
      <c r="O1911" s="8" t="s">
        <v>5574</v>
      </c>
      <c r="P1911" s="11"/>
      <c r="Q1911" s="8" t="s">
        <v>5696</v>
      </c>
      <c r="R1911" s="8" t="s">
        <v>5919</v>
      </c>
      <c r="S1911" s="8" t="s">
        <v>11810</v>
      </c>
    </row>
    <row r="1912" spans="1:19" ht="107.1" customHeight="1" x14ac:dyDescent="0.25">
      <c r="A1912" s="8" t="s">
        <v>11811</v>
      </c>
      <c r="B1912" s="8" t="s">
        <v>5693</v>
      </c>
      <c r="C1912" s="8" t="s">
        <v>5918</v>
      </c>
      <c r="D1912" s="10">
        <v>1591</v>
      </c>
      <c r="E1912" s="8" t="s">
        <v>11812</v>
      </c>
      <c r="F1912" s="8" t="s">
        <v>11813</v>
      </c>
      <c r="G1912" s="8" t="s">
        <v>4727</v>
      </c>
      <c r="H1912" s="8" t="s">
        <v>11812</v>
      </c>
      <c r="I1912" s="8"/>
      <c r="J1912" s="15" t="s">
        <v>5695</v>
      </c>
      <c r="K1912" s="8"/>
      <c r="L1912" s="15" t="s">
        <v>1685</v>
      </c>
      <c r="M1912" s="8" t="s">
        <v>5578</v>
      </c>
      <c r="N1912" s="8"/>
      <c r="O1912" s="8" t="s">
        <v>5574</v>
      </c>
      <c r="P1912" s="11"/>
      <c r="Q1912" s="8" t="s">
        <v>5696</v>
      </c>
      <c r="R1912" s="8" t="s">
        <v>5919</v>
      </c>
      <c r="S1912" s="8" t="s">
        <v>11814</v>
      </c>
    </row>
    <row r="1913" spans="1:19" ht="107.1" customHeight="1" x14ac:dyDescent="0.25">
      <c r="A1913" s="8" t="s">
        <v>11815</v>
      </c>
      <c r="B1913" s="8" t="s">
        <v>5693</v>
      </c>
      <c r="C1913" s="8" t="s">
        <v>5918</v>
      </c>
      <c r="D1913" s="10">
        <v>1592</v>
      </c>
      <c r="E1913" s="8" t="s">
        <v>11816</v>
      </c>
      <c r="F1913" s="8" t="s">
        <v>11817</v>
      </c>
      <c r="G1913" s="8" t="s">
        <v>4727</v>
      </c>
      <c r="H1913" s="8" t="s">
        <v>11816</v>
      </c>
      <c r="I1913" s="8"/>
      <c r="J1913" s="15" t="s">
        <v>5695</v>
      </c>
      <c r="K1913" s="8"/>
      <c r="L1913" s="15" t="s">
        <v>1685</v>
      </c>
      <c r="M1913" s="8" t="s">
        <v>5578</v>
      </c>
      <c r="N1913" s="8"/>
      <c r="O1913" s="8" t="s">
        <v>5574</v>
      </c>
      <c r="P1913" s="11"/>
      <c r="Q1913" s="8" t="s">
        <v>5696</v>
      </c>
      <c r="R1913" s="8" t="s">
        <v>5919</v>
      </c>
      <c r="S1913" s="8" t="s">
        <v>11818</v>
      </c>
    </row>
    <row r="1914" spans="1:19" ht="107.1" customHeight="1" x14ac:dyDescent="0.25">
      <c r="A1914" s="8" t="s">
        <v>11819</v>
      </c>
      <c r="B1914" s="8" t="s">
        <v>5693</v>
      </c>
      <c r="C1914" s="8" t="s">
        <v>5918</v>
      </c>
      <c r="D1914" s="10">
        <v>1593</v>
      </c>
      <c r="E1914" s="8" t="s">
        <v>11820</v>
      </c>
      <c r="F1914" s="8" t="s">
        <v>11821</v>
      </c>
      <c r="G1914" s="8" t="s">
        <v>4727</v>
      </c>
      <c r="H1914" s="8" t="s">
        <v>11820</v>
      </c>
      <c r="I1914" s="8"/>
      <c r="J1914" s="15" t="s">
        <v>5695</v>
      </c>
      <c r="K1914" s="8"/>
      <c r="L1914" s="15" t="s">
        <v>1685</v>
      </c>
      <c r="M1914" s="8" t="s">
        <v>5578</v>
      </c>
      <c r="N1914" s="8"/>
      <c r="O1914" s="8" t="s">
        <v>5574</v>
      </c>
      <c r="P1914" s="11"/>
      <c r="Q1914" s="8" t="s">
        <v>5696</v>
      </c>
      <c r="R1914" s="8" t="s">
        <v>5919</v>
      </c>
      <c r="S1914" s="8" t="s">
        <v>11822</v>
      </c>
    </row>
    <row r="1915" spans="1:19" ht="107.1" customHeight="1" x14ac:dyDescent="0.25">
      <c r="A1915" s="8" t="s">
        <v>11823</v>
      </c>
      <c r="B1915" s="8" t="s">
        <v>5693</v>
      </c>
      <c r="C1915" s="8" t="s">
        <v>5918</v>
      </c>
      <c r="D1915" s="10">
        <v>1594</v>
      </c>
      <c r="E1915" s="8" t="s">
        <v>11824</v>
      </c>
      <c r="F1915" s="8" t="s">
        <v>11825</v>
      </c>
      <c r="G1915" s="8" t="s">
        <v>4727</v>
      </c>
      <c r="H1915" s="8" t="s">
        <v>11824</v>
      </c>
      <c r="I1915" s="8"/>
      <c r="J1915" s="15" t="s">
        <v>5695</v>
      </c>
      <c r="K1915" s="8"/>
      <c r="L1915" s="15" t="s">
        <v>1685</v>
      </c>
      <c r="M1915" s="8" t="s">
        <v>5578</v>
      </c>
      <c r="N1915" s="8"/>
      <c r="O1915" s="8" t="s">
        <v>5574</v>
      </c>
      <c r="P1915" s="11"/>
      <c r="Q1915" s="8" t="s">
        <v>5696</v>
      </c>
      <c r="R1915" s="8" t="s">
        <v>5919</v>
      </c>
      <c r="S1915" s="8" t="s">
        <v>11826</v>
      </c>
    </row>
    <row r="1916" spans="1:19" ht="107.1" customHeight="1" x14ac:dyDescent="0.25">
      <c r="A1916" s="8" t="s">
        <v>11827</v>
      </c>
      <c r="B1916" s="8" t="s">
        <v>5693</v>
      </c>
      <c r="C1916" s="8" t="s">
        <v>5918</v>
      </c>
      <c r="D1916" s="10">
        <v>1595</v>
      </c>
      <c r="E1916" s="8" t="s">
        <v>11828</v>
      </c>
      <c r="F1916" s="8" t="s">
        <v>11829</v>
      </c>
      <c r="G1916" s="8" t="s">
        <v>4727</v>
      </c>
      <c r="H1916" s="8" t="s">
        <v>11828</v>
      </c>
      <c r="I1916" s="8"/>
      <c r="J1916" s="15" t="s">
        <v>5695</v>
      </c>
      <c r="K1916" s="8"/>
      <c r="L1916" s="15" t="s">
        <v>1685</v>
      </c>
      <c r="M1916" s="8" t="s">
        <v>5578</v>
      </c>
      <c r="N1916" s="8"/>
      <c r="O1916" s="8" t="s">
        <v>5574</v>
      </c>
      <c r="P1916" s="11"/>
      <c r="Q1916" s="8" t="s">
        <v>5696</v>
      </c>
      <c r="R1916" s="8" t="s">
        <v>5919</v>
      </c>
      <c r="S1916" s="8" t="s">
        <v>11830</v>
      </c>
    </row>
    <row r="1917" spans="1:19" ht="107.1" customHeight="1" x14ac:dyDescent="0.25">
      <c r="A1917" s="8" t="s">
        <v>11831</v>
      </c>
      <c r="B1917" s="8" t="s">
        <v>5693</v>
      </c>
      <c r="C1917" s="8" t="s">
        <v>5918</v>
      </c>
      <c r="D1917" s="10">
        <v>1596</v>
      </c>
      <c r="E1917" s="8" t="s">
        <v>11832</v>
      </c>
      <c r="F1917" s="8" t="s">
        <v>11833</v>
      </c>
      <c r="G1917" s="8" t="s">
        <v>4727</v>
      </c>
      <c r="H1917" s="8" t="s">
        <v>11832</v>
      </c>
      <c r="I1917" s="8"/>
      <c r="J1917" s="15" t="s">
        <v>5695</v>
      </c>
      <c r="K1917" s="8"/>
      <c r="L1917" s="15" t="s">
        <v>1685</v>
      </c>
      <c r="M1917" s="8" t="s">
        <v>5578</v>
      </c>
      <c r="N1917" s="8"/>
      <c r="O1917" s="8" t="s">
        <v>5574</v>
      </c>
      <c r="P1917" s="11"/>
      <c r="Q1917" s="8" t="s">
        <v>5696</v>
      </c>
      <c r="R1917" s="8" t="s">
        <v>5919</v>
      </c>
      <c r="S1917" s="8" t="s">
        <v>11834</v>
      </c>
    </row>
    <row r="1918" spans="1:19" ht="107.1" customHeight="1" x14ac:dyDescent="0.25">
      <c r="A1918" s="8" t="s">
        <v>11835</v>
      </c>
      <c r="B1918" s="8" t="s">
        <v>5693</v>
      </c>
      <c r="C1918" s="8" t="s">
        <v>5918</v>
      </c>
      <c r="D1918" s="10">
        <v>1597</v>
      </c>
      <c r="E1918" s="8" t="s">
        <v>11836</v>
      </c>
      <c r="F1918" s="8" t="s">
        <v>11837</v>
      </c>
      <c r="G1918" s="8" t="s">
        <v>4727</v>
      </c>
      <c r="H1918" s="8" t="s">
        <v>11836</v>
      </c>
      <c r="I1918" s="8"/>
      <c r="J1918" s="15" t="s">
        <v>5695</v>
      </c>
      <c r="K1918" s="8"/>
      <c r="L1918" s="15" t="s">
        <v>1685</v>
      </c>
      <c r="M1918" s="8" t="s">
        <v>5578</v>
      </c>
      <c r="N1918" s="8"/>
      <c r="O1918" s="8" t="s">
        <v>5574</v>
      </c>
      <c r="P1918" s="11"/>
      <c r="Q1918" s="8" t="s">
        <v>5696</v>
      </c>
      <c r="R1918" s="8" t="s">
        <v>5919</v>
      </c>
      <c r="S1918" s="8" t="s">
        <v>11838</v>
      </c>
    </row>
    <row r="1919" spans="1:19" ht="107.1" customHeight="1" x14ac:dyDescent="0.25">
      <c r="A1919" s="8" t="s">
        <v>11839</v>
      </c>
      <c r="B1919" s="8" t="s">
        <v>5693</v>
      </c>
      <c r="C1919" s="8" t="s">
        <v>5918</v>
      </c>
      <c r="D1919" s="10">
        <v>1598</v>
      </c>
      <c r="E1919" s="8" t="s">
        <v>11840</v>
      </c>
      <c r="F1919" s="8" t="s">
        <v>11841</v>
      </c>
      <c r="G1919" s="8" t="s">
        <v>4727</v>
      </c>
      <c r="H1919" s="8" t="s">
        <v>11840</v>
      </c>
      <c r="I1919" s="8"/>
      <c r="J1919" s="15" t="s">
        <v>5695</v>
      </c>
      <c r="K1919" s="8"/>
      <c r="L1919" s="15" t="s">
        <v>1685</v>
      </c>
      <c r="M1919" s="8" t="s">
        <v>5578</v>
      </c>
      <c r="N1919" s="8"/>
      <c r="O1919" s="8" t="s">
        <v>5574</v>
      </c>
      <c r="P1919" s="11"/>
      <c r="Q1919" s="8" t="s">
        <v>5696</v>
      </c>
      <c r="R1919" s="8" t="s">
        <v>5919</v>
      </c>
      <c r="S1919" s="8" t="s">
        <v>11842</v>
      </c>
    </row>
    <row r="1920" spans="1:19" ht="107.1" customHeight="1" x14ac:dyDescent="0.25">
      <c r="A1920" s="8" t="s">
        <v>11843</v>
      </c>
      <c r="B1920" s="8" t="s">
        <v>5693</v>
      </c>
      <c r="C1920" s="8" t="s">
        <v>5918</v>
      </c>
      <c r="D1920" s="10">
        <v>1599</v>
      </c>
      <c r="E1920" s="8" t="s">
        <v>11844</v>
      </c>
      <c r="F1920" s="8" t="s">
        <v>11845</v>
      </c>
      <c r="G1920" s="8" t="s">
        <v>4727</v>
      </c>
      <c r="H1920" s="8" t="s">
        <v>11844</v>
      </c>
      <c r="I1920" s="8"/>
      <c r="J1920" s="15" t="s">
        <v>5695</v>
      </c>
      <c r="K1920" s="8"/>
      <c r="L1920" s="15" t="s">
        <v>1685</v>
      </c>
      <c r="M1920" s="8" t="s">
        <v>5578</v>
      </c>
      <c r="N1920" s="8"/>
      <c r="O1920" s="8" t="s">
        <v>5574</v>
      </c>
      <c r="P1920" s="11"/>
      <c r="Q1920" s="8" t="s">
        <v>5696</v>
      </c>
      <c r="R1920" s="8" t="s">
        <v>5919</v>
      </c>
      <c r="S1920" s="8" t="s">
        <v>11846</v>
      </c>
    </row>
    <row r="1921" spans="1:19" ht="107.1" customHeight="1" x14ac:dyDescent="0.25">
      <c r="A1921" s="8" t="s">
        <v>11847</v>
      </c>
      <c r="B1921" s="8" t="s">
        <v>5693</v>
      </c>
      <c r="C1921" s="8" t="s">
        <v>5918</v>
      </c>
      <c r="D1921" s="10">
        <v>1600</v>
      </c>
      <c r="E1921" s="8" t="s">
        <v>11848</v>
      </c>
      <c r="F1921" s="8" t="s">
        <v>11849</v>
      </c>
      <c r="G1921" s="8" t="s">
        <v>4727</v>
      </c>
      <c r="H1921" s="8" t="s">
        <v>11848</v>
      </c>
      <c r="I1921" s="8"/>
      <c r="J1921" s="15" t="s">
        <v>5695</v>
      </c>
      <c r="K1921" s="8"/>
      <c r="L1921" s="15" t="s">
        <v>1685</v>
      </c>
      <c r="M1921" s="8" t="s">
        <v>5578</v>
      </c>
      <c r="N1921" s="8"/>
      <c r="O1921" s="8" t="s">
        <v>5574</v>
      </c>
      <c r="P1921" s="11"/>
      <c r="Q1921" s="8" t="s">
        <v>5696</v>
      </c>
      <c r="R1921" s="8" t="s">
        <v>5919</v>
      </c>
      <c r="S1921" s="8" t="s">
        <v>11850</v>
      </c>
    </row>
    <row r="1922" spans="1:19" ht="107.1" customHeight="1" x14ac:dyDescent="0.25">
      <c r="A1922" s="8" t="s">
        <v>11851</v>
      </c>
      <c r="B1922" s="8" t="s">
        <v>5693</v>
      </c>
      <c r="C1922" s="8" t="s">
        <v>5918</v>
      </c>
      <c r="D1922" s="10">
        <v>1601</v>
      </c>
      <c r="E1922" s="8" t="s">
        <v>11852</v>
      </c>
      <c r="F1922" s="8" t="s">
        <v>11853</v>
      </c>
      <c r="G1922" s="8" t="s">
        <v>4727</v>
      </c>
      <c r="H1922" s="8" t="s">
        <v>11852</v>
      </c>
      <c r="I1922" s="8"/>
      <c r="J1922" s="15" t="s">
        <v>5695</v>
      </c>
      <c r="K1922" s="8"/>
      <c r="L1922" s="15" t="s">
        <v>1685</v>
      </c>
      <c r="M1922" s="8" t="s">
        <v>5578</v>
      </c>
      <c r="N1922" s="8"/>
      <c r="O1922" s="8" t="s">
        <v>5574</v>
      </c>
      <c r="P1922" s="11"/>
      <c r="Q1922" s="8" t="s">
        <v>5696</v>
      </c>
      <c r="R1922" s="8" t="s">
        <v>5919</v>
      </c>
      <c r="S1922" s="8" t="s">
        <v>11854</v>
      </c>
    </row>
    <row r="1923" spans="1:19" ht="107.1" customHeight="1" x14ac:dyDescent="0.25">
      <c r="A1923" s="8" t="s">
        <v>11855</v>
      </c>
      <c r="B1923" s="8" t="s">
        <v>5693</v>
      </c>
      <c r="C1923" s="8" t="s">
        <v>5918</v>
      </c>
      <c r="D1923" s="10">
        <v>1602</v>
      </c>
      <c r="E1923" s="8" t="s">
        <v>11856</v>
      </c>
      <c r="F1923" s="8" t="s">
        <v>11857</v>
      </c>
      <c r="G1923" s="8" t="s">
        <v>4727</v>
      </c>
      <c r="H1923" s="8" t="s">
        <v>11856</v>
      </c>
      <c r="I1923" s="8"/>
      <c r="J1923" s="15" t="s">
        <v>5695</v>
      </c>
      <c r="K1923" s="8"/>
      <c r="L1923" s="15" t="s">
        <v>1685</v>
      </c>
      <c r="M1923" s="8" t="s">
        <v>5578</v>
      </c>
      <c r="N1923" s="8"/>
      <c r="O1923" s="8" t="s">
        <v>5574</v>
      </c>
      <c r="P1923" s="11"/>
      <c r="Q1923" s="8" t="s">
        <v>5696</v>
      </c>
      <c r="R1923" s="8" t="s">
        <v>5919</v>
      </c>
      <c r="S1923" s="8" t="s">
        <v>11858</v>
      </c>
    </row>
    <row r="1924" spans="1:19" ht="107.1" customHeight="1" x14ac:dyDescent="0.25">
      <c r="A1924" s="8" t="s">
        <v>11859</v>
      </c>
      <c r="B1924" s="8" t="s">
        <v>5693</v>
      </c>
      <c r="C1924" s="8" t="s">
        <v>5918</v>
      </c>
      <c r="D1924" s="10">
        <v>1603</v>
      </c>
      <c r="E1924" s="8" t="s">
        <v>11860</v>
      </c>
      <c r="F1924" s="8" t="s">
        <v>11861</v>
      </c>
      <c r="G1924" s="8" t="s">
        <v>4727</v>
      </c>
      <c r="H1924" s="8" t="s">
        <v>11860</v>
      </c>
      <c r="I1924" s="8"/>
      <c r="J1924" s="15" t="s">
        <v>5695</v>
      </c>
      <c r="K1924" s="8"/>
      <c r="L1924" s="15" t="s">
        <v>1685</v>
      </c>
      <c r="M1924" s="8" t="s">
        <v>5578</v>
      </c>
      <c r="N1924" s="8"/>
      <c r="O1924" s="8" t="s">
        <v>5574</v>
      </c>
      <c r="P1924" s="11"/>
      <c r="Q1924" s="8" t="s">
        <v>5696</v>
      </c>
      <c r="R1924" s="8" t="s">
        <v>5919</v>
      </c>
      <c r="S1924" s="8" t="s">
        <v>11862</v>
      </c>
    </row>
    <row r="1925" spans="1:19" ht="107.1" customHeight="1" x14ac:dyDescent="0.25">
      <c r="A1925" s="8" t="s">
        <v>11863</v>
      </c>
      <c r="B1925" s="8" t="s">
        <v>5693</v>
      </c>
      <c r="C1925" s="8" t="s">
        <v>5918</v>
      </c>
      <c r="D1925" s="10">
        <v>1604</v>
      </c>
      <c r="E1925" s="8" t="s">
        <v>11864</v>
      </c>
      <c r="F1925" s="8" t="s">
        <v>11865</v>
      </c>
      <c r="G1925" s="8" t="s">
        <v>4727</v>
      </c>
      <c r="H1925" s="8" t="s">
        <v>11864</v>
      </c>
      <c r="I1925" s="8"/>
      <c r="J1925" s="15" t="s">
        <v>5695</v>
      </c>
      <c r="K1925" s="8"/>
      <c r="L1925" s="15" t="s">
        <v>1685</v>
      </c>
      <c r="M1925" s="8" t="s">
        <v>5578</v>
      </c>
      <c r="N1925" s="8"/>
      <c r="O1925" s="8" t="s">
        <v>5574</v>
      </c>
      <c r="P1925" s="11"/>
      <c r="Q1925" s="8" t="s">
        <v>5696</v>
      </c>
      <c r="R1925" s="8" t="s">
        <v>5919</v>
      </c>
      <c r="S1925" s="8" t="s">
        <v>11866</v>
      </c>
    </row>
    <row r="1926" spans="1:19" ht="107.1" customHeight="1" x14ac:dyDescent="0.25">
      <c r="A1926" s="8" t="s">
        <v>11867</v>
      </c>
      <c r="B1926" s="8" t="s">
        <v>5693</v>
      </c>
      <c r="C1926" s="8" t="s">
        <v>5918</v>
      </c>
      <c r="D1926" s="10">
        <v>1605</v>
      </c>
      <c r="E1926" s="8" t="s">
        <v>11868</v>
      </c>
      <c r="F1926" s="8" t="s">
        <v>11869</v>
      </c>
      <c r="G1926" s="8" t="s">
        <v>4727</v>
      </c>
      <c r="H1926" s="8" t="s">
        <v>11868</v>
      </c>
      <c r="I1926" s="8"/>
      <c r="J1926" s="15" t="s">
        <v>5695</v>
      </c>
      <c r="K1926" s="8"/>
      <c r="L1926" s="15" t="s">
        <v>1685</v>
      </c>
      <c r="M1926" s="8" t="s">
        <v>5578</v>
      </c>
      <c r="N1926" s="8"/>
      <c r="O1926" s="8" t="s">
        <v>5574</v>
      </c>
      <c r="P1926" s="11"/>
      <c r="Q1926" s="8" t="s">
        <v>5696</v>
      </c>
      <c r="R1926" s="8" t="s">
        <v>5919</v>
      </c>
      <c r="S1926" s="8" t="s">
        <v>11870</v>
      </c>
    </row>
    <row r="1927" spans="1:19" ht="107.1" customHeight="1" x14ac:dyDescent="0.25">
      <c r="A1927" s="8" t="s">
        <v>11871</v>
      </c>
      <c r="B1927" s="8" t="s">
        <v>5693</v>
      </c>
      <c r="C1927" s="8" t="s">
        <v>5918</v>
      </c>
      <c r="D1927" s="10">
        <v>1606</v>
      </c>
      <c r="E1927" s="8" t="s">
        <v>11872</v>
      </c>
      <c r="F1927" s="8" t="s">
        <v>11873</v>
      </c>
      <c r="G1927" s="8" t="s">
        <v>4727</v>
      </c>
      <c r="H1927" s="8" t="s">
        <v>11872</v>
      </c>
      <c r="I1927" s="8"/>
      <c r="J1927" s="15" t="s">
        <v>5695</v>
      </c>
      <c r="K1927" s="8"/>
      <c r="L1927" s="15" t="s">
        <v>1685</v>
      </c>
      <c r="M1927" s="8" t="s">
        <v>5578</v>
      </c>
      <c r="N1927" s="8"/>
      <c r="O1927" s="8" t="s">
        <v>5574</v>
      </c>
      <c r="P1927" s="11"/>
      <c r="Q1927" s="8" t="s">
        <v>5696</v>
      </c>
      <c r="R1927" s="8" t="s">
        <v>5919</v>
      </c>
      <c r="S1927" s="8" t="s">
        <v>11874</v>
      </c>
    </row>
    <row r="1928" spans="1:19" ht="107.1" customHeight="1" x14ac:dyDescent="0.25">
      <c r="A1928" s="8" t="s">
        <v>11875</v>
      </c>
      <c r="B1928" s="8" t="s">
        <v>5693</v>
      </c>
      <c r="C1928" s="8" t="s">
        <v>5918</v>
      </c>
      <c r="D1928" s="10">
        <v>1607</v>
      </c>
      <c r="E1928" s="8" t="s">
        <v>11876</v>
      </c>
      <c r="F1928" s="8" t="s">
        <v>11877</v>
      </c>
      <c r="G1928" s="8" t="s">
        <v>4727</v>
      </c>
      <c r="H1928" s="8" t="s">
        <v>11876</v>
      </c>
      <c r="I1928" s="8"/>
      <c r="J1928" s="15" t="s">
        <v>5695</v>
      </c>
      <c r="K1928" s="8"/>
      <c r="L1928" s="15" t="s">
        <v>1685</v>
      </c>
      <c r="M1928" s="8" t="s">
        <v>5578</v>
      </c>
      <c r="N1928" s="8"/>
      <c r="O1928" s="8" t="s">
        <v>5574</v>
      </c>
      <c r="P1928" s="11"/>
      <c r="Q1928" s="8" t="s">
        <v>5696</v>
      </c>
      <c r="R1928" s="8" t="s">
        <v>5919</v>
      </c>
      <c r="S1928" s="8" t="s">
        <v>11878</v>
      </c>
    </row>
    <row r="1929" spans="1:19" ht="107.1" customHeight="1" x14ac:dyDescent="0.25">
      <c r="A1929" s="8" t="s">
        <v>11879</v>
      </c>
      <c r="B1929" s="8" t="s">
        <v>5693</v>
      </c>
      <c r="C1929" s="8" t="s">
        <v>5918</v>
      </c>
      <c r="D1929" s="10">
        <v>1608</v>
      </c>
      <c r="E1929" s="8" t="s">
        <v>11880</v>
      </c>
      <c r="F1929" s="8" t="s">
        <v>11881</v>
      </c>
      <c r="G1929" s="8" t="s">
        <v>4727</v>
      </c>
      <c r="H1929" s="8" t="s">
        <v>11880</v>
      </c>
      <c r="I1929" s="8"/>
      <c r="J1929" s="15" t="s">
        <v>5695</v>
      </c>
      <c r="K1929" s="8"/>
      <c r="L1929" s="15" t="s">
        <v>1685</v>
      </c>
      <c r="M1929" s="8" t="s">
        <v>5578</v>
      </c>
      <c r="N1929" s="8"/>
      <c r="O1929" s="8" t="s">
        <v>5574</v>
      </c>
      <c r="P1929" s="11"/>
      <c r="Q1929" s="8" t="s">
        <v>5696</v>
      </c>
      <c r="R1929" s="8" t="s">
        <v>5919</v>
      </c>
      <c r="S1929" s="8" t="s">
        <v>11882</v>
      </c>
    </row>
    <row r="1930" spans="1:19" ht="107.1" customHeight="1" x14ac:dyDescent="0.25">
      <c r="A1930" s="8" t="s">
        <v>11883</v>
      </c>
      <c r="B1930" s="8" t="s">
        <v>5693</v>
      </c>
      <c r="C1930" s="8" t="s">
        <v>5918</v>
      </c>
      <c r="D1930" s="10">
        <v>1609</v>
      </c>
      <c r="E1930" s="8" t="s">
        <v>11884</v>
      </c>
      <c r="F1930" s="8" t="s">
        <v>11885</v>
      </c>
      <c r="G1930" s="8" t="s">
        <v>4727</v>
      </c>
      <c r="H1930" s="8" t="s">
        <v>11884</v>
      </c>
      <c r="I1930" s="8"/>
      <c r="J1930" s="15" t="s">
        <v>5695</v>
      </c>
      <c r="K1930" s="8"/>
      <c r="L1930" s="15" t="s">
        <v>1685</v>
      </c>
      <c r="M1930" s="8" t="s">
        <v>5578</v>
      </c>
      <c r="N1930" s="8"/>
      <c r="O1930" s="8" t="s">
        <v>5574</v>
      </c>
      <c r="P1930" s="11"/>
      <c r="Q1930" s="8" t="s">
        <v>5696</v>
      </c>
      <c r="R1930" s="8" t="s">
        <v>5919</v>
      </c>
      <c r="S1930" s="8" t="s">
        <v>11886</v>
      </c>
    </row>
    <row r="1931" spans="1:19" ht="107.1" customHeight="1" x14ac:dyDescent="0.25">
      <c r="A1931" s="8" t="s">
        <v>11887</v>
      </c>
      <c r="B1931" s="8" t="s">
        <v>5693</v>
      </c>
      <c r="C1931" s="8" t="s">
        <v>5918</v>
      </c>
      <c r="D1931" s="10">
        <v>1610</v>
      </c>
      <c r="E1931" s="8" t="s">
        <v>11888</v>
      </c>
      <c r="F1931" s="8" t="s">
        <v>11889</v>
      </c>
      <c r="G1931" s="8" t="s">
        <v>4727</v>
      </c>
      <c r="H1931" s="8" t="s">
        <v>11888</v>
      </c>
      <c r="I1931" s="8"/>
      <c r="J1931" s="15" t="s">
        <v>5695</v>
      </c>
      <c r="K1931" s="8"/>
      <c r="L1931" s="15" t="s">
        <v>1685</v>
      </c>
      <c r="M1931" s="8" t="s">
        <v>5578</v>
      </c>
      <c r="N1931" s="8"/>
      <c r="O1931" s="8" t="s">
        <v>5574</v>
      </c>
      <c r="P1931" s="11"/>
      <c r="Q1931" s="8" t="s">
        <v>5696</v>
      </c>
      <c r="R1931" s="8" t="s">
        <v>5919</v>
      </c>
      <c r="S1931" s="8" t="s">
        <v>11890</v>
      </c>
    </row>
    <row r="1932" spans="1:19" ht="107.1" customHeight="1" x14ac:dyDescent="0.25">
      <c r="A1932" s="8" t="s">
        <v>11891</v>
      </c>
      <c r="B1932" s="8" t="s">
        <v>5693</v>
      </c>
      <c r="C1932" s="8" t="s">
        <v>5918</v>
      </c>
      <c r="D1932" s="10">
        <v>1611</v>
      </c>
      <c r="E1932" s="8" t="s">
        <v>11892</v>
      </c>
      <c r="F1932" s="8" t="s">
        <v>11893</v>
      </c>
      <c r="G1932" s="8" t="s">
        <v>4727</v>
      </c>
      <c r="H1932" s="8" t="s">
        <v>11892</v>
      </c>
      <c r="I1932" s="8"/>
      <c r="J1932" s="15" t="s">
        <v>5695</v>
      </c>
      <c r="K1932" s="8"/>
      <c r="L1932" s="15" t="s">
        <v>1685</v>
      </c>
      <c r="M1932" s="8" t="s">
        <v>5578</v>
      </c>
      <c r="N1932" s="8"/>
      <c r="O1932" s="8" t="s">
        <v>5574</v>
      </c>
      <c r="P1932" s="11"/>
      <c r="Q1932" s="8" t="s">
        <v>5696</v>
      </c>
      <c r="R1932" s="8" t="s">
        <v>5919</v>
      </c>
      <c r="S1932" s="8" t="s">
        <v>11894</v>
      </c>
    </row>
    <row r="1933" spans="1:19" ht="107.1" customHeight="1" x14ac:dyDescent="0.25">
      <c r="A1933" s="8" t="s">
        <v>11895</v>
      </c>
      <c r="B1933" s="8" t="s">
        <v>5693</v>
      </c>
      <c r="C1933" s="8" t="s">
        <v>5918</v>
      </c>
      <c r="D1933" s="10">
        <v>1612</v>
      </c>
      <c r="E1933" s="8" t="s">
        <v>11896</v>
      </c>
      <c r="F1933" s="8" t="s">
        <v>11897</v>
      </c>
      <c r="G1933" s="8" t="s">
        <v>4727</v>
      </c>
      <c r="H1933" s="8" t="s">
        <v>11896</v>
      </c>
      <c r="I1933" s="8"/>
      <c r="J1933" s="15" t="s">
        <v>5695</v>
      </c>
      <c r="K1933" s="8"/>
      <c r="L1933" s="15" t="s">
        <v>1685</v>
      </c>
      <c r="M1933" s="8" t="s">
        <v>5578</v>
      </c>
      <c r="N1933" s="8"/>
      <c r="O1933" s="8" t="s">
        <v>5574</v>
      </c>
      <c r="P1933" s="11"/>
      <c r="Q1933" s="8" t="s">
        <v>5696</v>
      </c>
      <c r="R1933" s="8" t="s">
        <v>5919</v>
      </c>
      <c r="S1933" s="8" t="s">
        <v>11898</v>
      </c>
    </row>
    <row r="1934" spans="1:19" ht="107.1" customHeight="1" x14ac:dyDescent="0.25">
      <c r="A1934" s="8" t="s">
        <v>11899</v>
      </c>
      <c r="B1934" s="8" t="s">
        <v>5693</v>
      </c>
      <c r="C1934" s="8" t="s">
        <v>5918</v>
      </c>
      <c r="D1934" s="10">
        <v>1613</v>
      </c>
      <c r="E1934" s="8" t="s">
        <v>11900</v>
      </c>
      <c r="F1934" s="8" t="s">
        <v>11901</v>
      </c>
      <c r="G1934" s="8" t="s">
        <v>4727</v>
      </c>
      <c r="H1934" s="8" t="s">
        <v>11900</v>
      </c>
      <c r="I1934" s="8"/>
      <c r="J1934" s="15" t="s">
        <v>5695</v>
      </c>
      <c r="K1934" s="8"/>
      <c r="L1934" s="15" t="s">
        <v>1685</v>
      </c>
      <c r="M1934" s="8" t="s">
        <v>5578</v>
      </c>
      <c r="N1934" s="8"/>
      <c r="O1934" s="8" t="s">
        <v>5574</v>
      </c>
      <c r="P1934" s="11"/>
      <c r="Q1934" s="8" t="s">
        <v>5696</v>
      </c>
      <c r="R1934" s="8" t="s">
        <v>5919</v>
      </c>
      <c r="S1934" s="8" t="s">
        <v>11902</v>
      </c>
    </row>
    <row r="1935" spans="1:19" ht="107.1" customHeight="1" x14ac:dyDescent="0.25">
      <c r="A1935" s="8" t="s">
        <v>11903</v>
      </c>
      <c r="B1935" s="8" t="s">
        <v>5693</v>
      </c>
      <c r="C1935" s="8" t="s">
        <v>5918</v>
      </c>
      <c r="D1935" s="10">
        <v>1614</v>
      </c>
      <c r="E1935" s="8" t="s">
        <v>11904</v>
      </c>
      <c r="F1935" s="8" t="s">
        <v>11905</v>
      </c>
      <c r="G1935" s="8" t="s">
        <v>4727</v>
      </c>
      <c r="H1935" s="8" t="s">
        <v>11904</v>
      </c>
      <c r="I1935" s="8"/>
      <c r="J1935" s="15" t="s">
        <v>5695</v>
      </c>
      <c r="K1935" s="8"/>
      <c r="L1935" s="15" t="s">
        <v>1685</v>
      </c>
      <c r="M1935" s="8" t="s">
        <v>5578</v>
      </c>
      <c r="N1935" s="8"/>
      <c r="O1935" s="8" t="s">
        <v>5574</v>
      </c>
      <c r="P1935" s="11"/>
      <c r="Q1935" s="8" t="s">
        <v>5696</v>
      </c>
      <c r="R1935" s="8" t="s">
        <v>5919</v>
      </c>
      <c r="S1935" s="8" t="s">
        <v>11906</v>
      </c>
    </row>
    <row r="1936" spans="1:19" ht="107.1" customHeight="1" x14ac:dyDescent="0.25">
      <c r="A1936" s="8" t="s">
        <v>11907</v>
      </c>
      <c r="B1936" s="8" t="s">
        <v>5693</v>
      </c>
      <c r="C1936" s="8" t="s">
        <v>5918</v>
      </c>
      <c r="D1936" s="10">
        <v>1615</v>
      </c>
      <c r="E1936" s="8" t="s">
        <v>11908</v>
      </c>
      <c r="F1936" s="8" t="s">
        <v>11909</v>
      </c>
      <c r="G1936" s="8" t="s">
        <v>4727</v>
      </c>
      <c r="H1936" s="8" t="s">
        <v>11908</v>
      </c>
      <c r="I1936" s="8"/>
      <c r="J1936" s="15" t="s">
        <v>5695</v>
      </c>
      <c r="K1936" s="8"/>
      <c r="L1936" s="15" t="s">
        <v>1685</v>
      </c>
      <c r="M1936" s="8" t="s">
        <v>5578</v>
      </c>
      <c r="N1936" s="8"/>
      <c r="O1936" s="8" t="s">
        <v>5574</v>
      </c>
      <c r="P1936" s="11"/>
      <c r="Q1936" s="8" t="s">
        <v>5696</v>
      </c>
      <c r="R1936" s="8" t="s">
        <v>5919</v>
      </c>
      <c r="S1936" s="8" t="s">
        <v>11910</v>
      </c>
    </row>
    <row r="1937" spans="1:19" ht="107.1" customHeight="1" x14ac:dyDescent="0.25">
      <c r="A1937" s="8" t="s">
        <v>11911</v>
      </c>
      <c r="B1937" s="8" t="s">
        <v>5693</v>
      </c>
      <c r="C1937" s="8" t="s">
        <v>5918</v>
      </c>
      <c r="D1937" s="10">
        <v>1616</v>
      </c>
      <c r="E1937" s="8" t="s">
        <v>11912</v>
      </c>
      <c r="F1937" s="8" t="s">
        <v>11913</v>
      </c>
      <c r="G1937" s="8" t="s">
        <v>4727</v>
      </c>
      <c r="H1937" s="8" t="s">
        <v>11912</v>
      </c>
      <c r="I1937" s="8"/>
      <c r="J1937" s="15" t="s">
        <v>5695</v>
      </c>
      <c r="K1937" s="8"/>
      <c r="L1937" s="15" t="s">
        <v>1685</v>
      </c>
      <c r="M1937" s="8" t="s">
        <v>5578</v>
      </c>
      <c r="N1937" s="8"/>
      <c r="O1937" s="8" t="s">
        <v>5574</v>
      </c>
      <c r="P1937" s="11"/>
      <c r="Q1937" s="8" t="s">
        <v>5696</v>
      </c>
      <c r="R1937" s="8" t="s">
        <v>5919</v>
      </c>
      <c r="S1937" s="8" t="s">
        <v>11914</v>
      </c>
    </row>
    <row r="1938" spans="1:19" ht="107.1" customHeight="1" x14ac:dyDescent="0.25">
      <c r="A1938" s="8" t="s">
        <v>11915</v>
      </c>
      <c r="B1938" s="8" t="s">
        <v>5693</v>
      </c>
      <c r="C1938" s="8" t="s">
        <v>5918</v>
      </c>
      <c r="D1938" s="10">
        <v>1617</v>
      </c>
      <c r="E1938" s="8" t="s">
        <v>11916</v>
      </c>
      <c r="F1938" s="8" t="s">
        <v>11917</v>
      </c>
      <c r="G1938" s="8" t="s">
        <v>4727</v>
      </c>
      <c r="H1938" s="8" t="s">
        <v>11916</v>
      </c>
      <c r="I1938" s="8"/>
      <c r="J1938" s="15" t="s">
        <v>5695</v>
      </c>
      <c r="K1938" s="8"/>
      <c r="L1938" s="15" t="s">
        <v>1685</v>
      </c>
      <c r="M1938" s="8" t="s">
        <v>5578</v>
      </c>
      <c r="N1938" s="8"/>
      <c r="O1938" s="8" t="s">
        <v>5574</v>
      </c>
      <c r="P1938" s="11"/>
      <c r="Q1938" s="8" t="s">
        <v>5696</v>
      </c>
      <c r="R1938" s="8" t="s">
        <v>5919</v>
      </c>
      <c r="S1938" s="8" t="s">
        <v>11918</v>
      </c>
    </row>
    <row r="1939" spans="1:19" ht="107.1" customHeight="1" x14ac:dyDescent="0.25">
      <c r="A1939" s="8" t="s">
        <v>11919</v>
      </c>
      <c r="B1939" s="8" t="s">
        <v>5693</v>
      </c>
      <c r="C1939" s="8" t="s">
        <v>5918</v>
      </c>
      <c r="D1939" s="10">
        <v>1618</v>
      </c>
      <c r="E1939" s="8" t="s">
        <v>11920</v>
      </c>
      <c r="F1939" s="8" t="s">
        <v>5032</v>
      </c>
      <c r="G1939" s="8" t="s">
        <v>4727</v>
      </c>
      <c r="H1939" s="8" t="s">
        <v>11920</v>
      </c>
      <c r="I1939" s="8"/>
      <c r="J1939" s="15" t="s">
        <v>5695</v>
      </c>
      <c r="K1939" s="8"/>
      <c r="L1939" s="15" t="s">
        <v>1685</v>
      </c>
      <c r="M1939" s="8" t="s">
        <v>5578</v>
      </c>
      <c r="N1939" s="8"/>
      <c r="O1939" s="8" t="s">
        <v>5574</v>
      </c>
      <c r="P1939" s="11"/>
      <c r="Q1939" s="8" t="s">
        <v>5696</v>
      </c>
      <c r="R1939" s="8" t="s">
        <v>5919</v>
      </c>
      <c r="S1939" s="8" t="s">
        <v>11921</v>
      </c>
    </row>
    <row r="1940" spans="1:19" ht="107.1" customHeight="1" x14ac:dyDescent="0.25">
      <c r="A1940" s="8" t="s">
        <v>11922</v>
      </c>
      <c r="B1940" s="8" t="s">
        <v>5693</v>
      </c>
      <c r="C1940" s="8" t="s">
        <v>5918</v>
      </c>
      <c r="D1940" s="10">
        <v>1619</v>
      </c>
      <c r="E1940" s="8" t="s">
        <v>11923</v>
      </c>
      <c r="F1940" s="8" t="s">
        <v>11924</v>
      </c>
      <c r="G1940" s="8" t="s">
        <v>4727</v>
      </c>
      <c r="H1940" s="8" t="s">
        <v>11923</v>
      </c>
      <c r="I1940" s="8"/>
      <c r="J1940" s="15" t="s">
        <v>5695</v>
      </c>
      <c r="K1940" s="8"/>
      <c r="L1940" s="15" t="s">
        <v>1685</v>
      </c>
      <c r="M1940" s="8" t="s">
        <v>5578</v>
      </c>
      <c r="N1940" s="8"/>
      <c r="O1940" s="8" t="s">
        <v>5574</v>
      </c>
      <c r="P1940" s="11"/>
      <c r="Q1940" s="8" t="s">
        <v>5696</v>
      </c>
      <c r="R1940" s="8" t="s">
        <v>5919</v>
      </c>
      <c r="S1940" s="8" t="s">
        <v>11925</v>
      </c>
    </row>
    <row r="1941" spans="1:19" ht="107.1" customHeight="1" x14ac:dyDescent="0.25">
      <c r="A1941" s="8" t="s">
        <v>11926</v>
      </c>
      <c r="B1941" s="8" t="s">
        <v>5693</v>
      </c>
      <c r="C1941" s="8" t="s">
        <v>5918</v>
      </c>
      <c r="D1941" s="10">
        <v>1620</v>
      </c>
      <c r="E1941" s="8" t="s">
        <v>11927</v>
      </c>
      <c r="F1941" s="8" t="s">
        <v>11928</v>
      </c>
      <c r="G1941" s="8" t="s">
        <v>4727</v>
      </c>
      <c r="H1941" s="8" t="s">
        <v>11927</v>
      </c>
      <c r="I1941" s="8"/>
      <c r="J1941" s="15" t="s">
        <v>5695</v>
      </c>
      <c r="K1941" s="8"/>
      <c r="L1941" s="15" t="s">
        <v>1685</v>
      </c>
      <c r="M1941" s="8" t="s">
        <v>5578</v>
      </c>
      <c r="N1941" s="8"/>
      <c r="O1941" s="8" t="s">
        <v>5574</v>
      </c>
      <c r="P1941" s="11"/>
      <c r="Q1941" s="8" t="s">
        <v>5696</v>
      </c>
      <c r="R1941" s="8" t="s">
        <v>5919</v>
      </c>
      <c r="S1941" s="8" t="s">
        <v>11929</v>
      </c>
    </row>
    <row r="1942" spans="1:19" ht="107.1" customHeight="1" x14ac:dyDescent="0.25">
      <c r="A1942" s="8" t="s">
        <v>11930</v>
      </c>
      <c r="B1942" s="8" t="s">
        <v>5693</v>
      </c>
      <c r="C1942" s="8" t="s">
        <v>5918</v>
      </c>
      <c r="D1942" s="10">
        <v>1621</v>
      </c>
      <c r="E1942" s="8" t="s">
        <v>11931</v>
      </c>
      <c r="F1942" s="8" t="s">
        <v>11932</v>
      </c>
      <c r="G1942" s="8" t="s">
        <v>4727</v>
      </c>
      <c r="H1942" s="8" t="s">
        <v>11931</v>
      </c>
      <c r="I1942" s="8"/>
      <c r="J1942" s="15" t="s">
        <v>5695</v>
      </c>
      <c r="K1942" s="8"/>
      <c r="L1942" s="15" t="s">
        <v>1685</v>
      </c>
      <c r="M1942" s="8" t="s">
        <v>5578</v>
      </c>
      <c r="N1942" s="8"/>
      <c r="O1942" s="8" t="s">
        <v>5574</v>
      </c>
      <c r="P1942" s="11"/>
      <c r="Q1942" s="8" t="s">
        <v>5696</v>
      </c>
      <c r="R1942" s="8" t="s">
        <v>5919</v>
      </c>
      <c r="S1942" s="8" t="s">
        <v>11933</v>
      </c>
    </row>
    <row r="1943" spans="1:19" ht="107.1" customHeight="1" x14ac:dyDescent="0.25">
      <c r="A1943" s="8" t="s">
        <v>11934</v>
      </c>
      <c r="B1943" s="8" t="s">
        <v>5693</v>
      </c>
      <c r="C1943" s="8" t="s">
        <v>5918</v>
      </c>
      <c r="D1943" s="10">
        <v>1622</v>
      </c>
      <c r="E1943" s="8" t="s">
        <v>11935</v>
      </c>
      <c r="F1943" s="8" t="s">
        <v>11936</v>
      </c>
      <c r="G1943" s="8" t="s">
        <v>4727</v>
      </c>
      <c r="H1943" s="8" t="s">
        <v>11935</v>
      </c>
      <c r="I1943" s="8"/>
      <c r="J1943" s="15" t="s">
        <v>5695</v>
      </c>
      <c r="K1943" s="8"/>
      <c r="L1943" s="15" t="s">
        <v>1685</v>
      </c>
      <c r="M1943" s="8" t="s">
        <v>5578</v>
      </c>
      <c r="N1943" s="8"/>
      <c r="O1943" s="8" t="s">
        <v>5574</v>
      </c>
      <c r="P1943" s="11"/>
      <c r="Q1943" s="8" t="s">
        <v>5696</v>
      </c>
      <c r="R1943" s="8" t="s">
        <v>5919</v>
      </c>
      <c r="S1943" s="8" t="s">
        <v>11937</v>
      </c>
    </row>
    <row r="1944" spans="1:19" ht="107.1" customHeight="1" x14ac:dyDescent="0.25">
      <c r="A1944" s="8" t="s">
        <v>11938</v>
      </c>
      <c r="B1944" s="8" t="s">
        <v>5693</v>
      </c>
      <c r="C1944" s="8" t="s">
        <v>5918</v>
      </c>
      <c r="D1944" s="10">
        <v>1623</v>
      </c>
      <c r="E1944" s="8" t="s">
        <v>11939</v>
      </c>
      <c r="F1944" s="8" t="s">
        <v>11940</v>
      </c>
      <c r="G1944" s="8" t="s">
        <v>4727</v>
      </c>
      <c r="H1944" s="8" t="s">
        <v>11939</v>
      </c>
      <c r="I1944" s="8"/>
      <c r="J1944" s="15" t="s">
        <v>5695</v>
      </c>
      <c r="K1944" s="8"/>
      <c r="L1944" s="15" t="s">
        <v>1685</v>
      </c>
      <c r="M1944" s="8" t="s">
        <v>5578</v>
      </c>
      <c r="N1944" s="8"/>
      <c r="O1944" s="8" t="s">
        <v>5574</v>
      </c>
      <c r="P1944" s="11"/>
      <c r="Q1944" s="8" t="s">
        <v>5696</v>
      </c>
      <c r="R1944" s="8" t="s">
        <v>5919</v>
      </c>
      <c r="S1944" s="8" t="s">
        <v>11941</v>
      </c>
    </row>
    <row r="1945" spans="1:19" ht="107.1" customHeight="1" x14ac:dyDescent="0.25">
      <c r="A1945" s="8" t="s">
        <v>11942</v>
      </c>
      <c r="B1945" s="8" t="s">
        <v>5693</v>
      </c>
      <c r="C1945" s="8" t="s">
        <v>5918</v>
      </c>
      <c r="D1945" s="10">
        <v>1624</v>
      </c>
      <c r="E1945" s="8" t="s">
        <v>11943</v>
      </c>
      <c r="F1945" s="8" t="s">
        <v>11944</v>
      </c>
      <c r="G1945" s="8" t="s">
        <v>4727</v>
      </c>
      <c r="H1945" s="8" t="s">
        <v>11943</v>
      </c>
      <c r="I1945" s="8"/>
      <c r="J1945" s="15" t="s">
        <v>5695</v>
      </c>
      <c r="K1945" s="8"/>
      <c r="L1945" s="15" t="s">
        <v>1685</v>
      </c>
      <c r="M1945" s="8" t="s">
        <v>5578</v>
      </c>
      <c r="N1945" s="8"/>
      <c r="O1945" s="8" t="s">
        <v>5574</v>
      </c>
      <c r="P1945" s="11"/>
      <c r="Q1945" s="8" t="s">
        <v>5696</v>
      </c>
      <c r="R1945" s="8" t="s">
        <v>5919</v>
      </c>
      <c r="S1945" s="8" t="s">
        <v>11945</v>
      </c>
    </row>
    <row r="1946" spans="1:19" ht="107.1" customHeight="1" x14ac:dyDescent="0.25">
      <c r="A1946" s="8" t="s">
        <v>11946</v>
      </c>
      <c r="B1946" s="8" t="s">
        <v>5693</v>
      </c>
      <c r="C1946" s="8" t="s">
        <v>5918</v>
      </c>
      <c r="D1946" s="10">
        <v>1625</v>
      </c>
      <c r="E1946" s="8" t="s">
        <v>11947</v>
      </c>
      <c r="F1946" s="8" t="s">
        <v>11948</v>
      </c>
      <c r="G1946" s="8" t="s">
        <v>4727</v>
      </c>
      <c r="H1946" s="8" t="s">
        <v>11947</v>
      </c>
      <c r="I1946" s="8"/>
      <c r="J1946" s="15" t="s">
        <v>5695</v>
      </c>
      <c r="K1946" s="8"/>
      <c r="L1946" s="15" t="s">
        <v>1685</v>
      </c>
      <c r="M1946" s="8" t="s">
        <v>5578</v>
      </c>
      <c r="N1946" s="8"/>
      <c r="O1946" s="8" t="s">
        <v>5574</v>
      </c>
      <c r="P1946" s="11"/>
      <c r="Q1946" s="8" t="s">
        <v>5696</v>
      </c>
      <c r="R1946" s="8" t="s">
        <v>5919</v>
      </c>
      <c r="S1946" s="8" t="s">
        <v>11949</v>
      </c>
    </row>
    <row r="1947" spans="1:19" ht="107.1" customHeight="1" x14ac:dyDescent="0.25">
      <c r="A1947" s="8" t="s">
        <v>11950</v>
      </c>
      <c r="B1947" s="8" t="s">
        <v>5693</v>
      </c>
      <c r="C1947" s="8" t="s">
        <v>5918</v>
      </c>
      <c r="D1947" s="10">
        <v>1626</v>
      </c>
      <c r="E1947" s="8" t="s">
        <v>11951</v>
      </c>
      <c r="F1947" s="8" t="s">
        <v>11952</v>
      </c>
      <c r="G1947" s="8" t="s">
        <v>4727</v>
      </c>
      <c r="H1947" s="8" t="s">
        <v>11951</v>
      </c>
      <c r="I1947" s="8"/>
      <c r="J1947" s="15" t="s">
        <v>5695</v>
      </c>
      <c r="K1947" s="8"/>
      <c r="L1947" s="15" t="s">
        <v>1685</v>
      </c>
      <c r="M1947" s="8" t="s">
        <v>5578</v>
      </c>
      <c r="N1947" s="8"/>
      <c r="O1947" s="8" t="s">
        <v>5574</v>
      </c>
      <c r="P1947" s="11"/>
      <c r="Q1947" s="8" t="s">
        <v>5696</v>
      </c>
      <c r="R1947" s="8" t="s">
        <v>5919</v>
      </c>
      <c r="S1947" s="8" t="s">
        <v>11953</v>
      </c>
    </row>
    <row r="1948" spans="1:19" ht="107.1" customHeight="1" x14ac:dyDescent="0.25">
      <c r="A1948" s="8" t="s">
        <v>11954</v>
      </c>
      <c r="B1948" s="8" t="s">
        <v>5693</v>
      </c>
      <c r="C1948" s="8" t="s">
        <v>5918</v>
      </c>
      <c r="D1948" s="10">
        <v>1627</v>
      </c>
      <c r="E1948" s="8" t="s">
        <v>11955</v>
      </c>
      <c r="F1948" s="8" t="s">
        <v>11956</v>
      </c>
      <c r="G1948" s="8" t="s">
        <v>4727</v>
      </c>
      <c r="H1948" s="8" t="s">
        <v>11955</v>
      </c>
      <c r="I1948" s="8"/>
      <c r="J1948" s="15" t="s">
        <v>5695</v>
      </c>
      <c r="K1948" s="8"/>
      <c r="L1948" s="15" t="s">
        <v>1685</v>
      </c>
      <c r="M1948" s="8" t="s">
        <v>5578</v>
      </c>
      <c r="N1948" s="8"/>
      <c r="O1948" s="8" t="s">
        <v>5574</v>
      </c>
      <c r="P1948" s="11"/>
      <c r="Q1948" s="8" t="s">
        <v>5696</v>
      </c>
      <c r="R1948" s="8" t="s">
        <v>5919</v>
      </c>
      <c r="S1948" s="8" t="s">
        <v>11957</v>
      </c>
    </row>
    <row r="1949" spans="1:19" ht="107.1" customHeight="1" x14ac:dyDescent="0.25">
      <c r="A1949" s="8" t="s">
        <v>11958</v>
      </c>
      <c r="B1949" s="8" t="s">
        <v>5693</v>
      </c>
      <c r="C1949" s="8" t="s">
        <v>5918</v>
      </c>
      <c r="D1949" s="10">
        <v>1628</v>
      </c>
      <c r="E1949" s="8" t="s">
        <v>11959</v>
      </c>
      <c r="F1949" s="8" t="s">
        <v>11960</v>
      </c>
      <c r="G1949" s="8" t="s">
        <v>4727</v>
      </c>
      <c r="H1949" s="8" t="s">
        <v>11959</v>
      </c>
      <c r="I1949" s="8"/>
      <c r="J1949" s="15" t="s">
        <v>5695</v>
      </c>
      <c r="K1949" s="8"/>
      <c r="L1949" s="15" t="s">
        <v>1685</v>
      </c>
      <c r="M1949" s="8" t="s">
        <v>5578</v>
      </c>
      <c r="N1949" s="8"/>
      <c r="O1949" s="8" t="s">
        <v>5574</v>
      </c>
      <c r="P1949" s="11"/>
      <c r="Q1949" s="8" t="s">
        <v>5696</v>
      </c>
      <c r="R1949" s="8" t="s">
        <v>5919</v>
      </c>
      <c r="S1949" s="8" t="s">
        <v>11961</v>
      </c>
    </row>
    <row r="1950" spans="1:19" ht="107.1" customHeight="1" x14ac:dyDescent="0.25">
      <c r="A1950" s="8" t="s">
        <v>11962</v>
      </c>
      <c r="B1950" s="8" t="s">
        <v>5693</v>
      </c>
      <c r="C1950" s="8" t="s">
        <v>5918</v>
      </c>
      <c r="D1950" s="10">
        <v>1629</v>
      </c>
      <c r="E1950" s="8" t="s">
        <v>11963</v>
      </c>
      <c r="F1950" s="8" t="s">
        <v>11964</v>
      </c>
      <c r="G1950" s="8" t="s">
        <v>4727</v>
      </c>
      <c r="H1950" s="8" t="s">
        <v>11963</v>
      </c>
      <c r="I1950" s="8"/>
      <c r="J1950" s="15" t="s">
        <v>5695</v>
      </c>
      <c r="K1950" s="8"/>
      <c r="L1950" s="15" t="s">
        <v>1685</v>
      </c>
      <c r="M1950" s="8" t="s">
        <v>5578</v>
      </c>
      <c r="N1950" s="8"/>
      <c r="O1950" s="8" t="s">
        <v>5574</v>
      </c>
      <c r="P1950" s="11"/>
      <c r="Q1950" s="8" t="s">
        <v>5696</v>
      </c>
      <c r="R1950" s="8" t="s">
        <v>5919</v>
      </c>
      <c r="S1950" s="8" t="s">
        <v>11965</v>
      </c>
    </row>
    <row r="1951" spans="1:19" ht="107.1" customHeight="1" x14ac:dyDescent="0.25">
      <c r="A1951" s="8" t="s">
        <v>11966</v>
      </c>
      <c r="B1951" s="8" t="s">
        <v>5693</v>
      </c>
      <c r="C1951" s="8" t="s">
        <v>5918</v>
      </c>
      <c r="D1951" s="10">
        <v>1630</v>
      </c>
      <c r="E1951" s="8" t="s">
        <v>11967</v>
      </c>
      <c r="F1951" s="8" t="s">
        <v>11968</v>
      </c>
      <c r="G1951" s="8" t="s">
        <v>4727</v>
      </c>
      <c r="H1951" s="8" t="s">
        <v>11967</v>
      </c>
      <c r="I1951" s="8"/>
      <c r="J1951" s="15" t="s">
        <v>5695</v>
      </c>
      <c r="K1951" s="8"/>
      <c r="L1951" s="15" t="s">
        <v>1685</v>
      </c>
      <c r="M1951" s="8" t="s">
        <v>5578</v>
      </c>
      <c r="N1951" s="8"/>
      <c r="O1951" s="8" t="s">
        <v>5574</v>
      </c>
      <c r="P1951" s="11"/>
      <c r="Q1951" s="8" t="s">
        <v>5696</v>
      </c>
      <c r="R1951" s="8" t="s">
        <v>5919</v>
      </c>
      <c r="S1951" s="8" t="s">
        <v>11969</v>
      </c>
    </row>
    <row r="1952" spans="1:19" ht="107.1" customHeight="1" x14ac:dyDescent="0.25">
      <c r="A1952" s="8" t="s">
        <v>11970</v>
      </c>
      <c r="B1952" s="8" t="s">
        <v>5693</v>
      </c>
      <c r="C1952" s="8" t="s">
        <v>5918</v>
      </c>
      <c r="D1952" s="10">
        <v>1631</v>
      </c>
      <c r="E1952" s="8" t="s">
        <v>11971</v>
      </c>
      <c r="F1952" s="8" t="s">
        <v>11972</v>
      </c>
      <c r="G1952" s="8" t="s">
        <v>4727</v>
      </c>
      <c r="H1952" s="8" t="s">
        <v>11971</v>
      </c>
      <c r="I1952" s="8"/>
      <c r="J1952" s="15" t="s">
        <v>5695</v>
      </c>
      <c r="K1952" s="8"/>
      <c r="L1952" s="15" t="s">
        <v>1685</v>
      </c>
      <c r="M1952" s="8" t="s">
        <v>5578</v>
      </c>
      <c r="N1952" s="8"/>
      <c r="O1952" s="8" t="s">
        <v>5574</v>
      </c>
      <c r="P1952" s="11"/>
      <c r="Q1952" s="8" t="s">
        <v>5696</v>
      </c>
      <c r="R1952" s="8" t="s">
        <v>5919</v>
      </c>
      <c r="S1952" s="8" t="s">
        <v>11973</v>
      </c>
    </row>
    <row r="1953" spans="1:19" ht="107.1" customHeight="1" x14ac:dyDescent="0.25">
      <c r="A1953" s="8" t="s">
        <v>11974</v>
      </c>
      <c r="B1953" s="8" t="s">
        <v>5693</v>
      </c>
      <c r="C1953" s="8" t="s">
        <v>5918</v>
      </c>
      <c r="D1953" s="10">
        <v>1632</v>
      </c>
      <c r="E1953" s="8" t="s">
        <v>11975</v>
      </c>
      <c r="F1953" s="8" t="s">
        <v>11976</v>
      </c>
      <c r="G1953" s="8" t="s">
        <v>4727</v>
      </c>
      <c r="H1953" s="8" t="s">
        <v>11975</v>
      </c>
      <c r="I1953" s="8"/>
      <c r="J1953" s="15" t="s">
        <v>5695</v>
      </c>
      <c r="K1953" s="8"/>
      <c r="L1953" s="15" t="s">
        <v>1685</v>
      </c>
      <c r="M1953" s="8" t="s">
        <v>5578</v>
      </c>
      <c r="N1953" s="8"/>
      <c r="O1953" s="8" t="s">
        <v>5574</v>
      </c>
      <c r="P1953" s="11"/>
      <c r="Q1953" s="8" t="s">
        <v>5696</v>
      </c>
      <c r="R1953" s="8" t="s">
        <v>5919</v>
      </c>
      <c r="S1953" s="8" t="s">
        <v>11977</v>
      </c>
    </row>
    <row r="1954" spans="1:19" ht="107.1" customHeight="1" x14ac:dyDescent="0.25">
      <c r="A1954" s="8" t="s">
        <v>11978</v>
      </c>
      <c r="B1954" s="8" t="s">
        <v>5693</v>
      </c>
      <c r="C1954" s="8" t="s">
        <v>5918</v>
      </c>
      <c r="D1954" s="10">
        <v>1633</v>
      </c>
      <c r="E1954" s="8" t="s">
        <v>11979</v>
      </c>
      <c r="F1954" s="8" t="s">
        <v>11980</v>
      </c>
      <c r="G1954" s="8" t="s">
        <v>4727</v>
      </c>
      <c r="H1954" s="8" t="s">
        <v>11979</v>
      </c>
      <c r="I1954" s="8"/>
      <c r="J1954" s="15" t="s">
        <v>5695</v>
      </c>
      <c r="K1954" s="8"/>
      <c r="L1954" s="15" t="s">
        <v>1685</v>
      </c>
      <c r="M1954" s="8" t="s">
        <v>5578</v>
      </c>
      <c r="N1954" s="8"/>
      <c r="O1954" s="8" t="s">
        <v>5574</v>
      </c>
      <c r="P1954" s="11"/>
      <c r="Q1954" s="8" t="s">
        <v>5696</v>
      </c>
      <c r="R1954" s="8" t="s">
        <v>5919</v>
      </c>
      <c r="S1954" s="8" t="s">
        <v>11981</v>
      </c>
    </row>
    <row r="1955" spans="1:19" ht="107.1" customHeight="1" x14ac:dyDescent="0.25">
      <c r="A1955" s="8" t="s">
        <v>11982</v>
      </c>
      <c r="B1955" s="8" t="s">
        <v>5693</v>
      </c>
      <c r="C1955" s="8" t="s">
        <v>5918</v>
      </c>
      <c r="D1955" s="10">
        <v>1634</v>
      </c>
      <c r="E1955" s="8" t="s">
        <v>11983</v>
      </c>
      <c r="F1955" s="8" t="s">
        <v>11984</v>
      </c>
      <c r="G1955" s="8" t="s">
        <v>4727</v>
      </c>
      <c r="H1955" s="8" t="s">
        <v>11983</v>
      </c>
      <c r="I1955" s="8"/>
      <c r="J1955" s="15" t="s">
        <v>5695</v>
      </c>
      <c r="K1955" s="8"/>
      <c r="L1955" s="15" t="s">
        <v>1685</v>
      </c>
      <c r="M1955" s="8" t="s">
        <v>5578</v>
      </c>
      <c r="N1955" s="8"/>
      <c r="O1955" s="8" t="s">
        <v>5574</v>
      </c>
      <c r="P1955" s="11"/>
      <c r="Q1955" s="8" t="s">
        <v>5696</v>
      </c>
      <c r="R1955" s="8" t="s">
        <v>5919</v>
      </c>
      <c r="S1955" s="8" t="s">
        <v>11985</v>
      </c>
    </row>
    <row r="1956" spans="1:19" ht="107.1" customHeight="1" x14ac:dyDescent="0.25">
      <c r="A1956" s="8" t="s">
        <v>11986</v>
      </c>
      <c r="B1956" s="8" t="s">
        <v>5693</v>
      </c>
      <c r="C1956" s="8" t="s">
        <v>5918</v>
      </c>
      <c r="D1956" s="10">
        <v>1635</v>
      </c>
      <c r="E1956" s="8" t="s">
        <v>11987</v>
      </c>
      <c r="F1956" s="8" t="s">
        <v>11988</v>
      </c>
      <c r="G1956" s="8" t="s">
        <v>4727</v>
      </c>
      <c r="H1956" s="8" t="s">
        <v>11987</v>
      </c>
      <c r="I1956" s="8"/>
      <c r="J1956" s="15" t="s">
        <v>5695</v>
      </c>
      <c r="K1956" s="8"/>
      <c r="L1956" s="15" t="s">
        <v>1685</v>
      </c>
      <c r="M1956" s="8" t="s">
        <v>5578</v>
      </c>
      <c r="N1956" s="8"/>
      <c r="O1956" s="8" t="s">
        <v>5574</v>
      </c>
      <c r="P1956" s="11"/>
      <c r="Q1956" s="8" t="s">
        <v>5696</v>
      </c>
      <c r="R1956" s="8" t="s">
        <v>5919</v>
      </c>
      <c r="S1956" s="8" t="s">
        <v>11989</v>
      </c>
    </row>
    <row r="1957" spans="1:19" ht="107.1" customHeight="1" x14ac:dyDescent="0.25">
      <c r="A1957" s="8" t="s">
        <v>11990</v>
      </c>
      <c r="B1957" s="8" t="s">
        <v>5693</v>
      </c>
      <c r="C1957" s="8" t="s">
        <v>5918</v>
      </c>
      <c r="D1957" s="10">
        <v>1636</v>
      </c>
      <c r="E1957" s="8" t="s">
        <v>11991</v>
      </c>
      <c r="F1957" s="8" t="s">
        <v>11992</v>
      </c>
      <c r="G1957" s="8" t="s">
        <v>4727</v>
      </c>
      <c r="H1957" s="8" t="s">
        <v>11991</v>
      </c>
      <c r="I1957" s="8"/>
      <c r="J1957" s="15" t="s">
        <v>5695</v>
      </c>
      <c r="K1957" s="8"/>
      <c r="L1957" s="15" t="s">
        <v>1685</v>
      </c>
      <c r="M1957" s="8" t="s">
        <v>5578</v>
      </c>
      <c r="N1957" s="8"/>
      <c r="O1957" s="8" t="s">
        <v>5574</v>
      </c>
      <c r="P1957" s="11"/>
      <c r="Q1957" s="8" t="s">
        <v>5696</v>
      </c>
      <c r="R1957" s="8" t="s">
        <v>5919</v>
      </c>
      <c r="S1957" s="8" t="s">
        <v>11993</v>
      </c>
    </row>
    <row r="1958" spans="1:19" ht="107.1" customHeight="1" x14ac:dyDescent="0.25">
      <c r="A1958" s="8" t="s">
        <v>11994</v>
      </c>
      <c r="B1958" s="8" t="s">
        <v>5693</v>
      </c>
      <c r="C1958" s="8" t="s">
        <v>5918</v>
      </c>
      <c r="D1958" s="10">
        <v>1637</v>
      </c>
      <c r="E1958" s="8" t="s">
        <v>11995</v>
      </c>
      <c r="F1958" s="8" t="s">
        <v>11996</v>
      </c>
      <c r="G1958" s="8" t="s">
        <v>4727</v>
      </c>
      <c r="H1958" s="8" t="s">
        <v>11995</v>
      </c>
      <c r="I1958" s="8"/>
      <c r="J1958" s="15" t="s">
        <v>5695</v>
      </c>
      <c r="K1958" s="8"/>
      <c r="L1958" s="15" t="s">
        <v>1685</v>
      </c>
      <c r="M1958" s="8" t="s">
        <v>5578</v>
      </c>
      <c r="N1958" s="8"/>
      <c r="O1958" s="8" t="s">
        <v>5574</v>
      </c>
      <c r="P1958" s="11"/>
      <c r="Q1958" s="8" t="s">
        <v>5696</v>
      </c>
      <c r="R1958" s="8" t="s">
        <v>5919</v>
      </c>
      <c r="S1958" s="8" t="s">
        <v>11997</v>
      </c>
    </row>
    <row r="1959" spans="1:19" ht="107.1" customHeight="1" x14ac:dyDescent="0.25">
      <c r="A1959" s="8" t="s">
        <v>11998</v>
      </c>
      <c r="B1959" s="8" t="s">
        <v>5693</v>
      </c>
      <c r="C1959" s="8" t="s">
        <v>5918</v>
      </c>
      <c r="D1959" s="10">
        <v>1638</v>
      </c>
      <c r="E1959" s="8" t="s">
        <v>11999</v>
      </c>
      <c r="F1959" s="8" t="s">
        <v>12000</v>
      </c>
      <c r="G1959" s="8" t="s">
        <v>4727</v>
      </c>
      <c r="H1959" s="8" t="s">
        <v>11999</v>
      </c>
      <c r="I1959" s="8"/>
      <c r="J1959" s="15" t="s">
        <v>5695</v>
      </c>
      <c r="K1959" s="8"/>
      <c r="L1959" s="15" t="s">
        <v>1685</v>
      </c>
      <c r="M1959" s="8" t="s">
        <v>5578</v>
      </c>
      <c r="N1959" s="8"/>
      <c r="O1959" s="8" t="s">
        <v>5574</v>
      </c>
      <c r="P1959" s="11"/>
      <c r="Q1959" s="8" t="s">
        <v>5696</v>
      </c>
      <c r="R1959" s="8" t="s">
        <v>5919</v>
      </c>
      <c r="S1959" s="8" t="s">
        <v>12001</v>
      </c>
    </row>
    <row r="1960" spans="1:19" ht="107.1" customHeight="1" x14ac:dyDescent="0.25">
      <c r="A1960" s="8" t="s">
        <v>12002</v>
      </c>
      <c r="B1960" s="8" t="s">
        <v>5693</v>
      </c>
      <c r="C1960" s="8" t="s">
        <v>5918</v>
      </c>
      <c r="D1960" s="10">
        <v>1639</v>
      </c>
      <c r="E1960" s="8" t="s">
        <v>12003</v>
      </c>
      <c r="F1960" s="8" t="s">
        <v>12004</v>
      </c>
      <c r="G1960" s="8" t="s">
        <v>4727</v>
      </c>
      <c r="H1960" s="8" t="s">
        <v>12003</v>
      </c>
      <c r="I1960" s="8"/>
      <c r="J1960" s="15" t="s">
        <v>5695</v>
      </c>
      <c r="K1960" s="8"/>
      <c r="L1960" s="15" t="s">
        <v>1685</v>
      </c>
      <c r="M1960" s="8" t="s">
        <v>5578</v>
      </c>
      <c r="N1960" s="8"/>
      <c r="O1960" s="8" t="s">
        <v>5574</v>
      </c>
      <c r="P1960" s="11"/>
      <c r="Q1960" s="8" t="s">
        <v>5696</v>
      </c>
      <c r="R1960" s="8" t="s">
        <v>5919</v>
      </c>
      <c r="S1960" s="8" t="s">
        <v>12005</v>
      </c>
    </row>
    <row r="1961" spans="1:19" ht="107.1" customHeight="1" x14ac:dyDescent="0.25">
      <c r="A1961" s="8" t="s">
        <v>12006</v>
      </c>
      <c r="B1961" s="8" t="s">
        <v>5693</v>
      </c>
      <c r="C1961" s="8" t="s">
        <v>5918</v>
      </c>
      <c r="D1961" s="10">
        <v>1640</v>
      </c>
      <c r="E1961" s="8" t="s">
        <v>12007</v>
      </c>
      <c r="F1961" s="8" t="s">
        <v>12008</v>
      </c>
      <c r="G1961" s="8" t="s">
        <v>4727</v>
      </c>
      <c r="H1961" s="8" t="s">
        <v>12007</v>
      </c>
      <c r="I1961" s="8"/>
      <c r="J1961" s="15" t="s">
        <v>5695</v>
      </c>
      <c r="K1961" s="8"/>
      <c r="L1961" s="15" t="s">
        <v>1685</v>
      </c>
      <c r="M1961" s="8" t="s">
        <v>5578</v>
      </c>
      <c r="N1961" s="8"/>
      <c r="O1961" s="8" t="s">
        <v>5574</v>
      </c>
      <c r="P1961" s="11"/>
      <c r="Q1961" s="8" t="s">
        <v>5696</v>
      </c>
      <c r="R1961" s="8" t="s">
        <v>5919</v>
      </c>
      <c r="S1961" s="8" t="s">
        <v>12009</v>
      </c>
    </row>
    <row r="1962" spans="1:19" ht="107.1" customHeight="1" x14ac:dyDescent="0.25">
      <c r="A1962" s="8" t="s">
        <v>12010</v>
      </c>
      <c r="B1962" s="8" t="s">
        <v>5693</v>
      </c>
      <c r="C1962" s="8" t="s">
        <v>5918</v>
      </c>
      <c r="D1962" s="10">
        <v>1641</v>
      </c>
      <c r="E1962" s="8" t="s">
        <v>12011</v>
      </c>
      <c r="F1962" s="8" t="s">
        <v>12012</v>
      </c>
      <c r="G1962" s="8" t="s">
        <v>4727</v>
      </c>
      <c r="H1962" s="8" t="s">
        <v>12011</v>
      </c>
      <c r="I1962" s="8"/>
      <c r="J1962" s="15" t="s">
        <v>5695</v>
      </c>
      <c r="K1962" s="8"/>
      <c r="L1962" s="15" t="s">
        <v>1685</v>
      </c>
      <c r="M1962" s="8" t="s">
        <v>5578</v>
      </c>
      <c r="N1962" s="8"/>
      <c r="O1962" s="8" t="s">
        <v>5574</v>
      </c>
      <c r="P1962" s="11"/>
      <c r="Q1962" s="8" t="s">
        <v>5696</v>
      </c>
      <c r="R1962" s="8" t="s">
        <v>5919</v>
      </c>
      <c r="S1962" s="8" t="s">
        <v>12013</v>
      </c>
    </row>
    <row r="1963" spans="1:19" ht="107.1" customHeight="1" x14ac:dyDescent="0.25">
      <c r="A1963" s="8" t="s">
        <v>12014</v>
      </c>
      <c r="B1963" s="8" t="s">
        <v>5693</v>
      </c>
      <c r="C1963" s="8" t="s">
        <v>5918</v>
      </c>
      <c r="D1963" s="10">
        <v>1642</v>
      </c>
      <c r="E1963" s="8" t="s">
        <v>12015</v>
      </c>
      <c r="F1963" s="8" t="s">
        <v>12016</v>
      </c>
      <c r="G1963" s="8" t="s">
        <v>4727</v>
      </c>
      <c r="H1963" s="8" t="s">
        <v>12015</v>
      </c>
      <c r="I1963" s="8"/>
      <c r="J1963" s="15" t="s">
        <v>5695</v>
      </c>
      <c r="K1963" s="8"/>
      <c r="L1963" s="15" t="s">
        <v>1685</v>
      </c>
      <c r="M1963" s="8" t="s">
        <v>5578</v>
      </c>
      <c r="N1963" s="8"/>
      <c r="O1963" s="8" t="s">
        <v>5574</v>
      </c>
      <c r="P1963" s="11"/>
      <c r="Q1963" s="8" t="s">
        <v>5696</v>
      </c>
      <c r="R1963" s="8" t="s">
        <v>5919</v>
      </c>
      <c r="S1963" s="8" t="s">
        <v>12017</v>
      </c>
    </row>
    <row r="1964" spans="1:19" ht="107.1" customHeight="1" x14ac:dyDescent="0.25">
      <c r="A1964" s="8" t="s">
        <v>12018</v>
      </c>
      <c r="B1964" s="8" t="s">
        <v>5693</v>
      </c>
      <c r="C1964" s="8" t="s">
        <v>5918</v>
      </c>
      <c r="D1964" s="10">
        <v>1643</v>
      </c>
      <c r="E1964" s="8" t="s">
        <v>12019</v>
      </c>
      <c r="F1964" s="8" t="s">
        <v>12020</v>
      </c>
      <c r="G1964" s="8" t="s">
        <v>4727</v>
      </c>
      <c r="H1964" s="8" t="s">
        <v>12019</v>
      </c>
      <c r="I1964" s="8"/>
      <c r="J1964" s="15" t="s">
        <v>5695</v>
      </c>
      <c r="K1964" s="8"/>
      <c r="L1964" s="15" t="s">
        <v>1685</v>
      </c>
      <c r="M1964" s="8" t="s">
        <v>5578</v>
      </c>
      <c r="N1964" s="8"/>
      <c r="O1964" s="8" t="s">
        <v>5574</v>
      </c>
      <c r="P1964" s="11"/>
      <c r="Q1964" s="8" t="s">
        <v>5696</v>
      </c>
      <c r="R1964" s="8" t="s">
        <v>5919</v>
      </c>
      <c r="S1964" s="8" t="s">
        <v>12021</v>
      </c>
    </row>
    <row r="1965" spans="1:19" ht="107.1" customHeight="1" x14ac:dyDescent="0.25">
      <c r="A1965" s="8" t="s">
        <v>12022</v>
      </c>
      <c r="B1965" s="8" t="s">
        <v>5693</v>
      </c>
      <c r="C1965" s="8" t="s">
        <v>5918</v>
      </c>
      <c r="D1965" s="10">
        <v>1644</v>
      </c>
      <c r="E1965" s="8" t="s">
        <v>12023</v>
      </c>
      <c r="F1965" s="8" t="s">
        <v>12024</v>
      </c>
      <c r="G1965" s="8" t="s">
        <v>4727</v>
      </c>
      <c r="H1965" s="8" t="s">
        <v>12023</v>
      </c>
      <c r="I1965" s="8"/>
      <c r="J1965" s="15" t="s">
        <v>5695</v>
      </c>
      <c r="K1965" s="8"/>
      <c r="L1965" s="15" t="s">
        <v>1685</v>
      </c>
      <c r="M1965" s="8" t="s">
        <v>5578</v>
      </c>
      <c r="N1965" s="8"/>
      <c r="O1965" s="8" t="s">
        <v>5574</v>
      </c>
      <c r="P1965" s="11"/>
      <c r="Q1965" s="8" t="s">
        <v>5696</v>
      </c>
      <c r="R1965" s="8" t="s">
        <v>5919</v>
      </c>
      <c r="S1965" s="8" t="s">
        <v>12025</v>
      </c>
    </row>
    <row r="1966" spans="1:19" ht="107.1" customHeight="1" x14ac:dyDescent="0.25">
      <c r="A1966" s="8" t="s">
        <v>12026</v>
      </c>
      <c r="B1966" s="8" t="s">
        <v>5693</v>
      </c>
      <c r="C1966" s="8" t="s">
        <v>5918</v>
      </c>
      <c r="D1966" s="10">
        <v>1645</v>
      </c>
      <c r="E1966" s="8" t="s">
        <v>12027</v>
      </c>
      <c r="F1966" s="8" t="s">
        <v>12028</v>
      </c>
      <c r="G1966" s="8" t="s">
        <v>4727</v>
      </c>
      <c r="H1966" s="8" t="s">
        <v>12027</v>
      </c>
      <c r="I1966" s="8"/>
      <c r="J1966" s="15" t="s">
        <v>5695</v>
      </c>
      <c r="K1966" s="8"/>
      <c r="L1966" s="15" t="s">
        <v>1685</v>
      </c>
      <c r="M1966" s="8" t="s">
        <v>5578</v>
      </c>
      <c r="N1966" s="8"/>
      <c r="O1966" s="8" t="s">
        <v>5574</v>
      </c>
      <c r="P1966" s="11"/>
      <c r="Q1966" s="8" t="s">
        <v>5696</v>
      </c>
      <c r="R1966" s="8" t="s">
        <v>5919</v>
      </c>
      <c r="S1966" s="8" t="s">
        <v>12029</v>
      </c>
    </row>
    <row r="1967" spans="1:19" ht="107.1" customHeight="1" x14ac:dyDescent="0.25">
      <c r="A1967" s="8" t="s">
        <v>12030</v>
      </c>
      <c r="B1967" s="8" t="s">
        <v>5693</v>
      </c>
      <c r="C1967" s="8" t="s">
        <v>5918</v>
      </c>
      <c r="D1967" s="10">
        <v>1646</v>
      </c>
      <c r="E1967" s="8" t="s">
        <v>12031</v>
      </c>
      <c r="F1967" s="8" t="s">
        <v>12032</v>
      </c>
      <c r="G1967" s="8" t="s">
        <v>4727</v>
      </c>
      <c r="H1967" s="8" t="s">
        <v>12031</v>
      </c>
      <c r="I1967" s="8"/>
      <c r="J1967" s="15" t="s">
        <v>5695</v>
      </c>
      <c r="K1967" s="8"/>
      <c r="L1967" s="15" t="s">
        <v>1685</v>
      </c>
      <c r="M1967" s="8" t="s">
        <v>5578</v>
      </c>
      <c r="N1967" s="8"/>
      <c r="O1967" s="8" t="s">
        <v>5574</v>
      </c>
      <c r="P1967" s="11"/>
      <c r="Q1967" s="8" t="s">
        <v>5696</v>
      </c>
      <c r="R1967" s="8" t="s">
        <v>5919</v>
      </c>
      <c r="S1967" s="8" t="s">
        <v>12033</v>
      </c>
    </row>
    <row r="1968" spans="1:19" ht="107.1" customHeight="1" x14ac:dyDescent="0.25">
      <c r="A1968" s="8" t="s">
        <v>12034</v>
      </c>
      <c r="B1968" s="8" t="s">
        <v>5693</v>
      </c>
      <c r="C1968" s="8" t="s">
        <v>5918</v>
      </c>
      <c r="D1968" s="10">
        <v>1647</v>
      </c>
      <c r="E1968" s="8" t="s">
        <v>12035</v>
      </c>
      <c r="F1968" s="8" t="s">
        <v>12036</v>
      </c>
      <c r="G1968" s="8" t="s">
        <v>4727</v>
      </c>
      <c r="H1968" s="8" t="s">
        <v>12035</v>
      </c>
      <c r="I1968" s="8"/>
      <c r="J1968" s="15" t="s">
        <v>5695</v>
      </c>
      <c r="K1968" s="8"/>
      <c r="L1968" s="15" t="s">
        <v>1685</v>
      </c>
      <c r="M1968" s="8" t="s">
        <v>5578</v>
      </c>
      <c r="N1968" s="8"/>
      <c r="O1968" s="8" t="s">
        <v>5574</v>
      </c>
      <c r="P1968" s="11"/>
      <c r="Q1968" s="8" t="s">
        <v>5696</v>
      </c>
      <c r="R1968" s="8" t="s">
        <v>5919</v>
      </c>
      <c r="S1968" s="8" t="s">
        <v>12037</v>
      </c>
    </row>
    <row r="1969" spans="1:19" ht="107.1" customHeight="1" x14ac:dyDescent="0.25">
      <c r="A1969" s="8" t="s">
        <v>12038</v>
      </c>
      <c r="B1969" s="8" t="s">
        <v>5693</v>
      </c>
      <c r="C1969" s="8" t="s">
        <v>5918</v>
      </c>
      <c r="D1969" s="10">
        <v>1648</v>
      </c>
      <c r="E1969" s="8" t="s">
        <v>12039</v>
      </c>
      <c r="F1969" s="8" t="s">
        <v>12040</v>
      </c>
      <c r="G1969" s="8" t="s">
        <v>4727</v>
      </c>
      <c r="H1969" s="8" t="s">
        <v>12039</v>
      </c>
      <c r="I1969" s="8"/>
      <c r="J1969" s="15" t="s">
        <v>5695</v>
      </c>
      <c r="K1969" s="8"/>
      <c r="L1969" s="15" t="s">
        <v>1685</v>
      </c>
      <c r="M1969" s="8" t="s">
        <v>5578</v>
      </c>
      <c r="N1969" s="8"/>
      <c r="O1969" s="8" t="s">
        <v>5574</v>
      </c>
      <c r="P1969" s="11"/>
      <c r="Q1969" s="8" t="s">
        <v>5696</v>
      </c>
      <c r="R1969" s="8" t="s">
        <v>5919</v>
      </c>
      <c r="S1969" s="8" t="s">
        <v>12041</v>
      </c>
    </row>
    <row r="1970" spans="1:19" ht="107.1" customHeight="1" x14ac:dyDescent="0.25">
      <c r="A1970" s="8" t="s">
        <v>12042</v>
      </c>
      <c r="B1970" s="8" t="s">
        <v>5693</v>
      </c>
      <c r="C1970" s="8" t="s">
        <v>5918</v>
      </c>
      <c r="D1970" s="10">
        <v>1649</v>
      </c>
      <c r="E1970" s="8" t="s">
        <v>12043</v>
      </c>
      <c r="F1970" s="8" t="s">
        <v>12044</v>
      </c>
      <c r="G1970" s="8" t="s">
        <v>4727</v>
      </c>
      <c r="H1970" s="8" t="s">
        <v>12043</v>
      </c>
      <c r="I1970" s="8"/>
      <c r="J1970" s="15" t="s">
        <v>5695</v>
      </c>
      <c r="K1970" s="8"/>
      <c r="L1970" s="15" t="s">
        <v>1685</v>
      </c>
      <c r="M1970" s="8" t="s">
        <v>5578</v>
      </c>
      <c r="N1970" s="8"/>
      <c r="O1970" s="8" t="s">
        <v>5574</v>
      </c>
      <c r="P1970" s="11"/>
      <c r="Q1970" s="8" t="s">
        <v>5696</v>
      </c>
      <c r="R1970" s="8" t="s">
        <v>5919</v>
      </c>
      <c r="S1970" s="8" t="s">
        <v>12045</v>
      </c>
    </row>
    <row r="1971" spans="1:19" ht="107.1" customHeight="1" x14ac:dyDescent="0.25">
      <c r="A1971" s="8" t="s">
        <v>12046</v>
      </c>
      <c r="B1971" s="8" t="s">
        <v>5693</v>
      </c>
      <c r="C1971" s="8" t="s">
        <v>5918</v>
      </c>
      <c r="D1971" s="10">
        <v>1650</v>
      </c>
      <c r="E1971" s="8" t="s">
        <v>12047</v>
      </c>
      <c r="F1971" s="8" t="s">
        <v>12048</v>
      </c>
      <c r="G1971" s="8" t="s">
        <v>4727</v>
      </c>
      <c r="H1971" s="8" t="s">
        <v>12047</v>
      </c>
      <c r="I1971" s="8"/>
      <c r="J1971" s="15" t="s">
        <v>5695</v>
      </c>
      <c r="K1971" s="8"/>
      <c r="L1971" s="15" t="s">
        <v>1685</v>
      </c>
      <c r="M1971" s="8" t="s">
        <v>5578</v>
      </c>
      <c r="N1971" s="8"/>
      <c r="O1971" s="8" t="s">
        <v>5574</v>
      </c>
      <c r="P1971" s="11"/>
      <c r="Q1971" s="8" t="s">
        <v>5696</v>
      </c>
      <c r="R1971" s="8" t="s">
        <v>5919</v>
      </c>
      <c r="S1971" s="8" t="s">
        <v>12049</v>
      </c>
    </row>
    <row r="1972" spans="1:19" ht="107.1" customHeight="1" x14ac:dyDescent="0.25">
      <c r="A1972" s="8" t="s">
        <v>12050</v>
      </c>
      <c r="B1972" s="8" t="s">
        <v>5693</v>
      </c>
      <c r="C1972" s="8" t="s">
        <v>5918</v>
      </c>
      <c r="D1972" s="10">
        <v>1651</v>
      </c>
      <c r="E1972" s="8" t="s">
        <v>12051</v>
      </c>
      <c r="F1972" s="8" t="s">
        <v>12052</v>
      </c>
      <c r="G1972" s="8" t="s">
        <v>4727</v>
      </c>
      <c r="H1972" s="8" t="s">
        <v>12051</v>
      </c>
      <c r="I1972" s="8"/>
      <c r="J1972" s="15" t="s">
        <v>5695</v>
      </c>
      <c r="K1972" s="8"/>
      <c r="L1972" s="15" t="s">
        <v>1685</v>
      </c>
      <c r="M1972" s="8" t="s">
        <v>5578</v>
      </c>
      <c r="N1972" s="8"/>
      <c r="O1972" s="8" t="s">
        <v>5574</v>
      </c>
      <c r="P1972" s="11"/>
      <c r="Q1972" s="8" t="s">
        <v>5696</v>
      </c>
      <c r="R1972" s="8" t="s">
        <v>5919</v>
      </c>
      <c r="S1972" s="8" t="s">
        <v>12053</v>
      </c>
    </row>
    <row r="1973" spans="1:19" ht="107.1" customHeight="1" x14ac:dyDescent="0.25">
      <c r="A1973" s="8" t="s">
        <v>12054</v>
      </c>
      <c r="B1973" s="8" t="s">
        <v>5693</v>
      </c>
      <c r="C1973" s="8" t="s">
        <v>5918</v>
      </c>
      <c r="D1973" s="10">
        <v>1652</v>
      </c>
      <c r="E1973" s="8" t="s">
        <v>12055</v>
      </c>
      <c r="F1973" s="8" t="s">
        <v>12056</v>
      </c>
      <c r="G1973" s="8" t="s">
        <v>4727</v>
      </c>
      <c r="H1973" s="8" t="s">
        <v>12055</v>
      </c>
      <c r="I1973" s="8"/>
      <c r="J1973" s="15" t="s">
        <v>5695</v>
      </c>
      <c r="K1973" s="8"/>
      <c r="L1973" s="15" t="s">
        <v>1685</v>
      </c>
      <c r="M1973" s="8" t="s">
        <v>5578</v>
      </c>
      <c r="N1973" s="8"/>
      <c r="O1973" s="8" t="s">
        <v>5574</v>
      </c>
      <c r="P1973" s="11"/>
      <c r="Q1973" s="8" t="s">
        <v>5696</v>
      </c>
      <c r="R1973" s="8" t="s">
        <v>5919</v>
      </c>
      <c r="S1973" s="8" t="s">
        <v>12057</v>
      </c>
    </row>
    <row r="1974" spans="1:19" ht="107.1" customHeight="1" x14ac:dyDescent="0.25">
      <c r="A1974" s="8" t="s">
        <v>12058</v>
      </c>
      <c r="B1974" s="8" t="s">
        <v>5693</v>
      </c>
      <c r="C1974" s="8" t="s">
        <v>5918</v>
      </c>
      <c r="D1974" s="10">
        <v>1653</v>
      </c>
      <c r="E1974" s="8" t="s">
        <v>12059</v>
      </c>
      <c r="F1974" s="8" t="s">
        <v>12060</v>
      </c>
      <c r="G1974" s="8" t="s">
        <v>4727</v>
      </c>
      <c r="H1974" s="8" t="s">
        <v>12059</v>
      </c>
      <c r="I1974" s="8"/>
      <c r="J1974" s="15" t="s">
        <v>5695</v>
      </c>
      <c r="K1974" s="8"/>
      <c r="L1974" s="15" t="s">
        <v>1685</v>
      </c>
      <c r="M1974" s="8" t="s">
        <v>5578</v>
      </c>
      <c r="N1974" s="8"/>
      <c r="O1974" s="8" t="s">
        <v>5574</v>
      </c>
      <c r="P1974" s="11"/>
      <c r="Q1974" s="8" t="s">
        <v>5696</v>
      </c>
      <c r="R1974" s="8" t="s">
        <v>5919</v>
      </c>
      <c r="S1974" s="8" t="s">
        <v>12061</v>
      </c>
    </row>
    <row r="1975" spans="1:19" ht="107.1" customHeight="1" x14ac:dyDescent="0.25">
      <c r="A1975" s="8" t="s">
        <v>12062</v>
      </c>
      <c r="B1975" s="8" t="s">
        <v>5693</v>
      </c>
      <c r="C1975" s="8" t="s">
        <v>5918</v>
      </c>
      <c r="D1975" s="10">
        <v>1654</v>
      </c>
      <c r="E1975" s="8" t="s">
        <v>12063</v>
      </c>
      <c r="F1975" s="8" t="s">
        <v>12064</v>
      </c>
      <c r="G1975" s="8" t="s">
        <v>4727</v>
      </c>
      <c r="H1975" s="8" t="s">
        <v>12063</v>
      </c>
      <c r="I1975" s="8"/>
      <c r="J1975" s="15" t="s">
        <v>5695</v>
      </c>
      <c r="K1975" s="8"/>
      <c r="L1975" s="15" t="s">
        <v>1685</v>
      </c>
      <c r="M1975" s="8" t="s">
        <v>5578</v>
      </c>
      <c r="N1975" s="8"/>
      <c r="O1975" s="8" t="s">
        <v>5574</v>
      </c>
      <c r="P1975" s="11"/>
      <c r="Q1975" s="8" t="s">
        <v>5696</v>
      </c>
      <c r="R1975" s="8" t="s">
        <v>5919</v>
      </c>
      <c r="S1975" s="8" t="s">
        <v>12065</v>
      </c>
    </row>
    <row r="1976" spans="1:19" ht="107.1" customHeight="1" x14ac:dyDescent="0.25">
      <c r="A1976" s="8" t="s">
        <v>12066</v>
      </c>
      <c r="B1976" s="8" t="s">
        <v>5693</v>
      </c>
      <c r="C1976" s="8" t="s">
        <v>5918</v>
      </c>
      <c r="D1976" s="10">
        <v>1655</v>
      </c>
      <c r="E1976" s="8" t="s">
        <v>12067</v>
      </c>
      <c r="F1976" s="8" t="s">
        <v>12068</v>
      </c>
      <c r="G1976" s="8" t="s">
        <v>4727</v>
      </c>
      <c r="H1976" s="8" t="s">
        <v>12067</v>
      </c>
      <c r="I1976" s="8"/>
      <c r="J1976" s="15" t="s">
        <v>5695</v>
      </c>
      <c r="K1976" s="8"/>
      <c r="L1976" s="15" t="s">
        <v>1685</v>
      </c>
      <c r="M1976" s="8" t="s">
        <v>5578</v>
      </c>
      <c r="N1976" s="8"/>
      <c r="O1976" s="8" t="s">
        <v>5574</v>
      </c>
      <c r="P1976" s="11"/>
      <c r="Q1976" s="8" t="s">
        <v>5696</v>
      </c>
      <c r="R1976" s="8" t="s">
        <v>5919</v>
      </c>
      <c r="S1976" s="8" t="s">
        <v>12069</v>
      </c>
    </row>
    <row r="1977" spans="1:19" ht="107.1" customHeight="1" x14ac:dyDescent="0.25">
      <c r="A1977" s="8" t="s">
        <v>12070</v>
      </c>
      <c r="B1977" s="8" t="s">
        <v>5693</v>
      </c>
      <c r="C1977" s="8" t="s">
        <v>5918</v>
      </c>
      <c r="D1977" s="10">
        <v>1656</v>
      </c>
      <c r="E1977" s="8" t="s">
        <v>12071</v>
      </c>
      <c r="F1977" s="8" t="s">
        <v>12072</v>
      </c>
      <c r="G1977" s="8" t="s">
        <v>4727</v>
      </c>
      <c r="H1977" s="8" t="s">
        <v>12071</v>
      </c>
      <c r="I1977" s="8"/>
      <c r="J1977" s="15" t="s">
        <v>5695</v>
      </c>
      <c r="K1977" s="8"/>
      <c r="L1977" s="15" t="s">
        <v>1685</v>
      </c>
      <c r="M1977" s="8" t="s">
        <v>5578</v>
      </c>
      <c r="N1977" s="8"/>
      <c r="O1977" s="8" t="s">
        <v>5574</v>
      </c>
      <c r="P1977" s="11"/>
      <c r="Q1977" s="8" t="s">
        <v>5696</v>
      </c>
      <c r="R1977" s="8" t="s">
        <v>5919</v>
      </c>
      <c r="S1977" s="8" t="s">
        <v>12073</v>
      </c>
    </row>
    <row r="1978" spans="1:19" ht="107.1" customHeight="1" x14ac:dyDescent="0.25">
      <c r="A1978" s="8" t="s">
        <v>12074</v>
      </c>
      <c r="B1978" s="8" t="s">
        <v>5693</v>
      </c>
      <c r="C1978" s="8" t="s">
        <v>5918</v>
      </c>
      <c r="D1978" s="10">
        <v>1657</v>
      </c>
      <c r="E1978" s="8" t="s">
        <v>12075</v>
      </c>
      <c r="F1978" s="8" t="s">
        <v>12076</v>
      </c>
      <c r="G1978" s="8" t="s">
        <v>4727</v>
      </c>
      <c r="H1978" s="8" t="s">
        <v>12075</v>
      </c>
      <c r="I1978" s="8"/>
      <c r="J1978" s="15" t="s">
        <v>5695</v>
      </c>
      <c r="K1978" s="8"/>
      <c r="L1978" s="15" t="s">
        <v>1685</v>
      </c>
      <c r="M1978" s="8" t="s">
        <v>5578</v>
      </c>
      <c r="N1978" s="8"/>
      <c r="O1978" s="8" t="s">
        <v>5574</v>
      </c>
      <c r="P1978" s="11"/>
      <c r="Q1978" s="8" t="s">
        <v>5696</v>
      </c>
      <c r="R1978" s="8" t="s">
        <v>5919</v>
      </c>
      <c r="S1978" s="8" t="s">
        <v>12077</v>
      </c>
    </row>
    <row r="1979" spans="1:19" ht="107.1" customHeight="1" x14ac:dyDescent="0.25">
      <c r="A1979" s="8" t="s">
        <v>12078</v>
      </c>
      <c r="B1979" s="8" t="s">
        <v>5693</v>
      </c>
      <c r="C1979" s="8" t="s">
        <v>5918</v>
      </c>
      <c r="D1979" s="10">
        <v>1658</v>
      </c>
      <c r="E1979" s="8" t="s">
        <v>12079</v>
      </c>
      <c r="F1979" s="8" t="s">
        <v>12080</v>
      </c>
      <c r="G1979" s="8" t="s">
        <v>4727</v>
      </c>
      <c r="H1979" s="8" t="s">
        <v>12079</v>
      </c>
      <c r="I1979" s="8"/>
      <c r="J1979" s="15" t="s">
        <v>5695</v>
      </c>
      <c r="K1979" s="8"/>
      <c r="L1979" s="15" t="s">
        <v>1685</v>
      </c>
      <c r="M1979" s="8" t="s">
        <v>5578</v>
      </c>
      <c r="N1979" s="8"/>
      <c r="O1979" s="8" t="s">
        <v>5574</v>
      </c>
      <c r="P1979" s="11"/>
      <c r="Q1979" s="8" t="s">
        <v>5696</v>
      </c>
      <c r="R1979" s="8" t="s">
        <v>5919</v>
      </c>
      <c r="S1979" s="8" t="s">
        <v>12081</v>
      </c>
    </row>
    <row r="1980" spans="1:19" ht="107.1" customHeight="1" x14ac:dyDescent="0.25">
      <c r="A1980" s="8" t="s">
        <v>12082</v>
      </c>
      <c r="B1980" s="8" t="s">
        <v>5693</v>
      </c>
      <c r="C1980" s="8" t="s">
        <v>5918</v>
      </c>
      <c r="D1980" s="10">
        <v>1659</v>
      </c>
      <c r="E1980" s="8" t="s">
        <v>12083</v>
      </c>
      <c r="F1980" s="8" t="s">
        <v>12084</v>
      </c>
      <c r="G1980" s="8" t="s">
        <v>4727</v>
      </c>
      <c r="H1980" s="8" t="s">
        <v>12083</v>
      </c>
      <c r="I1980" s="8"/>
      <c r="J1980" s="15" t="s">
        <v>5695</v>
      </c>
      <c r="K1980" s="8"/>
      <c r="L1980" s="15" t="s">
        <v>1685</v>
      </c>
      <c r="M1980" s="8" t="s">
        <v>5578</v>
      </c>
      <c r="N1980" s="8"/>
      <c r="O1980" s="8" t="s">
        <v>5574</v>
      </c>
      <c r="P1980" s="11"/>
      <c r="Q1980" s="8" t="s">
        <v>5696</v>
      </c>
      <c r="R1980" s="8" t="s">
        <v>5919</v>
      </c>
      <c r="S1980" s="8" t="s">
        <v>12085</v>
      </c>
    </row>
    <row r="1981" spans="1:19" ht="107.1" customHeight="1" x14ac:dyDescent="0.25">
      <c r="A1981" s="8" t="s">
        <v>12086</v>
      </c>
      <c r="B1981" s="8" t="s">
        <v>5693</v>
      </c>
      <c r="C1981" s="8" t="s">
        <v>5918</v>
      </c>
      <c r="D1981" s="10">
        <v>1660</v>
      </c>
      <c r="E1981" s="8" t="s">
        <v>12087</v>
      </c>
      <c r="F1981" s="8" t="s">
        <v>12088</v>
      </c>
      <c r="G1981" s="8" t="s">
        <v>4727</v>
      </c>
      <c r="H1981" s="8" t="s">
        <v>12087</v>
      </c>
      <c r="I1981" s="8"/>
      <c r="J1981" s="15" t="s">
        <v>5695</v>
      </c>
      <c r="K1981" s="8"/>
      <c r="L1981" s="15" t="s">
        <v>1685</v>
      </c>
      <c r="M1981" s="8" t="s">
        <v>5578</v>
      </c>
      <c r="N1981" s="8"/>
      <c r="O1981" s="8" t="s">
        <v>5574</v>
      </c>
      <c r="P1981" s="11"/>
      <c r="Q1981" s="8" t="s">
        <v>5696</v>
      </c>
      <c r="R1981" s="8" t="s">
        <v>5919</v>
      </c>
      <c r="S1981" s="8" t="s">
        <v>12089</v>
      </c>
    </row>
    <row r="1982" spans="1:19" ht="120.95" customHeight="1" x14ac:dyDescent="0.25">
      <c r="A1982" s="8" t="s">
        <v>12090</v>
      </c>
      <c r="B1982" s="8" t="s">
        <v>5693</v>
      </c>
      <c r="C1982" s="8" t="s">
        <v>5918</v>
      </c>
      <c r="D1982" s="10">
        <v>1661</v>
      </c>
      <c r="E1982" s="8" t="s">
        <v>12091</v>
      </c>
      <c r="F1982" s="8" t="s">
        <v>12092</v>
      </c>
      <c r="G1982" s="8" t="s">
        <v>4727</v>
      </c>
      <c r="H1982" s="8" t="s">
        <v>12091</v>
      </c>
      <c r="I1982" s="8"/>
      <c r="J1982" s="15" t="s">
        <v>5695</v>
      </c>
      <c r="K1982" s="8"/>
      <c r="L1982" s="15" t="s">
        <v>1685</v>
      </c>
      <c r="M1982" s="8" t="s">
        <v>5578</v>
      </c>
      <c r="N1982" s="8"/>
      <c r="O1982" s="8" t="s">
        <v>5574</v>
      </c>
      <c r="P1982" s="11"/>
      <c r="Q1982" s="8" t="s">
        <v>5696</v>
      </c>
      <c r="R1982" s="8" t="s">
        <v>5919</v>
      </c>
      <c r="S1982" s="8" t="s">
        <v>12093</v>
      </c>
    </row>
    <row r="1983" spans="1:19" ht="107.1" customHeight="1" x14ac:dyDescent="0.25">
      <c r="A1983" s="8" t="s">
        <v>12094</v>
      </c>
      <c r="B1983" s="8" t="s">
        <v>5693</v>
      </c>
      <c r="C1983" s="8" t="s">
        <v>5918</v>
      </c>
      <c r="D1983" s="10">
        <v>1662</v>
      </c>
      <c r="E1983" s="8" t="s">
        <v>12095</v>
      </c>
      <c r="F1983" s="8" t="s">
        <v>12096</v>
      </c>
      <c r="G1983" s="8" t="s">
        <v>4727</v>
      </c>
      <c r="H1983" s="8" t="s">
        <v>12095</v>
      </c>
      <c r="I1983" s="8"/>
      <c r="J1983" s="15" t="s">
        <v>5695</v>
      </c>
      <c r="K1983" s="8"/>
      <c r="L1983" s="15" t="s">
        <v>1685</v>
      </c>
      <c r="M1983" s="8" t="s">
        <v>5578</v>
      </c>
      <c r="N1983" s="8"/>
      <c r="O1983" s="8" t="s">
        <v>5574</v>
      </c>
      <c r="P1983" s="11"/>
      <c r="Q1983" s="8" t="s">
        <v>5696</v>
      </c>
      <c r="R1983" s="8" t="s">
        <v>5919</v>
      </c>
      <c r="S1983" s="8" t="s">
        <v>12097</v>
      </c>
    </row>
    <row r="1984" spans="1:19" ht="107.1" customHeight="1" x14ac:dyDescent="0.25">
      <c r="A1984" s="8" t="s">
        <v>12098</v>
      </c>
      <c r="B1984" s="8" t="s">
        <v>5693</v>
      </c>
      <c r="C1984" s="8" t="s">
        <v>5918</v>
      </c>
      <c r="D1984" s="10">
        <v>1663</v>
      </c>
      <c r="E1984" s="8" t="s">
        <v>12099</v>
      </c>
      <c r="F1984" s="8" t="s">
        <v>12100</v>
      </c>
      <c r="G1984" s="8" t="s">
        <v>4727</v>
      </c>
      <c r="H1984" s="8" t="s">
        <v>12099</v>
      </c>
      <c r="I1984" s="8"/>
      <c r="J1984" s="15" t="s">
        <v>5695</v>
      </c>
      <c r="K1984" s="8"/>
      <c r="L1984" s="15" t="s">
        <v>1685</v>
      </c>
      <c r="M1984" s="8" t="s">
        <v>5578</v>
      </c>
      <c r="N1984" s="8"/>
      <c r="O1984" s="8" t="s">
        <v>5574</v>
      </c>
      <c r="P1984" s="11"/>
      <c r="Q1984" s="8" t="s">
        <v>5696</v>
      </c>
      <c r="R1984" s="8" t="s">
        <v>5919</v>
      </c>
      <c r="S1984" s="8" t="s">
        <v>12101</v>
      </c>
    </row>
    <row r="1985" spans="1:19" ht="107.1" customHeight="1" x14ac:dyDescent="0.25">
      <c r="A1985" s="8" t="s">
        <v>12102</v>
      </c>
      <c r="B1985" s="8" t="s">
        <v>5693</v>
      </c>
      <c r="C1985" s="8" t="s">
        <v>5918</v>
      </c>
      <c r="D1985" s="10">
        <v>1664</v>
      </c>
      <c r="E1985" s="8" t="s">
        <v>12103</v>
      </c>
      <c r="F1985" s="8" t="s">
        <v>12104</v>
      </c>
      <c r="G1985" s="8" t="s">
        <v>4727</v>
      </c>
      <c r="H1985" s="8" t="s">
        <v>12103</v>
      </c>
      <c r="I1985" s="8"/>
      <c r="J1985" s="15" t="s">
        <v>5695</v>
      </c>
      <c r="K1985" s="8"/>
      <c r="L1985" s="15" t="s">
        <v>1685</v>
      </c>
      <c r="M1985" s="8" t="s">
        <v>5578</v>
      </c>
      <c r="N1985" s="8"/>
      <c r="O1985" s="8" t="s">
        <v>5574</v>
      </c>
      <c r="P1985" s="11"/>
      <c r="Q1985" s="8" t="s">
        <v>5696</v>
      </c>
      <c r="R1985" s="8" t="s">
        <v>5919</v>
      </c>
      <c r="S1985" s="8" t="s">
        <v>12105</v>
      </c>
    </row>
    <row r="1986" spans="1:19" ht="107.1" customHeight="1" x14ac:dyDescent="0.25">
      <c r="A1986" s="8" t="s">
        <v>12106</v>
      </c>
      <c r="B1986" s="8" t="s">
        <v>5693</v>
      </c>
      <c r="C1986" s="8" t="s">
        <v>5918</v>
      </c>
      <c r="D1986" s="10">
        <v>1665</v>
      </c>
      <c r="E1986" s="8" t="s">
        <v>12107</v>
      </c>
      <c r="F1986" s="8" t="s">
        <v>12108</v>
      </c>
      <c r="G1986" s="8" t="s">
        <v>4727</v>
      </c>
      <c r="H1986" s="8" t="s">
        <v>12107</v>
      </c>
      <c r="I1986" s="8"/>
      <c r="J1986" s="15" t="s">
        <v>5695</v>
      </c>
      <c r="K1986" s="8"/>
      <c r="L1986" s="15" t="s">
        <v>1685</v>
      </c>
      <c r="M1986" s="8" t="s">
        <v>5578</v>
      </c>
      <c r="N1986" s="8"/>
      <c r="O1986" s="8" t="s">
        <v>5574</v>
      </c>
      <c r="P1986" s="11"/>
      <c r="Q1986" s="8" t="s">
        <v>5696</v>
      </c>
      <c r="R1986" s="8" t="s">
        <v>5919</v>
      </c>
      <c r="S1986" s="8" t="s">
        <v>12109</v>
      </c>
    </row>
    <row r="1987" spans="1:19" ht="107.1" customHeight="1" x14ac:dyDescent="0.25">
      <c r="A1987" s="8" t="s">
        <v>12110</v>
      </c>
      <c r="B1987" s="8" t="s">
        <v>5693</v>
      </c>
      <c r="C1987" s="8" t="s">
        <v>5918</v>
      </c>
      <c r="D1987" s="10">
        <v>1666</v>
      </c>
      <c r="E1987" s="8" t="s">
        <v>12111</v>
      </c>
      <c r="F1987" s="8" t="s">
        <v>12112</v>
      </c>
      <c r="G1987" s="8" t="s">
        <v>4727</v>
      </c>
      <c r="H1987" s="8" t="s">
        <v>12111</v>
      </c>
      <c r="I1987" s="8"/>
      <c r="J1987" s="15" t="s">
        <v>5695</v>
      </c>
      <c r="K1987" s="8"/>
      <c r="L1987" s="15" t="s">
        <v>1685</v>
      </c>
      <c r="M1987" s="8" t="s">
        <v>5578</v>
      </c>
      <c r="N1987" s="8"/>
      <c r="O1987" s="8" t="s">
        <v>5574</v>
      </c>
      <c r="P1987" s="11"/>
      <c r="Q1987" s="8" t="s">
        <v>5696</v>
      </c>
      <c r="R1987" s="8" t="s">
        <v>5919</v>
      </c>
      <c r="S1987" s="8" t="s">
        <v>12113</v>
      </c>
    </row>
    <row r="1988" spans="1:19" ht="107.1" customHeight="1" x14ac:dyDescent="0.25">
      <c r="A1988" s="8" t="s">
        <v>12114</v>
      </c>
      <c r="B1988" s="8" t="s">
        <v>5693</v>
      </c>
      <c r="C1988" s="8" t="s">
        <v>5918</v>
      </c>
      <c r="D1988" s="10">
        <v>1667</v>
      </c>
      <c r="E1988" s="8" t="s">
        <v>12115</v>
      </c>
      <c r="F1988" s="8" t="s">
        <v>12116</v>
      </c>
      <c r="G1988" s="8" t="s">
        <v>4727</v>
      </c>
      <c r="H1988" s="8" t="s">
        <v>12115</v>
      </c>
      <c r="I1988" s="8"/>
      <c r="J1988" s="15" t="s">
        <v>5695</v>
      </c>
      <c r="K1988" s="8"/>
      <c r="L1988" s="15" t="s">
        <v>1685</v>
      </c>
      <c r="M1988" s="8" t="s">
        <v>5578</v>
      </c>
      <c r="N1988" s="8"/>
      <c r="O1988" s="8" t="s">
        <v>5574</v>
      </c>
      <c r="P1988" s="11"/>
      <c r="Q1988" s="8" t="s">
        <v>5696</v>
      </c>
      <c r="R1988" s="8" t="s">
        <v>5919</v>
      </c>
      <c r="S1988" s="8" t="s">
        <v>12117</v>
      </c>
    </row>
    <row r="1989" spans="1:19" ht="107.1" customHeight="1" x14ac:dyDescent="0.25">
      <c r="A1989" s="8" t="s">
        <v>12118</v>
      </c>
      <c r="B1989" s="8" t="s">
        <v>5693</v>
      </c>
      <c r="C1989" s="8" t="s">
        <v>5918</v>
      </c>
      <c r="D1989" s="10">
        <v>1668</v>
      </c>
      <c r="E1989" s="8" t="s">
        <v>12119</v>
      </c>
      <c r="F1989" s="8" t="s">
        <v>12120</v>
      </c>
      <c r="G1989" s="8" t="s">
        <v>4727</v>
      </c>
      <c r="H1989" s="8" t="s">
        <v>12119</v>
      </c>
      <c r="I1989" s="8"/>
      <c r="J1989" s="15" t="s">
        <v>5695</v>
      </c>
      <c r="K1989" s="8"/>
      <c r="L1989" s="15" t="s">
        <v>1685</v>
      </c>
      <c r="M1989" s="8" t="s">
        <v>5578</v>
      </c>
      <c r="N1989" s="8"/>
      <c r="O1989" s="8" t="s">
        <v>5574</v>
      </c>
      <c r="P1989" s="11"/>
      <c r="Q1989" s="8" t="s">
        <v>5696</v>
      </c>
      <c r="R1989" s="8" t="s">
        <v>5919</v>
      </c>
      <c r="S1989" s="8" t="s">
        <v>12121</v>
      </c>
    </row>
    <row r="1990" spans="1:19" ht="107.1" customHeight="1" x14ac:dyDescent="0.25">
      <c r="A1990" s="8" t="s">
        <v>12122</v>
      </c>
      <c r="B1990" s="8" t="s">
        <v>5693</v>
      </c>
      <c r="C1990" s="8" t="s">
        <v>5918</v>
      </c>
      <c r="D1990" s="10">
        <v>1669</v>
      </c>
      <c r="E1990" s="8" t="s">
        <v>12123</v>
      </c>
      <c r="F1990" s="8" t="s">
        <v>12124</v>
      </c>
      <c r="G1990" s="8" t="s">
        <v>4727</v>
      </c>
      <c r="H1990" s="8" t="s">
        <v>12123</v>
      </c>
      <c r="I1990" s="8"/>
      <c r="J1990" s="15" t="s">
        <v>5695</v>
      </c>
      <c r="K1990" s="8"/>
      <c r="L1990" s="15" t="s">
        <v>1685</v>
      </c>
      <c r="M1990" s="8" t="s">
        <v>5578</v>
      </c>
      <c r="N1990" s="8"/>
      <c r="O1990" s="8" t="s">
        <v>5574</v>
      </c>
      <c r="P1990" s="11"/>
      <c r="Q1990" s="8" t="s">
        <v>5696</v>
      </c>
      <c r="R1990" s="8" t="s">
        <v>5919</v>
      </c>
      <c r="S1990" s="8" t="s">
        <v>12125</v>
      </c>
    </row>
    <row r="1991" spans="1:19" ht="107.1" customHeight="1" x14ac:dyDescent="0.25">
      <c r="A1991" s="8" t="s">
        <v>12126</v>
      </c>
      <c r="B1991" s="8" t="s">
        <v>5693</v>
      </c>
      <c r="C1991" s="8" t="s">
        <v>5918</v>
      </c>
      <c r="D1991" s="10">
        <v>1670</v>
      </c>
      <c r="E1991" s="8" t="s">
        <v>12127</v>
      </c>
      <c r="F1991" s="8" t="s">
        <v>12128</v>
      </c>
      <c r="G1991" s="8" t="s">
        <v>4727</v>
      </c>
      <c r="H1991" s="8" t="s">
        <v>12127</v>
      </c>
      <c r="I1991" s="8"/>
      <c r="J1991" s="15" t="s">
        <v>5695</v>
      </c>
      <c r="K1991" s="8"/>
      <c r="L1991" s="15" t="s">
        <v>1685</v>
      </c>
      <c r="M1991" s="8" t="s">
        <v>5578</v>
      </c>
      <c r="N1991" s="8"/>
      <c r="O1991" s="8" t="s">
        <v>5574</v>
      </c>
      <c r="P1991" s="11"/>
      <c r="Q1991" s="8" t="s">
        <v>5696</v>
      </c>
      <c r="R1991" s="8" t="s">
        <v>5919</v>
      </c>
      <c r="S1991" s="8" t="s">
        <v>12129</v>
      </c>
    </row>
    <row r="1992" spans="1:19" ht="107.1" customHeight="1" x14ac:dyDescent="0.25">
      <c r="A1992" s="8" t="s">
        <v>12130</v>
      </c>
      <c r="B1992" s="8" t="s">
        <v>5693</v>
      </c>
      <c r="C1992" s="8" t="s">
        <v>5918</v>
      </c>
      <c r="D1992" s="10">
        <v>1671</v>
      </c>
      <c r="E1992" s="8" t="s">
        <v>12131</v>
      </c>
      <c r="F1992" s="8" t="s">
        <v>12132</v>
      </c>
      <c r="G1992" s="8" t="s">
        <v>4727</v>
      </c>
      <c r="H1992" s="8" t="s">
        <v>12131</v>
      </c>
      <c r="I1992" s="8"/>
      <c r="J1992" s="15" t="s">
        <v>5695</v>
      </c>
      <c r="K1992" s="8"/>
      <c r="L1992" s="15" t="s">
        <v>1685</v>
      </c>
      <c r="M1992" s="8" t="s">
        <v>5578</v>
      </c>
      <c r="N1992" s="8"/>
      <c r="O1992" s="8" t="s">
        <v>5574</v>
      </c>
      <c r="P1992" s="11"/>
      <c r="Q1992" s="8" t="s">
        <v>5696</v>
      </c>
      <c r="R1992" s="8" t="s">
        <v>5919</v>
      </c>
      <c r="S1992" s="8" t="s">
        <v>12133</v>
      </c>
    </row>
    <row r="1993" spans="1:19" ht="107.1" customHeight="1" x14ac:dyDescent="0.25">
      <c r="A1993" s="8" t="s">
        <v>12134</v>
      </c>
      <c r="B1993" s="8" t="s">
        <v>5693</v>
      </c>
      <c r="C1993" s="8" t="s">
        <v>5918</v>
      </c>
      <c r="D1993" s="10">
        <v>1672</v>
      </c>
      <c r="E1993" s="8" t="s">
        <v>12135</v>
      </c>
      <c r="F1993" s="8" t="s">
        <v>12136</v>
      </c>
      <c r="G1993" s="8" t="s">
        <v>4727</v>
      </c>
      <c r="H1993" s="8" t="s">
        <v>12135</v>
      </c>
      <c r="I1993" s="8"/>
      <c r="J1993" s="15" t="s">
        <v>5695</v>
      </c>
      <c r="K1993" s="8"/>
      <c r="L1993" s="15" t="s">
        <v>1685</v>
      </c>
      <c r="M1993" s="8" t="s">
        <v>5578</v>
      </c>
      <c r="N1993" s="8"/>
      <c r="O1993" s="8" t="s">
        <v>5574</v>
      </c>
      <c r="P1993" s="11"/>
      <c r="Q1993" s="8" t="s">
        <v>5696</v>
      </c>
      <c r="R1993" s="8" t="s">
        <v>5919</v>
      </c>
      <c r="S1993" s="8" t="s">
        <v>12137</v>
      </c>
    </row>
    <row r="1994" spans="1:19" ht="107.1" customHeight="1" x14ac:dyDescent="0.25">
      <c r="A1994" s="8" t="s">
        <v>12138</v>
      </c>
      <c r="B1994" s="8" t="s">
        <v>5693</v>
      </c>
      <c r="C1994" s="8" t="s">
        <v>5918</v>
      </c>
      <c r="D1994" s="10">
        <v>1673</v>
      </c>
      <c r="E1994" s="8" t="s">
        <v>12139</v>
      </c>
      <c r="F1994" s="8" t="s">
        <v>12140</v>
      </c>
      <c r="G1994" s="8" t="s">
        <v>4727</v>
      </c>
      <c r="H1994" s="8" t="s">
        <v>12139</v>
      </c>
      <c r="I1994" s="8"/>
      <c r="J1994" s="15" t="s">
        <v>5695</v>
      </c>
      <c r="K1994" s="8"/>
      <c r="L1994" s="15" t="s">
        <v>1685</v>
      </c>
      <c r="M1994" s="8" t="s">
        <v>5578</v>
      </c>
      <c r="N1994" s="8"/>
      <c r="O1994" s="8" t="s">
        <v>5574</v>
      </c>
      <c r="P1994" s="11"/>
      <c r="Q1994" s="8" t="s">
        <v>5696</v>
      </c>
      <c r="R1994" s="8" t="s">
        <v>5919</v>
      </c>
      <c r="S1994" s="8" t="s">
        <v>12141</v>
      </c>
    </row>
    <row r="1995" spans="1:19" ht="107.1" customHeight="1" x14ac:dyDescent="0.25">
      <c r="A1995" s="8" t="s">
        <v>12142</v>
      </c>
      <c r="B1995" s="8" t="s">
        <v>5693</v>
      </c>
      <c r="C1995" s="8" t="s">
        <v>5918</v>
      </c>
      <c r="D1995" s="10">
        <v>1674</v>
      </c>
      <c r="E1995" s="8" t="s">
        <v>12143</v>
      </c>
      <c r="F1995" s="8" t="s">
        <v>12144</v>
      </c>
      <c r="G1995" s="8" t="s">
        <v>4727</v>
      </c>
      <c r="H1995" s="8" t="s">
        <v>12143</v>
      </c>
      <c r="I1995" s="8"/>
      <c r="J1995" s="15" t="s">
        <v>5695</v>
      </c>
      <c r="K1995" s="8"/>
      <c r="L1995" s="15" t="s">
        <v>1685</v>
      </c>
      <c r="M1995" s="8" t="s">
        <v>5578</v>
      </c>
      <c r="N1995" s="8"/>
      <c r="O1995" s="8" t="s">
        <v>5574</v>
      </c>
      <c r="P1995" s="11"/>
      <c r="Q1995" s="8" t="s">
        <v>5696</v>
      </c>
      <c r="R1995" s="8" t="s">
        <v>5919</v>
      </c>
      <c r="S1995" s="8" t="s">
        <v>12145</v>
      </c>
    </row>
    <row r="1996" spans="1:19" ht="107.1" customHeight="1" x14ac:dyDescent="0.25">
      <c r="A1996" s="8" t="s">
        <v>12146</v>
      </c>
      <c r="B1996" s="8" t="s">
        <v>5693</v>
      </c>
      <c r="C1996" s="8" t="s">
        <v>5918</v>
      </c>
      <c r="D1996" s="10">
        <v>1675</v>
      </c>
      <c r="E1996" s="8" t="s">
        <v>12147</v>
      </c>
      <c r="F1996" s="8" t="s">
        <v>12148</v>
      </c>
      <c r="G1996" s="8" t="s">
        <v>4727</v>
      </c>
      <c r="H1996" s="8" t="s">
        <v>12147</v>
      </c>
      <c r="I1996" s="8"/>
      <c r="J1996" s="15" t="s">
        <v>5695</v>
      </c>
      <c r="K1996" s="8"/>
      <c r="L1996" s="15" t="s">
        <v>1685</v>
      </c>
      <c r="M1996" s="8" t="s">
        <v>5578</v>
      </c>
      <c r="N1996" s="8"/>
      <c r="O1996" s="8" t="s">
        <v>5574</v>
      </c>
      <c r="P1996" s="11"/>
      <c r="Q1996" s="8" t="s">
        <v>5696</v>
      </c>
      <c r="R1996" s="8" t="s">
        <v>5919</v>
      </c>
      <c r="S1996" s="8" t="s">
        <v>12149</v>
      </c>
    </row>
    <row r="1997" spans="1:19" ht="107.1" customHeight="1" x14ac:dyDescent="0.25">
      <c r="A1997" s="8" t="s">
        <v>12150</v>
      </c>
      <c r="B1997" s="8" t="s">
        <v>5693</v>
      </c>
      <c r="C1997" s="8" t="s">
        <v>5918</v>
      </c>
      <c r="D1997" s="10">
        <v>1676</v>
      </c>
      <c r="E1997" s="8" t="s">
        <v>12151</v>
      </c>
      <c r="F1997" s="8" t="s">
        <v>12152</v>
      </c>
      <c r="G1997" s="8" t="s">
        <v>4727</v>
      </c>
      <c r="H1997" s="8" t="s">
        <v>12151</v>
      </c>
      <c r="I1997" s="8"/>
      <c r="J1997" s="15" t="s">
        <v>5695</v>
      </c>
      <c r="K1997" s="8"/>
      <c r="L1997" s="15" t="s">
        <v>1685</v>
      </c>
      <c r="M1997" s="8" t="s">
        <v>5578</v>
      </c>
      <c r="N1997" s="8"/>
      <c r="O1997" s="8" t="s">
        <v>5574</v>
      </c>
      <c r="P1997" s="11"/>
      <c r="Q1997" s="8" t="s">
        <v>5696</v>
      </c>
      <c r="R1997" s="8" t="s">
        <v>5919</v>
      </c>
      <c r="S1997" s="8" t="s">
        <v>12153</v>
      </c>
    </row>
    <row r="1998" spans="1:19" ht="107.1" customHeight="1" x14ac:dyDescent="0.25">
      <c r="A1998" s="8" t="s">
        <v>12154</v>
      </c>
      <c r="B1998" s="8" t="s">
        <v>5693</v>
      </c>
      <c r="C1998" s="8" t="s">
        <v>5918</v>
      </c>
      <c r="D1998" s="10">
        <v>1677</v>
      </c>
      <c r="E1998" s="8" t="s">
        <v>12155</v>
      </c>
      <c r="F1998" s="8" t="s">
        <v>12156</v>
      </c>
      <c r="G1998" s="8" t="s">
        <v>4727</v>
      </c>
      <c r="H1998" s="8" t="s">
        <v>12155</v>
      </c>
      <c r="I1998" s="8"/>
      <c r="J1998" s="15" t="s">
        <v>5695</v>
      </c>
      <c r="K1998" s="8"/>
      <c r="L1998" s="15" t="s">
        <v>1685</v>
      </c>
      <c r="M1998" s="8" t="s">
        <v>5578</v>
      </c>
      <c r="N1998" s="8"/>
      <c r="O1998" s="8" t="s">
        <v>5574</v>
      </c>
      <c r="P1998" s="11"/>
      <c r="Q1998" s="8" t="s">
        <v>5696</v>
      </c>
      <c r="R1998" s="8" t="s">
        <v>5919</v>
      </c>
      <c r="S1998" s="8" t="s">
        <v>12157</v>
      </c>
    </row>
    <row r="1999" spans="1:19" ht="107.1" customHeight="1" x14ac:dyDescent="0.25">
      <c r="A1999" s="8" t="s">
        <v>12158</v>
      </c>
      <c r="B1999" s="8" t="s">
        <v>5693</v>
      </c>
      <c r="C1999" s="8" t="s">
        <v>5918</v>
      </c>
      <c r="D1999" s="10">
        <v>1678</v>
      </c>
      <c r="E1999" s="8" t="s">
        <v>12159</v>
      </c>
      <c r="F1999" s="8" t="s">
        <v>12160</v>
      </c>
      <c r="G1999" s="8" t="s">
        <v>4727</v>
      </c>
      <c r="H1999" s="8" t="s">
        <v>12159</v>
      </c>
      <c r="I1999" s="8"/>
      <c r="J1999" s="15" t="s">
        <v>5695</v>
      </c>
      <c r="K1999" s="8"/>
      <c r="L1999" s="15" t="s">
        <v>1685</v>
      </c>
      <c r="M1999" s="8" t="s">
        <v>5578</v>
      </c>
      <c r="N1999" s="8"/>
      <c r="O1999" s="8" t="s">
        <v>5574</v>
      </c>
      <c r="P1999" s="11"/>
      <c r="Q1999" s="8" t="s">
        <v>5696</v>
      </c>
      <c r="R1999" s="8" t="s">
        <v>5919</v>
      </c>
      <c r="S1999" s="8" t="s">
        <v>12161</v>
      </c>
    </row>
    <row r="2000" spans="1:19" ht="107.1" customHeight="1" x14ac:dyDescent="0.25">
      <c r="A2000" s="8" t="s">
        <v>12162</v>
      </c>
      <c r="B2000" s="8" t="s">
        <v>5693</v>
      </c>
      <c r="C2000" s="8" t="s">
        <v>5918</v>
      </c>
      <c r="D2000" s="10">
        <v>1679</v>
      </c>
      <c r="E2000" s="8" t="s">
        <v>12163</v>
      </c>
      <c r="F2000" s="8" t="s">
        <v>12164</v>
      </c>
      <c r="G2000" s="8" t="s">
        <v>4727</v>
      </c>
      <c r="H2000" s="8" t="s">
        <v>12163</v>
      </c>
      <c r="I2000" s="8"/>
      <c r="J2000" s="15" t="s">
        <v>5695</v>
      </c>
      <c r="K2000" s="8"/>
      <c r="L2000" s="15" t="s">
        <v>1685</v>
      </c>
      <c r="M2000" s="8" t="s">
        <v>5578</v>
      </c>
      <c r="N2000" s="8"/>
      <c r="O2000" s="8" t="s">
        <v>5574</v>
      </c>
      <c r="P2000" s="11"/>
      <c r="Q2000" s="8" t="s">
        <v>5696</v>
      </c>
      <c r="R2000" s="8" t="s">
        <v>5919</v>
      </c>
      <c r="S2000" s="8" t="s">
        <v>12165</v>
      </c>
    </row>
    <row r="2001" spans="1:19" ht="107.1" customHeight="1" x14ac:dyDescent="0.25">
      <c r="A2001" s="8" t="s">
        <v>12166</v>
      </c>
      <c r="B2001" s="8" t="s">
        <v>5693</v>
      </c>
      <c r="C2001" s="8" t="s">
        <v>5918</v>
      </c>
      <c r="D2001" s="10">
        <v>1680</v>
      </c>
      <c r="E2001" s="8" t="s">
        <v>12167</v>
      </c>
      <c r="F2001" s="8" t="s">
        <v>12168</v>
      </c>
      <c r="G2001" s="8" t="s">
        <v>4727</v>
      </c>
      <c r="H2001" s="8" t="s">
        <v>12167</v>
      </c>
      <c r="I2001" s="8"/>
      <c r="J2001" s="15" t="s">
        <v>5695</v>
      </c>
      <c r="K2001" s="8"/>
      <c r="L2001" s="15" t="s">
        <v>1685</v>
      </c>
      <c r="M2001" s="8" t="s">
        <v>5578</v>
      </c>
      <c r="N2001" s="8"/>
      <c r="O2001" s="8" t="s">
        <v>5574</v>
      </c>
      <c r="P2001" s="11"/>
      <c r="Q2001" s="8" t="s">
        <v>5696</v>
      </c>
      <c r="R2001" s="8" t="s">
        <v>5919</v>
      </c>
      <c r="S2001" s="8" t="s">
        <v>12169</v>
      </c>
    </row>
    <row r="2002" spans="1:19" ht="107.1" customHeight="1" x14ac:dyDescent="0.25">
      <c r="A2002" s="8" t="s">
        <v>12170</v>
      </c>
      <c r="B2002" s="8" t="s">
        <v>5693</v>
      </c>
      <c r="C2002" s="8" t="s">
        <v>5918</v>
      </c>
      <c r="D2002" s="10">
        <v>1681</v>
      </c>
      <c r="E2002" s="8" t="s">
        <v>12171</v>
      </c>
      <c r="F2002" s="8" t="s">
        <v>12172</v>
      </c>
      <c r="G2002" s="8" t="s">
        <v>4727</v>
      </c>
      <c r="H2002" s="8" t="s">
        <v>12171</v>
      </c>
      <c r="I2002" s="8"/>
      <c r="J2002" s="15" t="s">
        <v>5695</v>
      </c>
      <c r="K2002" s="8"/>
      <c r="L2002" s="15" t="s">
        <v>1685</v>
      </c>
      <c r="M2002" s="8" t="s">
        <v>5578</v>
      </c>
      <c r="N2002" s="8"/>
      <c r="O2002" s="8" t="s">
        <v>5574</v>
      </c>
      <c r="P2002" s="11"/>
      <c r="Q2002" s="8" t="s">
        <v>5696</v>
      </c>
      <c r="R2002" s="8" t="s">
        <v>5919</v>
      </c>
      <c r="S2002" s="8" t="s">
        <v>12173</v>
      </c>
    </row>
    <row r="2003" spans="1:19" ht="107.1" customHeight="1" x14ac:dyDescent="0.25">
      <c r="A2003" s="8" t="s">
        <v>12174</v>
      </c>
      <c r="B2003" s="8" t="s">
        <v>5693</v>
      </c>
      <c r="C2003" s="8" t="s">
        <v>5918</v>
      </c>
      <c r="D2003" s="10">
        <v>1682</v>
      </c>
      <c r="E2003" s="8" t="s">
        <v>12175</v>
      </c>
      <c r="F2003" s="8" t="s">
        <v>12176</v>
      </c>
      <c r="G2003" s="8" t="s">
        <v>4727</v>
      </c>
      <c r="H2003" s="8" t="s">
        <v>12175</v>
      </c>
      <c r="I2003" s="8"/>
      <c r="J2003" s="15" t="s">
        <v>5695</v>
      </c>
      <c r="K2003" s="8"/>
      <c r="L2003" s="15" t="s">
        <v>1685</v>
      </c>
      <c r="M2003" s="8" t="s">
        <v>5578</v>
      </c>
      <c r="N2003" s="8"/>
      <c r="O2003" s="8" t="s">
        <v>5574</v>
      </c>
      <c r="P2003" s="11"/>
      <c r="Q2003" s="8" t="s">
        <v>5696</v>
      </c>
      <c r="R2003" s="8" t="s">
        <v>5919</v>
      </c>
      <c r="S2003" s="8" t="s">
        <v>12177</v>
      </c>
    </row>
    <row r="2004" spans="1:19" ht="107.1" customHeight="1" x14ac:dyDescent="0.25">
      <c r="A2004" s="8" t="s">
        <v>12178</v>
      </c>
      <c r="B2004" s="8" t="s">
        <v>5693</v>
      </c>
      <c r="C2004" s="8" t="s">
        <v>5918</v>
      </c>
      <c r="D2004" s="10">
        <v>1683</v>
      </c>
      <c r="E2004" s="8" t="s">
        <v>12179</v>
      </c>
      <c r="F2004" s="8" t="s">
        <v>12180</v>
      </c>
      <c r="G2004" s="8" t="s">
        <v>4727</v>
      </c>
      <c r="H2004" s="8" t="s">
        <v>12179</v>
      </c>
      <c r="I2004" s="8"/>
      <c r="J2004" s="15" t="s">
        <v>5695</v>
      </c>
      <c r="K2004" s="8"/>
      <c r="L2004" s="15" t="s">
        <v>1685</v>
      </c>
      <c r="M2004" s="8" t="s">
        <v>5578</v>
      </c>
      <c r="N2004" s="8"/>
      <c r="O2004" s="8" t="s">
        <v>5574</v>
      </c>
      <c r="P2004" s="11"/>
      <c r="Q2004" s="8" t="s">
        <v>5696</v>
      </c>
      <c r="R2004" s="8" t="s">
        <v>5919</v>
      </c>
      <c r="S2004" s="8" t="s">
        <v>12181</v>
      </c>
    </row>
    <row r="2005" spans="1:19" ht="107.1" customHeight="1" x14ac:dyDescent="0.25">
      <c r="A2005" s="8" t="s">
        <v>12182</v>
      </c>
      <c r="B2005" s="8" t="s">
        <v>5693</v>
      </c>
      <c r="C2005" s="8" t="s">
        <v>5918</v>
      </c>
      <c r="D2005" s="10">
        <v>1684</v>
      </c>
      <c r="E2005" s="8" t="s">
        <v>12183</v>
      </c>
      <c r="F2005" s="8" t="s">
        <v>12184</v>
      </c>
      <c r="G2005" s="8" t="s">
        <v>4727</v>
      </c>
      <c r="H2005" s="8" t="s">
        <v>12183</v>
      </c>
      <c r="I2005" s="8"/>
      <c r="J2005" s="15" t="s">
        <v>5695</v>
      </c>
      <c r="K2005" s="8"/>
      <c r="L2005" s="15" t="s">
        <v>1685</v>
      </c>
      <c r="M2005" s="8" t="s">
        <v>5578</v>
      </c>
      <c r="N2005" s="8"/>
      <c r="O2005" s="8" t="s">
        <v>5574</v>
      </c>
      <c r="P2005" s="11"/>
      <c r="Q2005" s="8" t="s">
        <v>5696</v>
      </c>
      <c r="R2005" s="8" t="s">
        <v>5919</v>
      </c>
      <c r="S2005" s="8" t="s">
        <v>12185</v>
      </c>
    </row>
    <row r="2006" spans="1:19" ht="107.1" customHeight="1" x14ac:dyDescent="0.25">
      <c r="A2006" s="8" t="s">
        <v>12186</v>
      </c>
      <c r="B2006" s="8" t="s">
        <v>5693</v>
      </c>
      <c r="C2006" s="8" t="s">
        <v>5918</v>
      </c>
      <c r="D2006" s="10">
        <v>1685</v>
      </c>
      <c r="E2006" s="8" t="s">
        <v>12187</v>
      </c>
      <c r="F2006" s="8" t="s">
        <v>12188</v>
      </c>
      <c r="G2006" s="8" t="s">
        <v>4727</v>
      </c>
      <c r="H2006" s="8" t="s">
        <v>12187</v>
      </c>
      <c r="I2006" s="8"/>
      <c r="J2006" s="15" t="s">
        <v>5695</v>
      </c>
      <c r="K2006" s="8"/>
      <c r="L2006" s="15" t="s">
        <v>1685</v>
      </c>
      <c r="M2006" s="8" t="s">
        <v>5578</v>
      </c>
      <c r="N2006" s="8"/>
      <c r="O2006" s="8" t="s">
        <v>5574</v>
      </c>
      <c r="P2006" s="11"/>
      <c r="Q2006" s="8" t="s">
        <v>5696</v>
      </c>
      <c r="R2006" s="8" t="s">
        <v>5919</v>
      </c>
      <c r="S2006" s="8" t="s">
        <v>12189</v>
      </c>
    </row>
    <row r="2007" spans="1:19" ht="107.1" customHeight="1" x14ac:dyDescent="0.25">
      <c r="A2007" s="8" t="s">
        <v>12190</v>
      </c>
      <c r="B2007" s="8" t="s">
        <v>5693</v>
      </c>
      <c r="C2007" s="8" t="s">
        <v>5918</v>
      </c>
      <c r="D2007" s="10">
        <v>1686</v>
      </c>
      <c r="E2007" s="8" t="s">
        <v>12191</v>
      </c>
      <c r="F2007" s="8" t="s">
        <v>12192</v>
      </c>
      <c r="G2007" s="8" t="s">
        <v>4727</v>
      </c>
      <c r="H2007" s="8" t="s">
        <v>12191</v>
      </c>
      <c r="I2007" s="8"/>
      <c r="J2007" s="15" t="s">
        <v>5695</v>
      </c>
      <c r="K2007" s="8"/>
      <c r="L2007" s="15" t="s">
        <v>1685</v>
      </c>
      <c r="M2007" s="8" t="s">
        <v>5578</v>
      </c>
      <c r="N2007" s="8"/>
      <c r="O2007" s="8" t="s">
        <v>5574</v>
      </c>
      <c r="P2007" s="11"/>
      <c r="Q2007" s="8" t="s">
        <v>5696</v>
      </c>
      <c r="R2007" s="8" t="s">
        <v>5919</v>
      </c>
      <c r="S2007" s="8" t="s">
        <v>12193</v>
      </c>
    </row>
    <row r="2008" spans="1:19" ht="107.1" customHeight="1" x14ac:dyDescent="0.25">
      <c r="A2008" s="8" t="s">
        <v>12194</v>
      </c>
      <c r="B2008" s="8" t="s">
        <v>5693</v>
      </c>
      <c r="C2008" s="8" t="s">
        <v>5918</v>
      </c>
      <c r="D2008" s="10">
        <v>1687</v>
      </c>
      <c r="E2008" s="8" t="s">
        <v>12195</v>
      </c>
      <c r="F2008" s="8" t="s">
        <v>12196</v>
      </c>
      <c r="G2008" s="8" t="s">
        <v>4727</v>
      </c>
      <c r="H2008" s="8" t="s">
        <v>12195</v>
      </c>
      <c r="I2008" s="8"/>
      <c r="J2008" s="15" t="s">
        <v>5695</v>
      </c>
      <c r="K2008" s="8"/>
      <c r="L2008" s="15" t="s">
        <v>1685</v>
      </c>
      <c r="M2008" s="8" t="s">
        <v>5578</v>
      </c>
      <c r="N2008" s="8"/>
      <c r="O2008" s="8" t="s">
        <v>5574</v>
      </c>
      <c r="P2008" s="11"/>
      <c r="Q2008" s="8" t="s">
        <v>5696</v>
      </c>
      <c r="R2008" s="8" t="s">
        <v>5919</v>
      </c>
      <c r="S2008" s="8" t="s">
        <v>12197</v>
      </c>
    </row>
    <row r="2009" spans="1:19" ht="107.1" customHeight="1" x14ac:dyDescent="0.25">
      <c r="A2009" s="8" t="s">
        <v>12198</v>
      </c>
      <c r="B2009" s="8" t="s">
        <v>5693</v>
      </c>
      <c r="C2009" s="8" t="s">
        <v>5918</v>
      </c>
      <c r="D2009" s="10">
        <v>1688</v>
      </c>
      <c r="E2009" s="8" t="s">
        <v>12199</v>
      </c>
      <c r="F2009" s="8" t="s">
        <v>12200</v>
      </c>
      <c r="G2009" s="8" t="s">
        <v>4727</v>
      </c>
      <c r="H2009" s="8" t="s">
        <v>12199</v>
      </c>
      <c r="I2009" s="8"/>
      <c r="J2009" s="15" t="s">
        <v>5695</v>
      </c>
      <c r="K2009" s="8"/>
      <c r="L2009" s="15" t="s">
        <v>1685</v>
      </c>
      <c r="M2009" s="8" t="s">
        <v>5578</v>
      </c>
      <c r="N2009" s="8"/>
      <c r="O2009" s="8" t="s">
        <v>5574</v>
      </c>
      <c r="P2009" s="11"/>
      <c r="Q2009" s="8" t="s">
        <v>5696</v>
      </c>
      <c r="R2009" s="8" t="s">
        <v>5919</v>
      </c>
      <c r="S2009" s="8" t="s">
        <v>12201</v>
      </c>
    </row>
    <row r="2010" spans="1:19" ht="107.1" customHeight="1" x14ac:dyDescent="0.25">
      <c r="A2010" s="8" t="s">
        <v>12202</v>
      </c>
      <c r="B2010" s="8" t="s">
        <v>5693</v>
      </c>
      <c r="C2010" s="8" t="s">
        <v>5918</v>
      </c>
      <c r="D2010" s="10">
        <v>1689</v>
      </c>
      <c r="E2010" s="8" t="s">
        <v>12203</v>
      </c>
      <c r="F2010" s="8" t="s">
        <v>12204</v>
      </c>
      <c r="G2010" s="8" t="s">
        <v>4727</v>
      </c>
      <c r="H2010" s="8" t="s">
        <v>12203</v>
      </c>
      <c r="I2010" s="8"/>
      <c r="J2010" s="15" t="s">
        <v>5695</v>
      </c>
      <c r="K2010" s="8"/>
      <c r="L2010" s="15" t="s">
        <v>1685</v>
      </c>
      <c r="M2010" s="8" t="s">
        <v>5578</v>
      </c>
      <c r="N2010" s="8"/>
      <c r="O2010" s="8" t="s">
        <v>5574</v>
      </c>
      <c r="P2010" s="11"/>
      <c r="Q2010" s="8" t="s">
        <v>5696</v>
      </c>
      <c r="R2010" s="8" t="s">
        <v>5919</v>
      </c>
      <c r="S2010" s="8" t="s">
        <v>12205</v>
      </c>
    </row>
    <row r="2011" spans="1:19" ht="107.1" customHeight="1" x14ac:dyDescent="0.25">
      <c r="A2011" s="8" t="s">
        <v>12206</v>
      </c>
      <c r="B2011" s="8" t="s">
        <v>5693</v>
      </c>
      <c r="C2011" s="8" t="s">
        <v>5918</v>
      </c>
      <c r="D2011" s="10">
        <v>1690</v>
      </c>
      <c r="E2011" s="8" t="s">
        <v>12207</v>
      </c>
      <c r="F2011" s="8" t="s">
        <v>12208</v>
      </c>
      <c r="G2011" s="8" t="s">
        <v>4727</v>
      </c>
      <c r="H2011" s="8" t="s">
        <v>12207</v>
      </c>
      <c r="I2011" s="8"/>
      <c r="J2011" s="15" t="s">
        <v>5695</v>
      </c>
      <c r="K2011" s="8"/>
      <c r="L2011" s="15" t="s">
        <v>1685</v>
      </c>
      <c r="M2011" s="8" t="s">
        <v>5578</v>
      </c>
      <c r="N2011" s="8"/>
      <c r="O2011" s="8" t="s">
        <v>5574</v>
      </c>
      <c r="P2011" s="11"/>
      <c r="Q2011" s="8" t="s">
        <v>5696</v>
      </c>
      <c r="R2011" s="8" t="s">
        <v>5919</v>
      </c>
      <c r="S2011" s="8" t="s">
        <v>12209</v>
      </c>
    </row>
    <row r="2012" spans="1:19" ht="107.1" customHeight="1" x14ac:dyDescent="0.25">
      <c r="A2012" s="8" t="s">
        <v>12210</v>
      </c>
      <c r="B2012" s="8" t="s">
        <v>5693</v>
      </c>
      <c r="C2012" s="8" t="s">
        <v>5918</v>
      </c>
      <c r="D2012" s="10">
        <v>1691</v>
      </c>
      <c r="E2012" s="8" t="s">
        <v>12211</v>
      </c>
      <c r="F2012" s="8" t="s">
        <v>12212</v>
      </c>
      <c r="G2012" s="8" t="s">
        <v>4727</v>
      </c>
      <c r="H2012" s="8" t="s">
        <v>12211</v>
      </c>
      <c r="I2012" s="8"/>
      <c r="J2012" s="15" t="s">
        <v>5695</v>
      </c>
      <c r="K2012" s="8"/>
      <c r="L2012" s="15" t="s">
        <v>1685</v>
      </c>
      <c r="M2012" s="8" t="s">
        <v>5578</v>
      </c>
      <c r="N2012" s="8"/>
      <c r="O2012" s="8" t="s">
        <v>5574</v>
      </c>
      <c r="P2012" s="11"/>
      <c r="Q2012" s="8" t="s">
        <v>5696</v>
      </c>
      <c r="R2012" s="8" t="s">
        <v>5919</v>
      </c>
      <c r="S2012" s="8" t="s">
        <v>12213</v>
      </c>
    </row>
    <row r="2013" spans="1:19" ht="107.1" customHeight="1" x14ac:dyDescent="0.25">
      <c r="A2013" s="8" t="s">
        <v>12214</v>
      </c>
      <c r="B2013" s="8" t="s">
        <v>5693</v>
      </c>
      <c r="C2013" s="8" t="s">
        <v>5918</v>
      </c>
      <c r="D2013" s="10">
        <v>1692</v>
      </c>
      <c r="E2013" s="8" t="s">
        <v>12215</v>
      </c>
      <c r="F2013" s="8" t="s">
        <v>12216</v>
      </c>
      <c r="G2013" s="8" t="s">
        <v>4727</v>
      </c>
      <c r="H2013" s="8" t="s">
        <v>12215</v>
      </c>
      <c r="I2013" s="8"/>
      <c r="J2013" s="15" t="s">
        <v>5695</v>
      </c>
      <c r="K2013" s="8"/>
      <c r="L2013" s="15" t="s">
        <v>1685</v>
      </c>
      <c r="M2013" s="8" t="s">
        <v>5578</v>
      </c>
      <c r="N2013" s="8"/>
      <c r="O2013" s="8" t="s">
        <v>5574</v>
      </c>
      <c r="P2013" s="11"/>
      <c r="Q2013" s="8" t="s">
        <v>5696</v>
      </c>
      <c r="R2013" s="8" t="s">
        <v>5919</v>
      </c>
      <c r="S2013" s="8" t="s">
        <v>12217</v>
      </c>
    </row>
    <row r="2014" spans="1:19" ht="107.1" customHeight="1" x14ac:dyDescent="0.25">
      <c r="A2014" s="8" t="s">
        <v>12218</v>
      </c>
      <c r="B2014" s="8" t="s">
        <v>5693</v>
      </c>
      <c r="C2014" s="8" t="s">
        <v>5918</v>
      </c>
      <c r="D2014" s="10">
        <v>1693</v>
      </c>
      <c r="E2014" s="8" t="s">
        <v>12219</v>
      </c>
      <c r="F2014" s="8" t="s">
        <v>12220</v>
      </c>
      <c r="G2014" s="8" t="s">
        <v>4727</v>
      </c>
      <c r="H2014" s="8" t="s">
        <v>12219</v>
      </c>
      <c r="I2014" s="8"/>
      <c r="J2014" s="15" t="s">
        <v>5695</v>
      </c>
      <c r="K2014" s="8"/>
      <c r="L2014" s="15" t="s">
        <v>1685</v>
      </c>
      <c r="M2014" s="8" t="s">
        <v>5578</v>
      </c>
      <c r="N2014" s="8"/>
      <c r="O2014" s="8" t="s">
        <v>5574</v>
      </c>
      <c r="P2014" s="11"/>
      <c r="Q2014" s="8" t="s">
        <v>5696</v>
      </c>
      <c r="R2014" s="8" t="s">
        <v>5919</v>
      </c>
      <c r="S2014" s="8" t="s">
        <v>12221</v>
      </c>
    </row>
    <row r="2015" spans="1:19" ht="107.1" customHeight="1" x14ac:dyDescent="0.25">
      <c r="A2015" s="8" t="s">
        <v>12222</v>
      </c>
      <c r="B2015" s="8" t="s">
        <v>5693</v>
      </c>
      <c r="C2015" s="8" t="s">
        <v>5918</v>
      </c>
      <c r="D2015" s="10">
        <v>1694</v>
      </c>
      <c r="E2015" s="8" t="s">
        <v>12223</v>
      </c>
      <c r="F2015" s="8" t="s">
        <v>12224</v>
      </c>
      <c r="G2015" s="8" t="s">
        <v>4727</v>
      </c>
      <c r="H2015" s="8" t="s">
        <v>12223</v>
      </c>
      <c r="I2015" s="8"/>
      <c r="J2015" s="15" t="s">
        <v>5695</v>
      </c>
      <c r="K2015" s="8"/>
      <c r="L2015" s="15" t="s">
        <v>1685</v>
      </c>
      <c r="M2015" s="8" t="s">
        <v>5578</v>
      </c>
      <c r="N2015" s="8"/>
      <c r="O2015" s="8" t="s">
        <v>5574</v>
      </c>
      <c r="P2015" s="11"/>
      <c r="Q2015" s="8" t="s">
        <v>5696</v>
      </c>
      <c r="R2015" s="8" t="s">
        <v>5919</v>
      </c>
      <c r="S2015" s="8" t="s">
        <v>12225</v>
      </c>
    </row>
    <row r="2016" spans="1:19" ht="107.1" customHeight="1" x14ac:dyDescent="0.25">
      <c r="A2016" s="8" t="s">
        <v>12226</v>
      </c>
      <c r="B2016" s="8" t="s">
        <v>5693</v>
      </c>
      <c r="C2016" s="8" t="s">
        <v>5918</v>
      </c>
      <c r="D2016" s="10">
        <v>1695</v>
      </c>
      <c r="E2016" s="8" t="s">
        <v>12227</v>
      </c>
      <c r="F2016" s="8" t="s">
        <v>12228</v>
      </c>
      <c r="G2016" s="8" t="s">
        <v>4727</v>
      </c>
      <c r="H2016" s="8" t="s">
        <v>12227</v>
      </c>
      <c r="I2016" s="8"/>
      <c r="J2016" s="15" t="s">
        <v>5695</v>
      </c>
      <c r="K2016" s="8"/>
      <c r="L2016" s="15" t="s">
        <v>1685</v>
      </c>
      <c r="M2016" s="8" t="s">
        <v>5578</v>
      </c>
      <c r="N2016" s="8"/>
      <c r="O2016" s="8" t="s">
        <v>5574</v>
      </c>
      <c r="P2016" s="11"/>
      <c r="Q2016" s="8" t="s">
        <v>5696</v>
      </c>
      <c r="R2016" s="8" t="s">
        <v>5919</v>
      </c>
      <c r="S2016" s="8" t="s">
        <v>12229</v>
      </c>
    </row>
    <row r="2017" spans="1:19" ht="107.1" customHeight="1" x14ac:dyDescent="0.25">
      <c r="A2017" s="8" t="s">
        <v>12230</v>
      </c>
      <c r="B2017" s="8" t="s">
        <v>5693</v>
      </c>
      <c r="C2017" s="8" t="s">
        <v>5918</v>
      </c>
      <c r="D2017" s="10">
        <v>1696</v>
      </c>
      <c r="E2017" s="8" t="s">
        <v>12231</v>
      </c>
      <c r="F2017" s="8" t="s">
        <v>12232</v>
      </c>
      <c r="G2017" s="8" t="s">
        <v>4727</v>
      </c>
      <c r="H2017" s="8" t="s">
        <v>12231</v>
      </c>
      <c r="I2017" s="8"/>
      <c r="J2017" s="15" t="s">
        <v>5695</v>
      </c>
      <c r="K2017" s="8"/>
      <c r="L2017" s="15" t="s">
        <v>1685</v>
      </c>
      <c r="M2017" s="8" t="s">
        <v>5578</v>
      </c>
      <c r="N2017" s="8"/>
      <c r="O2017" s="8" t="s">
        <v>5574</v>
      </c>
      <c r="P2017" s="11"/>
      <c r="Q2017" s="8" t="s">
        <v>5696</v>
      </c>
      <c r="R2017" s="8" t="s">
        <v>5919</v>
      </c>
      <c r="S2017" s="8" t="s">
        <v>12233</v>
      </c>
    </row>
    <row r="2018" spans="1:19" ht="107.1" customHeight="1" x14ac:dyDescent="0.25">
      <c r="A2018" s="8" t="s">
        <v>12234</v>
      </c>
      <c r="B2018" s="8" t="s">
        <v>5693</v>
      </c>
      <c r="C2018" s="8" t="s">
        <v>5918</v>
      </c>
      <c r="D2018" s="10">
        <v>1697</v>
      </c>
      <c r="E2018" s="8" t="s">
        <v>12235</v>
      </c>
      <c r="F2018" s="8" t="s">
        <v>12236</v>
      </c>
      <c r="G2018" s="8" t="s">
        <v>4727</v>
      </c>
      <c r="H2018" s="8" t="s">
        <v>12235</v>
      </c>
      <c r="I2018" s="8"/>
      <c r="J2018" s="15" t="s">
        <v>5695</v>
      </c>
      <c r="K2018" s="8"/>
      <c r="L2018" s="15" t="s">
        <v>1685</v>
      </c>
      <c r="M2018" s="8" t="s">
        <v>5578</v>
      </c>
      <c r="N2018" s="8"/>
      <c r="O2018" s="8" t="s">
        <v>5574</v>
      </c>
      <c r="P2018" s="11"/>
      <c r="Q2018" s="8" t="s">
        <v>5696</v>
      </c>
      <c r="R2018" s="8" t="s">
        <v>5919</v>
      </c>
      <c r="S2018" s="8" t="s">
        <v>12237</v>
      </c>
    </row>
    <row r="2019" spans="1:19" ht="107.1" customHeight="1" x14ac:dyDescent="0.25">
      <c r="A2019" s="8" t="s">
        <v>12238</v>
      </c>
      <c r="B2019" s="8" t="s">
        <v>5693</v>
      </c>
      <c r="C2019" s="8" t="s">
        <v>5918</v>
      </c>
      <c r="D2019" s="10">
        <v>1698</v>
      </c>
      <c r="E2019" s="8" t="s">
        <v>12239</v>
      </c>
      <c r="F2019" s="8" t="s">
        <v>12240</v>
      </c>
      <c r="G2019" s="8" t="s">
        <v>4727</v>
      </c>
      <c r="H2019" s="8" t="s">
        <v>12239</v>
      </c>
      <c r="I2019" s="8"/>
      <c r="J2019" s="15" t="s">
        <v>5695</v>
      </c>
      <c r="K2019" s="8"/>
      <c r="L2019" s="15" t="s">
        <v>1685</v>
      </c>
      <c r="M2019" s="8" t="s">
        <v>5578</v>
      </c>
      <c r="N2019" s="8"/>
      <c r="O2019" s="8" t="s">
        <v>5574</v>
      </c>
      <c r="P2019" s="11"/>
      <c r="Q2019" s="8" t="s">
        <v>5696</v>
      </c>
      <c r="R2019" s="8" t="s">
        <v>5919</v>
      </c>
      <c r="S2019" s="8" t="s">
        <v>12241</v>
      </c>
    </row>
    <row r="2020" spans="1:19" ht="107.1" customHeight="1" x14ac:dyDescent="0.25">
      <c r="A2020" s="8" t="s">
        <v>12242</v>
      </c>
      <c r="B2020" s="8" t="s">
        <v>5693</v>
      </c>
      <c r="C2020" s="8" t="s">
        <v>5918</v>
      </c>
      <c r="D2020" s="10">
        <v>1699</v>
      </c>
      <c r="E2020" s="8" t="s">
        <v>12243</v>
      </c>
      <c r="F2020" s="8" t="s">
        <v>12244</v>
      </c>
      <c r="G2020" s="8" t="s">
        <v>4727</v>
      </c>
      <c r="H2020" s="8" t="s">
        <v>12243</v>
      </c>
      <c r="I2020" s="8"/>
      <c r="J2020" s="15" t="s">
        <v>5695</v>
      </c>
      <c r="K2020" s="8"/>
      <c r="L2020" s="15" t="s">
        <v>1685</v>
      </c>
      <c r="M2020" s="8" t="s">
        <v>5578</v>
      </c>
      <c r="N2020" s="8"/>
      <c r="O2020" s="8" t="s">
        <v>5574</v>
      </c>
      <c r="P2020" s="11"/>
      <c r="Q2020" s="8" t="s">
        <v>5696</v>
      </c>
      <c r="R2020" s="8" t="s">
        <v>5919</v>
      </c>
      <c r="S2020" s="8" t="s">
        <v>12245</v>
      </c>
    </row>
    <row r="2021" spans="1:19" ht="107.1" customHeight="1" x14ac:dyDescent="0.25">
      <c r="A2021" s="8" t="s">
        <v>12246</v>
      </c>
      <c r="B2021" s="8" t="s">
        <v>5693</v>
      </c>
      <c r="C2021" s="8" t="s">
        <v>5918</v>
      </c>
      <c r="D2021" s="10">
        <v>1700</v>
      </c>
      <c r="E2021" s="8" t="s">
        <v>12247</v>
      </c>
      <c r="F2021" s="8" t="s">
        <v>12248</v>
      </c>
      <c r="G2021" s="8" t="s">
        <v>4727</v>
      </c>
      <c r="H2021" s="8" t="s">
        <v>12247</v>
      </c>
      <c r="I2021" s="8"/>
      <c r="J2021" s="15" t="s">
        <v>5695</v>
      </c>
      <c r="K2021" s="8"/>
      <c r="L2021" s="15" t="s">
        <v>1685</v>
      </c>
      <c r="M2021" s="8" t="s">
        <v>5578</v>
      </c>
      <c r="N2021" s="8"/>
      <c r="O2021" s="8" t="s">
        <v>5574</v>
      </c>
      <c r="P2021" s="11"/>
      <c r="Q2021" s="8" t="s">
        <v>5696</v>
      </c>
      <c r="R2021" s="8" t="s">
        <v>5919</v>
      </c>
      <c r="S2021" s="8" t="s">
        <v>12249</v>
      </c>
    </row>
    <row r="2022" spans="1:19" ht="107.1" customHeight="1" x14ac:dyDescent="0.25">
      <c r="A2022" s="8" t="s">
        <v>12250</v>
      </c>
      <c r="B2022" s="8" t="s">
        <v>5693</v>
      </c>
      <c r="C2022" s="8" t="s">
        <v>5918</v>
      </c>
      <c r="D2022" s="10">
        <v>1701</v>
      </c>
      <c r="E2022" s="8" t="s">
        <v>12251</v>
      </c>
      <c r="F2022" s="8" t="s">
        <v>12252</v>
      </c>
      <c r="G2022" s="8" t="s">
        <v>4727</v>
      </c>
      <c r="H2022" s="8" t="s">
        <v>12251</v>
      </c>
      <c r="I2022" s="8"/>
      <c r="J2022" s="15" t="s">
        <v>5695</v>
      </c>
      <c r="K2022" s="8"/>
      <c r="L2022" s="15" t="s">
        <v>1685</v>
      </c>
      <c r="M2022" s="8" t="s">
        <v>5578</v>
      </c>
      <c r="N2022" s="8"/>
      <c r="O2022" s="8" t="s">
        <v>5574</v>
      </c>
      <c r="P2022" s="11"/>
      <c r="Q2022" s="8" t="s">
        <v>5696</v>
      </c>
      <c r="R2022" s="8" t="s">
        <v>5919</v>
      </c>
      <c r="S2022" s="8" t="s">
        <v>12253</v>
      </c>
    </row>
    <row r="2023" spans="1:19" ht="107.1" customHeight="1" x14ac:dyDescent="0.25">
      <c r="A2023" s="8" t="s">
        <v>12254</v>
      </c>
      <c r="B2023" s="8" t="s">
        <v>5693</v>
      </c>
      <c r="C2023" s="8" t="s">
        <v>5918</v>
      </c>
      <c r="D2023" s="10">
        <v>1702</v>
      </c>
      <c r="E2023" s="8" t="s">
        <v>12255</v>
      </c>
      <c r="F2023" s="8" t="s">
        <v>12256</v>
      </c>
      <c r="G2023" s="8" t="s">
        <v>4727</v>
      </c>
      <c r="H2023" s="8" t="s">
        <v>12255</v>
      </c>
      <c r="I2023" s="8"/>
      <c r="J2023" s="15" t="s">
        <v>5695</v>
      </c>
      <c r="K2023" s="8"/>
      <c r="L2023" s="15" t="s">
        <v>1685</v>
      </c>
      <c r="M2023" s="8" t="s">
        <v>5578</v>
      </c>
      <c r="N2023" s="8"/>
      <c r="O2023" s="8" t="s">
        <v>5574</v>
      </c>
      <c r="P2023" s="11"/>
      <c r="Q2023" s="8" t="s">
        <v>5696</v>
      </c>
      <c r="R2023" s="8" t="s">
        <v>5919</v>
      </c>
      <c r="S2023" s="8" t="s">
        <v>12257</v>
      </c>
    </row>
    <row r="2024" spans="1:19" ht="107.1" customHeight="1" x14ac:dyDescent="0.25">
      <c r="A2024" s="8" t="s">
        <v>12258</v>
      </c>
      <c r="B2024" s="8" t="s">
        <v>5693</v>
      </c>
      <c r="C2024" s="8" t="s">
        <v>5918</v>
      </c>
      <c r="D2024" s="10">
        <v>1703</v>
      </c>
      <c r="E2024" s="8" t="s">
        <v>12259</v>
      </c>
      <c r="F2024" s="8" t="s">
        <v>12260</v>
      </c>
      <c r="G2024" s="8" t="s">
        <v>4727</v>
      </c>
      <c r="H2024" s="8" t="s">
        <v>12259</v>
      </c>
      <c r="I2024" s="8"/>
      <c r="J2024" s="15" t="s">
        <v>5695</v>
      </c>
      <c r="K2024" s="8"/>
      <c r="L2024" s="15" t="s">
        <v>1685</v>
      </c>
      <c r="M2024" s="8" t="s">
        <v>5578</v>
      </c>
      <c r="N2024" s="8"/>
      <c r="O2024" s="8" t="s">
        <v>5574</v>
      </c>
      <c r="P2024" s="11"/>
      <c r="Q2024" s="8" t="s">
        <v>5696</v>
      </c>
      <c r="R2024" s="8" t="s">
        <v>5919</v>
      </c>
      <c r="S2024" s="8" t="s">
        <v>12261</v>
      </c>
    </row>
    <row r="2025" spans="1:19" ht="107.1" customHeight="1" x14ac:dyDescent="0.25">
      <c r="A2025" s="8" t="s">
        <v>12262</v>
      </c>
      <c r="B2025" s="8" t="s">
        <v>5693</v>
      </c>
      <c r="C2025" s="8" t="s">
        <v>5918</v>
      </c>
      <c r="D2025" s="10">
        <v>1704</v>
      </c>
      <c r="E2025" s="8" t="s">
        <v>12263</v>
      </c>
      <c r="F2025" s="8" t="s">
        <v>12264</v>
      </c>
      <c r="G2025" s="8" t="s">
        <v>4727</v>
      </c>
      <c r="H2025" s="8" t="s">
        <v>12263</v>
      </c>
      <c r="I2025" s="8"/>
      <c r="J2025" s="15" t="s">
        <v>5695</v>
      </c>
      <c r="K2025" s="8"/>
      <c r="L2025" s="15" t="s">
        <v>1685</v>
      </c>
      <c r="M2025" s="8" t="s">
        <v>5578</v>
      </c>
      <c r="N2025" s="8"/>
      <c r="O2025" s="8" t="s">
        <v>5574</v>
      </c>
      <c r="P2025" s="11"/>
      <c r="Q2025" s="8" t="s">
        <v>5696</v>
      </c>
      <c r="R2025" s="8" t="s">
        <v>5919</v>
      </c>
      <c r="S2025" s="8" t="s">
        <v>12265</v>
      </c>
    </row>
    <row r="2026" spans="1:19" ht="107.1" customHeight="1" x14ac:dyDescent="0.25">
      <c r="A2026" s="8" t="s">
        <v>12266</v>
      </c>
      <c r="B2026" s="8" t="s">
        <v>5693</v>
      </c>
      <c r="C2026" s="8" t="s">
        <v>5918</v>
      </c>
      <c r="D2026" s="10">
        <v>1705</v>
      </c>
      <c r="E2026" s="8" t="s">
        <v>12267</v>
      </c>
      <c r="F2026" s="8" t="s">
        <v>12268</v>
      </c>
      <c r="G2026" s="8" t="s">
        <v>4727</v>
      </c>
      <c r="H2026" s="8" t="s">
        <v>12267</v>
      </c>
      <c r="I2026" s="8"/>
      <c r="J2026" s="15" t="s">
        <v>5695</v>
      </c>
      <c r="K2026" s="8"/>
      <c r="L2026" s="15" t="s">
        <v>1685</v>
      </c>
      <c r="M2026" s="8" t="s">
        <v>5578</v>
      </c>
      <c r="N2026" s="8"/>
      <c r="O2026" s="8" t="s">
        <v>5574</v>
      </c>
      <c r="P2026" s="11"/>
      <c r="Q2026" s="8" t="s">
        <v>5696</v>
      </c>
      <c r="R2026" s="8" t="s">
        <v>5919</v>
      </c>
      <c r="S2026" s="8" t="s">
        <v>12269</v>
      </c>
    </row>
    <row r="2027" spans="1:19" ht="107.1" customHeight="1" x14ac:dyDescent="0.25">
      <c r="A2027" s="8" t="s">
        <v>12270</v>
      </c>
      <c r="B2027" s="8" t="s">
        <v>5693</v>
      </c>
      <c r="C2027" s="8" t="s">
        <v>5918</v>
      </c>
      <c r="D2027" s="10">
        <v>1706</v>
      </c>
      <c r="E2027" s="8" t="s">
        <v>12271</v>
      </c>
      <c r="F2027" s="8" t="s">
        <v>12272</v>
      </c>
      <c r="G2027" s="8" t="s">
        <v>4727</v>
      </c>
      <c r="H2027" s="8" t="s">
        <v>12271</v>
      </c>
      <c r="I2027" s="8"/>
      <c r="J2027" s="15" t="s">
        <v>5695</v>
      </c>
      <c r="K2027" s="8"/>
      <c r="L2027" s="15" t="s">
        <v>1685</v>
      </c>
      <c r="M2027" s="8" t="s">
        <v>5578</v>
      </c>
      <c r="N2027" s="8"/>
      <c r="O2027" s="8" t="s">
        <v>5574</v>
      </c>
      <c r="P2027" s="11"/>
      <c r="Q2027" s="8" t="s">
        <v>5696</v>
      </c>
      <c r="R2027" s="8" t="s">
        <v>5919</v>
      </c>
      <c r="S2027" s="8" t="s">
        <v>12273</v>
      </c>
    </row>
    <row r="2028" spans="1:19" ht="107.1" customHeight="1" x14ac:dyDescent="0.25">
      <c r="A2028" s="8" t="s">
        <v>12274</v>
      </c>
      <c r="B2028" s="8" t="s">
        <v>5693</v>
      </c>
      <c r="C2028" s="8" t="s">
        <v>5918</v>
      </c>
      <c r="D2028" s="10">
        <v>1707</v>
      </c>
      <c r="E2028" s="8" t="s">
        <v>12275</v>
      </c>
      <c r="F2028" s="8" t="s">
        <v>12276</v>
      </c>
      <c r="G2028" s="8" t="s">
        <v>4727</v>
      </c>
      <c r="H2028" s="8" t="s">
        <v>12275</v>
      </c>
      <c r="I2028" s="8"/>
      <c r="J2028" s="15" t="s">
        <v>5695</v>
      </c>
      <c r="K2028" s="8"/>
      <c r="L2028" s="15" t="s">
        <v>1685</v>
      </c>
      <c r="M2028" s="8" t="s">
        <v>5578</v>
      </c>
      <c r="N2028" s="8"/>
      <c r="O2028" s="8" t="s">
        <v>5574</v>
      </c>
      <c r="P2028" s="11"/>
      <c r="Q2028" s="8" t="s">
        <v>5696</v>
      </c>
      <c r="R2028" s="8" t="s">
        <v>5919</v>
      </c>
      <c r="S2028" s="8" t="s">
        <v>12277</v>
      </c>
    </row>
    <row r="2029" spans="1:19" ht="107.1" customHeight="1" x14ac:dyDescent="0.25">
      <c r="A2029" s="8" t="s">
        <v>12278</v>
      </c>
      <c r="B2029" s="8" t="s">
        <v>5693</v>
      </c>
      <c r="C2029" s="8" t="s">
        <v>5918</v>
      </c>
      <c r="D2029" s="10">
        <v>1708</v>
      </c>
      <c r="E2029" s="8" t="s">
        <v>12279</v>
      </c>
      <c r="F2029" s="8" t="s">
        <v>12280</v>
      </c>
      <c r="G2029" s="8" t="s">
        <v>4727</v>
      </c>
      <c r="H2029" s="8" t="s">
        <v>12279</v>
      </c>
      <c r="I2029" s="8"/>
      <c r="J2029" s="15" t="s">
        <v>5695</v>
      </c>
      <c r="K2029" s="8"/>
      <c r="L2029" s="15" t="s">
        <v>1685</v>
      </c>
      <c r="M2029" s="8" t="s">
        <v>5578</v>
      </c>
      <c r="N2029" s="8"/>
      <c r="O2029" s="8" t="s">
        <v>5574</v>
      </c>
      <c r="P2029" s="11"/>
      <c r="Q2029" s="8" t="s">
        <v>5696</v>
      </c>
      <c r="R2029" s="8" t="s">
        <v>5919</v>
      </c>
      <c r="S2029" s="8" t="s">
        <v>12281</v>
      </c>
    </row>
    <row r="2030" spans="1:19" ht="107.1" customHeight="1" x14ac:dyDescent="0.25">
      <c r="A2030" s="8" t="s">
        <v>12282</v>
      </c>
      <c r="B2030" s="8" t="s">
        <v>5693</v>
      </c>
      <c r="C2030" s="8" t="s">
        <v>5918</v>
      </c>
      <c r="D2030" s="10">
        <v>1709</v>
      </c>
      <c r="E2030" s="8" t="s">
        <v>12283</v>
      </c>
      <c r="F2030" s="8" t="s">
        <v>12284</v>
      </c>
      <c r="G2030" s="8" t="s">
        <v>4727</v>
      </c>
      <c r="H2030" s="8" t="s">
        <v>12283</v>
      </c>
      <c r="I2030" s="8"/>
      <c r="J2030" s="15" t="s">
        <v>5695</v>
      </c>
      <c r="K2030" s="8"/>
      <c r="L2030" s="15" t="s">
        <v>1685</v>
      </c>
      <c r="M2030" s="8" t="s">
        <v>5578</v>
      </c>
      <c r="N2030" s="8"/>
      <c r="O2030" s="8" t="s">
        <v>5574</v>
      </c>
      <c r="P2030" s="11"/>
      <c r="Q2030" s="8" t="s">
        <v>5696</v>
      </c>
      <c r="R2030" s="8" t="s">
        <v>5919</v>
      </c>
      <c r="S2030" s="8" t="s">
        <v>12285</v>
      </c>
    </row>
    <row r="2031" spans="1:19" ht="107.1" customHeight="1" x14ac:dyDescent="0.25">
      <c r="A2031" s="8" t="s">
        <v>12286</v>
      </c>
      <c r="B2031" s="8" t="s">
        <v>5693</v>
      </c>
      <c r="C2031" s="8" t="s">
        <v>5918</v>
      </c>
      <c r="D2031" s="10">
        <v>1710</v>
      </c>
      <c r="E2031" s="8" t="s">
        <v>12287</v>
      </c>
      <c r="F2031" s="8" t="s">
        <v>12288</v>
      </c>
      <c r="G2031" s="8" t="s">
        <v>4727</v>
      </c>
      <c r="H2031" s="8" t="s">
        <v>12287</v>
      </c>
      <c r="I2031" s="8"/>
      <c r="J2031" s="15" t="s">
        <v>5695</v>
      </c>
      <c r="K2031" s="8"/>
      <c r="L2031" s="15" t="s">
        <v>1685</v>
      </c>
      <c r="M2031" s="8" t="s">
        <v>5578</v>
      </c>
      <c r="N2031" s="8"/>
      <c r="O2031" s="8" t="s">
        <v>5574</v>
      </c>
      <c r="P2031" s="11"/>
      <c r="Q2031" s="8" t="s">
        <v>5696</v>
      </c>
      <c r="R2031" s="8" t="s">
        <v>5919</v>
      </c>
      <c r="S2031" s="8" t="s">
        <v>12289</v>
      </c>
    </row>
    <row r="2032" spans="1:19" ht="107.1" customHeight="1" x14ac:dyDescent="0.25">
      <c r="A2032" s="8" t="s">
        <v>12290</v>
      </c>
      <c r="B2032" s="8" t="s">
        <v>5693</v>
      </c>
      <c r="C2032" s="8" t="s">
        <v>5918</v>
      </c>
      <c r="D2032" s="10">
        <v>1711</v>
      </c>
      <c r="E2032" s="8" t="s">
        <v>12291</v>
      </c>
      <c r="F2032" s="8" t="s">
        <v>12292</v>
      </c>
      <c r="G2032" s="8" t="s">
        <v>4727</v>
      </c>
      <c r="H2032" s="8" t="s">
        <v>12291</v>
      </c>
      <c r="I2032" s="8"/>
      <c r="J2032" s="15" t="s">
        <v>5695</v>
      </c>
      <c r="K2032" s="8"/>
      <c r="L2032" s="15" t="s">
        <v>1685</v>
      </c>
      <c r="M2032" s="8" t="s">
        <v>5578</v>
      </c>
      <c r="N2032" s="8"/>
      <c r="O2032" s="8" t="s">
        <v>5574</v>
      </c>
      <c r="P2032" s="11"/>
      <c r="Q2032" s="8" t="s">
        <v>5696</v>
      </c>
      <c r="R2032" s="8" t="s">
        <v>5919</v>
      </c>
      <c r="S2032" s="8" t="s">
        <v>12293</v>
      </c>
    </row>
    <row r="2033" spans="1:19" ht="107.1" customHeight="1" x14ac:dyDescent="0.25">
      <c r="A2033" s="8" t="s">
        <v>12294</v>
      </c>
      <c r="B2033" s="8" t="s">
        <v>5693</v>
      </c>
      <c r="C2033" s="8" t="s">
        <v>5918</v>
      </c>
      <c r="D2033" s="10">
        <v>1712</v>
      </c>
      <c r="E2033" s="8" t="s">
        <v>12295</v>
      </c>
      <c r="F2033" s="8" t="s">
        <v>12296</v>
      </c>
      <c r="G2033" s="8" t="s">
        <v>4727</v>
      </c>
      <c r="H2033" s="8" t="s">
        <v>12295</v>
      </c>
      <c r="I2033" s="8"/>
      <c r="J2033" s="15" t="s">
        <v>5695</v>
      </c>
      <c r="K2033" s="8"/>
      <c r="L2033" s="15" t="s">
        <v>1685</v>
      </c>
      <c r="M2033" s="8" t="s">
        <v>5578</v>
      </c>
      <c r="N2033" s="8"/>
      <c r="O2033" s="8" t="s">
        <v>5574</v>
      </c>
      <c r="P2033" s="11"/>
      <c r="Q2033" s="8" t="s">
        <v>5696</v>
      </c>
      <c r="R2033" s="8" t="s">
        <v>5919</v>
      </c>
      <c r="S2033" s="8" t="s">
        <v>12297</v>
      </c>
    </row>
    <row r="2034" spans="1:19" ht="93" customHeight="1" x14ac:dyDescent="0.25">
      <c r="A2034" s="8" t="s">
        <v>12298</v>
      </c>
      <c r="B2034" s="8" t="s">
        <v>5693</v>
      </c>
      <c r="C2034" s="8" t="s">
        <v>5918</v>
      </c>
      <c r="D2034" s="10">
        <v>1713</v>
      </c>
      <c r="E2034" s="8" t="s">
        <v>12299</v>
      </c>
      <c r="F2034" s="8" t="s">
        <v>12300</v>
      </c>
      <c r="G2034" s="8" t="s">
        <v>4727</v>
      </c>
      <c r="H2034" s="8" t="s">
        <v>12299</v>
      </c>
      <c r="I2034" s="8"/>
      <c r="J2034" s="15" t="s">
        <v>5695</v>
      </c>
      <c r="K2034" s="8"/>
      <c r="L2034" s="15" t="s">
        <v>1685</v>
      </c>
      <c r="M2034" s="8" t="s">
        <v>5578</v>
      </c>
      <c r="N2034" s="8"/>
      <c r="O2034" s="8" t="s">
        <v>5574</v>
      </c>
      <c r="P2034" s="11"/>
      <c r="Q2034" s="8" t="s">
        <v>5696</v>
      </c>
      <c r="R2034" s="8" t="s">
        <v>5919</v>
      </c>
      <c r="S2034" s="8" t="s">
        <v>12301</v>
      </c>
    </row>
    <row r="2035" spans="1:19" ht="93" customHeight="1" x14ac:dyDescent="0.25">
      <c r="A2035" s="8" t="s">
        <v>12302</v>
      </c>
      <c r="B2035" s="8" t="s">
        <v>5693</v>
      </c>
      <c r="C2035" s="8" t="s">
        <v>12303</v>
      </c>
      <c r="D2035" s="10">
        <v>4</v>
      </c>
      <c r="E2035" s="8" t="s">
        <v>3006</v>
      </c>
      <c r="F2035" s="8" t="s">
        <v>3006</v>
      </c>
      <c r="G2035" s="8" t="s">
        <v>4551</v>
      </c>
      <c r="H2035" s="8" t="s">
        <v>847</v>
      </c>
      <c r="I2035" s="8" t="s">
        <v>847</v>
      </c>
      <c r="J2035" s="8"/>
      <c r="K2035" s="8"/>
      <c r="L2035" s="15" t="s">
        <v>1685</v>
      </c>
      <c r="M2035" s="8" t="s">
        <v>5578</v>
      </c>
      <c r="N2035" s="8"/>
      <c r="O2035" s="8" t="s">
        <v>5574</v>
      </c>
      <c r="P2035" s="11" t="s">
        <v>3533</v>
      </c>
      <c r="Q2035" s="8"/>
      <c r="R2035" s="8" t="s">
        <v>12304</v>
      </c>
      <c r="S2035" s="8" t="s">
        <v>12305</v>
      </c>
    </row>
    <row r="2036" spans="1:19" ht="78.95" customHeight="1" x14ac:dyDescent="0.25">
      <c r="A2036" s="8" t="s">
        <v>12306</v>
      </c>
      <c r="B2036" s="8" t="s">
        <v>5693</v>
      </c>
      <c r="C2036" s="8" t="s">
        <v>12303</v>
      </c>
      <c r="D2036" s="10">
        <v>5</v>
      </c>
      <c r="E2036" s="8" t="s">
        <v>2839</v>
      </c>
      <c r="F2036" s="8" t="s">
        <v>2839</v>
      </c>
      <c r="G2036" s="8" t="s">
        <v>4551</v>
      </c>
      <c r="H2036" s="8" t="s">
        <v>542</v>
      </c>
      <c r="I2036" s="8" t="s">
        <v>542</v>
      </c>
      <c r="J2036" s="8"/>
      <c r="K2036" s="8"/>
      <c r="L2036" s="15" t="s">
        <v>1685</v>
      </c>
      <c r="M2036" s="8" t="s">
        <v>5578</v>
      </c>
      <c r="N2036" s="8"/>
      <c r="O2036" s="8" t="s">
        <v>5574</v>
      </c>
      <c r="P2036" s="11" t="s">
        <v>3533</v>
      </c>
      <c r="Q2036" s="8"/>
      <c r="R2036" s="8" t="s">
        <v>12304</v>
      </c>
      <c r="S2036" s="8" t="s">
        <v>12307</v>
      </c>
    </row>
    <row r="2037" spans="1:19" ht="78.95" customHeight="1" x14ac:dyDescent="0.25">
      <c r="A2037" s="8" t="s">
        <v>12308</v>
      </c>
      <c r="B2037" s="8" t="s">
        <v>5693</v>
      </c>
      <c r="C2037" s="8" t="s">
        <v>12303</v>
      </c>
      <c r="D2037" s="10">
        <v>6</v>
      </c>
      <c r="E2037" s="8" t="s">
        <v>2899</v>
      </c>
      <c r="F2037" s="8" t="s">
        <v>2899</v>
      </c>
      <c r="G2037" s="8" t="s">
        <v>4551</v>
      </c>
      <c r="H2037" s="8" t="s">
        <v>733</v>
      </c>
      <c r="I2037" s="8" t="s">
        <v>733</v>
      </c>
      <c r="J2037" s="8"/>
      <c r="K2037" s="8"/>
      <c r="L2037" s="15" t="s">
        <v>1685</v>
      </c>
      <c r="M2037" s="8" t="s">
        <v>5578</v>
      </c>
      <c r="N2037" s="8"/>
      <c r="O2037" s="8" t="s">
        <v>5574</v>
      </c>
      <c r="P2037" s="11" t="s">
        <v>3533</v>
      </c>
      <c r="Q2037" s="8"/>
      <c r="R2037" s="8" t="s">
        <v>12304</v>
      </c>
      <c r="S2037" s="8" t="s">
        <v>12309</v>
      </c>
    </row>
    <row r="2038" spans="1:19" ht="93" customHeight="1" x14ac:dyDescent="0.25">
      <c r="A2038" s="8" t="s">
        <v>12310</v>
      </c>
      <c r="B2038" s="8" t="s">
        <v>5693</v>
      </c>
      <c r="C2038" s="8" t="s">
        <v>12303</v>
      </c>
      <c r="D2038" s="10">
        <v>7</v>
      </c>
      <c r="E2038" s="8" t="s">
        <v>12311</v>
      </c>
      <c r="F2038" s="8" t="s">
        <v>12311</v>
      </c>
      <c r="G2038" s="8" t="s">
        <v>4551</v>
      </c>
      <c r="H2038" s="8" t="s">
        <v>664</v>
      </c>
      <c r="I2038" s="8" t="s">
        <v>664</v>
      </c>
      <c r="J2038" s="8"/>
      <c r="K2038" s="8"/>
      <c r="L2038" s="15" t="s">
        <v>1685</v>
      </c>
      <c r="M2038" s="8" t="s">
        <v>5578</v>
      </c>
      <c r="N2038" s="8"/>
      <c r="O2038" s="8" t="s">
        <v>5574</v>
      </c>
      <c r="P2038" s="11" t="s">
        <v>3533</v>
      </c>
      <c r="Q2038" s="8"/>
      <c r="R2038" s="8" t="s">
        <v>12304</v>
      </c>
      <c r="S2038" s="8" t="s">
        <v>12312</v>
      </c>
    </row>
    <row r="2039" spans="1:19" ht="93" customHeight="1" x14ac:dyDescent="0.25">
      <c r="A2039" s="8" t="s">
        <v>12313</v>
      </c>
      <c r="B2039" s="8" t="s">
        <v>5693</v>
      </c>
      <c r="C2039" s="8" t="s">
        <v>12303</v>
      </c>
      <c r="D2039" s="10">
        <v>8</v>
      </c>
      <c r="E2039" s="8" t="s">
        <v>12314</v>
      </c>
      <c r="F2039" s="8" t="s">
        <v>12314</v>
      </c>
      <c r="G2039" s="8" t="s">
        <v>4551</v>
      </c>
      <c r="H2039" s="8" t="s">
        <v>672</v>
      </c>
      <c r="I2039" s="8" t="s">
        <v>672</v>
      </c>
      <c r="J2039" s="8"/>
      <c r="K2039" s="8"/>
      <c r="L2039" s="15" t="s">
        <v>1685</v>
      </c>
      <c r="M2039" s="8" t="s">
        <v>5578</v>
      </c>
      <c r="N2039" s="8"/>
      <c r="O2039" s="8" t="s">
        <v>5574</v>
      </c>
      <c r="P2039" s="11" t="s">
        <v>3533</v>
      </c>
      <c r="Q2039" s="8"/>
      <c r="R2039" s="8" t="s">
        <v>12304</v>
      </c>
      <c r="S2039" s="8" t="s">
        <v>12315</v>
      </c>
    </row>
    <row r="2040" spans="1:19" ht="78.95" customHeight="1" x14ac:dyDescent="0.25">
      <c r="A2040" s="8" t="s">
        <v>12316</v>
      </c>
      <c r="B2040" s="8" t="s">
        <v>5693</v>
      </c>
      <c r="C2040" s="8" t="s">
        <v>12303</v>
      </c>
      <c r="D2040" s="10">
        <v>9</v>
      </c>
      <c r="E2040" s="8" t="s">
        <v>792</v>
      </c>
      <c r="F2040" s="8" t="s">
        <v>792</v>
      </c>
      <c r="G2040" s="8" t="s">
        <v>4551</v>
      </c>
      <c r="H2040" s="8" t="s">
        <v>791</v>
      </c>
      <c r="I2040" s="8" t="s">
        <v>791</v>
      </c>
      <c r="J2040" s="8"/>
      <c r="K2040" s="8"/>
      <c r="L2040" s="15" t="s">
        <v>1685</v>
      </c>
      <c r="M2040" s="8" t="s">
        <v>5578</v>
      </c>
      <c r="N2040" s="8"/>
      <c r="O2040" s="8" t="s">
        <v>5574</v>
      </c>
      <c r="P2040" s="11" t="s">
        <v>3533</v>
      </c>
      <c r="Q2040" s="8"/>
      <c r="R2040" s="8" t="s">
        <v>12304</v>
      </c>
      <c r="S2040" s="8" t="s">
        <v>12317</v>
      </c>
    </row>
    <row r="2041" spans="1:19" ht="78.95" customHeight="1" x14ac:dyDescent="0.25">
      <c r="A2041" s="8" t="s">
        <v>12318</v>
      </c>
      <c r="B2041" s="8" t="s">
        <v>5693</v>
      </c>
      <c r="C2041" s="8" t="s">
        <v>12303</v>
      </c>
      <c r="D2041" s="10">
        <v>10</v>
      </c>
      <c r="E2041" s="8" t="s">
        <v>12319</v>
      </c>
      <c r="F2041" s="8" t="s">
        <v>12319</v>
      </c>
      <c r="G2041" s="8" t="s">
        <v>4551</v>
      </c>
      <c r="H2041" s="8" t="s">
        <v>753</v>
      </c>
      <c r="I2041" s="8" t="s">
        <v>753</v>
      </c>
      <c r="J2041" s="8"/>
      <c r="K2041" s="8"/>
      <c r="L2041" s="15" t="s">
        <v>1685</v>
      </c>
      <c r="M2041" s="8" t="s">
        <v>5578</v>
      </c>
      <c r="N2041" s="8"/>
      <c r="O2041" s="8" t="s">
        <v>5574</v>
      </c>
      <c r="P2041" s="11" t="s">
        <v>3533</v>
      </c>
      <c r="Q2041" s="8"/>
      <c r="R2041" s="8" t="s">
        <v>12304</v>
      </c>
      <c r="S2041" s="8" t="s">
        <v>12320</v>
      </c>
    </row>
    <row r="2042" spans="1:19" ht="78.95" customHeight="1" x14ac:dyDescent="0.25">
      <c r="A2042" s="8" t="s">
        <v>12321</v>
      </c>
      <c r="B2042" s="8" t="s">
        <v>5693</v>
      </c>
      <c r="C2042" s="8" t="s">
        <v>12303</v>
      </c>
      <c r="D2042" s="10">
        <v>11</v>
      </c>
      <c r="E2042" s="8" t="s">
        <v>635</v>
      </c>
      <c r="F2042" s="8" t="s">
        <v>635</v>
      </c>
      <c r="G2042" s="8" t="s">
        <v>4551</v>
      </c>
      <c r="H2042" s="8" t="s">
        <v>634</v>
      </c>
      <c r="I2042" s="8" t="s">
        <v>634</v>
      </c>
      <c r="J2042" s="8"/>
      <c r="K2042" s="8"/>
      <c r="L2042" s="15" t="s">
        <v>1685</v>
      </c>
      <c r="M2042" s="8" t="s">
        <v>5578</v>
      </c>
      <c r="N2042" s="8"/>
      <c r="O2042" s="8" t="s">
        <v>5574</v>
      </c>
      <c r="P2042" s="11" t="s">
        <v>3533</v>
      </c>
      <c r="Q2042" s="8"/>
      <c r="R2042" s="8" t="s">
        <v>12304</v>
      </c>
      <c r="S2042" s="8" t="s">
        <v>12322</v>
      </c>
    </row>
    <row r="2043" spans="1:19" ht="78.95" customHeight="1" x14ac:dyDescent="0.25">
      <c r="A2043" s="8" t="s">
        <v>12323</v>
      </c>
      <c r="B2043" s="8" t="s">
        <v>5693</v>
      </c>
      <c r="C2043" s="8" t="s">
        <v>12303</v>
      </c>
      <c r="D2043" s="10">
        <v>12</v>
      </c>
      <c r="E2043" s="8" t="s">
        <v>552</v>
      </c>
      <c r="F2043" s="8" t="s">
        <v>552</v>
      </c>
      <c r="G2043" s="8" t="s">
        <v>4551</v>
      </c>
      <c r="H2043" s="8" t="s">
        <v>551</v>
      </c>
      <c r="I2043" s="8" t="s">
        <v>551</v>
      </c>
      <c r="J2043" s="8"/>
      <c r="K2043" s="8"/>
      <c r="L2043" s="15" t="s">
        <v>1685</v>
      </c>
      <c r="M2043" s="8" t="s">
        <v>5578</v>
      </c>
      <c r="N2043" s="8"/>
      <c r="O2043" s="8" t="s">
        <v>5574</v>
      </c>
      <c r="P2043" s="11" t="s">
        <v>3533</v>
      </c>
      <c r="Q2043" s="8"/>
      <c r="R2043" s="8" t="s">
        <v>12304</v>
      </c>
      <c r="S2043" s="8" t="s">
        <v>12324</v>
      </c>
    </row>
    <row r="2044" spans="1:19" ht="78.95" customHeight="1" x14ac:dyDescent="0.25">
      <c r="A2044" s="8" t="s">
        <v>12325</v>
      </c>
      <c r="B2044" s="8" t="s">
        <v>5693</v>
      </c>
      <c r="C2044" s="8" t="s">
        <v>12303</v>
      </c>
      <c r="D2044" s="10">
        <v>13</v>
      </c>
      <c r="E2044" s="8" t="s">
        <v>2965</v>
      </c>
      <c r="F2044" s="8" t="s">
        <v>2965</v>
      </c>
      <c r="G2044" s="8" t="s">
        <v>4551</v>
      </c>
      <c r="H2044" s="8" t="s">
        <v>707</v>
      </c>
      <c r="I2044" s="8" t="s">
        <v>707</v>
      </c>
      <c r="J2044" s="8"/>
      <c r="K2044" s="8"/>
      <c r="L2044" s="15" t="s">
        <v>1685</v>
      </c>
      <c r="M2044" s="8" t="s">
        <v>5578</v>
      </c>
      <c r="N2044" s="8"/>
      <c r="O2044" s="8" t="s">
        <v>5574</v>
      </c>
      <c r="P2044" s="11" t="s">
        <v>3533</v>
      </c>
      <c r="Q2044" s="8"/>
      <c r="R2044" s="8" t="s">
        <v>12304</v>
      </c>
      <c r="S2044" s="8" t="s">
        <v>12326</v>
      </c>
    </row>
    <row r="2045" spans="1:19" ht="93" customHeight="1" x14ac:dyDescent="0.25">
      <c r="A2045" s="8" t="s">
        <v>12327</v>
      </c>
      <c r="B2045" s="8" t="s">
        <v>5693</v>
      </c>
      <c r="C2045" s="8" t="s">
        <v>12303</v>
      </c>
      <c r="D2045" s="10">
        <v>14</v>
      </c>
      <c r="E2045" s="8" t="s">
        <v>620</v>
      </c>
      <c r="F2045" s="8" t="s">
        <v>620</v>
      </c>
      <c r="G2045" s="8" t="s">
        <v>4551</v>
      </c>
      <c r="H2045" s="8" t="s">
        <v>619</v>
      </c>
      <c r="I2045" s="8" t="s">
        <v>619</v>
      </c>
      <c r="J2045" s="8"/>
      <c r="K2045" s="8"/>
      <c r="L2045" s="15" t="s">
        <v>1685</v>
      </c>
      <c r="M2045" s="8" t="s">
        <v>5578</v>
      </c>
      <c r="N2045" s="8"/>
      <c r="O2045" s="8" t="s">
        <v>5574</v>
      </c>
      <c r="P2045" s="11" t="s">
        <v>3533</v>
      </c>
      <c r="Q2045" s="8"/>
      <c r="R2045" s="8" t="s">
        <v>12304</v>
      </c>
      <c r="S2045" s="8" t="s">
        <v>12328</v>
      </c>
    </row>
    <row r="2046" spans="1:19" ht="78.95" customHeight="1" x14ac:dyDescent="0.25">
      <c r="A2046" s="8" t="s">
        <v>12329</v>
      </c>
      <c r="B2046" s="8" t="s">
        <v>5693</v>
      </c>
      <c r="C2046" s="8" t="s">
        <v>12303</v>
      </c>
      <c r="D2046" s="10">
        <v>15</v>
      </c>
      <c r="E2046" s="8" t="s">
        <v>610</v>
      </c>
      <c r="F2046" s="8" t="s">
        <v>610</v>
      </c>
      <c r="G2046" s="8" t="s">
        <v>4551</v>
      </c>
      <c r="H2046" s="8" t="s">
        <v>609</v>
      </c>
      <c r="I2046" s="8" t="s">
        <v>609</v>
      </c>
      <c r="J2046" s="8"/>
      <c r="K2046" s="8"/>
      <c r="L2046" s="15" t="s">
        <v>1685</v>
      </c>
      <c r="M2046" s="8" t="s">
        <v>5578</v>
      </c>
      <c r="N2046" s="8"/>
      <c r="O2046" s="8" t="s">
        <v>5574</v>
      </c>
      <c r="P2046" s="11" t="s">
        <v>3533</v>
      </c>
      <c r="Q2046" s="8"/>
      <c r="R2046" s="8" t="s">
        <v>12304</v>
      </c>
      <c r="S2046" s="8" t="s">
        <v>12330</v>
      </c>
    </row>
    <row r="2047" spans="1:19" ht="78.95" customHeight="1" x14ac:dyDescent="0.25">
      <c r="A2047" s="8" t="s">
        <v>12331</v>
      </c>
      <c r="B2047" s="8" t="s">
        <v>5693</v>
      </c>
      <c r="C2047" s="8" t="s">
        <v>12303</v>
      </c>
      <c r="D2047" s="10">
        <v>16</v>
      </c>
      <c r="E2047" s="8" t="s">
        <v>12332</v>
      </c>
      <c r="F2047" s="8" t="s">
        <v>12332</v>
      </c>
      <c r="G2047" s="8" t="s">
        <v>4551</v>
      </c>
      <c r="H2047" s="8" t="s">
        <v>729</v>
      </c>
      <c r="I2047" s="8" t="s">
        <v>729</v>
      </c>
      <c r="J2047" s="8"/>
      <c r="K2047" s="8"/>
      <c r="L2047" s="15" t="s">
        <v>1685</v>
      </c>
      <c r="M2047" s="8" t="s">
        <v>5578</v>
      </c>
      <c r="N2047" s="8"/>
      <c r="O2047" s="8" t="s">
        <v>5574</v>
      </c>
      <c r="P2047" s="11" t="s">
        <v>3533</v>
      </c>
      <c r="Q2047" s="8"/>
      <c r="R2047" s="8" t="s">
        <v>12304</v>
      </c>
      <c r="S2047" s="8" t="s">
        <v>12333</v>
      </c>
    </row>
    <row r="2048" spans="1:19" ht="78.95" customHeight="1" x14ac:dyDescent="0.25">
      <c r="A2048" s="8" t="s">
        <v>12334</v>
      </c>
      <c r="B2048" s="8" t="s">
        <v>5693</v>
      </c>
      <c r="C2048" s="8" t="s">
        <v>12303</v>
      </c>
      <c r="D2048" s="10">
        <v>17</v>
      </c>
      <c r="E2048" s="8" t="s">
        <v>677</v>
      </c>
      <c r="F2048" s="8" t="s">
        <v>677</v>
      </c>
      <c r="G2048" s="8" t="s">
        <v>4551</v>
      </c>
      <c r="H2048" s="8" t="s">
        <v>676</v>
      </c>
      <c r="I2048" s="8" t="s">
        <v>676</v>
      </c>
      <c r="J2048" s="8"/>
      <c r="K2048" s="8"/>
      <c r="L2048" s="15" t="s">
        <v>1685</v>
      </c>
      <c r="M2048" s="8" t="s">
        <v>5578</v>
      </c>
      <c r="N2048" s="8"/>
      <c r="O2048" s="8" t="s">
        <v>5574</v>
      </c>
      <c r="P2048" s="11" t="s">
        <v>3533</v>
      </c>
      <c r="Q2048" s="8"/>
      <c r="R2048" s="8" t="s">
        <v>12304</v>
      </c>
      <c r="S2048" s="8" t="s">
        <v>12335</v>
      </c>
    </row>
    <row r="2049" spans="1:19" ht="93" customHeight="1" x14ac:dyDescent="0.25">
      <c r="A2049" s="8" t="s">
        <v>12336</v>
      </c>
      <c r="B2049" s="8" t="s">
        <v>5693</v>
      </c>
      <c r="C2049" s="8" t="s">
        <v>12303</v>
      </c>
      <c r="D2049" s="10">
        <v>18</v>
      </c>
      <c r="E2049" s="8" t="s">
        <v>596</v>
      </c>
      <c r="F2049" s="8" t="s">
        <v>596</v>
      </c>
      <c r="G2049" s="8" t="s">
        <v>4551</v>
      </c>
      <c r="H2049" s="8" t="s">
        <v>595</v>
      </c>
      <c r="I2049" s="8" t="s">
        <v>595</v>
      </c>
      <c r="J2049" s="8"/>
      <c r="K2049" s="8"/>
      <c r="L2049" s="15" t="s">
        <v>1685</v>
      </c>
      <c r="M2049" s="8" t="s">
        <v>5578</v>
      </c>
      <c r="N2049" s="8"/>
      <c r="O2049" s="8" t="s">
        <v>5574</v>
      </c>
      <c r="P2049" s="11" t="s">
        <v>3533</v>
      </c>
      <c r="Q2049" s="8"/>
      <c r="R2049" s="8" t="s">
        <v>12304</v>
      </c>
      <c r="S2049" s="8" t="s">
        <v>12337</v>
      </c>
    </row>
    <row r="2050" spans="1:19" ht="78.95" customHeight="1" x14ac:dyDescent="0.25">
      <c r="A2050" s="8" t="s">
        <v>12338</v>
      </c>
      <c r="B2050" s="8" t="s">
        <v>5693</v>
      </c>
      <c r="C2050" s="8" t="s">
        <v>12303</v>
      </c>
      <c r="D2050" s="10">
        <v>19</v>
      </c>
      <c r="E2050" s="8" t="s">
        <v>775</v>
      </c>
      <c r="F2050" s="8" t="s">
        <v>775</v>
      </c>
      <c r="G2050" s="8" t="s">
        <v>4551</v>
      </c>
      <c r="H2050" s="8" t="s">
        <v>774</v>
      </c>
      <c r="I2050" s="8" t="s">
        <v>774</v>
      </c>
      <c r="J2050" s="8"/>
      <c r="K2050" s="8"/>
      <c r="L2050" s="15" t="s">
        <v>1685</v>
      </c>
      <c r="M2050" s="8" t="s">
        <v>5578</v>
      </c>
      <c r="N2050" s="8"/>
      <c r="O2050" s="8" t="s">
        <v>5574</v>
      </c>
      <c r="P2050" s="11" t="s">
        <v>3533</v>
      </c>
      <c r="Q2050" s="8"/>
      <c r="R2050" s="8" t="s">
        <v>12304</v>
      </c>
      <c r="S2050" s="8" t="s">
        <v>12339</v>
      </c>
    </row>
    <row r="2051" spans="1:19" ht="78.95" customHeight="1" x14ac:dyDescent="0.25">
      <c r="A2051" s="8" t="s">
        <v>12340</v>
      </c>
      <c r="B2051" s="8" t="s">
        <v>5693</v>
      </c>
      <c r="C2051" s="8" t="s">
        <v>12303</v>
      </c>
      <c r="D2051" s="10">
        <v>20</v>
      </c>
      <c r="E2051" s="8" t="s">
        <v>811</v>
      </c>
      <c r="F2051" s="8" t="s">
        <v>811</v>
      </c>
      <c r="G2051" s="8" t="s">
        <v>4551</v>
      </c>
      <c r="H2051" s="8" t="s">
        <v>810</v>
      </c>
      <c r="I2051" s="8" t="s">
        <v>810</v>
      </c>
      <c r="J2051" s="8"/>
      <c r="K2051" s="8"/>
      <c r="L2051" s="15" t="s">
        <v>1685</v>
      </c>
      <c r="M2051" s="8" t="s">
        <v>5578</v>
      </c>
      <c r="N2051" s="8"/>
      <c r="O2051" s="8" t="s">
        <v>5574</v>
      </c>
      <c r="P2051" s="11" t="s">
        <v>3533</v>
      </c>
      <c r="Q2051" s="8"/>
      <c r="R2051" s="8" t="s">
        <v>12304</v>
      </c>
      <c r="S2051" s="8" t="s">
        <v>12341</v>
      </c>
    </row>
    <row r="2052" spans="1:19" ht="78.95" customHeight="1" x14ac:dyDescent="0.25">
      <c r="A2052" s="8" t="s">
        <v>12342</v>
      </c>
      <c r="B2052" s="8" t="s">
        <v>5693</v>
      </c>
      <c r="C2052" s="8" t="s">
        <v>12303</v>
      </c>
      <c r="D2052" s="10">
        <v>21</v>
      </c>
      <c r="E2052" s="8" t="s">
        <v>530</v>
      </c>
      <c r="F2052" s="8" t="s">
        <v>530</v>
      </c>
      <c r="G2052" s="8" t="s">
        <v>4551</v>
      </c>
      <c r="H2052" s="8" t="s">
        <v>528</v>
      </c>
      <c r="I2052" s="8" t="s">
        <v>528</v>
      </c>
      <c r="J2052" s="8"/>
      <c r="K2052" s="8"/>
      <c r="L2052" s="15" t="s">
        <v>1685</v>
      </c>
      <c r="M2052" s="8" t="s">
        <v>5578</v>
      </c>
      <c r="N2052" s="8"/>
      <c r="O2052" s="8" t="s">
        <v>5574</v>
      </c>
      <c r="P2052" s="11" t="s">
        <v>3533</v>
      </c>
      <c r="Q2052" s="8"/>
      <c r="R2052" s="8" t="s">
        <v>12304</v>
      </c>
      <c r="S2052" s="8" t="s">
        <v>12343</v>
      </c>
    </row>
    <row r="2053" spans="1:19" ht="93" customHeight="1" x14ac:dyDescent="0.25">
      <c r="A2053" s="8" t="s">
        <v>12344</v>
      </c>
      <c r="B2053" s="8" t="s">
        <v>5693</v>
      </c>
      <c r="C2053" s="8" t="s">
        <v>12303</v>
      </c>
      <c r="D2053" s="10">
        <v>22</v>
      </c>
      <c r="E2053" s="8" t="s">
        <v>717</v>
      </c>
      <c r="F2053" s="8" t="s">
        <v>717</v>
      </c>
      <c r="G2053" s="8" t="s">
        <v>4551</v>
      </c>
      <c r="H2053" s="8" t="s">
        <v>716</v>
      </c>
      <c r="I2053" s="8" t="s">
        <v>716</v>
      </c>
      <c r="J2053" s="8"/>
      <c r="K2053" s="8"/>
      <c r="L2053" s="15" t="s">
        <v>1685</v>
      </c>
      <c r="M2053" s="8" t="s">
        <v>5578</v>
      </c>
      <c r="N2053" s="8"/>
      <c r="O2053" s="8" t="s">
        <v>5574</v>
      </c>
      <c r="P2053" s="11" t="s">
        <v>3533</v>
      </c>
      <c r="Q2053" s="8"/>
      <c r="R2053" s="8" t="s">
        <v>12304</v>
      </c>
      <c r="S2053" s="8" t="s">
        <v>12345</v>
      </c>
    </row>
    <row r="2054" spans="1:19" ht="93" customHeight="1" x14ac:dyDescent="0.25">
      <c r="A2054" s="8" t="s">
        <v>12346</v>
      </c>
      <c r="B2054" s="8" t="s">
        <v>5693</v>
      </c>
      <c r="C2054" s="8" t="s">
        <v>12303</v>
      </c>
      <c r="D2054" s="10">
        <v>23</v>
      </c>
      <c r="E2054" s="8" t="s">
        <v>454</v>
      </c>
      <c r="F2054" s="8" t="s">
        <v>454</v>
      </c>
      <c r="G2054" s="8" t="s">
        <v>4551</v>
      </c>
      <c r="H2054" s="8" t="s">
        <v>452</v>
      </c>
      <c r="I2054" s="8" t="s">
        <v>452</v>
      </c>
      <c r="J2054" s="8"/>
      <c r="K2054" s="8"/>
      <c r="L2054" s="15" t="s">
        <v>1685</v>
      </c>
      <c r="M2054" s="8" t="s">
        <v>5578</v>
      </c>
      <c r="N2054" s="8"/>
      <c r="O2054" s="8" t="s">
        <v>5574</v>
      </c>
      <c r="P2054" s="11" t="s">
        <v>3533</v>
      </c>
      <c r="Q2054" s="8"/>
      <c r="R2054" s="8" t="s">
        <v>12304</v>
      </c>
      <c r="S2054" s="8" t="s">
        <v>12347</v>
      </c>
    </row>
    <row r="2055" spans="1:19" ht="93" customHeight="1" x14ac:dyDescent="0.25">
      <c r="A2055" s="8" t="s">
        <v>12348</v>
      </c>
      <c r="B2055" s="8" t="s">
        <v>5693</v>
      </c>
      <c r="C2055" s="8" t="s">
        <v>12303</v>
      </c>
      <c r="D2055" s="10">
        <v>24</v>
      </c>
      <c r="E2055" s="8" t="s">
        <v>807</v>
      </c>
      <c r="F2055" s="8" t="s">
        <v>807</v>
      </c>
      <c r="G2055" s="8" t="s">
        <v>4551</v>
      </c>
      <c r="H2055" s="8" t="s">
        <v>806</v>
      </c>
      <c r="I2055" s="8" t="s">
        <v>806</v>
      </c>
      <c r="J2055" s="8"/>
      <c r="K2055" s="8"/>
      <c r="L2055" s="15" t="s">
        <v>1685</v>
      </c>
      <c r="M2055" s="8" t="s">
        <v>5578</v>
      </c>
      <c r="N2055" s="8"/>
      <c r="O2055" s="8" t="s">
        <v>5574</v>
      </c>
      <c r="P2055" s="11" t="s">
        <v>3533</v>
      </c>
      <c r="Q2055" s="8"/>
      <c r="R2055" s="8" t="s">
        <v>12304</v>
      </c>
      <c r="S2055" s="8" t="s">
        <v>12349</v>
      </c>
    </row>
    <row r="2056" spans="1:19" ht="93" customHeight="1" x14ac:dyDescent="0.25">
      <c r="A2056" s="8" t="s">
        <v>12350</v>
      </c>
      <c r="B2056" s="8" t="s">
        <v>5693</v>
      </c>
      <c r="C2056" s="8" t="s">
        <v>12303</v>
      </c>
      <c r="D2056" s="10">
        <v>25</v>
      </c>
      <c r="E2056" s="8" t="s">
        <v>548</v>
      </c>
      <c r="F2056" s="8" t="s">
        <v>548</v>
      </c>
      <c r="G2056" s="8" t="s">
        <v>4551</v>
      </c>
      <c r="H2056" s="8" t="s">
        <v>547</v>
      </c>
      <c r="I2056" s="8" t="s">
        <v>547</v>
      </c>
      <c r="J2056" s="8"/>
      <c r="K2056" s="8"/>
      <c r="L2056" s="15" t="s">
        <v>1685</v>
      </c>
      <c r="M2056" s="8" t="s">
        <v>5578</v>
      </c>
      <c r="N2056" s="8"/>
      <c r="O2056" s="8" t="s">
        <v>5574</v>
      </c>
      <c r="P2056" s="11" t="s">
        <v>3533</v>
      </c>
      <c r="Q2056" s="8"/>
      <c r="R2056" s="8" t="s">
        <v>12304</v>
      </c>
      <c r="S2056" s="8" t="s">
        <v>12351</v>
      </c>
    </row>
    <row r="2057" spans="1:19" ht="78.95" customHeight="1" x14ac:dyDescent="0.25">
      <c r="A2057" s="8" t="s">
        <v>12352</v>
      </c>
      <c r="B2057" s="8" t="s">
        <v>5693</v>
      </c>
      <c r="C2057" s="8" t="s">
        <v>12303</v>
      </c>
      <c r="D2057" s="10">
        <v>26</v>
      </c>
      <c r="E2057" s="8" t="s">
        <v>689</v>
      </c>
      <c r="F2057" s="8" t="s">
        <v>689</v>
      </c>
      <c r="G2057" s="8" t="s">
        <v>4551</v>
      </c>
      <c r="H2057" s="8" t="s">
        <v>688</v>
      </c>
      <c r="I2057" s="8" t="s">
        <v>688</v>
      </c>
      <c r="J2057" s="8"/>
      <c r="K2057" s="8"/>
      <c r="L2057" s="15" t="s">
        <v>1685</v>
      </c>
      <c r="M2057" s="8" t="s">
        <v>5578</v>
      </c>
      <c r="N2057" s="8"/>
      <c r="O2057" s="8" t="s">
        <v>5574</v>
      </c>
      <c r="P2057" s="11" t="s">
        <v>3533</v>
      </c>
      <c r="Q2057" s="8"/>
      <c r="R2057" s="8" t="s">
        <v>12304</v>
      </c>
      <c r="S2057" s="8" t="s">
        <v>12353</v>
      </c>
    </row>
    <row r="2058" spans="1:19" ht="78.95" customHeight="1" x14ac:dyDescent="0.25">
      <c r="A2058" s="8" t="s">
        <v>12354</v>
      </c>
      <c r="B2058" s="8" t="s">
        <v>5693</v>
      </c>
      <c r="C2058" s="8" t="s">
        <v>12303</v>
      </c>
      <c r="D2058" s="10">
        <v>27</v>
      </c>
      <c r="E2058" s="8" t="s">
        <v>2994</v>
      </c>
      <c r="F2058" s="8" t="s">
        <v>2994</v>
      </c>
      <c r="G2058" s="8" t="s">
        <v>4551</v>
      </c>
      <c r="H2058" s="8" t="s">
        <v>343</v>
      </c>
      <c r="I2058" s="8" t="s">
        <v>343</v>
      </c>
      <c r="J2058" s="8"/>
      <c r="K2058" s="8"/>
      <c r="L2058" s="15" t="s">
        <v>1685</v>
      </c>
      <c r="M2058" s="8" t="s">
        <v>5578</v>
      </c>
      <c r="N2058" s="8"/>
      <c r="O2058" s="8" t="s">
        <v>5574</v>
      </c>
      <c r="P2058" s="11" t="s">
        <v>3533</v>
      </c>
      <c r="Q2058" s="8"/>
      <c r="R2058" s="8" t="s">
        <v>12304</v>
      </c>
      <c r="S2058" s="8" t="s">
        <v>12355</v>
      </c>
    </row>
    <row r="2059" spans="1:19" ht="93" customHeight="1" x14ac:dyDescent="0.25">
      <c r="A2059" s="8" t="s">
        <v>12356</v>
      </c>
      <c r="B2059" s="8" t="s">
        <v>5693</v>
      </c>
      <c r="C2059" s="8" t="s">
        <v>12303</v>
      </c>
      <c r="D2059" s="10">
        <v>28</v>
      </c>
      <c r="E2059" s="8" t="s">
        <v>822</v>
      </c>
      <c r="F2059" s="8" t="s">
        <v>822</v>
      </c>
      <c r="G2059" s="8" t="s">
        <v>4551</v>
      </c>
      <c r="H2059" s="8" t="s">
        <v>821</v>
      </c>
      <c r="I2059" s="8" t="s">
        <v>821</v>
      </c>
      <c r="J2059" s="8"/>
      <c r="K2059" s="8"/>
      <c r="L2059" s="15" t="s">
        <v>1685</v>
      </c>
      <c r="M2059" s="8" t="s">
        <v>5578</v>
      </c>
      <c r="N2059" s="8"/>
      <c r="O2059" s="8" t="s">
        <v>5574</v>
      </c>
      <c r="P2059" s="11" t="s">
        <v>3533</v>
      </c>
      <c r="Q2059" s="8"/>
      <c r="R2059" s="8" t="s">
        <v>12304</v>
      </c>
      <c r="S2059" s="8" t="s">
        <v>12357</v>
      </c>
    </row>
    <row r="2060" spans="1:19" ht="78.95" customHeight="1" x14ac:dyDescent="0.25">
      <c r="A2060" s="8" t="s">
        <v>12358</v>
      </c>
      <c r="B2060" s="8" t="s">
        <v>5693</v>
      </c>
      <c r="C2060" s="8" t="s">
        <v>12303</v>
      </c>
      <c r="D2060" s="10">
        <v>29</v>
      </c>
      <c r="E2060" s="8" t="s">
        <v>631</v>
      </c>
      <c r="F2060" s="8" t="s">
        <v>631</v>
      </c>
      <c r="G2060" s="8" t="s">
        <v>4551</v>
      </c>
      <c r="H2060" s="8" t="s">
        <v>629</v>
      </c>
      <c r="I2060" s="8" t="s">
        <v>629</v>
      </c>
      <c r="J2060" s="8"/>
      <c r="K2060" s="8"/>
      <c r="L2060" s="15" t="s">
        <v>1685</v>
      </c>
      <c r="M2060" s="8" t="s">
        <v>5578</v>
      </c>
      <c r="N2060" s="8"/>
      <c r="O2060" s="8" t="s">
        <v>5574</v>
      </c>
      <c r="P2060" s="11" t="s">
        <v>3533</v>
      </c>
      <c r="Q2060" s="8"/>
      <c r="R2060" s="8" t="s">
        <v>12304</v>
      </c>
      <c r="S2060" s="8" t="s">
        <v>12359</v>
      </c>
    </row>
    <row r="2061" spans="1:19" ht="78.95" customHeight="1" x14ac:dyDescent="0.25">
      <c r="A2061" s="8" t="s">
        <v>12360</v>
      </c>
      <c r="B2061" s="8" t="s">
        <v>5693</v>
      </c>
      <c r="C2061" s="8" t="s">
        <v>12303</v>
      </c>
      <c r="D2061" s="10">
        <v>30</v>
      </c>
      <c r="E2061" s="8" t="s">
        <v>7493</v>
      </c>
      <c r="F2061" s="8" t="s">
        <v>7493</v>
      </c>
      <c r="G2061" s="8" t="s">
        <v>5361</v>
      </c>
      <c r="H2061" s="8" t="s">
        <v>7492</v>
      </c>
      <c r="I2061" s="8"/>
      <c r="J2061" s="8"/>
      <c r="K2061" s="8"/>
      <c r="L2061" s="15" t="s">
        <v>1685</v>
      </c>
      <c r="M2061" s="8" t="s">
        <v>5578</v>
      </c>
      <c r="N2061" s="8"/>
      <c r="O2061" s="8" t="s">
        <v>5574</v>
      </c>
      <c r="P2061" s="11" t="s">
        <v>3567</v>
      </c>
      <c r="Q2061" s="8"/>
      <c r="R2061" s="8" t="s">
        <v>12304</v>
      </c>
      <c r="S2061" s="8" t="s">
        <v>12361</v>
      </c>
    </row>
    <row r="2062" spans="1:19" ht="78.95" customHeight="1" x14ac:dyDescent="0.25">
      <c r="A2062" s="8" t="s">
        <v>12362</v>
      </c>
      <c r="B2062" s="8" t="s">
        <v>5693</v>
      </c>
      <c r="C2062" s="8" t="s">
        <v>12303</v>
      </c>
      <c r="D2062" s="10">
        <v>31</v>
      </c>
      <c r="E2062" s="8" t="s">
        <v>7501</v>
      </c>
      <c r="F2062" s="8" t="s">
        <v>7501</v>
      </c>
      <c r="G2062" s="8" t="s">
        <v>5361</v>
      </c>
      <c r="H2062" s="8" t="s">
        <v>7500</v>
      </c>
      <c r="I2062" s="8"/>
      <c r="J2062" s="8"/>
      <c r="K2062" s="8"/>
      <c r="L2062" s="15" t="s">
        <v>1685</v>
      </c>
      <c r="M2062" s="8" t="s">
        <v>5578</v>
      </c>
      <c r="N2062" s="8"/>
      <c r="O2062" s="8" t="s">
        <v>5574</v>
      </c>
      <c r="P2062" s="11" t="s">
        <v>3567</v>
      </c>
      <c r="Q2062" s="8"/>
      <c r="R2062" s="8" t="s">
        <v>12304</v>
      </c>
      <c r="S2062" s="8" t="s">
        <v>12363</v>
      </c>
    </row>
    <row r="2063" spans="1:19" ht="78.95" customHeight="1" x14ac:dyDescent="0.25">
      <c r="A2063" s="8" t="s">
        <v>12364</v>
      </c>
      <c r="B2063" s="8" t="s">
        <v>5693</v>
      </c>
      <c r="C2063" s="8" t="s">
        <v>12303</v>
      </c>
      <c r="D2063" s="10">
        <v>32</v>
      </c>
      <c r="E2063" s="8" t="s">
        <v>6948</v>
      </c>
      <c r="F2063" s="8" t="s">
        <v>6948</v>
      </c>
      <c r="G2063" s="8" t="s">
        <v>5361</v>
      </c>
      <c r="H2063" s="8" t="s">
        <v>6947</v>
      </c>
      <c r="I2063" s="8"/>
      <c r="J2063" s="8"/>
      <c r="K2063" s="8"/>
      <c r="L2063" s="15" t="s">
        <v>1685</v>
      </c>
      <c r="M2063" s="8" t="s">
        <v>5578</v>
      </c>
      <c r="N2063" s="8"/>
      <c r="O2063" s="8" t="s">
        <v>5574</v>
      </c>
      <c r="P2063" s="11" t="s">
        <v>3567</v>
      </c>
      <c r="Q2063" s="8"/>
      <c r="R2063" s="8" t="s">
        <v>12304</v>
      </c>
      <c r="S2063" s="8" t="s">
        <v>12365</v>
      </c>
    </row>
    <row r="2064" spans="1:19" ht="93" customHeight="1" x14ac:dyDescent="0.25">
      <c r="A2064" s="8" t="s">
        <v>12366</v>
      </c>
      <c r="B2064" s="8" t="s">
        <v>5693</v>
      </c>
      <c r="C2064" s="8" t="s">
        <v>12303</v>
      </c>
      <c r="D2064" s="10">
        <v>33</v>
      </c>
      <c r="E2064" s="8" t="s">
        <v>6944</v>
      </c>
      <c r="F2064" s="8" t="s">
        <v>6944</v>
      </c>
      <c r="G2064" s="8" t="s">
        <v>5361</v>
      </c>
      <c r="H2064" s="8" t="s">
        <v>6943</v>
      </c>
      <c r="I2064" s="8"/>
      <c r="J2064" s="8"/>
      <c r="K2064" s="8"/>
      <c r="L2064" s="15" t="s">
        <v>1685</v>
      </c>
      <c r="M2064" s="8" t="s">
        <v>5578</v>
      </c>
      <c r="N2064" s="8"/>
      <c r="O2064" s="8" t="s">
        <v>5574</v>
      </c>
      <c r="P2064" s="11" t="s">
        <v>3567</v>
      </c>
      <c r="Q2064" s="8"/>
      <c r="R2064" s="8" t="s">
        <v>12304</v>
      </c>
      <c r="S2064" s="8" t="s">
        <v>12367</v>
      </c>
    </row>
    <row r="2065" spans="1:19" ht="78.95" customHeight="1" x14ac:dyDescent="0.25">
      <c r="A2065" s="8" t="s">
        <v>12368</v>
      </c>
      <c r="B2065" s="8" t="s">
        <v>5693</v>
      </c>
      <c r="C2065" s="8" t="s">
        <v>12303</v>
      </c>
      <c r="D2065" s="10">
        <v>34</v>
      </c>
      <c r="E2065" s="8" t="s">
        <v>8717</v>
      </c>
      <c r="F2065" s="8" t="s">
        <v>8717</v>
      </c>
      <c r="G2065" s="8" t="s">
        <v>5361</v>
      </c>
      <c r="H2065" s="8" t="s">
        <v>8716</v>
      </c>
      <c r="I2065" s="8"/>
      <c r="J2065" s="8"/>
      <c r="K2065" s="8"/>
      <c r="L2065" s="15" t="s">
        <v>1685</v>
      </c>
      <c r="M2065" s="8" t="s">
        <v>5578</v>
      </c>
      <c r="N2065" s="8"/>
      <c r="O2065" s="8" t="s">
        <v>5574</v>
      </c>
      <c r="P2065" s="11" t="s">
        <v>3567</v>
      </c>
      <c r="Q2065" s="8"/>
      <c r="R2065" s="8" t="s">
        <v>12304</v>
      </c>
      <c r="S2065" s="8" t="s">
        <v>12369</v>
      </c>
    </row>
    <row r="2066" spans="1:19" ht="78.95" customHeight="1" x14ac:dyDescent="0.25">
      <c r="A2066" s="8" t="s">
        <v>12370</v>
      </c>
      <c r="B2066" s="8" t="s">
        <v>5693</v>
      </c>
      <c r="C2066" s="8" t="s">
        <v>12303</v>
      </c>
      <c r="D2066" s="10">
        <v>35</v>
      </c>
      <c r="E2066" s="8" t="s">
        <v>7497</v>
      </c>
      <c r="F2066" s="8" t="s">
        <v>7497</v>
      </c>
      <c r="G2066" s="8" t="s">
        <v>5361</v>
      </c>
      <c r="H2066" s="8" t="s">
        <v>7496</v>
      </c>
      <c r="I2066" s="8"/>
      <c r="J2066" s="8"/>
      <c r="K2066" s="8"/>
      <c r="L2066" s="15" t="s">
        <v>1685</v>
      </c>
      <c r="M2066" s="8" t="s">
        <v>5578</v>
      </c>
      <c r="N2066" s="8"/>
      <c r="O2066" s="8" t="s">
        <v>5574</v>
      </c>
      <c r="P2066" s="11" t="s">
        <v>3567</v>
      </c>
      <c r="Q2066" s="8"/>
      <c r="R2066" s="8" t="s">
        <v>12304</v>
      </c>
      <c r="S2066" s="8" t="s">
        <v>12371</v>
      </c>
    </row>
    <row r="2067" spans="1:19" ht="78.95" customHeight="1" x14ac:dyDescent="0.25">
      <c r="A2067" s="8" t="s">
        <v>12372</v>
      </c>
      <c r="B2067" s="8" t="s">
        <v>5693</v>
      </c>
      <c r="C2067" s="8" t="s">
        <v>12303</v>
      </c>
      <c r="D2067" s="10">
        <v>36</v>
      </c>
      <c r="E2067" s="8" t="s">
        <v>639</v>
      </c>
      <c r="F2067" s="8" t="s">
        <v>639</v>
      </c>
      <c r="G2067" s="8" t="s">
        <v>4551</v>
      </c>
      <c r="H2067" s="8" t="s">
        <v>638</v>
      </c>
      <c r="I2067" s="8" t="s">
        <v>638</v>
      </c>
      <c r="J2067" s="8"/>
      <c r="K2067" s="8"/>
      <c r="L2067" s="15" t="s">
        <v>1685</v>
      </c>
      <c r="M2067" s="8" t="s">
        <v>5578</v>
      </c>
      <c r="N2067" s="8"/>
      <c r="O2067" s="8" t="s">
        <v>5574</v>
      </c>
      <c r="P2067" s="11" t="s">
        <v>3533</v>
      </c>
      <c r="Q2067" s="8"/>
      <c r="R2067" s="8" t="s">
        <v>12304</v>
      </c>
      <c r="S2067" s="8" t="s">
        <v>12373</v>
      </c>
    </row>
    <row r="2068" spans="1:19" ht="78.95" customHeight="1" x14ac:dyDescent="0.25">
      <c r="A2068" s="8" t="s">
        <v>12374</v>
      </c>
      <c r="B2068" s="8" t="s">
        <v>5693</v>
      </c>
      <c r="C2068" s="8" t="s">
        <v>12303</v>
      </c>
      <c r="D2068" s="10">
        <v>37</v>
      </c>
      <c r="E2068" s="8" t="s">
        <v>669</v>
      </c>
      <c r="F2068" s="8" t="s">
        <v>669</v>
      </c>
      <c r="G2068" s="8" t="s">
        <v>4551</v>
      </c>
      <c r="H2068" s="8" t="s">
        <v>668</v>
      </c>
      <c r="I2068" s="8" t="s">
        <v>668</v>
      </c>
      <c r="J2068" s="8"/>
      <c r="K2068" s="8"/>
      <c r="L2068" s="15" t="s">
        <v>1685</v>
      </c>
      <c r="M2068" s="8" t="s">
        <v>5578</v>
      </c>
      <c r="N2068" s="8"/>
      <c r="O2068" s="8" t="s">
        <v>5574</v>
      </c>
      <c r="P2068" s="11" t="s">
        <v>3533</v>
      </c>
      <c r="Q2068" s="8"/>
      <c r="R2068" s="8" t="s">
        <v>12304</v>
      </c>
      <c r="S2068" s="8" t="s">
        <v>12375</v>
      </c>
    </row>
    <row r="2069" spans="1:19" ht="78.95" customHeight="1" x14ac:dyDescent="0.25">
      <c r="A2069" s="8" t="s">
        <v>12376</v>
      </c>
      <c r="B2069" s="8" t="s">
        <v>5693</v>
      </c>
      <c r="C2069" s="8" t="s">
        <v>12303</v>
      </c>
      <c r="D2069" s="10">
        <v>38</v>
      </c>
      <c r="E2069" s="8" t="s">
        <v>796</v>
      </c>
      <c r="F2069" s="8" t="s">
        <v>796</v>
      </c>
      <c r="G2069" s="8" t="s">
        <v>4551</v>
      </c>
      <c r="H2069" s="8" t="s">
        <v>795</v>
      </c>
      <c r="I2069" s="8" t="s">
        <v>795</v>
      </c>
      <c r="J2069" s="8"/>
      <c r="K2069" s="8"/>
      <c r="L2069" s="15" t="s">
        <v>1685</v>
      </c>
      <c r="M2069" s="8" t="s">
        <v>5578</v>
      </c>
      <c r="N2069" s="8"/>
      <c r="O2069" s="8" t="s">
        <v>5574</v>
      </c>
      <c r="P2069" s="11" t="s">
        <v>3533</v>
      </c>
      <c r="Q2069" s="8"/>
      <c r="R2069" s="8" t="s">
        <v>12304</v>
      </c>
      <c r="S2069" s="8" t="s">
        <v>12377</v>
      </c>
    </row>
    <row r="2070" spans="1:19" ht="78.95" customHeight="1" x14ac:dyDescent="0.25">
      <c r="A2070" s="8" t="s">
        <v>12378</v>
      </c>
      <c r="B2070" s="8" t="s">
        <v>5693</v>
      </c>
      <c r="C2070" s="8" t="s">
        <v>12303</v>
      </c>
      <c r="D2070" s="10">
        <v>39</v>
      </c>
      <c r="E2070" s="8" t="s">
        <v>383</v>
      </c>
      <c r="F2070" s="8" t="s">
        <v>383</v>
      </c>
      <c r="G2070" s="8" t="s">
        <v>4551</v>
      </c>
      <c r="H2070" s="8" t="s">
        <v>380</v>
      </c>
      <c r="I2070" s="8" t="s">
        <v>380</v>
      </c>
      <c r="J2070" s="8"/>
      <c r="K2070" s="8"/>
      <c r="L2070" s="15" t="s">
        <v>1685</v>
      </c>
      <c r="M2070" s="8" t="s">
        <v>5578</v>
      </c>
      <c r="N2070" s="8"/>
      <c r="O2070" s="8" t="s">
        <v>5574</v>
      </c>
      <c r="P2070" s="11" t="s">
        <v>3567</v>
      </c>
      <c r="Q2070" s="8"/>
      <c r="R2070" s="8" t="s">
        <v>12304</v>
      </c>
      <c r="S2070" s="8" t="s">
        <v>12379</v>
      </c>
    </row>
    <row r="2071" spans="1:19" ht="107.1" customHeight="1" x14ac:dyDescent="0.25">
      <c r="A2071" s="8" t="s">
        <v>12380</v>
      </c>
      <c r="B2071" s="8" t="s">
        <v>5693</v>
      </c>
      <c r="C2071" s="8" t="s">
        <v>12303</v>
      </c>
      <c r="D2071" s="10">
        <v>40</v>
      </c>
      <c r="E2071" s="8" t="s">
        <v>2968</v>
      </c>
      <c r="F2071" s="8" t="s">
        <v>2968</v>
      </c>
      <c r="G2071" s="8" t="s">
        <v>4551</v>
      </c>
      <c r="H2071" s="8" t="s">
        <v>398</v>
      </c>
      <c r="I2071" s="8" t="s">
        <v>398</v>
      </c>
      <c r="J2071" s="8"/>
      <c r="K2071" s="8"/>
      <c r="L2071" s="15" t="s">
        <v>1685</v>
      </c>
      <c r="M2071" s="8" t="s">
        <v>5578</v>
      </c>
      <c r="N2071" s="8"/>
      <c r="O2071" s="8" t="s">
        <v>5574</v>
      </c>
      <c r="P2071" s="11" t="s">
        <v>3315</v>
      </c>
      <c r="Q2071" s="8"/>
      <c r="R2071" s="8" t="s">
        <v>12304</v>
      </c>
      <c r="S2071" s="8" t="s">
        <v>12381</v>
      </c>
    </row>
    <row r="2072" spans="1:19" ht="93" customHeight="1" x14ac:dyDescent="0.25">
      <c r="A2072" s="8" t="s">
        <v>12382</v>
      </c>
      <c r="B2072" s="8" t="s">
        <v>5693</v>
      </c>
      <c r="C2072" s="8" t="s">
        <v>12303</v>
      </c>
      <c r="D2072" s="10">
        <v>41</v>
      </c>
      <c r="E2072" s="8" t="s">
        <v>770</v>
      </c>
      <c r="F2072" s="8" t="s">
        <v>770</v>
      </c>
      <c r="G2072" s="8" t="s">
        <v>4551</v>
      </c>
      <c r="H2072" s="8" t="s">
        <v>768</v>
      </c>
      <c r="I2072" s="8" t="s">
        <v>768</v>
      </c>
      <c r="J2072" s="8"/>
      <c r="K2072" s="8"/>
      <c r="L2072" s="15" t="s">
        <v>1685</v>
      </c>
      <c r="M2072" s="8" t="s">
        <v>5578</v>
      </c>
      <c r="N2072" s="8"/>
      <c r="O2072" s="8" t="s">
        <v>5574</v>
      </c>
      <c r="P2072" s="11" t="s">
        <v>3563</v>
      </c>
      <c r="Q2072" s="8"/>
      <c r="R2072" s="8" t="s">
        <v>12304</v>
      </c>
      <c r="S2072" s="8" t="s">
        <v>12383</v>
      </c>
    </row>
    <row r="2073" spans="1:19" ht="93" customHeight="1" x14ac:dyDescent="0.25">
      <c r="A2073" s="8" t="s">
        <v>12384</v>
      </c>
      <c r="B2073" s="8" t="s">
        <v>5693</v>
      </c>
      <c r="C2073" s="8" t="s">
        <v>12303</v>
      </c>
      <c r="D2073" s="10">
        <v>42</v>
      </c>
      <c r="E2073" s="8" t="s">
        <v>802</v>
      </c>
      <c r="F2073" s="8" t="s">
        <v>802</v>
      </c>
      <c r="G2073" s="8" t="s">
        <v>4551</v>
      </c>
      <c r="H2073" s="8" t="s">
        <v>799</v>
      </c>
      <c r="I2073" s="8" t="s">
        <v>799</v>
      </c>
      <c r="J2073" s="8"/>
      <c r="K2073" s="8"/>
      <c r="L2073" s="15" t="s">
        <v>1685</v>
      </c>
      <c r="M2073" s="8" t="s">
        <v>5578</v>
      </c>
      <c r="N2073" s="8"/>
      <c r="O2073" s="8" t="s">
        <v>5574</v>
      </c>
      <c r="P2073" s="11" t="s">
        <v>3558</v>
      </c>
      <c r="Q2073" s="8"/>
      <c r="R2073" s="8" t="s">
        <v>12304</v>
      </c>
      <c r="S2073" s="8" t="s">
        <v>12385</v>
      </c>
    </row>
    <row r="2074" spans="1:19" ht="93" customHeight="1" x14ac:dyDescent="0.25">
      <c r="A2074" s="8" t="s">
        <v>12386</v>
      </c>
      <c r="B2074" s="8" t="s">
        <v>5693</v>
      </c>
      <c r="C2074" s="8" t="s">
        <v>12303</v>
      </c>
      <c r="D2074" s="10">
        <v>43</v>
      </c>
      <c r="E2074" s="8" t="s">
        <v>781</v>
      </c>
      <c r="F2074" s="8" t="s">
        <v>781</v>
      </c>
      <c r="G2074" s="8" t="s">
        <v>4551</v>
      </c>
      <c r="H2074" s="8" t="s">
        <v>778</v>
      </c>
      <c r="I2074" s="8" t="s">
        <v>778</v>
      </c>
      <c r="J2074" s="8"/>
      <c r="K2074" s="8"/>
      <c r="L2074" s="15" t="s">
        <v>1685</v>
      </c>
      <c r="M2074" s="8" t="s">
        <v>5578</v>
      </c>
      <c r="N2074" s="8"/>
      <c r="O2074" s="8" t="s">
        <v>5574</v>
      </c>
      <c r="P2074" s="11" t="s">
        <v>3565</v>
      </c>
      <c r="Q2074" s="8"/>
      <c r="R2074" s="8" t="s">
        <v>12304</v>
      </c>
      <c r="S2074" s="8" t="s">
        <v>12387</v>
      </c>
    </row>
    <row r="2075" spans="1:19" ht="107.1" customHeight="1" x14ac:dyDescent="0.25">
      <c r="A2075" s="8" t="s">
        <v>12388</v>
      </c>
      <c r="B2075" s="8" t="s">
        <v>5693</v>
      </c>
      <c r="C2075" s="8" t="s">
        <v>12303</v>
      </c>
      <c r="D2075" s="10">
        <v>44</v>
      </c>
      <c r="E2075" s="8" t="s">
        <v>625</v>
      </c>
      <c r="F2075" s="8" t="s">
        <v>625</v>
      </c>
      <c r="G2075" s="8" t="s">
        <v>4551</v>
      </c>
      <c r="H2075" s="8" t="s">
        <v>623</v>
      </c>
      <c r="I2075" s="8" t="s">
        <v>623</v>
      </c>
      <c r="J2075" s="8"/>
      <c r="K2075" s="8"/>
      <c r="L2075" s="15" t="s">
        <v>1685</v>
      </c>
      <c r="M2075" s="8" t="s">
        <v>5578</v>
      </c>
      <c r="N2075" s="8"/>
      <c r="O2075" s="8" t="s">
        <v>5574</v>
      </c>
      <c r="P2075" s="11" t="s">
        <v>3550</v>
      </c>
      <c r="Q2075" s="8"/>
      <c r="R2075" s="8" t="s">
        <v>12304</v>
      </c>
      <c r="S2075" s="8" t="s">
        <v>12389</v>
      </c>
    </row>
    <row r="2076" spans="1:19" ht="107.1" customHeight="1" x14ac:dyDescent="0.25">
      <c r="A2076" s="8" t="s">
        <v>12390</v>
      </c>
      <c r="B2076" s="8" t="s">
        <v>5693</v>
      </c>
      <c r="C2076" s="8" t="s">
        <v>12303</v>
      </c>
      <c r="D2076" s="10">
        <v>45</v>
      </c>
      <c r="E2076" s="8" t="s">
        <v>724</v>
      </c>
      <c r="F2076" s="8" t="s">
        <v>724</v>
      </c>
      <c r="G2076" s="8" t="s">
        <v>4551</v>
      </c>
      <c r="H2076" s="8" t="s">
        <v>720</v>
      </c>
      <c r="I2076" s="8" t="s">
        <v>720</v>
      </c>
      <c r="J2076" s="8"/>
      <c r="K2076" s="8"/>
      <c r="L2076" s="15" t="s">
        <v>1685</v>
      </c>
      <c r="M2076" s="8" t="s">
        <v>5578</v>
      </c>
      <c r="N2076" s="8"/>
      <c r="O2076" s="8" t="s">
        <v>5574</v>
      </c>
      <c r="P2076" s="11" t="s">
        <v>3548</v>
      </c>
      <c r="Q2076" s="8"/>
      <c r="R2076" s="8" t="s">
        <v>12304</v>
      </c>
      <c r="S2076" s="8" t="s">
        <v>12391</v>
      </c>
    </row>
    <row r="2077" spans="1:19" ht="93" customHeight="1" x14ac:dyDescent="0.25">
      <c r="A2077" s="8" t="s">
        <v>12392</v>
      </c>
      <c r="B2077" s="8" t="s">
        <v>5693</v>
      </c>
      <c r="C2077" s="8" t="s">
        <v>12303</v>
      </c>
      <c r="D2077" s="10">
        <v>46</v>
      </c>
      <c r="E2077" s="8" t="s">
        <v>2882</v>
      </c>
      <c r="F2077" s="8" t="s">
        <v>2882</v>
      </c>
      <c r="G2077" s="8" t="s">
        <v>4551</v>
      </c>
      <c r="H2077" s="8" t="s">
        <v>738</v>
      </c>
      <c r="I2077" s="8" t="s">
        <v>738</v>
      </c>
      <c r="J2077" s="8"/>
      <c r="K2077" s="8"/>
      <c r="L2077" s="15" t="s">
        <v>1685</v>
      </c>
      <c r="M2077" s="8" t="s">
        <v>5578</v>
      </c>
      <c r="N2077" s="8"/>
      <c r="O2077" s="8" t="s">
        <v>5574</v>
      </c>
      <c r="P2077" s="11" t="s">
        <v>3552</v>
      </c>
      <c r="Q2077" s="8"/>
      <c r="R2077" s="8" t="s">
        <v>12304</v>
      </c>
      <c r="S2077" s="8" t="s">
        <v>12393</v>
      </c>
    </row>
    <row r="2078" spans="1:19" ht="78.95" customHeight="1" x14ac:dyDescent="0.25">
      <c r="A2078" s="8" t="s">
        <v>12394</v>
      </c>
      <c r="B2078" s="8" t="s">
        <v>5693</v>
      </c>
      <c r="C2078" s="8" t="s">
        <v>12303</v>
      </c>
      <c r="D2078" s="10">
        <v>47</v>
      </c>
      <c r="E2078" s="8" t="s">
        <v>462</v>
      </c>
      <c r="F2078" s="8" t="s">
        <v>462</v>
      </c>
      <c r="G2078" s="8" t="s">
        <v>4551</v>
      </c>
      <c r="H2078" s="8" t="s">
        <v>460</v>
      </c>
      <c r="I2078" s="8" t="s">
        <v>460</v>
      </c>
      <c r="J2078" s="8"/>
      <c r="K2078" s="8"/>
      <c r="L2078" s="15" t="s">
        <v>1685</v>
      </c>
      <c r="M2078" s="8" t="s">
        <v>5578</v>
      </c>
      <c r="N2078" s="8"/>
      <c r="O2078" s="8" t="s">
        <v>5574</v>
      </c>
      <c r="P2078" s="11" t="s">
        <v>3554</v>
      </c>
      <c r="Q2078" s="8"/>
      <c r="R2078" s="8" t="s">
        <v>12304</v>
      </c>
      <c r="S2078" s="8" t="s">
        <v>12395</v>
      </c>
    </row>
    <row r="2079" spans="1:19" ht="78.95" customHeight="1" x14ac:dyDescent="0.25">
      <c r="A2079" s="8" t="s">
        <v>12396</v>
      </c>
      <c r="B2079" s="8" t="s">
        <v>5693</v>
      </c>
      <c r="C2079" s="8" t="s">
        <v>12303</v>
      </c>
      <c r="D2079" s="10">
        <v>48</v>
      </c>
      <c r="E2079" s="8" t="s">
        <v>498</v>
      </c>
      <c r="F2079" s="8" t="s">
        <v>498</v>
      </c>
      <c r="G2079" s="8" t="s">
        <v>4551</v>
      </c>
      <c r="H2079" s="8" t="s">
        <v>496</v>
      </c>
      <c r="I2079" s="8" t="s">
        <v>496</v>
      </c>
      <c r="J2079" s="8"/>
      <c r="K2079" s="8"/>
      <c r="L2079" s="15" t="s">
        <v>1685</v>
      </c>
      <c r="M2079" s="8" t="s">
        <v>5578</v>
      </c>
      <c r="N2079" s="8"/>
      <c r="O2079" s="8" t="s">
        <v>5574</v>
      </c>
      <c r="P2079" s="11" t="s">
        <v>3556</v>
      </c>
      <c r="Q2079" s="8"/>
      <c r="R2079" s="8" t="s">
        <v>12304</v>
      </c>
      <c r="S2079" s="8" t="s">
        <v>12397</v>
      </c>
    </row>
    <row r="2080" spans="1:19" ht="93" customHeight="1" x14ac:dyDescent="0.25">
      <c r="A2080" s="8" t="s">
        <v>12398</v>
      </c>
      <c r="B2080" s="8" t="s">
        <v>5693</v>
      </c>
      <c r="C2080" s="8" t="s">
        <v>12303</v>
      </c>
      <c r="D2080" s="10">
        <v>49</v>
      </c>
      <c r="E2080" s="8" t="s">
        <v>12399</v>
      </c>
      <c r="F2080" s="8" t="s">
        <v>12399</v>
      </c>
      <c r="G2080" s="8" t="s">
        <v>4551</v>
      </c>
      <c r="H2080" s="8" t="s">
        <v>370</v>
      </c>
      <c r="I2080" s="8" t="s">
        <v>370</v>
      </c>
      <c r="J2080" s="8"/>
      <c r="K2080" s="8"/>
      <c r="L2080" s="15" t="s">
        <v>1685</v>
      </c>
      <c r="M2080" s="8" t="s">
        <v>5578</v>
      </c>
      <c r="N2080" s="8"/>
      <c r="O2080" s="8" t="s">
        <v>5574</v>
      </c>
      <c r="P2080" s="11" t="s">
        <v>3541</v>
      </c>
      <c r="Q2080" s="8"/>
      <c r="R2080" s="8" t="s">
        <v>12304</v>
      </c>
      <c r="S2080" s="8" t="s">
        <v>12400</v>
      </c>
    </row>
    <row r="2081" spans="1:19" ht="93" customHeight="1" x14ac:dyDescent="0.25">
      <c r="A2081" s="8" t="s">
        <v>12401</v>
      </c>
      <c r="B2081" s="8" t="s">
        <v>5693</v>
      </c>
      <c r="C2081" s="8" t="s">
        <v>12303</v>
      </c>
      <c r="D2081" s="10">
        <v>50</v>
      </c>
      <c r="E2081" s="8" t="s">
        <v>12402</v>
      </c>
      <c r="F2081" s="8" t="s">
        <v>12402</v>
      </c>
      <c r="G2081" s="8" t="s">
        <v>4551</v>
      </c>
      <c r="H2081" s="8" t="s">
        <v>430</v>
      </c>
      <c r="I2081" s="8" t="s">
        <v>430</v>
      </c>
      <c r="J2081" s="8"/>
      <c r="K2081" s="8"/>
      <c r="L2081" s="15" t="s">
        <v>1685</v>
      </c>
      <c r="M2081" s="8" t="s">
        <v>5578</v>
      </c>
      <c r="N2081" s="8"/>
      <c r="O2081" s="8" t="s">
        <v>5574</v>
      </c>
      <c r="P2081" s="11" t="s">
        <v>3545</v>
      </c>
      <c r="Q2081" s="8"/>
      <c r="R2081" s="8" t="s">
        <v>12304</v>
      </c>
      <c r="S2081" s="8" t="s">
        <v>12403</v>
      </c>
    </row>
    <row r="2082" spans="1:19" ht="93" customHeight="1" x14ac:dyDescent="0.25">
      <c r="A2082" s="8" t="s">
        <v>12404</v>
      </c>
      <c r="B2082" s="8" t="s">
        <v>5693</v>
      </c>
      <c r="C2082" s="8" t="s">
        <v>12303</v>
      </c>
      <c r="D2082" s="10">
        <v>51</v>
      </c>
      <c r="E2082" s="8" t="s">
        <v>2849</v>
      </c>
      <c r="F2082" s="8" t="s">
        <v>2849</v>
      </c>
      <c r="G2082" s="8" t="s">
        <v>4551</v>
      </c>
      <c r="H2082" s="8" t="s">
        <v>475</v>
      </c>
      <c r="I2082" s="8" t="s">
        <v>475</v>
      </c>
      <c r="J2082" s="8"/>
      <c r="K2082" s="8"/>
      <c r="L2082" s="15" t="s">
        <v>1685</v>
      </c>
      <c r="M2082" s="8" t="s">
        <v>5578</v>
      </c>
      <c r="N2082" s="8"/>
      <c r="O2082" s="8" t="s">
        <v>5574</v>
      </c>
      <c r="P2082" s="11" t="s">
        <v>3539</v>
      </c>
      <c r="Q2082" s="8"/>
      <c r="R2082" s="8" t="s">
        <v>12304</v>
      </c>
      <c r="S2082" s="8" t="s">
        <v>12405</v>
      </c>
    </row>
    <row r="2083" spans="1:19" ht="78.95" customHeight="1" x14ac:dyDescent="0.25">
      <c r="A2083" s="8" t="s">
        <v>12406</v>
      </c>
      <c r="B2083" s="8" t="s">
        <v>5693</v>
      </c>
      <c r="C2083" s="8" t="s">
        <v>12303</v>
      </c>
      <c r="D2083" s="10">
        <v>52</v>
      </c>
      <c r="E2083" s="8" t="s">
        <v>2931</v>
      </c>
      <c r="F2083" s="8" t="s">
        <v>2931</v>
      </c>
      <c r="G2083" s="8" t="s">
        <v>4551</v>
      </c>
      <c r="H2083" s="8" t="s">
        <v>511</v>
      </c>
      <c r="I2083" s="8" t="s">
        <v>511</v>
      </c>
      <c r="J2083" s="8"/>
      <c r="K2083" s="8"/>
      <c r="L2083" s="15" t="s">
        <v>1685</v>
      </c>
      <c r="M2083" s="8" t="s">
        <v>5578</v>
      </c>
      <c r="N2083" s="8"/>
      <c r="O2083" s="8" t="s">
        <v>5574</v>
      </c>
      <c r="P2083" s="11" t="s">
        <v>3543</v>
      </c>
      <c r="Q2083" s="8"/>
      <c r="R2083" s="8" t="s">
        <v>12304</v>
      </c>
      <c r="S2083" s="8" t="s">
        <v>12407</v>
      </c>
    </row>
    <row r="2084" spans="1:19" ht="78.95" customHeight="1" x14ac:dyDescent="0.25">
      <c r="A2084" s="8" t="s">
        <v>12408</v>
      </c>
      <c r="B2084" s="8" t="s">
        <v>5693</v>
      </c>
      <c r="C2084" s="8" t="s">
        <v>12303</v>
      </c>
      <c r="D2084" s="10">
        <v>53</v>
      </c>
      <c r="E2084" s="8" t="s">
        <v>2985</v>
      </c>
      <c r="F2084" s="8" t="s">
        <v>2985</v>
      </c>
      <c r="G2084" s="8" t="s">
        <v>4551</v>
      </c>
      <c r="H2084" s="8" t="s">
        <v>566</v>
      </c>
      <c r="I2084" s="8" t="s">
        <v>566</v>
      </c>
      <c r="J2084" s="8"/>
      <c r="K2084" s="8"/>
      <c r="L2084" s="15" t="s">
        <v>1685</v>
      </c>
      <c r="M2084" s="8" t="s">
        <v>5578</v>
      </c>
      <c r="N2084" s="8"/>
      <c r="O2084" s="8" t="s">
        <v>5574</v>
      </c>
      <c r="P2084" s="11"/>
      <c r="Q2084" s="8"/>
      <c r="R2084" s="8" t="s">
        <v>12304</v>
      </c>
      <c r="S2084" s="8" t="s">
        <v>12409</v>
      </c>
    </row>
    <row r="2085" spans="1:19" ht="78.95" customHeight="1" x14ac:dyDescent="0.25">
      <c r="A2085" s="8" t="s">
        <v>12410</v>
      </c>
      <c r="B2085" s="8" t="s">
        <v>5693</v>
      </c>
      <c r="C2085" s="8" t="s">
        <v>12303</v>
      </c>
      <c r="D2085" s="10">
        <v>54</v>
      </c>
      <c r="E2085" s="8" t="s">
        <v>5699</v>
      </c>
      <c r="F2085" s="8" t="s">
        <v>5699</v>
      </c>
      <c r="G2085" s="8" t="s">
        <v>4551</v>
      </c>
      <c r="H2085" s="8" t="s">
        <v>490</v>
      </c>
      <c r="I2085" s="8" t="s">
        <v>490</v>
      </c>
      <c r="J2085" s="8"/>
      <c r="K2085" s="8"/>
      <c r="L2085" s="15" t="s">
        <v>1685</v>
      </c>
      <c r="M2085" s="8" t="s">
        <v>5578</v>
      </c>
      <c r="N2085" s="8"/>
      <c r="O2085" s="8" t="s">
        <v>5574</v>
      </c>
      <c r="P2085" s="11"/>
      <c r="Q2085" s="8"/>
      <c r="R2085" s="8" t="s">
        <v>12304</v>
      </c>
      <c r="S2085" s="8" t="s">
        <v>12411</v>
      </c>
    </row>
    <row r="2086" spans="1:19" ht="78.95" customHeight="1" x14ac:dyDescent="0.25">
      <c r="A2086" s="8" t="s">
        <v>12412</v>
      </c>
      <c r="B2086" s="8" t="s">
        <v>5693</v>
      </c>
      <c r="C2086" s="8" t="s">
        <v>12303</v>
      </c>
      <c r="D2086" s="10">
        <v>55</v>
      </c>
      <c r="E2086" s="8" t="s">
        <v>3079</v>
      </c>
      <c r="F2086" s="8" t="s">
        <v>3079</v>
      </c>
      <c r="G2086" s="8" t="s">
        <v>4551</v>
      </c>
      <c r="H2086" s="8" t="s">
        <v>445</v>
      </c>
      <c r="I2086" s="8" t="s">
        <v>445</v>
      </c>
      <c r="J2086" s="8"/>
      <c r="K2086" s="8"/>
      <c r="L2086" s="15" t="s">
        <v>1685</v>
      </c>
      <c r="M2086" s="8" t="s">
        <v>5578</v>
      </c>
      <c r="N2086" s="8"/>
      <c r="O2086" s="8" t="s">
        <v>5574</v>
      </c>
      <c r="P2086" s="11"/>
      <c r="Q2086" s="8"/>
      <c r="R2086" s="8" t="s">
        <v>12304</v>
      </c>
      <c r="S2086" s="8" t="s">
        <v>12413</v>
      </c>
    </row>
    <row r="2087" spans="1:19" ht="78.95" customHeight="1" x14ac:dyDescent="0.25">
      <c r="A2087" s="8" t="s">
        <v>12414</v>
      </c>
      <c r="B2087" s="8" t="s">
        <v>5693</v>
      </c>
      <c r="C2087" s="8" t="s">
        <v>12303</v>
      </c>
      <c r="D2087" s="10">
        <v>56</v>
      </c>
      <c r="E2087" s="8" t="s">
        <v>836</v>
      </c>
      <c r="F2087" s="8" t="s">
        <v>836</v>
      </c>
      <c r="G2087" s="8" t="s">
        <v>4551</v>
      </c>
      <c r="H2087" s="8" t="s">
        <v>834</v>
      </c>
      <c r="I2087" s="8" t="s">
        <v>834</v>
      </c>
      <c r="J2087" s="8"/>
      <c r="K2087" s="8"/>
      <c r="L2087" s="15" t="s">
        <v>1685</v>
      </c>
      <c r="M2087" s="8" t="s">
        <v>5578</v>
      </c>
      <c r="N2087" s="8"/>
      <c r="O2087" s="8" t="s">
        <v>5574</v>
      </c>
      <c r="P2087" s="11"/>
      <c r="Q2087" s="8"/>
      <c r="R2087" s="8" t="s">
        <v>12304</v>
      </c>
      <c r="S2087" s="8" t="s">
        <v>12415</v>
      </c>
    </row>
    <row r="2088" spans="1:19" ht="78.95" customHeight="1" x14ac:dyDescent="0.25">
      <c r="A2088" s="8" t="s">
        <v>12416</v>
      </c>
      <c r="B2088" s="8" t="s">
        <v>5693</v>
      </c>
      <c r="C2088" s="8" t="s">
        <v>12303</v>
      </c>
      <c r="D2088" s="10">
        <v>57</v>
      </c>
      <c r="E2088" s="8" t="s">
        <v>3051</v>
      </c>
      <c r="F2088" s="8" t="s">
        <v>3051</v>
      </c>
      <c r="G2088" s="8" t="s">
        <v>4551</v>
      </c>
      <c r="H2088" s="8" t="s">
        <v>414</v>
      </c>
      <c r="I2088" s="8" t="s">
        <v>414</v>
      </c>
      <c r="J2088" s="8"/>
      <c r="K2088" s="8"/>
      <c r="L2088" s="15" t="s">
        <v>1685</v>
      </c>
      <c r="M2088" s="8" t="s">
        <v>5578</v>
      </c>
      <c r="N2088" s="8"/>
      <c r="O2088" s="8" t="s">
        <v>5574</v>
      </c>
      <c r="P2088" s="11"/>
      <c r="Q2088" s="8"/>
      <c r="R2088" s="8" t="s">
        <v>12304</v>
      </c>
      <c r="S2088" s="8" t="s">
        <v>12417</v>
      </c>
    </row>
    <row r="2089" spans="1:19" ht="78.95" customHeight="1" x14ac:dyDescent="0.25">
      <c r="A2089" s="8" t="s">
        <v>12418</v>
      </c>
      <c r="B2089" s="8" t="s">
        <v>5693</v>
      </c>
      <c r="C2089" s="8" t="s">
        <v>12303</v>
      </c>
      <c r="D2089" s="10">
        <v>58</v>
      </c>
      <c r="E2089" s="8" t="s">
        <v>2896</v>
      </c>
      <c r="F2089" s="8" t="s">
        <v>2896</v>
      </c>
      <c r="G2089" s="8" t="s">
        <v>4551</v>
      </c>
      <c r="H2089" s="8" t="s">
        <v>407</v>
      </c>
      <c r="I2089" s="8" t="s">
        <v>407</v>
      </c>
      <c r="J2089" s="8"/>
      <c r="K2089" s="8"/>
      <c r="L2089" s="15" t="s">
        <v>1685</v>
      </c>
      <c r="M2089" s="8" t="s">
        <v>5578</v>
      </c>
      <c r="N2089" s="8"/>
      <c r="O2089" s="8" t="s">
        <v>5574</v>
      </c>
      <c r="P2089" s="11"/>
      <c r="Q2089" s="8"/>
      <c r="R2089" s="8" t="s">
        <v>12304</v>
      </c>
      <c r="S2089" s="8" t="s">
        <v>12419</v>
      </c>
    </row>
    <row r="2090" spans="1:19" ht="78.95" customHeight="1" x14ac:dyDescent="0.25">
      <c r="A2090" s="8" t="s">
        <v>12420</v>
      </c>
      <c r="B2090" s="8" t="s">
        <v>5693</v>
      </c>
      <c r="C2090" s="8" t="s">
        <v>12303</v>
      </c>
      <c r="D2090" s="10">
        <v>59</v>
      </c>
      <c r="E2090" s="8" t="s">
        <v>857</v>
      </c>
      <c r="F2090" s="8" t="s">
        <v>857</v>
      </c>
      <c r="G2090" s="8" t="s">
        <v>4551</v>
      </c>
      <c r="H2090" s="8" t="s">
        <v>853</v>
      </c>
      <c r="I2090" s="8" t="s">
        <v>853</v>
      </c>
      <c r="J2090" s="8"/>
      <c r="K2090" s="8"/>
      <c r="L2090" s="15" t="s">
        <v>1685</v>
      </c>
      <c r="M2090" s="8" t="s">
        <v>5578</v>
      </c>
      <c r="N2090" s="8"/>
      <c r="O2090" s="8" t="s">
        <v>5574</v>
      </c>
      <c r="P2090" s="11"/>
      <c r="Q2090" s="8"/>
      <c r="R2090" s="8" t="s">
        <v>12304</v>
      </c>
      <c r="S2090" s="8" t="s">
        <v>12421</v>
      </c>
    </row>
    <row r="2091" spans="1:19" ht="78.95" customHeight="1" x14ac:dyDescent="0.25">
      <c r="A2091" s="8" t="s">
        <v>12422</v>
      </c>
      <c r="B2091" s="8" t="s">
        <v>5693</v>
      </c>
      <c r="C2091" s="8" t="s">
        <v>12303</v>
      </c>
      <c r="D2091" s="10">
        <v>60</v>
      </c>
      <c r="E2091" s="8" t="s">
        <v>2879</v>
      </c>
      <c r="F2091" s="8" t="s">
        <v>2879</v>
      </c>
      <c r="G2091" s="8" t="s">
        <v>4551</v>
      </c>
      <c r="H2091" s="8" t="s">
        <v>991</v>
      </c>
      <c r="I2091" s="8" t="s">
        <v>991</v>
      </c>
      <c r="J2091" s="8"/>
      <c r="K2091" s="8"/>
      <c r="L2091" s="15" t="s">
        <v>1685</v>
      </c>
      <c r="M2091" s="8" t="s">
        <v>5578</v>
      </c>
      <c r="N2091" s="8"/>
      <c r="O2091" s="8" t="s">
        <v>5574</v>
      </c>
      <c r="P2091" s="11"/>
      <c r="Q2091" s="8"/>
      <c r="R2091" s="8" t="s">
        <v>12304</v>
      </c>
      <c r="S2091" s="8" t="s">
        <v>12423</v>
      </c>
    </row>
    <row r="2092" spans="1:19" ht="78.95" customHeight="1" x14ac:dyDescent="0.25">
      <c r="A2092" s="8" t="s">
        <v>12424</v>
      </c>
      <c r="B2092" s="8" t="s">
        <v>5693</v>
      </c>
      <c r="C2092" s="8" t="s">
        <v>12303</v>
      </c>
      <c r="D2092" s="10">
        <v>61</v>
      </c>
      <c r="E2092" s="8" t="s">
        <v>1075</v>
      </c>
      <c r="F2092" s="8" t="s">
        <v>1075</v>
      </c>
      <c r="G2092" s="8" t="s">
        <v>4551</v>
      </c>
      <c r="H2092" s="8" t="s">
        <v>1073</v>
      </c>
      <c r="I2092" s="8" t="s">
        <v>1073</v>
      </c>
      <c r="J2092" s="8"/>
      <c r="K2092" s="8"/>
      <c r="L2092" s="15" t="s">
        <v>1685</v>
      </c>
      <c r="M2092" s="8" t="s">
        <v>5578</v>
      </c>
      <c r="N2092" s="8"/>
      <c r="O2092" s="8" t="s">
        <v>5574</v>
      </c>
      <c r="P2092" s="11"/>
      <c r="Q2092" s="8"/>
      <c r="R2092" s="8" t="s">
        <v>12304</v>
      </c>
      <c r="S2092" s="8" t="s">
        <v>12425</v>
      </c>
    </row>
    <row r="2093" spans="1:19" ht="93" customHeight="1" x14ac:dyDescent="0.25">
      <c r="A2093" s="8" t="s">
        <v>12426</v>
      </c>
      <c r="B2093" s="8" t="s">
        <v>5693</v>
      </c>
      <c r="C2093" s="8" t="s">
        <v>12303</v>
      </c>
      <c r="D2093" s="10">
        <v>62</v>
      </c>
      <c r="E2093" s="8" t="s">
        <v>696</v>
      </c>
      <c r="F2093" s="8" t="s">
        <v>696</v>
      </c>
      <c r="G2093" s="8" t="s">
        <v>4551</v>
      </c>
      <c r="H2093" s="8" t="s">
        <v>692</v>
      </c>
      <c r="I2093" s="8" t="s">
        <v>692</v>
      </c>
      <c r="J2093" s="8"/>
      <c r="K2093" s="8"/>
      <c r="L2093" s="15" t="s">
        <v>1685</v>
      </c>
      <c r="M2093" s="8" t="s">
        <v>5578</v>
      </c>
      <c r="N2093" s="8"/>
      <c r="O2093" s="8" t="s">
        <v>5574</v>
      </c>
      <c r="P2093" s="11"/>
      <c r="Q2093" s="8"/>
      <c r="R2093" s="8" t="s">
        <v>12304</v>
      </c>
      <c r="S2093" s="8" t="s">
        <v>12427</v>
      </c>
    </row>
    <row r="2094" spans="1:19" ht="78.95" customHeight="1" x14ac:dyDescent="0.25">
      <c r="A2094" s="8" t="s">
        <v>12428</v>
      </c>
      <c r="B2094" s="8" t="s">
        <v>5693</v>
      </c>
      <c r="C2094" s="8" t="s">
        <v>12303</v>
      </c>
      <c r="D2094" s="10">
        <v>63</v>
      </c>
      <c r="E2094" s="8" t="s">
        <v>3156</v>
      </c>
      <c r="F2094" s="8" t="s">
        <v>3156</v>
      </c>
      <c r="G2094" s="8" t="s">
        <v>4551</v>
      </c>
      <c r="H2094" s="8" t="s">
        <v>701</v>
      </c>
      <c r="I2094" s="8" t="s">
        <v>701</v>
      </c>
      <c r="J2094" s="8"/>
      <c r="K2094" s="8"/>
      <c r="L2094" s="15" t="s">
        <v>1685</v>
      </c>
      <c r="M2094" s="8" t="s">
        <v>5578</v>
      </c>
      <c r="N2094" s="8"/>
      <c r="O2094" s="8" t="s">
        <v>5574</v>
      </c>
      <c r="P2094" s="11"/>
      <c r="Q2094" s="8"/>
      <c r="R2094" s="8" t="s">
        <v>12304</v>
      </c>
      <c r="S2094" s="8" t="s">
        <v>12429</v>
      </c>
    </row>
    <row r="2095" spans="1:19" ht="78.95" customHeight="1" x14ac:dyDescent="0.25">
      <c r="A2095" s="8" t="s">
        <v>12430</v>
      </c>
      <c r="B2095" s="8" t="s">
        <v>5693</v>
      </c>
      <c r="C2095" s="8" t="s">
        <v>12303</v>
      </c>
      <c r="D2095" s="10">
        <v>64</v>
      </c>
      <c r="E2095" s="8" t="s">
        <v>1427</v>
      </c>
      <c r="F2095" s="8" t="s">
        <v>1427</v>
      </c>
      <c r="G2095" s="8" t="s">
        <v>4551</v>
      </c>
      <c r="H2095" s="8" t="s">
        <v>1426</v>
      </c>
      <c r="I2095" s="8" t="s">
        <v>1426</v>
      </c>
      <c r="J2095" s="8"/>
      <c r="K2095" s="8"/>
      <c r="L2095" s="15" t="s">
        <v>1685</v>
      </c>
      <c r="M2095" s="8" t="s">
        <v>5578</v>
      </c>
      <c r="N2095" s="8"/>
      <c r="O2095" s="8" t="s">
        <v>5574</v>
      </c>
      <c r="P2095" s="11"/>
      <c r="Q2095" s="8"/>
      <c r="R2095" s="8" t="s">
        <v>12304</v>
      </c>
      <c r="S2095" s="8" t="s">
        <v>12431</v>
      </c>
    </row>
    <row r="2096" spans="1:19" ht="78.95" customHeight="1" x14ac:dyDescent="0.25">
      <c r="A2096" s="8" t="s">
        <v>12432</v>
      </c>
      <c r="B2096" s="8" t="s">
        <v>5693</v>
      </c>
      <c r="C2096" s="8" t="s">
        <v>12303</v>
      </c>
      <c r="D2096" s="10">
        <v>65</v>
      </c>
      <c r="E2096" s="8" t="s">
        <v>1177</v>
      </c>
      <c r="F2096" s="8" t="s">
        <v>1177</v>
      </c>
      <c r="G2096" s="8" t="s">
        <v>4551</v>
      </c>
      <c r="H2096" s="8" t="s">
        <v>1175</v>
      </c>
      <c r="I2096" s="8" t="s">
        <v>1175</v>
      </c>
      <c r="J2096" s="8"/>
      <c r="K2096" s="8"/>
      <c r="L2096" s="15" t="s">
        <v>1685</v>
      </c>
      <c r="M2096" s="8" t="s">
        <v>5578</v>
      </c>
      <c r="N2096" s="8"/>
      <c r="O2096" s="8" t="s">
        <v>5574</v>
      </c>
      <c r="P2096" s="11"/>
      <c r="Q2096" s="8"/>
      <c r="R2096" s="8" t="s">
        <v>12304</v>
      </c>
      <c r="S2096" s="8" t="s">
        <v>12433</v>
      </c>
    </row>
    <row r="2097" spans="1:19" ht="78.95" customHeight="1" x14ac:dyDescent="0.25">
      <c r="A2097" s="8" t="s">
        <v>12434</v>
      </c>
      <c r="B2097" s="8" t="s">
        <v>5693</v>
      </c>
      <c r="C2097" s="8" t="s">
        <v>12303</v>
      </c>
      <c r="D2097" s="10">
        <v>66</v>
      </c>
      <c r="E2097" s="8" t="s">
        <v>829</v>
      </c>
      <c r="F2097" s="8" t="s">
        <v>829</v>
      </c>
      <c r="G2097" s="8" t="s">
        <v>4551</v>
      </c>
      <c r="H2097" s="8" t="s">
        <v>825</v>
      </c>
      <c r="I2097" s="8" t="s">
        <v>825</v>
      </c>
      <c r="J2097" s="8"/>
      <c r="K2097" s="8"/>
      <c r="L2097" s="15" t="s">
        <v>1685</v>
      </c>
      <c r="M2097" s="8" t="s">
        <v>5578</v>
      </c>
      <c r="N2097" s="8"/>
      <c r="O2097" s="8" t="s">
        <v>5574</v>
      </c>
      <c r="P2097" s="11"/>
      <c r="Q2097" s="8"/>
      <c r="R2097" s="8" t="s">
        <v>12304</v>
      </c>
      <c r="S2097" s="8" t="s">
        <v>12435</v>
      </c>
    </row>
    <row r="2098" spans="1:19" ht="93" customHeight="1" x14ac:dyDescent="0.25">
      <c r="A2098" s="8" t="s">
        <v>12436</v>
      </c>
      <c r="B2098" s="8" t="s">
        <v>5693</v>
      </c>
      <c r="C2098" s="8" t="s">
        <v>12303</v>
      </c>
      <c r="D2098" s="10">
        <v>67</v>
      </c>
      <c r="E2098" s="8" t="s">
        <v>1203</v>
      </c>
      <c r="F2098" s="8" t="s">
        <v>1203</v>
      </c>
      <c r="G2098" s="8" t="s">
        <v>4551</v>
      </c>
      <c r="H2098" s="8" t="s">
        <v>1202</v>
      </c>
      <c r="I2098" s="8" t="s">
        <v>1202</v>
      </c>
      <c r="J2098" s="8"/>
      <c r="K2098" s="8"/>
      <c r="L2098" s="15" t="s">
        <v>1685</v>
      </c>
      <c r="M2098" s="8" t="s">
        <v>5578</v>
      </c>
      <c r="N2098" s="8"/>
      <c r="O2098" s="8" t="s">
        <v>5574</v>
      </c>
      <c r="P2098" s="11"/>
      <c r="Q2098" s="8"/>
      <c r="R2098" s="8" t="s">
        <v>12304</v>
      </c>
      <c r="S2098" s="8" t="s">
        <v>12437</v>
      </c>
    </row>
    <row r="2099" spans="1:19" ht="78.95" customHeight="1" x14ac:dyDescent="0.25">
      <c r="A2099" s="8" t="s">
        <v>12438</v>
      </c>
      <c r="B2099" s="8" t="s">
        <v>5693</v>
      </c>
      <c r="C2099" s="8" t="s">
        <v>12303</v>
      </c>
      <c r="D2099" s="10">
        <v>68</v>
      </c>
      <c r="E2099" s="8" t="s">
        <v>3164</v>
      </c>
      <c r="F2099" s="8" t="s">
        <v>3164</v>
      </c>
      <c r="G2099" s="8" t="s">
        <v>4551</v>
      </c>
      <c r="H2099" s="8" t="s">
        <v>587</v>
      </c>
      <c r="I2099" s="8" t="s">
        <v>587</v>
      </c>
      <c r="J2099" s="8"/>
      <c r="K2099" s="8"/>
      <c r="L2099" s="15" t="s">
        <v>1685</v>
      </c>
      <c r="M2099" s="8" t="s">
        <v>5578</v>
      </c>
      <c r="N2099" s="8"/>
      <c r="O2099" s="8" t="s">
        <v>5574</v>
      </c>
      <c r="P2099" s="11"/>
      <c r="Q2099" s="8"/>
      <c r="R2099" s="8" t="s">
        <v>12304</v>
      </c>
      <c r="S2099" s="8" t="s">
        <v>12439</v>
      </c>
    </row>
    <row r="2100" spans="1:19" ht="93" customHeight="1" x14ac:dyDescent="0.25">
      <c r="A2100" s="8" t="s">
        <v>12440</v>
      </c>
      <c r="B2100" s="8" t="s">
        <v>5693</v>
      </c>
      <c r="C2100" s="8" t="s">
        <v>12303</v>
      </c>
      <c r="D2100" s="10">
        <v>69</v>
      </c>
      <c r="E2100" s="8" t="s">
        <v>2979</v>
      </c>
      <c r="F2100" s="8" t="s">
        <v>2979</v>
      </c>
      <c r="G2100" s="8" t="s">
        <v>4551</v>
      </c>
      <c r="H2100" s="8" t="s">
        <v>466</v>
      </c>
      <c r="I2100" s="8" t="s">
        <v>466</v>
      </c>
      <c r="J2100" s="8"/>
      <c r="K2100" s="8"/>
      <c r="L2100" s="15" t="s">
        <v>1685</v>
      </c>
      <c r="M2100" s="8" t="s">
        <v>5578</v>
      </c>
      <c r="N2100" s="8"/>
      <c r="O2100" s="8" t="s">
        <v>5574</v>
      </c>
      <c r="P2100" s="11"/>
      <c r="Q2100" s="8"/>
      <c r="R2100" s="8" t="s">
        <v>12304</v>
      </c>
      <c r="S2100" s="8" t="s">
        <v>12441</v>
      </c>
    </row>
    <row r="2101" spans="1:19" ht="93" customHeight="1" x14ac:dyDescent="0.25">
      <c r="A2101" s="8" t="s">
        <v>12442</v>
      </c>
      <c r="B2101" s="8" t="s">
        <v>5693</v>
      </c>
      <c r="C2101" s="8" t="s">
        <v>12303</v>
      </c>
      <c r="D2101" s="10">
        <v>70</v>
      </c>
      <c r="E2101" s="8" t="s">
        <v>522</v>
      </c>
      <c r="F2101" s="8" t="s">
        <v>522</v>
      </c>
      <c r="G2101" s="8" t="s">
        <v>4551</v>
      </c>
      <c r="H2101" s="8" t="s">
        <v>518</v>
      </c>
      <c r="I2101" s="8" t="s">
        <v>518</v>
      </c>
      <c r="J2101" s="8"/>
      <c r="K2101" s="8"/>
      <c r="L2101" s="15" t="s">
        <v>1685</v>
      </c>
      <c r="M2101" s="8" t="s">
        <v>5578</v>
      </c>
      <c r="N2101" s="8"/>
      <c r="O2101" s="8" t="s">
        <v>5574</v>
      </c>
      <c r="P2101" s="11"/>
      <c r="Q2101" s="8"/>
      <c r="R2101" s="8" t="s">
        <v>12304</v>
      </c>
      <c r="S2101" s="8" t="s">
        <v>12443</v>
      </c>
    </row>
    <row r="2102" spans="1:19" ht="93" customHeight="1" x14ac:dyDescent="0.25">
      <c r="A2102" s="8" t="s">
        <v>12444</v>
      </c>
      <c r="B2102" s="8" t="s">
        <v>5693</v>
      </c>
      <c r="C2102" s="8" t="s">
        <v>12303</v>
      </c>
      <c r="D2102" s="10">
        <v>71</v>
      </c>
      <c r="E2102" s="8" t="s">
        <v>7025</v>
      </c>
      <c r="F2102" s="8" t="s">
        <v>7025</v>
      </c>
      <c r="G2102" s="8" t="s">
        <v>5361</v>
      </c>
      <c r="H2102" s="8" t="s">
        <v>7024</v>
      </c>
      <c r="I2102" s="8"/>
      <c r="J2102" s="8"/>
      <c r="K2102" s="8"/>
      <c r="L2102" s="15" t="s">
        <v>1685</v>
      </c>
      <c r="M2102" s="8" t="s">
        <v>5578</v>
      </c>
      <c r="N2102" s="8"/>
      <c r="O2102" s="8" t="s">
        <v>5574</v>
      </c>
      <c r="P2102" s="11"/>
      <c r="Q2102" s="8"/>
      <c r="R2102" s="8" t="s">
        <v>12304</v>
      </c>
      <c r="S2102" s="8" t="s">
        <v>12445</v>
      </c>
    </row>
    <row r="2103" spans="1:19" ht="78.95" customHeight="1" x14ac:dyDescent="0.25">
      <c r="A2103" s="8" t="s">
        <v>12446</v>
      </c>
      <c r="B2103" s="8" t="s">
        <v>5693</v>
      </c>
      <c r="C2103" s="8" t="s">
        <v>12303</v>
      </c>
      <c r="D2103" s="10">
        <v>72</v>
      </c>
      <c r="E2103" s="8" t="s">
        <v>748</v>
      </c>
      <c r="F2103" s="8" t="s">
        <v>748</v>
      </c>
      <c r="G2103" s="8" t="s">
        <v>4551</v>
      </c>
      <c r="H2103" s="8" t="s">
        <v>744</v>
      </c>
      <c r="I2103" s="8" t="s">
        <v>744</v>
      </c>
      <c r="J2103" s="8"/>
      <c r="K2103" s="8"/>
      <c r="L2103" s="15" t="s">
        <v>1685</v>
      </c>
      <c r="M2103" s="8" t="s">
        <v>5578</v>
      </c>
      <c r="N2103" s="8"/>
      <c r="O2103" s="8" t="s">
        <v>5574</v>
      </c>
      <c r="P2103" s="11"/>
      <c r="Q2103" s="8"/>
      <c r="R2103" s="8" t="s">
        <v>12304</v>
      </c>
      <c r="S2103" s="8" t="s">
        <v>12447</v>
      </c>
    </row>
    <row r="2104" spans="1:19" ht="93" customHeight="1" x14ac:dyDescent="0.25">
      <c r="A2104" s="8" t="s">
        <v>12448</v>
      </c>
      <c r="B2104" s="8" t="s">
        <v>5693</v>
      </c>
      <c r="C2104" s="8" t="s">
        <v>12303</v>
      </c>
      <c r="D2104" s="10">
        <v>73</v>
      </c>
      <c r="E2104" s="8" t="s">
        <v>6963</v>
      </c>
      <c r="F2104" s="8" t="s">
        <v>6963</v>
      </c>
      <c r="G2104" s="8" t="s">
        <v>4551</v>
      </c>
      <c r="H2104" s="8" t="s">
        <v>957</v>
      </c>
      <c r="I2104" s="8" t="s">
        <v>957</v>
      </c>
      <c r="J2104" s="8"/>
      <c r="K2104" s="8"/>
      <c r="L2104" s="15" t="s">
        <v>1685</v>
      </c>
      <c r="M2104" s="8" t="s">
        <v>5578</v>
      </c>
      <c r="N2104" s="8"/>
      <c r="O2104" s="8" t="s">
        <v>5574</v>
      </c>
      <c r="P2104" s="11"/>
      <c r="Q2104" s="8"/>
      <c r="R2104" s="8" t="s">
        <v>12304</v>
      </c>
      <c r="S2104" s="8" t="s">
        <v>12449</v>
      </c>
    </row>
    <row r="2105" spans="1:19" ht="93" customHeight="1" x14ac:dyDescent="0.25">
      <c r="A2105" s="8" t="s">
        <v>12450</v>
      </c>
      <c r="B2105" s="8" t="s">
        <v>5693</v>
      </c>
      <c r="C2105" s="8" t="s">
        <v>12303</v>
      </c>
      <c r="D2105" s="10">
        <v>74</v>
      </c>
      <c r="E2105" s="8" t="s">
        <v>2868</v>
      </c>
      <c r="F2105" s="8" t="s">
        <v>2868</v>
      </c>
      <c r="G2105" s="8" t="s">
        <v>4551</v>
      </c>
      <c r="H2105" s="8" t="s">
        <v>613</v>
      </c>
      <c r="I2105" s="8" t="s">
        <v>613</v>
      </c>
      <c r="J2105" s="8"/>
      <c r="K2105" s="8"/>
      <c r="L2105" s="15" t="s">
        <v>1685</v>
      </c>
      <c r="M2105" s="8" t="s">
        <v>5578</v>
      </c>
      <c r="N2105" s="8"/>
      <c r="O2105" s="8" t="s">
        <v>5574</v>
      </c>
      <c r="P2105" s="11"/>
      <c r="Q2105" s="8"/>
      <c r="R2105" s="8" t="s">
        <v>12304</v>
      </c>
      <c r="S2105" s="8" t="s">
        <v>12451</v>
      </c>
    </row>
    <row r="2106" spans="1:19" ht="93" customHeight="1" x14ac:dyDescent="0.25">
      <c r="A2106" s="8" t="s">
        <v>12452</v>
      </c>
      <c r="B2106" s="8" t="s">
        <v>5693</v>
      </c>
      <c r="C2106" s="8" t="s">
        <v>12303</v>
      </c>
      <c r="D2106" s="10">
        <v>75</v>
      </c>
      <c r="E2106" s="8" t="s">
        <v>604</v>
      </c>
      <c r="F2106" s="8" t="s">
        <v>604</v>
      </c>
      <c r="G2106" s="8" t="s">
        <v>4551</v>
      </c>
      <c r="H2106" s="8" t="s">
        <v>599</v>
      </c>
      <c r="I2106" s="8" t="s">
        <v>599</v>
      </c>
      <c r="J2106" s="8"/>
      <c r="K2106" s="8"/>
      <c r="L2106" s="15" t="s">
        <v>1685</v>
      </c>
      <c r="M2106" s="8" t="s">
        <v>5578</v>
      </c>
      <c r="N2106" s="8"/>
      <c r="O2106" s="8" t="s">
        <v>5574</v>
      </c>
      <c r="P2106" s="11"/>
      <c r="Q2106" s="8"/>
      <c r="R2106" s="8" t="s">
        <v>12304</v>
      </c>
      <c r="S2106" s="8" t="s">
        <v>12453</v>
      </c>
    </row>
    <row r="2107" spans="1:19" ht="93" customHeight="1" x14ac:dyDescent="0.25">
      <c r="A2107" s="8" t="s">
        <v>12454</v>
      </c>
      <c r="B2107" s="8" t="s">
        <v>5693</v>
      </c>
      <c r="C2107" s="8" t="s">
        <v>12303</v>
      </c>
      <c r="D2107" s="10">
        <v>76</v>
      </c>
      <c r="E2107" s="8" t="s">
        <v>364</v>
      </c>
      <c r="F2107" s="8" t="s">
        <v>364</v>
      </c>
      <c r="G2107" s="8" t="s">
        <v>5361</v>
      </c>
      <c r="H2107" s="8" t="s">
        <v>358</v>
      </c>
      <c r="I2107" s="8"/>
      <c r="J2107" s="8"/>
      <c r="K2107" s="8"/>
      <c r="L2107" s="15" t="s">
        <v>1685</v>
      </c>
      <c r="M2107" s="8" t="s">
        <v>5578</v>
      </c>
      <c r="N2107" s="8"/>
      <c r="O2107" s="8" t="s">
        <v>5574</v>
      </c>
      <c r="P2107" s="11"/>
      <c r="Q2107" s="8"/>
      <c r="R2107" s="8" t="s">
        <v>12304</v>
      </c>
      <c r="S2107" s="8" t="s">
        <v>12455</v>
      </c>
    </row>
    <row r="2108" spans="1:19" ht="93" customHeight="1" x14ac:dyDescent="0.25">
      <c r="A2108" s="8" t="s">
        <v>12456</v>
      </c>
      <c r="B2108" s="8" t="s">
        <v>5693</v>
      </c>
      <c r="C2108" s="8" t="s">
        <v>12303</v>
      </c>
      <c r="D2108" s="10">
        <v>77</v>
      </c>
      <c r="E2108" s="8" t="s">
        <v>3072</v>
      </c>
      <c r="F2108" s="8" t="s">
        <v>3072</v>
      </c>
      <c r="G2108" s="8" t="s">
        <v>4551</v>
      </c>
      <c r="H2108" s="8" t="s">
        <v>1011</v>
      </c>
      <c r="I2108" s="8" t="s">
        <v>1011</v>
      </c>
      <c r="J2108" s="8"/>
      <c r="K2108" s="8"/>
      <c r="L2108" s="15" t="s">
        <v>1685</v>
      </c>
      <c r="M2108" s="8" t="s">
        <v>5578</v>
      </c>
      <c r="N2108" s="8"/>
      <c r="O2108" s="8" t="s">
        <v>5574</v>
      </c>
      <c r="P2108" s="11"/>
      <c r="Q2108" s="8"/>
      <c r="R2108" s="8" t="s">
        <v>12304</v>
      </c>
      <c r="S2108" s="8" t="s">
        <v>12457</v>
      </c>
    </row>
    <row r="2109" spans="1:19" ht="78.95" customHeight="1" x14ac:dyDescent="0.25">
      <c r="A2109" s="8" t="s">
        <v>12458</v>
      </c>
      <c r="B2109" s="8" t="s">
        <v>5693</v>
      </c>
      <c r="C2109" s="8" t="s">
        <v>12303</v>
      </c>
      <c r="D2109" s="10">
        <v>78</v>
      </c>
      <c r="E2109" s="8" t="s">
        <v>1154</v>
      </c>
      <c r="F2109" s="8" t="s">
        <v>1154</v>
      </c>
      <c r="G2109" s="8" t="s">
        <v>4551</v>
      </c>
      <c r="H2109" s="8" t="s">
        <v>1152</v>
      </c>
      <c r="I2109" s="8" t="s">
        <v>1152</v>
      </c>
      <c r="J2109" s="8"/>
      <c r="K2109" s="8"/>
      <c r="L2109" s="15" t="s">
        <v>1685</v>
      </c>
      <c r="M2109" s="8" t="s">
        <v>5578</v>
      </c>
      <c r="N2109" s="8"/>
      <c r="O2109" s="8" t="s">
        <v>5574</v>
      </c>
      <c r="P2109" s="11"/>
      <c r="Q2109" s="8"/>
      <c r="R2109" s="8" t="s">
        <v>12304</v>
      </c>
      <c r="S2109" s="8" t="s">
        <v>12459</v>
      </c>
    </row>
    <row r="2110" spans="1:19" ht="93" customHeight="1" x14ac:dyDescent="0.25">
      <c r="A2110" s="8" t="s">
        <v>12460</v>
      </c>
      <c r="B2110" s="8" t="s">
        <v>5693</v>
      </c>
      <c r="C2110" s="8" t="s">
        <v>12303</v>
      </c>
      <c r="D2110" s="10">
        <v>79</v>
      </c>
      <c r="E2110" s="8" t="s">
        <v>1070</v>
      </c>
      <c r="F2110" s="8" t="s">
        <v>1070</v>
      </c>
      <c r="G2110" s="8" t="s">
        <v>4551</v>
      </c>
      <c r="H2110" s="8" t="s">
        <v>1068</v>
      </c>
      <c r="I2110" s="8" t="s">
        <v>1068</v>
      </c>
      <c r="J2110" s="8"/>
      <c r="K2110" s="8"/>
      <c r="L2110" s="15" t="s">
        <v>1685</v>
      </c>
      <c r="M2110" s="8" t="s">
        <v>5578</v>
      </c>
      <c r="N2110" s="8"/>
      <c r="O2110" s="8" t="s">
        <v>5574</v>
      </c>
      <c r="P2110" s="11"/>
      <c r="Q2110" s="8"/>
      <c r="R2110" s="8" t="s">
        <v>12304</v>
      </c>
      <c r="S2110" s="8" t="s">
        <v>12461</v>
      </c>
    </row>
    <row r="2111" spans="1:19" ht="78.95" customHeight="1" x14ac:dyDescent="0.25">
      <c r="A2111" s="8" t="s">
        <v>12462</v>
      </c>
      <c r="B2111" s="8" t="s">
        <v>5693</v>
      </c>
      <c r="C2111" s="8" t="s">
        <v>12303</v>
      </c>
      <c r="D2111" s="10">
        <v>80</v>
      </c>
      <c r="E2111" s="8" t="s">
        <v>3062</v>
      </c>
      <c r="F2111" s="8" t="s">
        <v>3062</v>
      </c>
      <c r="G2111" s="8" t="s">
        <v>4551</v>
      </c>
      <c r="H2111" s="8" t="s">
        <v>762</v>
      </c>
      <c r="I2111" s="8" t="s">
        <v>762</v>
      </c>
      <c r="J2111" s="8"/>
      <c r="K2111" s="8"/>
      <c r="L2111" s="15" t="s">
        <v>1685</v>
      </c>
      <c r="M2111" s="8" t="s">
        <v>5578</v>
      </c>
      <c r="N2111" s="8"/>
      <c r="O2111" s="8" t="s">
        <v>5574</v>
      </c>
      <c r="P2111" s="11"/>
      <c r="Q2111" s="8"/>
      <c r="R2111" s="8" t="s">
        <v>12304</v>
      </c>
      <c r="S2111" s="8" t="s">
        <v>12463</v>
      </c>
    </row>
    <row r="2112" spans="1:19" ht="78.95" customHeight="1" x14ac:dyDescent="0.25">
      <c r="A2112" s="8" t="s">
        <v>12464</v>
      </c>
      <c r="B2112" s="8" t="s">
        <v>5693</v>
      </c>
      <c r="C2112" s="8" t="s">
        <v>12303</v>
      </c>
      <c r="D2112" s="10">
        <v>81</v>
      </c>
      <c r="E2112" s="8" t="s">
        <v>2864</v>
      </c>
      <c r="F2112" s="8" t="s">
        <v>2864</v>
      </c>
      <c r="G2112" s="8" t="s">
        <v>4551</v>
      </c>
      <c r="H2112" s="8" t="s">
        <v>642</v>
      </c>
      <c r="I2112" s="8" t="s">
        <v>642</v>
      </c>
      <c r="J2112" s="8"/>
      <c r="K2112" s="8"/>
      <c r="L2112" s="15" t="s">
        <v>1685</v>
      </c>
      <c r="M2112" s="8" t="s">
        <v>5578</v>
      </c>
      <c r="N2112" s="8"/>
      <c r="O2112" s="8" t="s">
        <v>5574</v>
      </c>
      <c r="P2112" s="11"/>
      <c r="Q2112" s="8"/>
      <c r="R2112" s="8" t="s">
        <v>12304</v>
      </c>
      <c r="S2112" s="8" t="s">
        <v>12465</v>
      </c>
    </row>
    <row r="2113" spans="1:19" ht="78.95" customHeight="1" x14ac:dyDescent="0.25">
      <c r="A2113" s="8" t="s">
        <v>12466</v>
      </c>
      <c r="B2113" s="8" t="s">
        <v>5693</v>
      </c>
      <c r="C2113" s="8" t="s">
        <v>12303</v>
      </c>
      <c r="D2113" s="10">
        <v>82</v>
      </c>
      <c r="E2113" s="8" t="s">
        <v>3127</v>
      </c>
      <c r="F2113" s="8" t="s">
        <v>3127</v>
      </c>
      <c r="G2113" s="8" t="s">
        <v>4551</v>
      </c>
      <c r="H2113" s="8" t="s">
        <v>814</v>
      </c>
      <c r="I2113" s="8" t="s">
        <v>814</v>
      </c>
      <c r="J2113" s="8"/>
      <c r="K2113" s="8"/>
      <c r="L2113" s="15" t="s">
        <v>1685</v>
      </c>
      <c r="M2113" s="8" t="s">
        <v>5578</v>
      </c>
      <c r="N2113" s="8"/>
      <c r="O2113" s="8" t="s">
        <v>5574</v>
      </c>
      <c r="P2113" s="11"/>
      <c r="Q2113" s="8"/>
      <c r="R2113" s="8" t="s">
        <v>12304</v>
      </c>
      <c r="S2113" s="8" t="s">
        <v>12467</v>
      </c>
    </row>
    <row r="2114" spans="1:19" ht="93" customHeight="1" x14ac:dyDescent="0.25">
      <c r="A2114" s="8" t="s">
        <v>12468</v>
      </c>
      <c r="B2114" s="8" t="s">
        <v>5693</v>
      </c>
      <c r="C2114" s="8" t="s">
        <v>12303</v>
      </c>
      <c r="D2114" s="10">
        <v>83</v>
      </c>
      <c r="E2114" s="8" t="s">
        <v>2845</v>
      </c>
      <c r="F2114" s="8" t="s">
        <v>2845</v>
      </c>
      <c r="G2114" s="8" t="s">
        <v>4551</v>
      </c>
      <c r="H2114" s="8" t="s">
        <v>502</v>
      </c>
      <c r="I2114" s="8" t="s">
        <v>502</v>
      </c>
      <c r="J2114" s="8"/>
      <c r="K2114" s="8"/>
      <c r="L2114" s="15" t="s">
        <v>1685</v>
      </c>
      <c r="M2114" s="8" t="s">
        <v>5578</v>
      </c>
      <c r="N2114" s="8"/>
      <c r="O2114" s="8" t="s">
        <v>5574</v>
      </c>
      <c r="P2114" s="11"/>
      <c r="Q2114" s="8"/>
      <c r="R2114" s="8" t="s">
        <v>12304</v>
      </c>
      <c r="S2114" s="8" t="s">
        <v>12469</v>
      </c>
    </row>
    <row r="2115" spans="1:19" ht="93" customHeight="1" x14ac:dyDescent="0.25">
      <c r="A2115" s="8" t="s">
        <v>12470</v>
      </c>
      <c r="B2115" s="8" t="s">
        <v>5693</v>
      </c>
      <c r="C2115" s="8" t="s">
        <v>12303</v>
      </c>
      <c r="D2115" s="10">
        <v>84</v>
      </c>
      <c r="E2115" s="8" t="s">
        <v>9944</v>
      </c>
      <c r="F2115" s="8" t="s">
        <v>9944</v>
      </c>
      <c r="G2115" s="8" t="s">
        <v>5361</v>
      </c>
      <c r="H2115" s="8" t="s">
        <v>4353</v>
      </c>
      <c r="I2115" s="8"/>
      <c r="J2115" s="8"/>
      <c r="K2115" s="8"/>
      <c r="L2115" s="15" t="s">
        <v>1685</v>
      </c>
      <c r="M2115" s="8" t="s">
        <v>5578</v>
      </c>
      <c r="N2115" s="8"/>
      <c r="O2115" s="8" t="s">
        <v>5574</v>
      </c>
      <c r="P2115" s="11"/>
      <c r="Q2115" s="8"/>
      <c r="R2115" s="8" t="s">
        <v>12304</v>
      </c>
      <c r="S2115" s="8" t="s">
        <v>12471</v>
      </c>
    </row>
    <row r="2116" spans="1:19" ht="93" customHeight="1" x14ac:dyDescent="0.25">
      <c r="A2116" s="8" t="s">
        <v>12472</v>
      </c>
      <c r="B2116" s="8" t="s">
        <v>5693</v>
      </c>
      <c r="C2116" s="8" t="s">
        <v>12303</v>
      </c>
      <c r="D2116" s="10">
        <v>85</v>
      </c>
      <c r="E2116" s="8" t="s">
        <v>6808</v>
      </c>
      <c r="F2116" s="8" t="s">
        <v>6808</v>
      </c>
      <c r="G2116" s="8" t="s">
        <v>4551</v>
      </c>
      <c r="H2116" s="8" t="s">
        <v>1017</v>
      </c>
      <c r="I2116" s="8" t="s">
        <v>1017</v>
      </c>
      <c r="J2116" s="8"/>
      <c r="K2116" s="8"/>
      <c r="L2116" s="15" t="s">
        <v>1685</v>
      </c>
      <c r="M2116" s="8" t="s">
        <v>5578</v>
      </c>
      <c r="N2116" s="8"/>
      <c r="O2116" s="8" t="s">
        <v>5574</v>
      </c>
      <c r="P2116" s="11"/>
      <c r="Q2116" s="8"/>
      <c r="R2116" s="8" t="s">
        <v>12304</v>
      </c>
      <c r="S2116" s="8" t="s">
        <v>12473</v>
      </c>
    </row>
    <row r="2117" spans="1:19" ht="78.95" customHeight="1" x14ac:dyDescent="0.25">
      <c r="A2117" s="8" t="s">
        <v>12474</v>
      </c>
      <c r="B2117" s="8" t="s">
        <v>5693</v>
      </c>
      <c r="C2117" s="8" t="s">
        <v>12303</v>
      </c>
      <c r="D2117" s="10">
        <v>86</v>
      </c>
      <c r="E2117" s="8" t="s">
        <v>7224</v>
      </c>
      <c r="F2117" s="8" t="s">
        <v>7224</v>
      </c>
      <c r="G2117" s="8" t="s">
        <v>4551</v>
      </c>
      <c r="H2117" s="8" t="s">
        <v>840</v>
      </c>
      <c r="I2117" s="8" t="s">
        <v>840</v>
      </c>
      <c r="J2117" s="8"/>
      <c r="K2117" s="8"/>
      <c r="L2117" s="15" t="s">
        <v>1685</v>
      </c>
      <c r="M2117" s="8" t="s">
        <v>5578</v>
      </c>
      <c r="N2117" s="8"/>
      <c r="O2117" s="8" t="s">
        <v>5574</v>
      </c>
      <c r="P2117" s="11"/>
      <c r="Q2117" s="8"/>
      <c r="R2117" s="8" t="s">
        <v>12304</v>
      </c>
      <c r="S2117" s="8" t="s">
        <v>12475</v>
      </c>
    </row>
    <row r="2118" spans="1:19" ht="93" customHeight="1" x14ac:dyDescent="0.25">
      <c r="A2118" s="8" t="s">
        <v>12476</v>
      </c>
      <c r="B2118" s="8" t="s">
        <v>5693</v>
      </c>
      <c r="C2118" s="8" t="s">
        <v>12303</v>
      </c>
      <c r="D2118" s="10">
        <v>87</v>
      </c>
      <c r="E2118" s="8" t="s">
        <v>6479</v>
      </c>
      <c r="F2118" s="8" t="s">
        <v>6479</v>
      </c>
      <c r="G2118" s="8" t="s">
        <v>5361</v>
      </c>
      <c r="H2118" s="8" t="s">
        <v>6478</v>
      </c>
      <c r="I2118" s="8"/>
      <c r="J2118" s="8"/>
      <c r="K2118" s="8"/>
      <c r="L2118" s="15" t="s">
        <v>1685</v>
      </c>
      <c r="M2118" s="8" t="s">
        <v>5578</v>
      </c>
      <c r="N2118" s="8"/>
      <c r="O2118" s="8" t="s">
        <v>5574</v>
      </c>
      <c r="P2118" s="11"/>
      <c r="Q2118" s="8"/>
      <c r="R2118" s="8" t="s">
        <v>12304</v>
      </c>
      <c r="S2118" s="8" t="s">
        <v>12477</v>
      </c>
    </row>
    <row r="2119" spans="1:19" ht="65.099999999999994" customHeight="1" x14ac:dyDescent="0.25">
      <c r="A2119" s="8" t="s">
        <v>12478</v>
      </c>
      <c r="B2119" s="8" t="s">
        <v>5693</v>
      </c>
      <c r="C2119" s="8" t="s">
        <v>12479</v>
      </c>
      <c r="D2119" s="10">
        <v>4</v>
      </c>
      <c r="E2119" s="8" t="s">
        <v>566</v>
      </c>
      <c r="F2119" s="8" t="s">
        <v>2985</v>
      </c>
      <c r="G2119" s="8" t="s">
        <v>4551</v>
      </c>
      <c r="H2119" s="8" t="s">
        <v>566</v>
      </c>
      <c r="I2119" s="8" t="s">
        <v>566</v>
      </c>
      <c r="J2119" s="8"/>
      <c r="K2119" s="8"/>
      <c r="L2119" s="15" t="s">
        <v>1685</v>
      </c>
      <c r="M2119" s="8" t="s">
        <v>5578</v>
      </c>
      <c r="N2119" s="8"/>
      <c r="O2119" s="8" t="s">
        <v>5574</v>
      </c>
      <c r="P2119" s="11"/>
      <c r="Q2119" s="8"/>
      <c r="R2119" s="8" t="s">
        <v>12304</v>
      </c>
      <c r="S2119" s="8" t="s">
        <v>12480</v>
      </c>
    </row>
    <row r="2120" spans="1:19" ht="65.099999999999994" customHeight="1" x14ac:dyDescent="0.25">
      <c r="A2120" s="8" t="s">
        <v>12481</v>
      </c>
      <c r="B2120" s="8" t="s">
        <v>5693</v>
      </c>
      <c r="C2120" s="8" t="s">
        <v>12479</v>
      </c>
      <c r="D2120" s="10">
        <v>5</v>
      </c>
      <c r="E2120" s="8" t="s">
        <v>490</v>
      </c>
      <c r="F2120" s="8" t="s">
        <v>5699</v>
      </c>
      <c r="G2120" s="8" t="s">
        <v>4551</v>
      </c>
      <c r="H2120" s="8" t="s">
        <v>490</v>
      </c>
      <c r="I2120" s="8" t="s">
        <v>490</v>
      </c>
      <c r="J2120" s="8"/>
      <c r="K2120" s="8"/>
      <c r="L2120" s="15" t="s">
        <v>1685</v>
      </c>
      <c r="M2120" s="8" t="s">
        <v>5578</v>
      </c>
      <c r="N2120" s="8"/>
      <c r="O2120" s="8" t="s">
        <v>5574</v>
      </c>
      <c r="P2120" s="11"/>
      <c r="Q2120" s="8"/>
      <c r="R2120" s="8" t="s">
        <v>12304</v>
      </c>
      <c r="S2120" s="8" t="s">
        <v>12482</v>
      </c>
    </row>
    <row r="2121" spans="1:19" ht="65.099999999999994" customHeight="1" x14ac:dyDescent="0.25">
      <c r="A2121" s="8" t="s">
        <v>12483</v>
      </c>
      <c r="B2121" s="8" t="s">
        <v>5693</v>
      </c>
      <c r="C2121" s="8" t="s">
        <v>12479</v>
      </c>
      <c r="D2121" s="10">
        <v>6</v>
      </c>
      <c r="E2121" s="8" t="s">
        <v>834</v>
      </c>
      <c r="F2121" s="8" t="s">
        <v>836</v>
      </c>
      <c r="G2121" s="8" t="s">
        <v>4551</v>
      </c>
      <c r="H2121" s="8" t="s">
        <v>834</v>
      </c>
      <c r="I2121" s="8" t="s">
        <v>834</v>
      </c>
      <c r="J2121" s="8"/>
      <c r="K2121" s="8"/>
      <c r="L2121" s="15" t="s">
        <v>1685</v>
      </c>
      <c r="M2121" s="8" t="s">
        <v>5578</v>
      </c>
      <c r="N2121" s="8"/>
      <c r="O2121" s="8" t="s">
        <v>5574</v>
      </c>
      <c r="P2121" s="11"/>
      <c r="Q2121" s="8"/>
      <c r="R2121" s="8" t="s">
        <v>12304</v>
      </c>
      <c r="S2121" s="8" t="s">
        <v>12484</v>
      </c>
    </row>
    <row r="2122" spans="1:19" ht="78.95" customHeight="1" x14ac:dyDescent="0.25">
      <c r="A2122" s="8" t="s">
        <v>12485</v>
      </c>
      <c r="B2122" s="8" t="s">
        <v>5693</v>
      </c>
      <c r="C2122" s="8" t="s">
        <v>12479</v>
      </c>
      <c r="D2122" s="10">
        <v>7</v>
      </c>
      <c r="E2122" s="8" t="s">
        <v>1202</v>
      </c>
      <c r="F2122" s="8" t="s">
        <v>1203</v>
      </c>
      <c r="G2122" s="8" t="s">
        <v>4551</v>
      </c>
      <c r="H2122" s="8" t="s">
        <v>1202</v>
      </c>
      <c r="I2122" s="8" t="s">
        <v>1202</v>
      </c>
      <c r="J2122" s="8"/>
      <c r="K2122" s="8"/>
      <c r="L2122" s="15" t="s">
        <v>1685</v>
      </c>
      <c r="M2122" s="8" t="s">
        <v>5578</v>
      </c>
      <c r="N2122" s="8"/>
      <c r="O2122" s="8" t="s">
        <v>5574</v>
      </c>
      <c r="P2122" s="11"/>
      <c r="Q2122" s="8"/>
      <c r="R2122" s="8" t="s">
        <v>12304</v>
      </c>
      <c r="S2122" s="8" t="s">
        <v>12486</v>
      </c>
    </row>
    <row r="2123" spans="1:19" ht="65.099999999999994" customHeight="1" x14ac:dyDescent="0.25">
      <c r="A2123" s="8" t="s">
        <v>12487</v>
      </c>
      <c r="B2123" s="8" t="s">
        <v>5693</v>
      </c>
      <c r="C2123" s="8" t="s">
        <v>12479</v>
      </c>
      <c r="D2123" s="10">
        <v>8</v>
      </c>
      <c r="E2123" s="8" t="s">
        <v>414</v>
      </c>
      <c r="F2123" s="8" t="s">
        <v>3051</v>
      </c>
      <c r="G2123" s="8" t="s">
        <v>4551</v>
      </c>
      <c r="H2123" s="8" t="s">
        <v>414</v>
      </c>
      <c r="I2123" s="8" t="s">
        <v>414</v>
      </c>
      <c r="J2123" s="8"/>
      <c r="K2123" s="8"/>
      <c r="L2123" s="15" t="s">
        <v>1685</v>
      </c>
      <c r="M2123" s="8" t="s">
        <v>5578</v>
      </c>
      <c r="N2123" s="8"/>
      <c r="O2123" s="8" t="s">
        <v>5574</v>
      </c>
      <c r="P2123" s="11"/>
      <c r="Q2123" s="8"/>
      <c r="R2123" s="8" t="s">
        <v>12304</v>
      </c>
      <c r="S2123" s="8" t="s">
        <v>12488</v>
      </c>
    </row>
    <row r="2124" spans="1:19" ht="78.95" customHeight="1" x14ac:dyDescent="0.25">
      <c r="A2124" s="8" t="s">
        <v>12489</v>
      </c>
      <c r="B2124" s="8" t="s">
        <v>5693</v>
      </c>
      <c r="C2124" s="8" t="s">
        <v>12479</v>
      </c>
      <c r="D2124" s="10">
        <v>9</v>
      </c>
      <c r="E2124" s="8" t="s">
        <v>466</v>
      </c>
      <c r="F2124" s="8" t="s">
        <v>2979</v>
      </c>
      <c r="G2124" s="8" t="s">
        <v>4551</v>
      </c>
      <c r="H2124" s="8" t="s">
        <v>466</v>
      </c>
      <c r="I2124" s="8" t="s">
        <v>466</v>
      </c>
      <c r="J2124" s="8"/>
      <c r="K2124" s="8"/>
      <c r="L2124" s="15" t="s">
        <v>1685</v>
      </c>
      <c r="M2124" s="8" t="s">
        <v>5578</v>
      </c>
      <c r="N2124" s="8"/>
      <c r="O2124" s="8" t="s">
        <v>5574</v>
      </c>
      <c r="P2124" s="11"/>
      <c r="Q2124" s="8"/>
      <c r="R2124" s="8" t="s">
        <v>12304</v>
      </c>
      <c r="S2124" s="8" t="s">
        <v>12490</v>
      </c>
    </row>
    <row r="2125" spans="1:19" ht="65.099999999999994" customHeight="1" x14ac:dyDescent="0.25">
      <c r="A2125" s="8" t="s">
        <v>12491</v>
      </c>
      <c r="B2125" s="8" t="s">
        <v>5693</v>
      </c>
      <c r="C2125" s="8" t="s">
        <v>12479</v>
      </c>
      <c r="D2125" s="10">
        <v>10</v>
      </c>
      <c r="E2125" s="8" t="s">
        <v>445</v>
      </c>
      <c r="F2125" s="8" t="s">
        <v>3079</v>
      </c>
      <c r="G2125" s="8" t="s">
        <v>4551</v>
      </c>
      <c r="H2125" s="8" t="s">
        <v>445</v>
      </c>
      <c r="I2125" s="8" t="s">
        <v>445</v>
      </c>
      <c r="J2125" s="8"/>
      <c r="K2125" s="8"/>
      <c r="L2125" s="15" t="s">
        <v>1685</v>
      </c>
      <c r="M2125" s="8" t="s">
        <v>5578</v>
      </c>
      <c r="N2125" s="8"/>
      <c r="O2125" s="8" t="s">
        <v>5574</v>
      </c>
      <c r="P2125" s="11"/>
      <c r="Q2125" s="8"/>
      <c r="R2125" s="8" t="s">
        <v>12304</v>
      </c>
      <c r="S2125" s="8" t="s">
        <v>12492</v>
      </c>
    </row>
    <row r="2126" spans="1:19" ht="65.099999999999994" customHeight="1" x14ac:dyDescent="0.25">
      <c r="A2126" s="8" t="s">
        <v>12493</v>
      </c>
      <c r="B2126" s="8" t="s">
        <v>5693</v>
      </c>
      <c r="C2126" s="8" t="s">
        <v>12479</v>
      </c>
      <c r="D2126" s="10">
        <v>11</v>
      </c>
      <c r="E2126" s="8" t="s">
        <v>642</v>
      </c>
      <c r="F2126" s="8" t="s">
        <v>2864</v>
      </c>
      <c r="G2126" s="8" t="s">
        <v>4551</v>
      </c>
      <c r="H2126" s="8" t="s">
        <v>642</v>
      </c>
      <c r="I2126" s="8" t="s">
        <v>642</v>
      </c>
      <c r="J2126" s="8"/>
      <c r="K2126" s="8"/>
      <c r="L2126" s="15" t="s">
        <v>1685</v>
      </c>
      <c r="M2126" s="8" t="s">
        <v>5578</v>
      </c>
      <c r="N2126" s="8"/>
      <c r="O2126" s="8" t="s">
        <v>5574</v>
      </c>
      <c r="P2126" s="11"/>
      <c r="Q2126" s="8"/>
      <c r="R2126" s="8" t="s">
        <v>12304</v>
      </c>
      <c r="S2126" s="8" t="s">
        <v>12494</v>
      </c>
    </row>
    <row r="2127" spans="1:19" ht="78.95" customHeight="1" x14ac:dyDescent="0.25">
      <c r="A2127" s="8" t="s">
        <v>12495</v>
      </c>
      <c r="B2127" s="8" t="s">
        <v>5693</v>
      </c>
      <c r="C2127" s="8" t="s">
        <v>12479</v>
      </c>
      <c r="D2127" s="10">
        <v>12</v>
      </c>
      <c r="E2127" s="8" t="s">
        <v>1073</v>
      </c>
      <c r="F2127" s="8" t="s">
        <v>1075</v>
      </c>
      <c r="G2127" s="8" t="s">
        <v>4551</v>
      </c>
      <c r="H2127" s="8" t="s">
        <v>1073</v>
      </c>
      <c r="I2127" s="8" t="s">
        <v>1073</v>
      </c>
      <c r="J2127" s="8"/>
      <c r="K2127" s="8"/>
      <c r="L2127" s="15" t="s">
        <v>1685</v>
      </c>
      <c r="M2127" s="8" t="s">
        <v>5578</v>
      </c>
      <c r="N2127" s="8"/>
      <c r="O2127" s="8" t="s">
        <v>5574</v>
      </c>
      <c r="P2127" s="11"/>
      <c r="Q2127" s="8"/>
      <c r="R2127" s="8" t="s">
        <v>12304</v>
      </c>
      <c r="S2127" s="8" t="s">
        <v>12496</v>
      </c>
    </row>
    <row r="2128" spans="1:19" ht="78.95" customHeight="1" x14ac:dyDescent="0.25">
      <c r="A2128" s="8" t="s">
        <v>12497</v>
      </c>
      <c r="B2128" s="8" t="s">
        <v>5693</v>
      </c>
      <c r="C2128" s="8" t="s">
        <v>12479</v>
      </c>
      <c r="D2128" s="10">
        <v>13</v>
      </c>
      <c r="E2128" s="8" t="s">
        <v>692</v>
      </c>
      <c r="F2128" s="8" t="s">
        <v>696</v>
      </c>
      <c r="G2128" s="8" t="s">
        <v>4551</v>
      </c>
      <c r="H2128" s="8" t="s">
        <v>692</v>
      </c>
      <c r="I2128" s="8" t="s">
        <v>692</v>
      </c>
      <c r="J2128" s="8"/>
      <c r="K2128" s="8"/>
      <c r="L2128" s="15" t="s">
        <v>1685</v>
      </c>
      <c r="M2128" s="8" t="s">
        <v>5578</v>
      </c>
      <c r="N2128" s="8"/>
      <c r="O2128" s="8" t="s">
        <v>5574</v>
      </c>
      <c r="P2128" s="11"/>
      <c r="Q2128" s="8"/>
      <c r="R2128" s="8" t="s">
        <v>12304</v>
      </c>
      <c r="S2128" s="8" t="s">
        <v>12498</v>
      </c>
    </row>
    <row r="2129" spans="1:19" ht="78.95" customHeight="1" x14ac:dyDescent="0.25">
      <c r="A2129" s="8" t="s">
        <v>12499</v>
      </c>
      <c r="B2129" s="8" t="s">
        <v>5693</v>
      </c>
      <c r="C2129" s="8" t="s">
        <v>12479</v>
      </c>
      <c r="D2129" s="10">
        <v>14</v>
      </c>
      <c r="E2129" s="8" t="s">
        <v>1175</v>
      </c>
      <c r="F2129" s="8" t="s">
        <v>1177</v>
      </c>
      <c r="G2129" s="8" t="s">
        <v>4551</v>
      </c>
      <c r="H2129" s="8" t="s">
        <v>1175</v>
      </c>
      <c r="I2129" s="8" t="s">
        <v>1175</v>
      </c>
      <c r="J2129" s="8"/>
      <c r="K2129" s="8"/>
      <c r="L2129" s="15" t="s">
        <v>1685</v>
      </c>
      <c r="M2129" s="8" t="s">
        <v>5578</v>
      </c>
      <c r="N2129" s="8"/>
      <c r="O2129" s="8" t="s">
        <v>5574</v>
      </c>
      <c r="P2129" s="11"/>
      <c r="Q2129" s="8"/>
      <c r="R2129" s="8" t="s">
        <v>12304</v>
      </c>
      <c r="S2129" s="8" t="s">
        <v>12500</v>
      </c>
    </row>
    <row r="2130" spans="1:19" ht="78.95" customHeight="1" x14ac:dyDescent="0.25">
      <c r="A2130" s="8" t="s">
        <v>12501</v>
      </c>
      <c r="B2130" s="8" t="s">
        <v>5693</v>
      </c>
      <c r="C2130" s="8" t="s">
        <v>12479</v>
      </c>
      <c r="D2130" s="10">
        <v>15</v>
      </c>
      <c r="E2130" s="8" t="s">
        <v>1152</v>
      </c>
      <c r="F2130" s="8" t="s">
        <v>1154</v>
      </c>
      <c r="G2130" s="8" t="s">
        <v>4551</v>
      </c>
      <c r="H2130" s="8" t="s">
        <v>1152</v>
      </c>
      <c r="I2130" s="8" t="s">
        <v>1152</v>
      </c>
      <c r="J2130" s="8"/>
      <c r="K2130" s="8"/>
      <c r="L2130" s="15" t="s">
        <v>1685</v>
      </c>
      <c r="M2130" s="8" t="s">
        <v>5578</v>
      </c>
      <c r="N2130" s="8"/>
      <c r="O2130" s="8" t="s">
        <v>5574</v>
      </c>
      <c r="P2130" s="11"/>
      <c r="Q2130" s="8"/>
      <c r="R2130" s="8" t="s">
        <v>12304</v>
      </c>
      <c r="S2130" s="8" t="s">
        <v>12502</v>
      </c>
    </row>
    <row r="2131" spans="1:19" ht="78.95" customHeight="1" x14ac:dyDescent="0.25">
      <c r="A2131" s="8" t="s">
        <v>12503</v>
      </c>
      <c r="B2131" s="8" t="s">
        <v>5693</v>
      </c>
      <c r="C2131" s="8" t="s">
        <v>12479</v>
      </c>
      <c r="D2131" s="10">
        <v>16</v>
      </c>
      <c r="E2131" s="8" t="s">
        <v>814</v>
      </c>
      <c r="F2131" s="8" t="s">
        <v>3127</v>
      </c>
      <c r="G2131" s="8" t="s">
        <v>4551</v>
      </c>
      <c r="H2131" s="8" t="s">
        <v>814</v>
      </c>
      <c r="I2131" s="8" t="s">
        <v>814</v>
      </c>
      <c r="J2131" s="8"/>
      <c r="K2131" s="8"/>
      <c r="L2131" s="15" t="s">
        <v>1685</v>
      </c>
      <c r="M2131" s="8" t="s">
        <v>5578</v>
      </c>
      <c r="N2131" s="8"/>
      <c r="O2131" s="8" t="s">
        <v>5574</v>
      </c>
      <c r="P2131" s="11"/>
      <c r="Q2131" s="8"/>
      <c r="R2131" s="8" t="s">
        <v>12304</v>
      </c>
      <c r="S2131" s="8" t="s">
        <v>12504</v>
      </c>
    </row>
    <row r="2132" spans="1:19" ht="78.95" customHeight="1" x14ac:dyDescent="0.25">
      <c r="A2132" s="8" t="s">
        <v>12505</v>
      </c>
      <c r="B2132" s="8" t="s">
        <v>5693</v>
      </c>
      <c r="C2132" s="8" t="s">
        <v>12479</v>
      </c>
      <c r="D2132" s="10">
        <v>17</v>
      </c>
      <c r="E2132" s="8" t="s">
        <v>733</v>
      </c>
      <c r="F2132" s="8" t="s">
        <v>2900</v>
      </c>
      <c r="G2132" s="8" t="s">
        <v>4551</v>
      </c>
      <c r="H2132" s="8" t="s">
        <v>733</v>
      </c>
      <c r="I2132" s="8" t="s">
        <v>733</v>
      </c>
      <c r="J2132" s="8"/>
      <c r="K2132" s="8"/>
      <c r="L2132" s="15" t="s">
        <v>1685</v>
      </c>
      <c r="M2132" s="8" t="s">
        <v>5578</v>
      </c>
      <c r="N2132" s="8"/>
      <c r="O2132" s="8" t="s">
        <v>5574</v>
      </c>
      <c r="P2132" s="11"/>
      <c r="Q2132" s="8"/>
      <c r="R2132" s="8" t="s">
        <v>12304</v>
      </c>
      <c r="S2132" s="8" t="s">
        <v>12506</v>
      </c>
    </row>
    <row r="2133" spans="1:19" ht="65.099999999999994" customHeight="1" x14ac:dyDescent="0.25">
      <c r="A2133" s="8" t="s">
        <v>12507</v>
      </c>
      <c r="B2133" s="8" t="s">
        <v>5693</v>
      </c>
      <c r="C2133" s="8" t="s">
        <v>12479</v>
      </c>
      <c r="D2133" s="10">
        <v>18</v>
      </c>
      <c r="E2133" s="8" t="s">
        <v>1109</v>
      </c>
      <c r="F2133" s="8" t="s">
        <v>1111</v>
      </c>
      <c r="G2133" s="8" t="s">
        <v>4551</v>
      </c>
      <c r="H2133" s="8" t="s">
        <v>1109</v>
      </c>
      <c r="I2133" s="8" t="s">
        <v>1109</v>
      </c>
      <c r="J2133" s="8"/>
      <c r="K2133" s="8"/>
      <c r="L2133" s="15" t="s">
        <v>1685</v>
      </c>
      <c r="M2133" s="8" t="s">
        <v>5578</v>
      </c>
      <c r="N2133" s="8"/>
      <c r="O2133" s="8" t="s">
        <v>5574</v>
      </c>
      <c r="P2133" s="11"/>
      <c r="Q2133" s="8"/>
      <c r="R2133" s="8" t="s">
        <v>12304</v>
      </c>
      <c r="S2133" s="8" t="s">
        <v>12508</v>
      </c>
    </row>
    <row r="2134" spans="1:19" ht="65.099999999999994" customHeight="1" x14ac:dyDescent="0.25">
      <c r="A2134" s="8" t="s">
        <v>12509</v>
      </c>
      <c r="B2134" s="8" t="s">
        <v>5693</v>
      </c>
      <c r="C2134" s="8" t="s">
        <v>12479</v>
      </c>
      <c r="D2134" s="10">
        <v>19</v>
      </c>
      <c r="E2134" s="8" t="s">
        <v>762</v>
      </c>
      <c r="F2134" s="8" t="s">
        <v>3062</v>
      </c>
      <c r="G2134" s="8" t="s">
        <v>4551</v>
      </c>
      <c r="H2134" s="8" t="s">
        <v>762</v>
      </c>
      <c r="I2134" s="8" t="s">
        <v>762</v>
      </c>
      <c r="J2134" s="8"/>
      <c r="K2134" s="8"/>
      <c r="L2134" s="15" t="s">
        <v>1685</v>
      </c>
      <c r="M2134" s="8" t="s">
        <v>5578</v>
      </c>
      <c r="N2134" s="8"/>
      <c r="O2134" s="8" t="s">
        <v>5574</v>
      </c>
      <c r="P2134" s="11"/>
      <c r="Q2134" s="8"/>
      <c r="R2134" s="8" t="s">
        <v>12304</v>
      </c>
      <c r="S2134" s="8" t="s">
        <v>12510</v>
      </c>
    </row>
    <row r="2135" spans="1:19" ht="78.95" customHeight="1" x14ac:dyDescent="0.25">
      <c r="A2135" s="8" t="s">
        <v>12511</v>
      </c>
      <c r="B2135" s="8" t="s">
        <v>5693</v>
      </c>
      <c r="C2135" s="8" t="s">
        <v>12479</v>
      </c>
      <c r="D2135" s="10">
        <v>20</v>
      </c>
      <c r="E2135" s="8" t="s">
        <v>534</v>
      </c>
      <c r="F2135" s="8" t="s">
        <v>537</v>
      </c>
      <c r="G2135" s="8" t="s">
        <v>4551</v>
      </c>
      <c r="H2135" s="8" t="s">
        <v>534</v>
      </c>
      <c r="I2135" s="8" t="s">
        <v>534</v>
      </c>
      <c r="J2135" s="8"/>
      <c r="K2135" s="8"/>
      <c r="L2135" s="15" t="s">
        <v>1685</v>
      </c>
      <c r="M2135" s="8" t="s">
        <v>5578</v>
      </c>
      <c r="N2135" s="8"/>
      <c r="O2135" s="8" t="s">
        <v>5574</v>
      </c>
      <c r="P2135" s="11"/>
      <c r="Q2135" s="8"/>
      <c r="R2135" s="8" t="s">
        <v>12304</v>
      </c>
      <c r="S2135" s="8" t="s">
        <v>12512</v>
      </c>
    </row>
    <row r="2136" spans="1:19" ht="65.099999999999994" customHeight="1" x14ac:dyDescent="0.25">
      <c r="A2136" s="8" t="s">
        <v>12513</v>
      </c>
      <c r="B2136" s="8" t="s">
        <v>5693</v>
      </c>
      <c r="C2136" s="8" t="s">
        <v>12479</v>
      </c>
      <c r="D2136" s="10">
        <v>21</v>
      </c>
      <c r="E2136" s="8" t="s">
        <v>853</v>
      </c>
      <c r="F2136" s="8" t="s">
        <v>857</v>
      </c>
      <c r="G2136" s="8" t="s">
        <v>4551</v>
      </c>
      <c r="H2136" s="8" t="s">
        <v>853</v>
      </c>
      <c r="I2136" s="8" t="s">
        <v>853</v>
      </c>
      <c r="J2136" s="8"/>
      <c r="K2136" s="8"/>
      <c r="L2136" s="15" t="s">
        <v>1685</v>
      </c>
      <c r="M2136" s="8" t="s">
        <v>5578</v>
      </c>
      <c r="N2136" s="8"/>
      <c r="O2136" s="8" t="s">
        <v>5574</v>
      </c>
      <c r="P2136" s="11"/>
      <c r="Q2136" s="8"/>
      <c r="R2136" s="8" t="s">
        <v>12304</v>
      </c>
      <c r="S2136" s="8" t="s">
        <v>12514</v>
      </c>
    </row>
    <row r="2137" spans="1:19" ht="78.95" customHeight="1" x14ac:dyDescent="0.25">
      <c r="A2137" s="8" t="s">
        <v>12515</v>
      </c>
      <c r="B2137" s="8" t="s">
        <v>5693</v>
      </c>
      <c r="C2137" s="8" t="s">
        <v>12479</v>
      </c>
      <c r="D2137" s="10">
        <v>22</v>
      </c>
      <c r="E2137" s="8" t="s">
        <v>664</v>
      </c>
      <c r="F2137" s="8" t="s">
        <v>2876</v>
      </c>
      <c r="G2137" s="8" t="s">
        <v>4551</v>
      </c>
      <c r="H2137" s="8" t="s">
        <v>664</v>
      </c>
      <c r="I2137" s="8" t="s">
        <v>664</v>
      </c>
      <c r="J2137" s="8"/>
      <c r="K2137" s="8"/>
      <c r="L2137" s="15" t="s">
        <v>1685</v>
      </c>
      <c r="M2137" s="8" t="s">
        <v>5578</v>
      </c>
      <c r="N2137" s="8"/>
      <c r="O2137" s="8" t="s">
        <v>5574</v>
      </c>
      <c r="P2137" s="11"/>
      <c r="Q2137" s="8"/>
      <c r="R2137" s="8" t="s">
        <v>12304</v>
      </c>
      <c r="S2137" s="8" t="s">
        <v>12516</v>
      </c>
    </row>
    <row r="2138" spans="1:19" ht="65.099999999999994" customHeight="1" x14ac:dyDescent="0.25">
      <c r="A2138" s="8" t="s">
        <v>12517</v>
      </c>
      <c r="B2138" s="8" t="s">
        <v>5693</v>
      </c>
      <c r="C2138" s="8" t="s">
        <v>12479</v>
      </c>
      <c r="D2138" s="10">
        <v>23</v>
      </c>
      <c r="E2138" s="8" t="s">
        <v>1091</v>
      </c>
      <c r="F2138" s="8" t="s">
        <v>1093</v>
      </c>
      <c r="G2138" s="8" t="s">
        <v>4551</v>
      </c>
      <c r="H2138" s="8" t="s">
        <v>1091</v>
      </c>
      <c r="I2138" s="8" t="s">
        <v>1091</v>
      </c>
      <c r="J2138" s="8"/>
      <c r="K2138" s="8"/>
      <c r="L2138" s="15" t="s">
        <v>1685</v>
      </c>
      <c r="M2138" s="8" t="s">
        <v>5578</v>
      </c>
      <c r="N2138" s="8"/>
      <c r="O2138" s="8" t="s">
        <v>5574</v>
      </c>
      <c r="P2138" s="11"/>
      <c r="Q2138" s="8"/>
      <c r="R2138" s="8" t="s">
        <v>12304</v>
      </c>
      <c r="S2138" s="8" t="s">
        <v>12518</v>
      </c>
    </row>
    <row r="2139" spans="1:19" ht="65.099999999999994" customHeight="1" x14ac:dyDescent="0.25">
      <c r="A2139" s="8" t="s">
        <v>12519</v>
      </c>
      <c r="B2139" s="8" t="s">
        <v>5693</v>
      </c>
      <c r="C2139" s="8" t="s">
        <v>12479</v>
      </c>
      <c r="D2139" s="10">
        <v>24</v>
      </c>
      <c r="E2139" s="8" t="s">
        <v>407</v>
      </c>
      <c r="F2139" s="8" t="s">
        <v>2896</v>
      </c>
      <c r="G2139" s="8" t="s">
        <v>4551</v>
      </c>
      <c r="H2139" s="8" t="s">
        <v>407</v>
      </c>
      <c r="I2139" s="8" t="s">
        <v>407</v>
      </c>
      <c r="J2139" s="8"/>
      <c r="K2139" s="8"/>
      <c r="L2139" s="15" t="s">
        <v>1685</v>
      </c>
      <c r="M2139" s="8" t="s">
        <v>5578</v>
      </c>
      <c r="N2139" s="8"/>
      <c r="O2139" s="8" t="s">
        <v>5574</v>
      </c>
      <c r="P2139" s="11"/>
      <c r="Q2139" s="8"/>
      <c r="R2139" s="8" t="s">
        <v>12304</v>
      </c>
      <c r="S2139" s="8" t="s">
        <v>12520</v>
      </c>
    </row>
    <row r="2140" spans="1:19" ht="78.95" customHeight="1" x14ac:dyDescent="0.25">
      <c r="A2140" s="8" t="s">
        <v>12521</v>
      </c>
      <c r="B2140" s="8" t="s">
        <v>5693</v>
      </c>
      <c r="C2140" s="8" t="s">
        <v>12479</v>
      </c>
      <c r="D2140" s="10">
        <v>25</v>
      </c>
      <c r="E2140" s="8" t="s">
        <v>423</v>
      </c>
      <c r="F2140" s="8" t="s">
        <v>5720</v>
      </c>
      <c r="G2140" s="8" t="s">
        <v>4551</v>
      </c>
      <c r="H2140" s="8" t="s">
        <v>423</v>
      </c>
      <c r="I2140" s="8" t="s">
        <v>423</v>
      </c>
      <c r="J2140" s="8"/>
      <c r="K2140" s="8"/>
      <c r="L2140" s="15" t="s">
        <v>1685</v>
      </c>
      <c r="M2140" s="8" t="s">
        <v>5578</v>
      </c>
      <c r="N2140" s="8"/>
      <c r="O2140" s="8" t="s">
        <v>5574</v>
      </c>
      <c r="P2140" s="11"/>
      <c r="Q2140" s="8"/>
      <c r="R2140" s="8" t="s">
        <v>12304</v>
      </c>
      <c r="S2140" s="8" t="s">
        <v>12522</v>
      </c>
    </row>
    <row r="2141" spans="1:19" ht="65.099999999999994" customHeight="1" x14ac:dyDescent="0.25">
      <c r="A2141" s="8" t="s">
        <v>12523</v>
      </c>
      <c r="B2141" s="8" t="s">
        <v>5693</v>
      </c>
      <c r="C2141" s="8" t="s">
        <v>12479</v>
      </c>
      <c r="D2141" s="10">
        <v>26</v>
      </c>
      <c r="E2141" s="8" t="s">
        <v>1167</v>
      </c>
      <c r="F2141" s="8" t="s">
        <v>1169</v>
      </c>
      <c r="G2141" s="8" t="s">
        <v>4551</v>
      </c>
      <c r="H2141" s="8" t="s">
        <v>1167</v>
      </c>
      <c r="I2141" s="8" t="s">
        <v>1167</v>
      </c>
      <c r="J2141" s="8"/>
      <c r="K2141" s="8"/>
      <c r="L2141" s="15" t="s">
        <v>1685</v>
      </c>
      <c r="M2141" s="8" t="s">
        <v>5578</v>
      </c>
      <c r="N2141" s="8"/>
      <c r="O2141" s="8" t="s">
        <v>5574</v>
      </c>
      <c r="P2141" s="11"/>
      <c r="Q2141" s="8"/>
      <c r="R2141" s="8" t="s">
        <v>12304</v>
      </c>
      <c r="S2141" s="8" t="s">
        <v>12524</v>
      </c>
    </row>
    <row r="2142" spans="1:19" ht="78.95" customHeight="1" x14ac:dyDescent="0.25">
      <c r="A2142" s="8" t="s">
        <v>12525</v>
      </c>
      <c r="B2142" s="8" t="s">
        <v>5693</v>
      </c>
      <c r="C2142" s="8" t="s">
        <v>12479</v>
      </c>
      <c r="D2142" s="10">
        <v>27</v>
      </c>
      <c r="E2142" s="8" t="s">
        <v>1188</v>
      </c>
      <c r="F2142" s="8" t="s">
        <v>1190</v>
      </c>
      <c r="G2142" s="8" t="s">
        <v>4551</v>
      </c>
      <c r="H2142" s="8" t="s">
        <v>1188</v>
      </c>
      <c r="I2142" s="8" t="s">
        <v>1188</v>
      </c>
      <c r="J2142" s="8"/>
      <c r="K2142" s="8"/>
      <c r="L2142" s="15" t="s">
        <v>1685</v>
      </c>
      <c r="M2142" s="8" t="s">
        <v>5578</v>
      </c>
      <c r="N2142" s="8"/>
      <c r="O2142" s="8" t="s">
        <v>5574</v>
      </c>
      <c r="P2142" s="11"/>
      <c r="Q2142" s="8"/>
      <c r="R2142" s="8" t="s">
        <v>12304</v>
      </c>
      <c r="S2142" s="8" t="s">
        <v>12526</v>
      </c>
    </row>
    <row r="2143" spans="1:19" ht="78.95" customHeight="1" x14ac:dyDescent="0.25">
      <c r="A2143" s="8" t="s">
        <v>12527</v>
      </c>
      <c r="B2143" s="8" t="s">
        <v>5693</v>
      </c>
      <c r="C2143" s="8" t="s">
        <v>12479</v>
      </c>
      <c r="D2143" s="10">
        <v>28</v>
      </c>
      <c r="E2143" s="8" t="s">
        <v>744</v>
      </c>
      <c r="F2143" s="8" t="s">
        <v>748</v>
      </c>
      <c r="G2143" s="8" t="s">
        <v>4551</v>
      </c>
      <c r="H2143" s="8" t="s">
        <v>744</v>
      </c>
      <c r="I2143" s="8" t="s">
        <v>744</v>
      </c>
      <c r="J2143" s="8"/>
      <c r="K2143" s="8"/>
      <c r="L2143" s="15" t="s">
        <v>1685</v>
      </c>
      <c r="M2143" s="8" t="s">
        <v>5578</v>
      </c>
      <c r="N2143" s="8"/>
      <c r="O2143" s="8" t="s">
        <v>5574</v>
      </c>
      <c r="P2143" s="11"/>
      <c r="Q2143" s="8"/>
      <c r="R2143" s="8" t="s">
        <v>12304</v>
      </c>
      <c r="S2143" s="8" t="s">
        <v>12528</v>
      </c>
    </row>
    <row r="2144" spans="1:19" ht="78.95" customHeight="1" x14ac:dyDescent="0.25">
      <c r="A2144" s="8" t="s">
        <v>12529</v>
      </c>
      <c r="B2144" s="8" t="s">
        <v>5693</v>
      </c>
      <c r="C2144" s="8" t="s">
        <v>12479</v>
      </c>
      <c r="D2144" s="10">
        <v>29</v>
      </c>
      <c r="E2144" s="8" t="s">
        <v>1133</v>
      </c>
      <c r="F2144" s="8" t="s">
        <v>1135</v>
      </c>
      <c r="G2144" s="8" t="s">
        <v>4551</v>
      </c>
      <c r="H2144" s="8" t="s">
        <v>1133</v>
      </c>
      <c r="I2144" s="8" t="s">
        <v>1133</v>
      </c>
      <c r="J2144" s="8"/>
      <c r="K2144" s="8"/>
      <c r="L2144" s="15" t="s">
        <v>1685</v>
      </c>
      <c r="M2144" s="8" t="s">
        <v>5578</v>
      </c>
      <c r="N2144" s="8"/>
      <c r="O2144" s="8" t="s">
        <v>5574</v>
      </c>
      <c r="P2144" s="11"/>
      <c r="Q2144" s="8"/>
      <c r="R2144" s="8" t="s">
        <v>12304</v>
      </c>
      <c r="S2144" s="8" t="s">
        <v>12530</v>
      </c>
    </row>
    <row r="2145" spans="1:19" ht="78.95" customHeight="1" x14ac:dyDescent="0.25">
      <c r="A2145" s="8" t="s">
        <v>12531</v>
      </c>
      <c r="B2145" s="8" t="s">
        <v>5693</v>
      </c>
      <c r="C2145" s="8" t="s">
        <v>12479</v>
      </c>
      <c r="D2145" s="10">
        <v>30</v>
      </c>
      <c r="E2145" s="8" t="s">
        <v>1118</v>
      </c>
      <c r="F2145" s="8" t="s">
        <v>1120</v>
      </c>
      <c r="G2145" s="8" t="s">
        <v>4551</v>
      </c>
      <c r="H2145" s="8" t="s">
        <v>1118</v>
      </c>
      <c r="I2145" s="8" t="s">
        <v>1118</v>
      </c>
      <c r="J2145" s="8"/>
      <c r="K2145" s="8"/>
      <c r="L2145" s="15" t="s">
        <v>1685</v>
      </c>
      <c r="M2145" s="8" t="s">
        <v>5578</v>
      </c>
      <c r="N2145" s="8"/>
      <c r="O2145" s="8" t="s">
        <v>5574</v>
      </c>
      <c r="P2145" s="11"/>
      <c r="Q2145" s="8"/>
      <c r="R2145" s="8" t="s">
        <v>12304</v>
      </c>
      <c r="S2145" s="8" t="s">
        <v>12532</v>
      </c>
    </row>
    <row r="2146" spans="1:19" ht="78.95" customHeight="1" x14ac:dyDescent="0.25">
      <c r="A2146" s="8" t="s">
        <v>12533</v>
      </c>
      <c r="B2146" s="8" t="s">
        <v>5693</v>
      </c>
      <c r="C2146" s="8" t="s">
        <v>12479</v>
      </c>
      <c r="D2146" s="10">
        <v>31</v>
      </c>
      <c r="E2146" s="8" t="s">
        <v>572</v>
      </c>
      <c r="F2146" s="8" t="s">
        <v>576</v>
      </c>
      <c r="G2146" s="8" t="s">
        <v>4551</v>
      </c>
      <c r="H2146" s="8" t="s">
        <v>572</v>
      </c>
      <c r="I2146" s="8" t="s">
        <v>572</v>
      </c>
      <c r="J2146" s="8"/>
      <c r="K2146" s="8"/>
      <c r="L2146" s="15" t="s">
        <v>1685</v>
      </c>
      <c r="M2146" s="8" t="s">
        <v>5578</v>
      </c>
      <c r="N2146" s="8"/>
      <c r="O2146" s="8" t="s">
        <v>5574</v>
      </c>
      <c r="P2146" s="11"/>
      <c r="Q2146" s="8"/>
      <c r="R2146" s="8" t="s">
        <v>12304</v>
      </c>
      <c r="S2146" s="8" t="s">
        <v>12534</v>
      </c>
    </row>
    <row r="2147" spans="1:19" ht="78.95" customHeight="1" x14ac:dyDescent="0.25">
      <c r="A2147" s="8" t="s">
        <v>12535</v>
      </c>
      <c r="B2147" s="8" t="s">
        <v>5693</v>
      </c>
      <c r="C2147" s="8" t="s">
        <v>12479</v>
      </c>
      <c r="D2147" s="10">
        <v>32</v>
      </c>
      <c r="E2147" s="8" t="s">
        <v>1123</v>
      </c>
      <c r="F2147" s="8" t="s">
        <v>1125</v>
      </c>
      <c r="G2147" s="8" t="s">
        <v>4551</v>
      </c>
      <c r="H2147" s="8" t="s">
        <v>1123</v>
      </c>
      <c r="I2147" s="8" t="s">
        <v>1123</v>
      </c>
      <c r="J2147" s="8"/>
      <c r="K2147" s="8"/>
      <c r="L2147" s="15" t="s">
        <v>1685</v>
      </c>
      <c r="M2147" s="8" t="s">
        <v>5578</v>
      </c>
      <c r="N2147" s="8"/>
      <c r="O2147" s="8" t="s">
        <v>5574</v>
      </c>
      <c r="P2147" s="11"/>
      <c r="Q2147" s="8"/>
      <c r="R2147" s="8" t="s">
        <v>12304</v>
      </c>
      <c r="S2147" s="8" t="s">
        <v>12536</v>
      </c>
    </row>
    <row r="2148" spans="1:19" ht="65.099999999999994" customHeight="1" x14ac:dyDescent="0.25">
      <c r="A2148" s="8" t="s">
        <v>12537</v>
      </c>
      <c r="B2148" s="8" t="s">
        <v>5693</v>
      </c>
      <c r="C2148" s="8" t="s">
        <v>12479</v>
      </c>
      <c r="D2148" s="10">
        <v>33</v>
      </c>
      <c r="E2148" s="8" t="s">
        <v>825</v>
      </c>
      <c r="F2148" s="8" t="s">
        <v>829</v>
      </c>
      <c r="G2148" s="8" t="s">
        <v>4551</v>
      </c>
      <c r="H2148" s="8" t="s">
        <v>825</v>
      </c>
      <c r="I2148" s="8" t="s">
        <v>825</v>
      </c>
      <c r="J2148" s="8"/>
      <c r="K2148" s="8"/>
      <c r="L2148" s="15" t="s">
        <v>1685</v>
      </c>
      <c r="M2148" s="8" t="s">
        <v>5578</v>
      </c>
      <c r="N2148" s="8"/>
      <c r="O2148" s="8" t="s">
        <v>5574</v>
      </c>
      <c r="P2148" s="11"/>
      <c r="Q2148" s="8"/>
      <c r="R2148" s="8" t="s">
        <v>12304</v>
      </c>
      <c r="S2148" s="8" t="s">
        <v>12538</v>
      </c>
    </row>
    <row r="2149" spans="1:19" ht="78.95" customHeight="1" x14ac:dyDescent="0.25">
      <c r="A2149" s="8" t="s">
        <v>12539</v>
      </c>
      <c r="B2149" s="8" t="s">
        <v>5693</v>
      </c>
      <c r="C2149" s="8" t="s">
        <v>12479</v>
      </c>
      <c r="D2149" s="10">
        <v>34</v>
      </c>
      <c r="E2149" s="8" t="s">
        <v>1234</v>
      </c>
      <c r="F2149" s="8" t="s">
        <v>1236</v>
      </c>
      <c r="G2149" s="8" t="s">
        <v>4551</v>
      </c>
      <c r="H2149" s="8" t="s">
        <v>1234</v>
      </c>
      <c r="I2149" s="8" t="s">
        <v>1234</v>
      </c>
      <c r="J2149" s="8"/>
      <c r="K2149" s="8"/>
      <c r="L2149" s="15" t="s">
        <v>1685</v>
      </c>
      <c r="M2149" s="8" t="s">
        <v>5578</v>
      </c>
      <c r="N2149" s="8"/>
      <c r="O2149" s="8" t="s">
        <v>5574</v>
      </c>
      <c r="P2149" s="11"/>
      <c r="Q2149" s="8"/>
      <c r="R2149" s="8" t="s">
        <v>12304</v>
      </c>
      <c r="S2149" s="8" t="s">
        <v>12540</v>
      </c>
    </row>
    <row r="2150" spans="1:19" ht="78.95" customHeight="1" x14ac:dyDescent="0.25">
      <c r="A2150" s="8" t="s">
        <v>12541</v>
      </c>
      <c r="B2150" s="8" t="s">
        <v>5693</v>
      </c>
      <c r="C2150" s="8" t="s">
        <v>12479</v>
      </c>
      <c r="D2150" s="10">
        <v>35</v>
      </c>
      <c r="E2150" s="8" t="s">
        <v>518</v>
      </c>
      <c r="F2150" s="8" t="s">
        <v>522</v>
      </c>
      <c r="G2150" s="8" t="s">
        <v>4551</v>
      </c>
      <c r="H2150" s="8" t="s">
        <v>518</v>
      </c>
      <c r="I2150" s="8" t="s">
        <v>518</v>
      </c>
      <c r="J2150" s="8"/>
      <c r="K2150" s="8"/>
      <c r="L2150" s="15" t="s">
        <v>1685</v>
      </c>
      <c r="M2150" s="8" t="s">
        <v>5578</v>
      </c>
      <c r="N2150" s="8"/>
      <c r="O2150" s="8" t="s">
        <v>5574</v>
      </c>
      <c r="P2150" s="11"/>
      <c r="Q2150" s="8"/>
      <c r="R2150" s="8" t="s">
        <v>12304</v>
      </c>
      <c r="S2150" s="8" t="s">
        <v>12542</v>
      </c>
    </row>
    <row r="2151" spans="1:19" ht="78.95" customHeight="1" x14ac:dyDescent="0.25">
      <c r="A2151" s="8" t="s">
        <v>12543</v>
      </c>
      <c r="B2151" s="8" t="s">
        <v>5693</v>
      </c>
      <c r="C2151" s="8" t="s">
        <v>12479</v>
      </c>
      <c r="D2151" s="10">
        <v>36</v>
      </c>
      <c r="E2151" s="8" t="s">
        <v>1082</v>
      </c>
      <c r="F2151" s="8" t="s">
        <v>1083</v>
      </c>
      <c r="G2151" s="8" t="s">
        <v>4551</v>
      </c>
      <c r="H2151" s="8" t="s">
        <v>1082</v>
      </c>
      <c r="I2151" s="8" t="s">
        <v>1082</v>
      </c>
      <c r="J2151" s="8"/>
      <c r="K2151" s="8"/>
      <c r="L2151" s="15" t="s">
        <v>1685</v>
      </c>
      <c r="M2151" s="8" t="s">
        <v>5578</v>
      </c>
      <c r="N2151" s="8"/>
      <c r="O2151" s="8" t="s">
        <v>5574</v>
      </c>
      <c r="P2151" s="11"/>
      <c r="Q2151" s="8"/>
      <c r="R2151" s="8" t="s">
        <v>12304</v>
      </c>
      <c r="S2151" s="8" t="s">
        <v>12544</v>
      </c>
    </row>
    <row r="2152" spans="1:19" ht="78.95" customHeight="1" x14ac:dyDescent="0.25">
      <c r="A2152" s="8" t="s">
        <v>12545</v>
      </c>
      <c r="B2152" s="8" t="s">
        <v>5693</v>
      </c>
      <c r="C2152" s="8" t="s">
        <v>12479</v>
      </c>
      <c r="D2152" s="10">
        <v>37</v>
      </c>
      <c r="E2152" s="8" t="s">
        <v>1128</v>
      </c>
      <c r="F2152" s="8" t="s">
        <v>1130</v>
      </c>
      <c r="G2152" s="8" t="s">
        <v>4551</v>
      </c>
      <c r="H2152" s="8" t="s">
        <v>1128</v>
      </c>
      <c r="I2152" s="8" t="s">
        <v>1128</v>
      </c>
      <c r="J2152" s="8"/>
      <c r="K2152" s="8"/>
      <c r="L2152" s="15" t="s">
        <v>1685</v>
      </c>
      <c r="M2152" s="8" t="s">
        <v>5578</v>
      </c>
      <c r="N2152" s="8"/>
      <c r="O2152" s="8" t="s">
        <v>5574</v>
      </c>
      <c r="P2152" s="11"/>
      <c r="Q2152" s="8"/>
      <c r="R2152" s="8" t="s">
        <v>12304</v>
      </c>
      <c r="S2152" s="8" t="s">
        <v>12546</v>
      </c>
    </row>
    <row r="2153" spans="1:19" ht="78.95" customHeight="1" x14ac:dyDescent="0.25">
      <c r="A2153" s="8" t="s">
        <v>12547</v>
      </c>
      <c r="B2153" s="8" t="s">
        <v>5693</v>
      </c>
      <c r="C2153" s="8" t="s">
        <v>12479</v>
      </c>
      <c r="D2153" s="10">
        <v>38</v>
      </c>
      <c r="E2153" s="8" t="s">
        <v>1050</v>
      </c>
      <c r="F2153" s="8" t="s">
        <v>1052</v>
      </c>
      <c r="G2153" s="8" t="s">
        <v>4551</v>
      </c>
      <c r="H2153" s="8" t="s">
        <v>1050</v>
      </c>
      <c r="I2153" s="8" t="s">
        <v>1050</v>
      </c>
      <c r="J2153" s="8"/>
      <c r="K2153" s="8"/>
      <c r="L2153" s="15" t="s">
        <v>1685</v>
      </c>
      <c r="M2153" s="8" t="s">
        <v>5578</v>
      </c>
      <c r="N2153" s="8"/>
      <c r="O2153" s="8" t="s">
        <v>5574</v>
      </c>
      <c r="P2153" s="11"/>
      <c r="Q2153" s="8"/>
      <c r="R2153" s="8" t="s">
        <v>12304</v>
      </c>
      <c r="S2153" s="8" t="s">
        <v>12548</v>
      </c>
    </row>
    <row r="2154" spans="1:19" ht="78.95" customHeight="1" x14ac:dyDescent="0.25">
      <c r="A2154" s="8" t="s">
        <v>12549</v>
      </c>
      <c r="B2154" s="8" t="s">
        <v>5693</v>
      </c>
      <c r="C2154" s="8" t="s">
        <v>12479</v>
      </c>
      <c r="D2154" s="10">
        <v>39</v>
      </c>
      <c r="E2154" s="8" t="s">
        <v>1184</v>
      </c>
      <c r="F2154" s="8" t="s">
        <v>1185</v>
      </c>
      <c r="G2154" s="8" t="s">
        <v>4551</v>
      </c>
      <c r="H2154" s="8" t="s">
        <v>1184</v>
      </c>
      <c r="I2154" s="8" t="s">
        <v>1184</v>
      </c>
      <c r="J2154" s="8"/>
      <c r="K2154" s="8"/>
      <c r="L2154" s="15" t="s">
        <v>1685</v>
      </c>
      <c r="M2154" s="8" t="s">
        <v>5578</v>
      </c>
      <c r="N2154" s="8"/>
      <c r="O2154" s="8" t="s">
        <v>5574</v>
      </c>
      <c r="P2154" s="11"/>
      <c r="Q2154" s="8"/>
      <c r="R2154" s="8" t="s">
        <v>12304</v>
      </c>
      <c r="S2154" s="8" t="s">
        <v>12550</v>
      </c>
    </row>
    <row r="2155" spans="1:19" ht="78.95" customHeight="1" x14ac:dyDescent="0.25">
      <c r="A2155" s="8" t="s">
        <v>12551</v>
      </c>
      <c r="B2155" s="8" t="s">
        <v>5693</v>
      </c>
      <c r="C2155" s="8" t="s">
        <v>12479</v>
      </c>
      <c r="D2155" s="10">
        <v>40</v>
      </c>
      <c r="E2155" s="8" t="s">
        <v>475</v>
      </c>
      <c r="F2155" s="8" t="s">
        <v>2850</v>
      </c>
      <c r="G2155" s="8" t="s">
        <v>4551</v>
      </c>
      <c r="H2155" s="8" t="s">
        <v>475</v>
      </c>
      <c r="I2155" s="8" t="s">
        <v>475</v>
      </c>
      <c r="J2155" s="8"/>
      <c r="K2155" s="8"/>
      <c r="L2155" s="15" t="s">
        <v>1685</v>
      </c>
      <c r="M2155" s="8" t="s">
        <v>5578</v>
      </c>
      <c r="N2155" s="8"/>
      <c r="O2155" s="8" t="s">
        <v>5574</v>
      </c>
      <c r="P2155" s="11"/>
      <c r="Q2155" s="8"/>
      <c r="R2155" s="8" t="s">
        <v>12304</v>
      </c>
      <c r="S2155" s="8" t="s">
        <v>12552</v>
      </c>
    </row>
    <row r="2156" spans="1:19" ht="65.099999999999994" customHeight="1" x14ac:dyDescent="0.25">
      <c r="A2156" s="8" t="s">
        <v>12553</v>
      </c>
      <c r="B2156" s="8" t="s">
        <v>5693</v>
      </c>
      <c r="C2156" s="8" t="s">
        <v>12479</v>
      </c>
      <c r="D2156" s="10">
        <v>41</v>
      </c>
      <c r="E2156" s="8" t="s">
        <v>1206</v>
      </c>
      <c r="F2156" s="8" t="s">
        <v>1207</v>
      </c>
      <c r="G2156" s="8" t="s">
        <v>4551</v>
      </c>
      <c r="H2156" s="8" t="s">
        <v>1206</v>
      </c>
      <c r="I2156" s="8" t="s">
        <v>1206</v>
      </c>
      <c r="J2156" s="8"/>
      <c r="K2156" s="8"/>
      <c r="L2156" s="15" t="s">
        <v>1685</v>
      </c>
      <c r="M2156" s="8" t="s">
        <v>5578</v>
      </c>
      <c r="N2156" s="8"/>
      <c r="O2156" s="8" t="s">
        <v>5574</v>
      </c>
      <c r="P2156" s="11"/>
      <c r="Q2156" s="8"/>
      <c r="R2156" s="8" t="s">
        <v>12304</v>
      </c>
      <c r="S2156" s="8" t="s">
        <v>12554</v>
      </c>
    </row>
    <row r="2157" spans="1:19" ht="78.95" customHeight="1" x14ac:dyDescent="0.25">
      <c r="A2157" s="8" t="s">
        <v>12555</v>
      </c>
      <c r="B2157" s="8" t="s">
        <v>5693</v>
      </c>
      <c r="C2157" s="8" t="s">
        <v>12479</v>
      </c>
      <c r="D2157" s="10">
        <v>42</v>
      </c>
      <c r="E2157" s="8" t="s">
        <v>1138</v>
      </c>
      <c r="F2157" s="8" t="s">
        <v>1139</v>
      </c>
      <c r="G2157" s="8" t="s">
        <v>4551</v>
      </c>
      <c r="H2157" s="8" t="s">
        <v>1138</v>
      </c>
      <c r="I2157" s="8" t="s">
        <v>1138</v>
      </c>
      <c r="J2157" s="8"/>
      <c r="K2157" s="8"/>
      <c r="L2157" s="15" t="s">
        <v>1685</v>
      </c>
      <c r="M2157" s="8" t="s">
        <v>5578</v>
      </c>
      <c r="N2157" s="8"/>
      <c r="O2157" s="8" t="s">
        <v>5574</v>
      </c>
      <c r="P2157" s="11"/>
      <c r="Q2157" s="8"/>
      <c r="R2157" s="8" t="s">
        <v>12304</v>
      </c>
      <c r="S2157" s="8" t="s">
        <v>12556</v>
      </c>
    </row>
    <row r="2158" spans="1:19" ht="78.95" customHeight="1" x14ac:dyDescent="0.25">
      <c r="A2158" s="8" t="s">
        <v>12557</v>
      </c>
      <c r="B2158" s="8" t="s">
        <v>5693</v>
      </c>
      <c r="C2158" s="8" t="s">
        <v>12479</v>
      </c>
      <c r="D2158" s="10">
        <v>43</v>
      </c>
      <c r="E2158" s="8" t="s">
        <v>1157</v>
      </c>
      <c r="F2158" s="8" t="s">
        <v>1159</v>
      </c>
      <c r="G2158" s="8" t="s">
        <v>4551</v>
      </c>
      <c r="H2158" s="8" t="s">
        <v>1157</v>
      </c>
      <c r="I2158" s="8" t="s">
        <v>1157</v>
      </c>
      <c r="J2158" s="8"/>
      <c r="K2158" s="8"/>
      <c r="L2158" s="15" t="s">
        <v>1685</v>
      </c>
      <c r="M2158" s="8" t="s">
        <v>5578</v>
      </c>
      <c r="N2158" s="8"/>
      <c r="O2158" s="8" t="s">
        <v>5574</v>
      </c>
      <c r="P2158" s="11"/>
      <c r="Q2158" s="8"/>
      <c r="R2158" s="8" t="s">
        <v>12304</v>
      </c>
      <c r="S2158" s="8" t="s">
        <v>12558</v>
      </c>
    </row>
    <row r="2159" spans="1:19" ht="78.95" customHeight="1" x14ac:dyDescent="0.25">
      <c r="A2159" s="8" t="s">
        <v>12559</v>
      </c>
      <c r="B2159" s="8" t="s">
        <v>5693</v>
      </c>
      <c r="C2159" s="8" t="s">
        <v>12479</v>
      </c>
      <c r="D2159" s="10">
        <v>44</v>
      </c>
      <c r="E2159" s="8" t="s">
        <v>672</v>
      </c>
      <c r="F2159" s="8" t="s">
        <v>673</v>
      </c>
      <c r="G2159" s="8" t="s">
        <v>4551</v>
      </c>
      <c r="H2159" s="8" t="s">
        <v>672</v>
      </c>
      <c r="I2159" s="8" t="s">
        <v>672</v>
      </c>
      <c r="J2159" s="8"/>
      <c r="K2159" s="8"/>
      <c r="L2159" s="15" t="s">
        <v>1685</v>
      </c>
      <c r="M2159" s="8" t="s">
        <v>5578</v>
      </c>
      <c r="N2159" s="8"/>
      <c r="O2159" s="8" t="s">
        <v>5574</v>
      </c>
      <c r="P2159" s="11"/>
      <c r="Q2159" s="8"/>
      <c r="R2159" s="8" t="s">
        <v>12304</v>
      </c>
      <c r="S2159" s="8" t="s">
        <v>12560</v>
      </c>
    </row>
    <row r="2160" spans="1:19" ht="78.95" customHeight="1" x14ac:dyDescent="0.25">
      <c r="A2160" s="8" t="s">
        <v>12561</v>
      </c>
      <c r="B2160" s="8" t="s">
        <v>5693</v>
      </c>
      <c r="C2160" s="8" t="s">
        <v>12479</v>
      </c>
      <c r="D2160" s="10">
        <v>45</v>
      </c>
      <c r="E2160" s="8" t="s">
        <v>1105</v>
      </c>
      <c r="F2160" s="8" t="s">
        <v>1106</v>
      </c>
      <c r="G2160" s="8" t="s">
        <v>4551</v>
      </c>
      <c r="H2160" s="8" t="s">
        <v>1105</v>
      </c>
      <c r="I2160" s="8" t="s">
        <v>1105</v>
      </c>
      <c r="J2160" s="8"/>
      <c r="K2160" s="8"/>
      <c r="L2160" s="15" t="s">
        <v>1685</v>
      </c>
      <c r="M2160" s="8" t="s">
        <v>5578</v>
      </c>
      <c r="N2160" s="8"/>
      <c r="O2160" s="8" t="s">
        <v>5574</v>
      </c>
      <c r="P2160" s="11"/>
      <c r="Q2160" s="8"/>
      <c r="R2160" s="8" t="s">
        <v>12304</v>
      </c>
      <c r="S2160" s="8" t="s">
        <v>12562</v>
      </c>
    </row>
    <row r="2161" spans="1:19" ht="78.95" customHeight="1" x14ac:dyDescent="0.25">
      <c r="A2161" s="8" t="s">
        <v>12563</v>
      </c>
      <c r="B2161" s="8" t="s">
        <v>5693</v>
      </c>
      <c r="C2161" s="8" t="s">
        <v>12479</v>
      </c>
      <c r="D2161" s="10">
        <v>46</v>
      </c>
      <c r="E2161" s="8" t="s">
        <v>1114</v>
      </c>
      <c r="F2161" s="8" t="s">
        <v>1115</v>
      </c>
      <c r="G2161" s="8" t="s">
        <v>4551</v>
      </c>
      <c r="H2161" s="8" t="s">
        <v>1114</v>
      </c>
      <c r="I2161" s="8" t="s">
        <v>1114</v>
      </c>
      <c r="J2161" s="8"/>
      <c r="K2161" s="8"/>
      <c r="L2161" s="15" t="s">
        <v>1685</v>
      </c>
      <c r="M2161" s="8" t="s">
        <v>5578</v>
      </c>
      <c r="N2161" s="8"/>
      <c r="O2161" s="8" t="s">
        <v>5574</v>
      </c>
      <c r="P2161" s="11"/>
      <c r="Q2161" s="8"/>
      <c r="R2161" s="8" t="s">
        <v>12304</v>
      </c>
      <c r="S2161" s="8" t="s">
        <v>12564</v>
      </c>
    </row>
    <row r="2162" spans="1:19" ht="78.95" customHeight="1" x14ac:dyDescent="0.25">
      <c r="A2162" s="8" t="s">
        <v>12565</v>
      </c>
      <c r="B2162" s="8" t="s">
        <v>5693</v>
      </c>
      <c r="C2162" s="8" t="s">
        <v>12479</v>
      </c>
      <c r="D2162" s="10">
        <v>47</v>
      </c>
      <c r="E2162" s="8" t="s">
        <v>1210</v>
      </c>
      <c r="F2162" s="8" t="s">
        <v>1212</v>
      </c>
      <c r="G2162" s="8" t="s">
        <v>4551</v>
      </c>
      <c r="H2162" s="8" t="s">
        <v>1210</v>
      </c>
      <c r="I2162" s="8" t="s">
        <v>1210</v>
      </c>
      <c r="J2162" s="8"/>
      <c r="K2162" s="8"/>
      <c r="L2162" s="15" t="s">
        <v>1685</v>
      </c>
      <c r="M2162" s="8" t="s">
        <v>5578</v>
      </c>
      <c r="N2162" s="8"/>
      <c r="O2162" s="8" t="s">
        <v>5574</v>
      </c>
      <c r="P2162" s="11"/>
      <c r="Q2162" s="8"/>
      <c r="R2162" s="8" t="s">
        <v>12304</v>
      </c>
      <c r="S2162" s="8" t="s">
        <v>12566</v>
      </c>
    </row>
    <row r="2163" spans="1:19" ht="65.099999999999994" customHeight="1" x14ac:dyDescent="0.25">
      <c r="A2163" s="8" t="s">
        <v>12567</v>
      </c>
      <c r="B2163" s="8" t="s">
        <v>5693</v>
      </c>
      <c r="C2163" s="8" t="s">
        <v>12479</v>
      </c>
      <c r="D2163" s="10">
        <v>48</v>
      </c>
      <c r="E2163" s="8" t="s">
        <v>701</v>
      </c>
      <c r="F2163" s="8" t="s">
        <v>3156</v>
      </c>
      <c r="G2163" s="8" t="s">
        <v>4551</v>
      </c>
      <c r="H2163" s="8" t="s">
        <v>701</v>
      </c>
      <c r="I2163" s="8" t="s">
        <v>701</v>
      </c>
      <c r="J2163" s="8"/>
      <c r="K2163" s="8"/>
      <c r="L2163" s="15" t="s">
        <v>1685</v>
      </c>
      <c r="M2163" s="8" t="s">
        <v>5578</v>
      </c>
      <c r="N2163" s="8"/>
      <c r="O2163" s="8" t="s">
        <v>5574</v>
      </c>
      <c r="P2163" s="11"/>
      <c r="Q2163" s="8"/>
      <c r="R2163" s="8" t="s">
        <v>12304</v>
      </c>
      <c r="S2163" s="8" t="s">
        <v>12568</v>
      </c>
    </row>
    <row r="2164" spans="1:19" ht="78.95" customHeight="1" x14ac:dyDescent="0.25">
      <c r="A2164" s="8" t="s">
        <v>12569</v>
      </c>
      <c r="B2164" s="8" t="s">
        <v>5693</v>
      </c>
      <c r="C2164" s="8" t="s">
        <v>12479</v>
      </c>
      <c r="D2164" s="10">
        <v>49</v>
      </c>
      <c r="E2164" s="8" t="s">
        <v>587</v>
      </c>
      <c r="F2164" s="8" t="s">
        <v>3166</v>
      </c>
      <c r="G2164" s="8" t="s">
        <v>4551</v>
      </c>
      <c r="H2164" s="8" t="s">
        <v>587</v>
      </c>
      <c r="I2164" s="8" t="s">
        <v>587</v>
      </c>
      <c r="J2164" s="8"/>
      <c r="K2164" s="8"/>
      <c r="L2164" s="15" t="s">
        <v>1685</v>
      </c>
      <c r="M2164" s="8" t="s">
        <v>5578</v>
      </c>
      <c r="N2164" s="8"/>
      <c r="O2164" s="8" t="s">
        <v>5574</v>
      </c>
      <c r="P2164" s="11"/>
      <c r="Q2164" s="8"/>
      <c r="R2164" s="8" t="s">
        <v>12304</v>
      </c>
      <c r="S2164" s="8" t="s">
        <v>12570</v>
      </c>
    </row>
    <row r="2165" spans="1:19" ht="78.95" customHeight="1" x14ac:dyDescent="0.25">
      <c r="A2165" s="8" t="s">
        <v>12571</v>
      </c>
      <c r="B2165" s="8" t="s">
        <v>5693</v>
      </c>
      <c r="C2165" s="8" t="s">
        <v>12479</v>
      </c>
      <c r="D2165" s="10">
        <v>50</v>
      </c>
      <c r="E2165" s="8" t="s">
        <v>847</v>
      </c>
      <c r="F2165" s="8" t="s">
        <v>3007</v>
      </c>
      <c r="G2165" s="8" t="s">
        <v>4551</v>
      </c>
      <c r="H2165" s="8" t="s">
        <v>847</v>
      </c>
      <c r="I2165" s="8" t="s">
        <v>847</v>
      </c>
      <c r="J2165" s="8"/>
      <c r="K2165" s="8"/>
      <c r="L2165" s="15" t="s">
        <v>1685</v>
      </c>
      <c r="M2165" s="8" t="s">
        <v>5578</v>
      </c>
      <c r="N2165" s="8"/>
      <c r="O2165" s="8" t="s">
        <v>5574</v>
      </c>
      <c r="P2165" s="11"/>
      <c r="Q2165" s="8"/>
      <c r="R2165" s="8" t="s">
        <v>12304</v>
      </c>
      <c r="S2165" s="8" t="s">
        <v>12572</v>
      </c>
    </row>
    <row r="2166" spans="1:19" ht="78.95" customHeight="1" x14ac:dyDescent="0.25">
      <c r="A2166" s="8" t="s">
        <v>12573</v>
      </c>
      <c r="B2166" s="8" t="s">
        <v>5693</v>
      </c>
      <c r="C2166" s="8" t="s">
        <v>12479</v>
      </c>
      <c r="D2166" s="10">
        <v>51</v>
      </c>
      <c r="E2166" s="8" t="s">
        <v>753</v>
      </c>
      <c r="F2166" s="8" t="s">
        <v>3134</v>
      </c>
      <c r="G2166" s="8" t="s">
        <v>4551</v>
      </c>
      <c r="H2166" s="8" t="s">
        <v>753</v>
      </c>
      <c r="I2166" s="8" t="s">
        <v>753</v>
      </c>
      <c r="J2166" s="8"/>
      <c r="K2166" s="8"/>
      <c r="L2166" s="15" t="s">
        <v>1685</v>
      </c>
      <c r="M2166" s="8" t="s">
        <v>5578</v>
      </c>
      <c r="N2166" s="8"/>
      <c r="O2166" s="8" t="s">
        <v>5574</v>
      </c>
      <c r="P2166" s="11"/>
      <c r="Q2166" s="8"/>
      <c r="R2166" s="8" t="s">
        <v>12304</v>
      </c>
      <c r="S2166" s="8" t="s">
        <v>12574</v>
      </c>
    </row>
    <row r="2167" spans="1:19" ht="78.95" customHeight="1" x14ac:dyDescent="0.25">
      <c r="A2167" s="8" t="s">
        <v>12575</v>
      </c>
      <c r="B2167" s="8" t="s">
        <v>5693</v>
      </c>
      <c r="C2167" s="8" t="s">
        <v>12479</v>
      </c>
      <c r="D2167" s="10">
        <v>52</v>
      </c>
      <c r="E2167" s="8" t="s">
        <v>1180</v>
      </c>
      <c r="F2167" s="8" t="s">
        <v>1181</v>
      </c>
      <c r="G2167" s="8" t="s">
        <v>4551</v>
      </c>
      <c r="H2167" s="8" t="s">
        <v>1180</v>
      </c>
      <c r="I2167" s="8" t="s">
        <v>1180</v>
      </c>
      <c r="J2167" s="8"/>
      <c r="K2167" s="8"/>
      <c r="L2167" s="15" t="s">
        <v>1685</v>
      </c>
      <c r="M2167" s="8" t="s">
        <v>5578</v>
      </c>
      <c r="N2167" s="8"/>
      <c r="O2167" s="8" t="s">
        <v>5574</v>
      </c>
      <c r="P2167" s="11"/>
      <c r="Q2167" s="8"/>
      <c r="R2167" s="8" t="s">
        <v>12304</v>
      </c>
      <c r="S2167" s="8" t="s">
        <v>12576</v>
      </c>
    </row>
    <row r="2168" spans="1:19" ht="65.099999999999994" customHeight="1" x14ac:dyDescent="0.25">
      <c r="A2168" s="8" t="s">
        <v>12577</v>
      </c>
      <c r="B2168" s="8" t="s">
        <v>5693</v>
      </c>
      <c r="C2168" s="8" t="s">
        <v>12479</v>
      </c>
      <c r="D2168" s="10">
        <v>53</v>
      </c>
      <c r="E2168" s="8" t="s">
        <v>1101</v>
      </c>
      <c r="F2168" s="8" t="s">
        <v>1102</v>
      </c>
      <c r="G2168" s="8" t="s">
        <v>4551</v>
      </c>
      <c r="H2168" s="8" t="s">
        <v>1101</v>
      </c>
      <c r="I2168" s="8" t="s">
        <v>1101</v>
      </c>
      <c r="J2168" s="8"/>
      <c r="K2168" s="8"/>
      <c r="L2168" s="15" t="s">
        <v>1685</v>
      </c>
      <c r="M2168" s="8" t="s">
        <v>5578</v>
      </c>
      <c r="N2168" s="8"/>
      <c r="O2168" s="8" t="s">
        <v>5574</v>
      </c>
      <c r="P2168" s="11"/>
      <c r="Q2168" s="8"/>
      <c r="R2168" s="8" t="s">
        <v>12304</v>
      </c>
      <c r="S2168" s="8" t="s">
        <v>12578</v>
      </c>
    </row>
    <row r="2169" spans="1:19" ht="78.95" customHeight="1" x14ac:dyDescent="0.25">
      <c r="A2169" s="8" t="s">
        <v>12579</v>
      </c>
      <c r="B2169" s="8" t="s">
        <v>5693</v>
      </c>
      <c r="C2169" s="8" t="s">
        <v>12479</v>
      </c>
      <c r="D2169" s="10">
        <v>54</v>
      </c>
      <c r="E2169" s="8" t="s">
        <v>502</v>
      </c>
      <c r="F2169" s="8" t="s">
        <v>2845</v>
      </c>
      <c r="G2169" s="8" t="s">
        <v>4551</v>
      </c>
      <c r="H2169" s="8" t="s">
        <v>502</v>
      </c>
      <c r="I2169" s="8" t="s">
        <v>502</v>
      </c>
      <c r="J2169" s="8"/>
      <c r="K2169" s="8"/>
      <c r="L2169" s="15" t="s">
        <v>1685</v>
      </c>
      <c r="M2169" s="8" t="s">
        <v>5578</v>
      </c>
      <c r="N2169" s="8"/>
      <c r="O2169" s="8" t="s">
        <v>5574</v>
      </c>
      <c r="P2169" s="11"/>
      <c r="Q2169" s="8"/>
      <c r="R2169" s="8" t="s">
        <v>12304</v>
      </c>
      <c r="S2169" s="8" t="s">
        <v>12580</v>
      </c>
    </row>
    <row r="2170" spans="1:19" ht="78.95" customHeight="1" x14ac:dyDescent="0.25">
      <c r="A2170" s="8" t="s">
        <v>12581</v>
      </c>
      <c r="B2170" s="8" t="s">
        <v>5693</v>
      </c>
      <c r="C2170" s="8" t="s">
        <v>12479</v>
      </c>
      <c r="D2170" s="10">
        <v>55</v>
      </c>
      <c r="E2170" s="8" t="s">
        <v>1142</v>
      </c>
      <c r="F2170" s="8" t="s">
        <v>1144</v>
      </c>
      <c r="G2170" s="8" t="s">
        <v>4551</v>
      </c>
      <c r="H2170" s="8" t="s">
        <v>1142</v>
      </c>
      <c r="I2170" s="8" t="s">
        <v>1142</v>
      </c>
      <c r="J2170" s="8"/>
      <c r="K2170" s="8"/>
      <c r="L2170" s="15" t="s">
        <v>1685</v>
      </c>
      <c r="M2170" s="8" t="s">
        <v>5578</v>
      </c>
      <c r="N2170" s="8"/>
      <c r="O2170" s="8" t="s">
        <v>5574</v>
      </c>
      <c r="P2170" s="11"/>
      <c r="Q2170" s="8"/>
      <c r="R2170" s="8" t="s">
        <v>12304</v>
      </c>
      <c r="S2170" s="8" t="s">
        <v>12582</v>
      </c>
    </row>
    <row r="2171" spans="1:19" ht="78.95" customHeight="1" x14ac:dyDescent="0.25">
      <c r="A2171" s="8" t="s">
        <v>12583</v>
      </c>
      <c r="B2171" s="8" t="s">
        <v>5693</v>
      </c>
      <c r="C2171" s="8" t="s">
        <v>12479</v>
      </c>
      <c r="D2171" s="10">
        <v>56</v>
      </c>
      <c r="E2171" s="8" t="s">
        <v>1229</v>
      </c>
      <c r="F2171" s="8" t="s">
        <v>1231</v>
      </c>
      <c r="G2171" s="8" t="s">
        <v>4551</v>
      </c>
      <c r="H2171" s="8" t="s">
        <v>1229</v>
      </c>
      <c r="I2171" s="8" t="s">
        <v>1229</v>
      </c>
      <c r="J2171" s="8"/>
      <c r="K2171" s="8"/>
      <c r="L2171" s="15" t="s">
        <v>1685</v>
      </c>
      <c r="M2171" s="8" t="s">
        <v>5578</v>
      </c>
      <c r="N2171" s="8"/>
      <c r="O2171" s="8" t="s">
        <v>5574</v>
      </c>
      <c r="P2171" s="11"/>
      <c r="Q2171" s="8"/>
      <c r="R2171" s="8" t="s">
        <v>12304</v>
      </c>
      <c r="S2171" s="8" t="s">
        <v>12584</v>
      </c>
    </row>
    <row r="2172" spans="1:19" ht="78.95" customHeight="1" x14ac:dyDescent="0.25">
      <c r="A2172" s="8" t="s">
        <v>12585</v>
      </c>
      <c r="B2172" s="8" t="s">
        <v>5693</v>
      </c>
      <c r="C2172" s="8" t="s">
        <v>12479</v>
      </c>
      <c r="D2172" s="10">
        <v>57</v>
      </c>
      <c r="E2172" s="8" t="s">
        <v>1058</v>
      </c>
      <c r="F2172" s="8" t="s">
        <v>1060</v>
      </c>
      <c r="G2172" s="8" t="s">
        <v>4551</v>
      </c>
      <c r="H2172" s="8" t="s">
        <v>1058</v>
      </c>
      <c r="I2172" s="8" t="s">
        <v>1058</v>
      </c>
      <c r="J2172" s="8"/>
      <c r="K2172" s="8"/>
      <c r="L2172" s="15" t="s">
        <v>1685</v>
      </c>
      <c r="M2172" s="8" t="s">
        <v>5578</v>
      </c>
      <c r="N2172" s="8"/>
      <c r="O2172" s="8" t="s">
        <v>5574</v>
      </c>
      <c r="P2172" s="11"/>
      <c r="Q2172" s="8"/>
      <c r="R2172" s="8" t="s">
        <v>12304</v>
      </c>
      <c r="S2172" s="8" t="s">
        <v>12586</v>
      </c>
    </row>
    <row r="2173" spans="1:19" ht="78.95" customHeight="1" x14ac:dyDescent="0.25">
      <c r="A2173" s="8" t="s">
        <v>12587</v>
      </c>
      <c r="B2173" s="8" t="s">
        <v>5693</v>
      </c>
      <c r="C2173" s="8" t="s">
        <v>12479</v>
      </c>
      <c r="D2173" s="10">
        <v>58</v>
      </c>
      <c r="E2173" s="8" t="s">
        <v>599</v>
      </c>
      <c r="F2173" s="8" t="s">
        <v>604</v>
      </c>
      <c r="G2173" s="8" t="s">
        <v>4551</v>
      </c>
      <c r="H2173" s="8" t="s">
        <v>599</v>
      </c>
      <c r="I2173" s="8" t="s">
        <v>599</v>
      </c>
      <c r="J2173" s="8"/>
      <c r="K2173" s="8"/>
      <c r="L2173" s="15" t="s">
        <v>1685</v>
      </c>
      <c r="M2173" s="8" t="s">
        <v>5578</v>
      </c>
      <c r="N2173" s="8"/>
      <c r="O2173" s="8" t="s">
        <v>5574</v>
      </c>
      <c r="P2173" s="11"/>
      <c r="Q2173" s="8"/>
      <c r="R2173" s="8" t="s">
        <v>12304</v>
      </c>
      <c r="S2173" s="8" t="s">
        <v>12588</v>
      </c>
    </row>
    <row r="2174" spans="1:19" ht="78.95" customHeight="1" x14ac:dyDescent="0.25">
      <c r="A2174" s="8" t="s">
        <v>12589</v>
      </c>
      <c r="B2174" s="8" t="s">
        <v>5693</v>
      </c>
      <c r="C2174" s="8" t="s">
        <v>12479</v>
      </c>
      <c r="D2174" s="10">
        <v>59</v>
      </c>
      <c r="E2174" s="8" t="s">
        <v>1224</v>
      </c>
      <c r="F2174" s="8" t="s">
        <v>1226</v>
      </c>
      <c r="G2174" s="8" t="s">
        <v>4551</v>
      </c>
      <c r="H2174" s="8" t="s">
        <v>1224</v>
      </c>
      <c r="I2174" s="8" t="s">
        <v>1224</v>
      </c>
      <c r="J2174" s="8"/>
      <c r="K2174" s="8"/>
      <c r="L2174" s="15" t="s">
        <v>1685</v>
      </c>
      <c r="M2174" s="8" t="s">
        <v>5578</v>
      </c>
      <c r="N2174" s="8"/>
      <c r="O2174" s="8" t="s">
        <v>5574</v>
      </c>
      <c r="P2174" s="11"/>
      <c r="Q2174" s="8"/>
      <c r="R2174" s="8" t="s">
        <v>12304</v>
      </c>
      <c r="S2174" s="8" t="s">
        <v>12590</v>
      </c>
    </row>
    <row r="2175" spans="1:19" ht="65.099999999999994" customHeight="1" x14ac:dyDescent="0.25">
      <c r="A2175" s="8" t="s">
        <v>12591</v>
      </c>
      <c r="B2175" s="8" t="s">
        <v>5693</v>
      </c>
      <c r="C2175" s="8" t="s">
        <v>12479</v>
      </c>
      <c r="D2175" s="10">
        <v>60</v>
      </c>
      <c r="E2175" s="8" t="s">
        <v>1086</v>
      </c>
      <c r="F2175" s="8" t="s">
        <v>1088</v>
      </c>
      <c r="G2175" s="8" t="s">
        <v>4551</v>
      </c>
      <c r="H2175" s="8" t="s">
        <v>1086</v>
      </c>
      <c r="I2175" s="8" t="s">
        <v>1086</v>
      </c>
      <c r="J2175" s="8"/>
      <c r="K2175" s="8"/>
      <c r="L2175" s="15" t="s">
        <v>1685</v>
      </c>
      <c r="M2175" s="8" t="s">
        <v>5578</v>
      </c>
      <c r="N2175" s="8"/>
      <c r="O2175" s="8" t="s">
        <v>5574</v>
      </c>
      <c r="P2175" s="11"/>
      <c r="Q2175" s="8"/>
      <c r="R2175" s="8" t="s">
        <v>12304</v>
      </c>
      <c r="S2175" s="8" t="s">
        <v>12592</v>
      </c>
    </row>
    <row r="2176" spans="1:19" ht="78.95" customHeight="1" x14ac:dyDescent="0.25">
      <c r="A2176" s="8" t="s">
        <v>12593</v>
      </c>
      <c r="B2176" s="8" t="s">
        <v>5693</v>
      </c>
      <c r="C2176" s="8" t="s">
        <v>12479</v>
      </c>
      <c r="D2176" s="10">
        <v>61</v>
      </c>
      <c r="E2176" s="8" t="s">
        <v>370</v>
      </c>
      <c r="F2176" s="8" t="s">
        <v>374</v>
      </c>
      <c r="G2176" s="8" t="s">
        <v>4551</v>
      </c>
      <c r="H2176" s="8" t="s">
        <v>370</v>
      </c>
      <c r="I2176" s="8" t="s">
        <v>370</v>
      </c>
      <c r="J2176" s="8"/>
      <c r="K2176" s="8"/>
      <c r="L2176" s="15" t="s">
        <v>1685</v>
      </c>
      <c r="M2176" s="8" t="s">
        <v>5578</v>
      </c>
      <c r="N2176" s="8"/>
      <c r="O2176" s="8" t="s">
        <v>5574</v>
      </c>
      <c r="P2176" s="11"/>
      <c r="Q2176" s="8"/>
      <c r="R2176" s="8" t="s">
        <v>12304</v>
      </c>
      <c r="S2176" s="8" t="s">
        <v>12594</v>
      </c>
    </row>
    <row r="2177" spans="1:19" ht="78.95" customHeight="1" x14ac:dyDescent="0.25">
      <c r="A2177" s="8" t="s">
        <v>12595</v>
      </c>
      <c r="B2177" s="8" t="s">
        <v>5693</v>
      </c>
      <c r="C2177" s="8" t="s">
        <v>12479</v>
      </c>
      <c r="D2177" s="10">
        <v>62</v>
      </c>
      <c r="E2177" s="8" t="s">
        <v>511</v>
      </c>
      <c r="F2177" s="8" t="s">
        <v>2932</v>
      </c>
      <c r="G2177" s="8" t="s">
        <v>4551</v>
      </c>
      <c r="H2177" s="8" t="s">
        <v>511</v>
      </c>
      <c r="I2177" s="8" t="s">
        <v>511</v>
      </c>
      <c r="J2177" s="8"/>
      <c r="K2177" s="8"/>
      <c r="L2177" s="15" t="s">
        <v>1685</v>
      </c>
      <c r="M2177" s="8" t="s">
        <v>5578</v>
      </c>
      <c r="N2177" s="8"/>
      <c r="O2177" s="8" t="s">
        <v>5574</v>
      </c>
      <c r="P2177" s="11"/>
      <c r="Q2177" s="8"/>
      <c r="R2177" s="8" t="s">
        <v>12304</v>
      </c>
      <c r="S2177" s="8" t="s">
        <v>12596</v>
      </c>
    </row>
    <row r="2178" spans="1:19" ht="78.95" customHeight="1" x14ac:dyDescent="0.25">
      <c r="A2178" s="8" t="s">
        <v>12597</v>
      </c>
      <c r="B2178" s="8" t="s">
        <v>5693</v>
      </c>
      <c r="C2178" s="8" t="s">
        <v>12479</v>
      </c>
      <c r="D2178" s="10">
        <v>63</v>
      </c>
      <c r="E2178" s="8" t="s">
        <v>430</v>
      </c>
      <c r="F2178" s="8" t="s">
        <v>432</v>
      </c>
      <c r="G2178" s="8" t="s">
        <v>4551</v>
      </c>
      <c r="H2178" s="8" t="s">
        <v>430</v>
      </c>
      <c r="I2178" s="8" t="s">
        <v>430</v>
      </c>
      <c r="J2178" s="8"/>
      <c r="K2178" s="8"/>
      <c r="L2178" s="15" t="s">
        <v>1685</v>
      </c>
      <c r="M2178" s="8" t="s">
        <v>5578</v>
      </c>
      <c r="N2178" s="8"/>
      <c r="O2178" s="8" t="s">
        <v>5574</v>
      </c>
      <c r="P2178" s="11"/>
      <c r="Q2178" s="8"/>
      <c r="R2178" s="8" t="s">
        <v>12304</v>
      </c>
      <c r="S2178" s="8" t="s">
        <v>12598</v>
      </c>
    </row>
    <row r="2179" spans="1:19" ht="65.099999999999994" customHeight="1" x14ac:dyDescent="0.25">
      <c r="A2179" s="8" t="s">
        <v>12599</v>
      </c>
      <c r="B2179" s="8" t="s">
        <v>5693</v>
      </c>
      <c r="C2179" s="8" t="s">
        <v>12479</v>
      </c>
      <c r="D2179" s="10">
        <v>64</v>
      </c>
      <c r="E2179" s="8" t="s">
        <v>1162</v>
      </c>
      <c r="F2179" s="8" t="s">
        <v>1164</v>
      </c>
      <c r="G2179" s="8" t="s">
        <v>4551</v>
      </c>
      <c r="H2179" s="8" t="s">
        <v>1162</v>
      </c>
      <c r="I2179" s="8" t="s">
        <v>1162</v>
      </c>
      <c r="J2179" s="8"/>
      <c r="K2179" s="8"/>
      <c r="L2179" s="15" t="s">
        <v>1685</v>
      </c>
      <c r="M2179" s="8" t="s">
        <v>5578</v>
      </c>
      <c r="N2179" s="8"/>
      <c r="O2179" s="8" t="s">
        <v>5574</v>
      </c>
      <c r="P2179" s="11"/>
      <c r="Q2179" s="8"/>
      <c r="R2179" s="8" t="s">
        <v>12304</v>
      </c>
      <c r="S2179" s="8" t="s">
        <v>12600</v>
      </c>
    </row>
    <row r="2180" spans="1:19" ht="78.95" customHeight="1" x14ac:dyDescent="0.25">
      <c r="A2180" s="8" t="s">
        <v>12601</v>
      </c>
      <c r="B2180" s="8" t="s">
        <v>5693</v>
      </c>
      <c r="C2180" s="8" t="s">
        <v>12479</v>
      </c>
      <c r="D2180" s="10">
        <v>65</v>
      </c>
      <c r="E2180" s="8" t="s">
        <v>656</v>
      </c>
      <c r="F2180" s="8" t="s">
        <v>659</v>
      </c>
      <c r="G2180" s="8" t="s">
        <v>4551</v>
      </c>
      <c r="H2180" s="8" t="s">
        <v>656</v>
      </c>
      <c r="I2180" s="8" t="s">
        <v>656</v>
      </c>
      <c r="J2180" s="8"/>
      <c r="K2180" s="8"/>
      <c r="L2180" s="15" t="s">
        <v>1685</v>
      </c>
      <c r="M2180" s="8" t="s">
        <v>5578</v>
      </c>
      <c r="N2180" s="8"/>
      <c r="O2180" s="8" t="s">
        <v>5574</v>
      </c>
      <c r="P2180" s="11"/>
      <c r="Q2180" s="8"/>
      <c r="R2180" s="8" t="s">
        <v>12304</v>
      </c>
      <c r="S2180" s="8" t="s">
        <v>12602</v>
      </c>
    </row>
    <row r="2181" spans="1:19" ht="78.95" customHeight="1" x14ac:dyDescent="0.25">
      <c r="A2181" s="8" t="s">
        <v>12603</v>
      </c>
      <c r="B2181" s="8" t="s">
        <v>5693</v>
      </c>
      <c r="C2181" s="8" t="s">
        <v>12479</v>
      </c>
      <c r="D2181" s="10">
        <v>66</v>
      </c>
      <c r="E2181" s="8" t="s">
        <v>1096</v>
      </c>
      <c r="F2181" s="8" t="s">
        <v>1098</v>
      </c>
      <c r="G2181" s="8" t="s">
        <v>4551</v>
      </c>
      <c r="H2181" s="8" t="s">
        <v>1096</v>
      </c>
      <c r="I2181" s="8" t="s">
        <v>1096</v>
      </c>
      <c r="J2181" s="8"/>
      <c r="K2181" s="8"/>
      <c r="L2181" s="15" t="s">
        <v>1685</v>
      </c>
      <c r="M2181" s="8" t="s">
        <v>5578</v>
      </c>
      <c r="N2181" s="8"/>
      <c r="O2181" s="8" t="s">
        <v>5574</v>
      </c>
      <c r="P2181" s="11"/>
      <c r="Q2181" s="8"/>
      <c r="R2181" s="8" t="s">
        <v>12304</v>
      </c>
      <c r="S2181" s="8" t="s">
        <v>12604</v>
      </c>
    </row>
    <row r="2182" spans="1:19" ht="78.95" customHeight="1" x14ac:dyDescent="0.25">
      <c r="A2182" s="8" t="s">
        <v>12605</v>
      </c>
      <c r="B2182" s="8" t="s">
        <v>5693</v>
      </c>
      <c r="C2182" s="8" t="s">
        <v>12479</v>
      </c>
      <c r="D2182" s="10">
        <v>67</v>
      </c>
      <c r="E2182" s="8" t="s">
        <v>613</v>
      </c>
      <c r="F2182" s="8" t="s">
        <v>2868</v>
      </c>
      <c r="G2182" s="8" t="s">
        <v>4551</v>
      </c>
      <c r="H2182" s="8" t="s">
        <v>613</v>
      </c>
      <c r="I2182" s="8" t="s">
        <v>613</v>
      </c>
      <c r="J2182" s="8"/>
      <c r="K2182" s="8"/>
      <c r="L2182" s="15" t="s">
        <v>1685</v>
      </c>
      <c r="M2182" s="8" t="s">
        <v>5578</v>
      </c>
      <c r="N2182" s="8"/>
      <c r="O2182" s="8" t="s">
        <v>5574</v>
      </c>
      <c r="P2182" s="11"/>
      <c r="Q2182" s="8"/>
      <c r="R2182" s="8" t="s">
        <v>12304</v>
      </c>
      <c r="S2182" s="8" t="s">
        <v>12606</v>
      </c>
    </row>
    <row r="2183" spans="1:19" ht="78.95" customHeight="1" x14ac:dyDescent="0.25">
      <c r="A2183" s="8" t="s">
        <v>12607</v>
      </c>
      <c r="B2183" s="8" t="s">
        <v>5693</v>
      </c>
      <c r="C2183" s="8" t="s">
        <v>12479</v>
      </c>
      <c r="D2183" s="10">
        <v>68</v>
      </c>
      <c r="E2183" s="8" t="s">
        <v>1219</v>
      </c>
      <c r="F2183" s="8" t="s">
        <v>1221</v>
      </c>
      <c r="G2183" s="8" t="s">
        <v>4551</v>
      </c>
      <c r="H2183" s="8" t="s">
        <v>1219</v>
      </c>
      <c r="I2183" s="8" t="s">
        <v>1219</v>
      </c>
      <c r="J2183" s="8"/>
      <c r="K2183" s="8"/>
      <c r="L2183" s="15" t="s">
        <v>1685</v>
      </c>
      <c r="M2183" s="8" t="s">
        <v>5578</v>
      </c>
      <c r="N2183" s="8"/>
      <c r="O2183" s="8" t="s">
        <v>5574</v>
      </c>
      <c r="P2183" s="11"/>
      <c r="Q2183" s="8"/>
      <c r="R2183" s="8" t="s">
        <v>12304</v>
      </c>
      <c r="S2183" s="8" t="s">
        <v>12608</v>
      </c>
    </row>
    <row r="2184" spans="1:19" ht="78.95" customHeight="1" x14ac:dyDescent="0.25">
      <c r="A2184" s="8" t="s">
        <v>12609</v>
      </c>
      <c r="B2184" s="8" t="s">
        <v>5693</v>
      </c>
      <c r="C2184" s="8" t="s">
        <v>12479</v>
      </c>
      <c r="D2184" s="10">
        <v>69</v>
      </c>
      <c r="E2184" s="8" t="s">
        <v>1068</v>
      </c>
      <c r="F2184" s="8" t="s">
        <v>1070</v>
      </c>
      <c r="G2184" s="8" t="s">
        <v>4551</v>
      </c>
      <c r="H2184" s="8" t="s">
        <v>1068</v>
      </c>
      <c r="I2184" s="8" t="s">
        <v>1068</v>
      </c>
      <c r="J2184" s="8"/>
      <c r="K2184" s="8"/>
      <c r="L2184" s="15" t="s">
        <v>1685</v>
      </c>
      <c r="M2184" s="8" t="s">
        <v>5578</v>
      </c>
      <c r="N2184" s="8"/>
      <c r="O2184" s="8" t="s">
        <v>5574</v>
      </c>
      <c r="P2184" s="11"/>
      <c r="Q2184" s="8"/>
      <c r="R2184" s="8" t="s">
        <v>12304</v>
      </c>
      <c r="S2184" s="8" t="s">
        <v>12610</v>
      </c>
    </row>
    <row r="2185" spans="1:19" ht="78.95" customHeight="1" x14ac:dyDescent="0.25">
      <c r="A2185" s="8" t="s">
        <v>12611</v>
      </c>
      <c r="B2185" s="8" t="s">
        <v>5693</v>
      </c>
      <c r="C2185" s="8" t="s">
        <v>12479</v>
      </c>
      <c r="D2185" s="10">
        <v>70</v>
      </c>
      <c r="E2185" s="8" t="s">
        <v>542</v>
      </c>
      <c r="F2185" s="8" t="s">
        <v>2840</v>
      </c>
      <c r="G2185" s="8" t="s">
        <v>4551</v>
      </c>
      <c r="H2185" s="8" t="s">
        <v>542</v>
      </c>
      <c r="I2185" s="8" t="s">
        <v>542</v>
      </c>
      <c r="J2185" s="8"/>
      <c r="K2185" s="8"/>
      <c r="L2185" s="15" t="s">
        <v>1685</v>
      </c>
      <c r="M2185" s="8" t="s">
        <v>5578</v>
      </c>
      <c r="N2185" s="8"/>
      <c r="O2185" s="8" t="s">
        <v>5574</v>
      </c>
      <c r="P2185" s="11"/>
      <c r="Q2185" s="8"/>
      <c r="R2185" s="8" t="s">
        <v>12304</v>
      </c>
      <c r="S2185" s="8" t="s">
        <v>12612</v>
      </c>
    </row>
    <row r="2186" spans="1:19" ht="65.099999999999994" customHeight="1" x14ac:dyDescent="0.25">
      <c r="A2186" s="8" t="s">
        <v>12613</v>
      </c>
      <c r="B2186" s="8" t="s">
        <v>5693</v>
      </c>
      <c r="C2186" s="8" t="s">
        <v>12479</v>
      </c>
      <c r="D2186" s="10">
        <v>71</v>
      </c>
      <c r="E2186" s="8" t="s">
        <v>707</v>
      </c>
      <c r="F2186" s="8" t="s">
        <v>2966</v>
      </c>
      <c r="G2186" s="8" t="s">
        <v>4551</v>
      </c>
      <c r="H2186" s="8" t="s">
        <v>707</v>
      </c>
      <c r="I2186" s="8" t="s">
        <v>707</v>
      </c>
      <c r="J2186" s="8"/>
      <c r="K2186" s="8"/>
      <c r="L2186" s="15" t="s">
        <v>1685</v>
      </c>
      <c r="M2186" s="8" t="s">
        <v>5578</v>
      </c>
      <c r="N2186" s="8"/>
      <c r="O2186" s="8" t="s">
        <v>5574</v>
      </c>
      <c r="P2186" s="11"/>
      <c r="Q2186" s="8"/>
      <c r="R2186" s="8" t="s">
        <v>12304</v>
      </c>
      <c r="S2186" s="8" t="s">
        <v>12614</v>
      </c>
    </row>
    <row r="2187" spans="1:19" ht="65.099999999999994" customHeight="1" x14ac:dyDescent="0.25">
      <c r="A2187" s="8" t="s">
        <v>12615</v>
      </c>
      <c r="B2187" s="8" t="s">
        <v>5693</v>
      </c>
      <c r="C2187" s="8" t="s">
        <v>12479</v>
      </c>
      <c r="D2187" s="10">
        <v>72</v>
      </c>
      <c r="E2187" s="8" t="s">
        <v>720</v>
      </c>
      <c r="F2187" s="8" t="s">
        <v>724</v>
      </c>
      <c r="G2187" s="8" t="s">
        <v>4551</v>
      </c>
      <c r="H2187" s="8" t="s">
        <v>720</v>
      </c>
      <c r="I2187" s="8" t="s">
        <v>720</v>
      </c>
      <c r="J2187" s="8"/>
      <c r="K2187" s="8"/>
      <c r="L2187" s="15" t="s">
        <v>1685</v>
      </c>
      <c r="M2187" s="8" t="s">
        <v>5578</v>
      </c>
      <c r="N2187" s="8"/>
      <c r="O2187" s="8" t="s">
        <v>5574</v>
      </c>
      <c r="P2187" s="11"/>
      <c r="Q2187" s="8"/>
      <c r="R2187" s="8" t="s">
        <v>12304</v>
      </c>
      <c r="S2187" s="8" t="s">
        <v>12616</v>
      </c>
    </row>
    <row r="2188" spans="1:19" ht="78.95" customHeight="1" x14ac:dyDescent="0.25">
      <c r="A2188" s="8" t="s">
        <v>12617</v>
      </c>
      <c r="B2188" s="8" t="s">
        <v>5693</v>
      </c>
      <c r="C2188" s="8" t="s">
        <v>12479</v>
      </c>
      <c r="D2188" s="10">
        <v>73</v>
      </c>
      <c r="E2188" s="8" t="s">
        <v>623</v>
      </c>
      <c r="F2188" s="8" t="s">
        <v>625</v>
      </c>
      <c r="G2188" s="8" t="s">
        <v>4551</v>
      </c>
      <c r="H2188" s="8" t="s">
        <v>623</v>
      </c>
      <c r="I2188" s="8" t="s">
        <v>623</v>
      </c>
      <c r="J2188" s="8"/>
      <c r="K2188" s="8"/>
      <c r="L2188" s="15" t="s">
        <v>1685</v>
      </c>
      <c r="M2188" s="8" t="s">
        <v>5578</v>
      </c>
      <c r="N2188" s="8"/>
      <c r="O2188" s="8" t="s">
        <v>5574</v>
      </c>
      <c r="P2188" s="11"/>
      <c r="Q2188" s="8"/>
      <c r="R2188" s="8" t="s">
        <v>12304</v>
      </c>
      <c r="S2188" s="8" t="s">
        <v>12618</v>
      </c>
    </row>
    <row r="2189" spans="1:19" ht="78.95" customHeight="1" x14ac:dyDescent="0.25">
      <c r="A2189" s="8" t="s">
        <v>12619</v>
      </c>
      <c r="B2189" s="8" t="s">
        <v>5693</v>
      </c>
      <c r="C2189" s="8" t="s">
        <v>12479</v>
      </c>
      <c r="D2189" s="10">
        <v>74</v>
      </c>
      <c r="E2189" s="8" t="s">
        <v>729</v>
      </c>
      <c r="F2189" s="8" t="s">
        <v>730</v>
      </c>
      <c r="G2189" s="8" t="s">
        <v>4551</v>
      </c>
      <c r="H2189" s="8" t="s">
        <v>729</v>
      </c>
      <c r="I2189" s="8" t="s">
        <v>729</v>
      </c>
      <c r="J2189" s="8"/>
      <c r="K2189" s="8"/>
      <c r="L2189" s="15" t="s">
        <v>1685</v>
      </c>
      <c r="M2189" s="8" t="s">
        <v>5578</v>
      </c>
      <c r="N2189" s="8"/>
      <c r="O2189" s="8" t="s">
        <v>5574</v>
      </c>
      <c r="P2189" s="11"/>
      <c r="Q2189" s="8"/>
      <c r="R2189" s="8" t="s">
        <v>12304</v>
      </c>
      <c r="S2189" s="8" t="s">
        <v>12620</v>
      </c>
    </row>
    <row r="2190" spans="1:19" ht="78.95" customHeight="1" x14ac:dyDescent="0.25">
      <c r="A2190" s="8" t="s">
        <v>12621</v>
      </c>
      <c r="B2190" s="8" t="s">
        <v>5693</v>
      </c>
      <c r="C2190" s="8" t="s">
        <v>12479</v>
      </c>
      <c r="D2190" s="10">
        <v>75</v>
      </c>
      <c r="E2190" s="8" t="s">
        <v>1193</v>
      </c>
      <c r="F2190" s="8" t="s">
        <v>1195</v>
      </c>
      <c r="G2190" s="8" t="s">
        <v>4551</v>
      </c>
      <c r="H2190" s="8" t="s">
        <v>1193</v>
      </c>
      <c r="I2190" s="8" t="s">
        <v>1193</v>
      </c>
      <c r="J2190" s="8"/>
      <c r="K2190" s="8"/>
      <c r="L2190" s="15" t="s">
        <v>1685</v>
      </c>
      <c r="M2190" s="8" t="s">
        <v>5578</v>
      </c>
      <c r="N2190" s="8"/>
      <c r="O2190" s="8" t="s">
        <v>5574</v>
      </c>
      <c r="P2190" s="11"/>
      <c r="Q2190" s="8"/>
      <c r="R2190" s="8" t="s">
        <v>12304</v>
      </c>
      <c r="S2190" s="8" t="s">
        <v>12622</v>
      </c>
    </row>
    <row r="2191" spans="1:19" ht="78.95" customHeight="1" x14ac:dyDescent="0.25">
      <c r="A2191" s="8" t="s">
        <v>12623</v>
      </c>
      <c r="B2191" s="8" t="s">
        <v>5693</v>
      </c>
      <c r="C2191" s="8" t="s">
        <v>12479</v>
      </c>
      <c r="D2191" s="10">
        <v>76</v>
      </c>
      <c r="E2191" s="8" t="s">
        <v>738</v>
      </c>
      <c r="F2191" s="8" t="s">
        <v>2882</v>
      </c>
      <c r="G2191" s="8" t="s">
        <v>4551</v>
      </c>
      <c r="H2191" s="8" t="s">
        <v>738</v>
      </c>
      <c r="I2191" s="8" t="s">
        <v>738</v>
      </c>
      <c r="J2191" s="8"/>
      <c r="K2191" s="8"/>
      <c r="L2191" s="15" t="s">
        <v>1685</v>
      </c>
      <c r="M2191" s="8" t="s">
        <v>5578</v>
      </c>
      <c r="N2191" s="8"/>
      <c r="O2191" s="8" t="s">
        <v>5574</v>
      </c>
      <c r="P2191" s="11"/>
      <c r="Q2191" s="8"/>
      <c r="R2191" s="8" t="s">
        <v>12304</v>
      </c>
      <c r="S2191" s="8" t="s">
        <v>12624</v>
      </c>
    </row>
    <row r="2192" spans="1:19" ht="65.099999999999994" customHeight="1" x14ac:dyDescent="0.25">
      <c r="A2192" s="8" t="s">
        <v>12625</v>
      </c>
      <c r="B2192" s="8" t="s">
        <v>5693</v>
      </c>
      <c r="C2192" s="8" t="s">
        <v>12479</v>
      </c>
      <c r="D2192" s="10">
        <v>77</v>
      </c>
      <c r="E2192" s="8" t="s">
        <v>460</v>
      </c>
      <c r="F2192" s="8" t="s">
        <v>462</v>
      </c>
      <c r="G2192" s="8" t="s">
        <v>4551</v>
      </c>
      <c r="H2192" s="8" t="s">
        <v>460</v>
      </c>
      <c r="I2192" s="8" t="s">
        <v>460</v>
      </c>
      <c r="J2192" s="8"/>
      <c r="K2192" s="8"/>
      <c r="L2192" s="15" t="s">
        <v>1685</v>
      </c>
      <c r="M2192" s="8" t="s">
        <v>5578</v>
      </c>
      <c r="N2192" s="8"/>
      <c r="O2192" s="8" t="s">
        <v>5574</v>
      </c>
      <c r="P2192" s="11"/>
      <c r="Q2192" s="8"/>
      <c r="R2192" s="8" t="s">
        <v>12304</v>
      </c>
      <c r="S2192" s="8" t="s">
        <v>12626</v>
      </c>
    </row>
    <row r="2193" spans="1:19" ht="65.099999999999994" customHeight="1" x14ac:dyDescent="0.25">
      <c r="A2193" s="8" t="s">
        <v>12627</v>
      </c>
      <c r="B2193" s="8" t="s">
        <v>5693</v>
      </c>
      <c r="C2193" s="8" t="s">
        <v>12479</v>
      </c>
      <c r="D2193" s="10">
        <v>78</v>
      </c>
      <c r="E2193" s="8" t="s">
        <v>551</v>
      </c>
      <c r="F2193" s="8" t="s">
        <v>552</v>
      </c>
      <c r="G2193" s="8" t="s">
        <v>4551</v>
      </c>
      <c r="H2193" s="8" t="s">
        <v>551</v>
      </c>
      <c r="I2193" s="8" t="s">
        <v>551</v>
      </c>
      <c r="J2193" s="8"/>
      <c r="K2193" s="8"/>
      <c r="L2193" s="15" t="s">
        <v>1685</v>
      </c>
      <c r="M2193" s="8" t="s">
        <v>5578</v>
      </c>
      <c r="N2193" s="8"/>
      <c r="O2193" s="8" t="s">
        <v>5574</v>
      </c>
      <c r="P2193" s="11"/>
      <c r="Q2193" s="8"/>
      <c r="R2193" s="8" t="s">
        <v>12304</v>
      </c>
      <c r="S2193" s="8" t="s">
        <v>12628</v>
      </c>
    </row>
    <row r="2194" spans="1:19" ht="65.099999999999994" customHeight="1" x14ac:dyDescent="0.25">
      <c r="A2194" s="8" t="s">
        <v>12629</v>
      </c>
      <c r="B2194" s="8" t="s">
        <v>5693</v>
      </c>
      <c r="C2194" s="8" t="s">
        <v>12479</v>
      </c>
      <c r="D2194" s="10">
        <v>79</v>
      </c>
      <c r="E2194" s="8" t="s">
        <v>496</v>
      </c>
      <c r="F2194" s="8" t="s">
        <v>498</v>
      </c>
      <c r="G2194" s="8" t="s">
        <v>4551</v>
      </c>
      <c r="H2194" s="8" t="s">
        <v>496</v>
      </c>
      <c r="I2194" s="8" t="s">
        <v>496</v>
      </c>
      <c r="J2194" s="8"/>
      <c r="K2194" s="8"/>
      <c r="L2194" s="15" t="s">
        <v>1685</v>
      </c>
      <c r="M2194" s="8" t="s">
        <v>5578</v>
      </c>
      <c r="N2194" s="8"/>
      <c r="O2194" s="8" t="s">
        <v>5574</v>
      </c>
      <c r="P2194" s="11"/>
      <c r="Q2194" s="8"/>
      <c r="R2194" s="8" t="s">
        <v>12304</v>
      </c>
      <c r="S2194" s="8" t="s">
        <v>12630</v>
      </c>
    </row>
    <row r="2195" spans="1:19" ht="65.099999999999994" customHeight="1" x14ac:dyDescent="0.25">
      <c r="A2195" s="8" t="s">
        <v>12631</v>
      </c>
      <c r="B2195" s="8" t="s">
        <v>5693</v>
      </c>
      <c r="C2195" s="8" t="s">
        <v>12479</v>
      </c>
      <c r="D2195" s="10">
        <v>80</v>
      </c>
      <c r="E2195" s="8" t="s">
        <v>676</v>
      </c>
      <c r="F2195" s="8" t="s">
        <v>677</v>
      </c>
      <c r="G2195" s="8" t="s">
        <v>4551</v>
      </c>
      <c r="H2195" s="8" t="s">
        <v>676</v>
      </c>
      <c r="I2195" s="8" t="s">
        <v>676</v>
      </c>
      <c r="J2195" s="8"/>
      <c r="K2195" s="8"/>
      <c r="L2195" s="15" t="s">
        <v>1685</v>
      </c>
      <c r="M2195" s="8" t="s">
        <v>5578</v>
      </c>
      <c r="N2195" s="8"/>
      <c r="O2195" s="8" t="s">
        <v>5574</v>
      </c>
      <c r="P2195" s="11"/>
      <c r="Q2195" s="8"/>
      <c r="R2195" s="8" t="s">
        <v>12304</v>
      </c>
      <c r="S2195" s="8" t="s">
        <v>12632</v>
      </c>
    </row>
    <row r="2196" spans="1:19" ht="78.95" customHeight="1" x14ac:dyDescent="0.25">
      <c r="A2196" s="8" t="s">
        <v>12633</v>
      </c>
      <c r="B2196" s="8" t="s">
        <v>5693</v>
      </c>
      <c r="C2196" s="8" t="s">
        <v>12479</v>
      </c>
      <c r="D2196" s="10">
        <v>81</v>
      </c>
      <c r="E2196" s="8" t="s">
        <v>799</v>
      </c>
      <c r="F2196" s="8" t="s">
        <v>802</v>
      </c>
      <c r="G2196" s="8" t="s">
        <v>4551</v>
      </c>
      <c r="H2196" s="8" t="s">
        <v>799</v>
      </c>
      <c r="I2196" s="8" t="s">
        <v>799</v>
      </c>
      <c r="J2196" s="8"/>
      <c r="K2196" s="8"/>
      <c r="L2196" s="15" t="s">
        <v>1685</v>
      </c>
      <c r="M2196" s="8" t="s">
        <v>5578</v>
      </c>
      <c r="N2196" s="8"/>
      <c r="O2196" s="8" t="s">
        <v>5574</v>
      </c>
      <c r="P2196" s="11"/>
      <c r="Q2196" s="8"/>
      <c r="R2196" s="8" t="s">
        <v>12304</v>
      </c>
      <c r="S2196" s="8" t="s">
        <v>12634</v>
      </c>
    </row>
    <row r="2197" spans="1:19" ht="65.099999999999994" customHeight="1" x14ac:dyDescent="0.25">
      <c r="A2197" s="8" t="s">
        <v>12635</v>
      </c>
      <c r="B2197" s="8" t="s">
        <v>5693</v>
      </c>
      <c r="C2197" s="8" t="s">
        <v>12479</v>
      </c>
      <c r="D2197" s="10">
        <v>82</v>
      </c>
      <c r="E2197" s="8" t="s">
        <v>609</v>
      </c>
      <c r="F2197" s="8" t="s">
        <v>610</v>
      </c>
      <c r="G2197" s="8" t="s">
        <v>4551</v>
      </c>
      <c r="H2197" s="8" t="s">
        <v>609</v>
      </c>
      <c r="I2197" s="8" t="s">
        <v>609</v>
      </c>
      <c r="J2197" s="8"/>
      <c r="K2197" s="8"/>
      <c r="L2197" s="15" t="s">
        <v>1685</v>
      </c>
      <c r="M2197" s="8" t="s">
        <v>5578</v>
      </c>
      <c r="N2197" s="8"/>
      <c r="O2197" s="8" t="s">
        <v>5574</v>
      </c>
      <c r="P2197" s="11"/>
      <c r="Q2197" s="8"/>
      <c r="R2197" s="8" t="s">
        <v>12304</v>
      </c>
      <c r="S2197" s="8" t="s">
        <v>12636</v>
      </c>
    </row>
    <row r="2198" spans="1:19" ht="78.95" customHeight="1" x14ac:dyDescent="0.25">
      <c r="A2198" s="8" t="s">
        <v>12637</v>
      </c>
      <c r="B2198" s="8" t="s">
        <v>5693</v>
      </c>
      <c r="C2198" s="8" t="s">
        <v>12479</v>
      </c>
      <c r="D2198" s="10">
        <v>83</v>
      </c>
      <c r="E2198" s="8" t="s">
        <v>452</v>
      </c>
      <c r="F2198" s="8" t="s">
        <v>454</v>
      </c>
      <c r="G2198" s="8" t="s">
        <v>4551</v>
      </c>
      <c r="H2198" s="8" t="s">
        <v>452</v>
      </c>
      <c r="I2198" s="8" t="s">
        <v>452</v>
      </c>
      <c r="J2198" s="8"/>
      <c r="K2198" s="8"/>
      <c r="L2198" s="15" t="s">
        <v>1685</v>
      </c>
      <c r="M2198" s="8" t="s">
        <v>5578</v>
      </c>
      <c r="N2198" s="8"/>
      <c r="O2198" s="8" t="s">
        <v>5574</v>
      </c>
      <c r="P2198" s="11"/>
      <c r="Q2198" s="8"/>
      <c r="R2198" s="8" t="s">
        <v>12304</v>
      </c>
      <c r="S2198" s="8" t="s">
        <v>12638</v>
      </c>
    </row>
    <row r="2199" spans="1:19" ht="78.95" customHeight="1" x14ac:dyDescent="0.25">
      <c r="A2199" s="8" t="s">
        <v>12639</v>
      </c>
      <c r="B2199" s="8" t="s">
        <v>5693</v>
      </c>
      <c r="C2199" s="8" t="s">
        <v>12479</v>
      </c>
      <c r="D2199" s="10">
        <v>84</v>
      </c>
      <c r="E2199" s="8" t="s">
        <v>806</v>
      </c>
      <c r="F2199" s="8" t="s">
        <v>807</v>
      </c>
      <c r="G2199" s="8" t="s">
        <v>4551</v>
      </c>
      <c r="H2199" s="8" t="s">
        <v>806</v>
      </c>
      <c r="I2199" s="8" t="s">
        <v>806</v>
      </c>
      <c r="J2199" s="8"/>
      <c r="K2199" s="8"/>
      <c r="L2199" s="15" t="s">
        <v>1685</v>
      </c>
      <c r="M2199" s="8" t="s">
        <v>5578</v>
      </c>
      <c r="N2199" s="8"/>
      <c r="O2199" s="8" t="s">
        <v>5574</v>
      </c>
      <c r="P2199" s="11"/>
      <c r="Q2199" s="8"/>
      <c r="R2199" s="8" t="s">
        <v>12304</v>
      </c>
      <c r="S2199" s="8" t="s">
        <v>12640</v>
      </c>
    </row>
    <row r="2200" spans="1:19" ht="78.95" customHeight="1" x14ac:dyDescent="0.25">
      <c r="A2200" s="8" t="s">
        <v>12641</v>
      </c>
      <c r="B2200" s="8" t="s">
        <v>5693</v>
      </c>
      <c r="C2200" s="8" t="s">
        <v>12479</v>
      </c>
      <c r="D2200" s="10">
        <v>85</v>
      </c>
      <c r="E2200" s="8" t="s">
        <v>547</v>
      </c>
      <c r="F2200" s="8" t="s">
        <v>548</v>
      </c>
      <c r="G2200" s="8" t="s">
        <v>4551</v>
      </c>
      <c r="H2200" s="8" t="s">
        <v>547</v>
      </c>
      <c r="I2200" s="8" t="s">
        <v>547</v>
      </c>
      <c r="J2200" s="8"/>
      <c r="K2200" s="8"/>
      <c r="L2200" s="15" t="s">
        <v>1685</v>
      </c>
      <c r="M2200" s="8" t="s">
        <v>5578</v>
      </c>
      <c r="N2200" s="8"/>
      <c r="O2200" s="8" t="s">
        <v>5574</v>
      </c>
      <c r="P2200" s="11"/>
      <c r="Q2200" s="8"/>
      <c r="R2200" s="8" t="s">
        <v>12304</v>
      </c>
      <c r="S2200" s="8" t="s">
        <v>12642</v>
      </c>
    </row>
    <row r="2201" spans="1:19" ht="78.95" customHeight="1" x14ac:dyDescent="0.25">
      <c r="A2201" s="8" t="s">
        <v>12643</v>
      </c>
      <c r="B2201" s="8" t="s">
        <v>5693</v>
      </c>
      <c r="C2201" s="8" t="s">
        <v>12479</v>
      </c>
      <c r="D2201" s="10">
        <v>86</v>
      </c>
      <c r="E2201" s="8" t="s">
        <v>398</v>
      </c>
      <c r="F2201" s="8" t="s">
        <v>2968</v>
      </c>
      <c r="G2201" s="8" t="s">
        <v>4551</v>
      </c>
      <c r="H2201" s="8" t="s">
        <v>398</v>
      </c>
      <c r="I2201" s="8" t="s">
        <v>398</v>
      </c>
      <c r="J2201" s="8"/>
      <c r="K2201" s="8"/>
      <c r="L2201" s="15" t="s">
        <v>1685</v>
      </c>
      <c r="M2201" s="8" t="s">
        <v>5578</v>
      </c>
      <c r="N2201" s="8"/>
      <c r="O2201" s="8" t="s">
        <v>5574</v>
      </c>
      <c r="P2201" s="11"/>
      <c r="Q2201" s="8"/>
      <c r="R2201" s="8" t="s">
        <v>12304</v>
      </c>
      <c r="S2201" s="8" t="s">
        <v>12644</v>
      </c>
    </row>
    <row r="2202" spans="1:19" ht="65.099999999999994" customHeight="1" x14ac:dyDescent="0.25">
      <c r="A2202" s="8" t="s">
        <v>12645</v>
      </c>
      <c r="B2202" s="8" t="s">
        <v>5693</v>
      </c>
      <c r="C2202" s="8" t="s">
        <v>12479</v>
      </c>
      <c r="D2202" s="10">
        <v>87</v>
      </c>
      <c r="E2202" s="8" t="s">
        <v>343</v>
      </c>
      <c r="F2202" s="8" t="s">
        <v>2994</v>
      </c>
      <c r="G2202" s="8" t="s">
        <v>4551</v>
      </c>
      <c r="H2202" s="8" t="s">
        <v>343</v>
      </c>
      <c r="I2202" s="8" t="s">
        <v>343</v>
      </c>
      <c r="J2202" s="8"/>
      <c r="K2202" s="8"/>
      <c r="L2202" s="15" t="s">
        <v>1685</v>
      </c>
      <c r="M2202" s="8" t="s">
        <v>5578</v>
      </c>
      <c r="N2202" s="8"/>
      <c r="O2202" s="8" t="s">
        <v>5574</v>
      </c>
      <c r="P2202" s="11"/>
      <c r="Q2202" s="8"/>
      <c r="R2202" s="8" t="s">
        <v>12304</v>
      </c>
      <c r="S2202" s="8" t="s">
        <v>12646</v>
      </c>
    </row>
    <row r="2203" spans="1:19" ht="65.099999999999994" customHeight="1" x14ac:dyDescent="0.25">
      <c r="A2203" s="8" t="s">
        <v>12647</v>
      </c>
      <c r="B2203" s="8" t="s">
        <v>5693</v>
      </c>
      <c r="C2203" s="8" t="s">
        <v>12479</v>
      </c>
      <c r="D2203" s="10">
        <v>88</v>
      </c>
      <c r="E2203" s="8" t="s">
        <v>810</v>
      </c>
      <c r="F2203" s="8" t="s">
        <v>811</v>
      </c>
      <c r="G2203" s="8" t="s">
        <v>4551</v>
      </c>
      <c r="H2203" s="8" t="s">
        <v>810</v>
      </c>
      <c r="I2203" s="8" t="s">
        <v>810</v>
      </c>
      <c r="J2203" s="8"/>
      <c r="K2203" s="8"/>
      <c r="L2203" s="15" t="s">
        <v>1685</v>
      </c>
      <c r="M2203" s="8" t="s">
        <v>5578</v>
      </c>
      <c r="N2203" s="8"/>
      <c r="O2203" s="8" t="s">
        <v>5574</v>
      </c>
      <c r="P2203" s="11"/>
      <c r="Q2203" s="8"/>
      <c r="R2203" s="8" t="s">
        <v>12304</v>
      </c>
      <c r="S2203" s="8" t="s">
        <v>12648</v>
      </c>
    </row>
    <row r="2204" spans="1:19" ht="65.099999999999994" customHeight="1" x14ac:dyDescent="0.25">
      <c r="A2204" s="8" t="s">
        <v>12649</v>
      </c>
      <c r="B2204" s="8" t="s">
        <v>5693</v>
      </c>
      <c r="C2204" s="8" t="s">
        <v>12479</v>
      </c>
      <c r="D2204" s="10">
        <v>89</v>
      </c>
      <c r="E2204" s="8" t="s">
        <v>768</v>
      </c>
      <c r="F2204" s="8" t="s">
        <v>770</v>
      </c>
      <c r="G2204" s="8" t="s">
        <v>4551</v>
      </c>
      <c r="H2204" s="8" t="s">
        <v>768</v>
      </c>
      <c r="I2204" s="8" t="s">
        <v>768</v>
      </c>
      <c r="J2204" s="8"/>
      <c r="K2204" s="8"/>
      <c r="L2204" s="15" t="s">
        <v>1685</v>
      </c>
      <c r="M2204" s="8" t="s">
        <v>5578</v>
      </c>
      <c r="N2204" s="8"/>
      <c r="O2204" s="8" t="s">
        <v>5574</v>
      </c>
      <c r="P2204" s="11"/>
      <c r="Q2204" s="8"/>
      <c r="R2204" s="8" t="s">
        <v>12304</v>
      </c>
      <c r="S2204" s="8" t="s">
        <v>12650</v>
      </c>
    </row>
    <row r="2205" spans="1:19" ht="78.95" customHeight="1" x14ac:dyDescent="0.25">
      <c r="A2205" s="8" t="s">
        <v>12651</v>
      </c>
      <c r="B2205" s="8" t="s">
        <v>5693</v>
      </c>
      <c r="C2205" s="8" t="s">
        <v>12479</v>
      </c>
      <c r="D2205" s="10">
        <v>90</v>
      </c>
      <c r="E2205" s="8" t="s">
        <v>716</v>
      </c>
      <c r="F2205" s="8" t="s">
        <v>717</v>
      </c>
      <c r="G2205" s="8" t="s">
        <v>4551</v>
      </c>
      <c r="H2205" s="8" t="s">
        <v>716</v>
      </c>
      <c r="I2205" s="8" t="s">
        <v>716</v>
      </c>
      <c r="J2205" s="8"/>
      <c r="K2205" s="8"/>
      <c r="L2205" s="15" t="s">
        <v>1685</v>
      </c>
      <c r="M2205" s="8" t="s">
        <v>5578</v>
      </c>
      <c r="N2205" s="8"/>
      <c r="O2205" s="8" t="s">
        <v>5574</v>
      </c>
      <c r="P2205" s="11"/>
      <c r="Q2205" s="8"/>
      <c r="R2205" s="8" t="s">
        <v>12304</v>
      </c>
      <c r="S2205" s="8" t="s">
        <v>12652</v>
      </c>
    </row>
    <row r="2206" spans="1:19" ht="65.099999999999994" customHeight="1" x14ac:dyDescent="0.25">
      <c r="A2206" s="8" t="s">
        <v>12653</v>
      </c>
      <c r="B2206" s="8" t="s">
        <v>5693</v>
      </c>
      <c r="C2206" s="8" t="s">
        <v>12479</v>
      </c>
      <c r="D2206" s="10">
        <v>91</v>
      </c>
      <c r="E2206" s="8" t="s">
        <v>629</v>
      </c>
      <c r="F2206" s="8" t="s">
        <v>631</v>
      </c>
      <c r="G2206" s="8" t="s">
        <v>4551</v>
      </c>
      <c r="H2206" s="8" t="s">
        <v>629</v>
      </c>
      <c r="I2206" s="8" t="s">
        <v>629</v>
      </c>
      <c r="J2206" s="8"/>
      <c r="K2206" s="8"/>
      <c r="L2206" s="15" t="s">
        <v>1685</v>
      </c>
      <c r="M2206" s="8" t="s">
        <v>5578</v>
      </c>
      <c r="N2206" s="8"/>
      <c r="O2206" s="8" t="s">
        <v>5574</v>
      </c>
      <c r="P2206" s="11"/>
      <c r="Q2206" s="8"/>
      <c r="R2206" s="8" t="s">
        <v>12304</v>
      </c>
      <c r="S2206" s="8" t="s">
        <v>12654</v>
      </c>
    </row>
    <row r="2207" spans="1:19" ht="65.099999999999994" customHeight="1" x14ac:dyDescent="0.25">
      <c r="A2207" s="8" t="s">
        <v>12655</v>
      </c>
      <c r="B2207" s="8" t="s">
        <v>5693</v>
      </c>
      <c r="C2207" s="8" t="s">
        <v>12479</v>
      </c>
      <c r="D2207" s="10">
        <v>92</v>
      </c>
      <c r="E2207" s="8" t="s">
        <v>774</v>
      </c>
      <c r="F2207" s="8" t="s">
        <v>775</v>
      </c>
      <c r="G2207" s="8" t="s">
        <v>4551</v>
      </c>
      <c r="H2207" s="8" t="s">
        <v>774</v>
      </c>
      <c r="I2207" s="8" t="s">
        <v>774</v>
      </c>
      <c r="J2207" s="8"/>
      <c r="K2207" s="8"/>
      <c r="L2207" s="15" t="s">
        <v>1685</v>
      </c>
      <c r="M2207" s="8" t="s">
        <v>5578</v>
      </c>
      <c r="N2207" s="8"/>
      <c r="O2207" s="8" t="s">
        <v>5574</v>
      </c>
      <c r="P2207" s="11"/>
      <c r="Q2207" s="8"/>
      <c r="R2207" s="8" t="s">
        <v>12304</v>
      </c>
      <c r="S2207" s="8" t="s">
        <v>12656</v>
      </c>
    </row>
    <row r="2208" spans="1:19" ht="65.099999999999994" customHeight="1" x14ac:dyDescent="0.25">
      <c r="A2208" s="8" t="s">
        <v>12657</v>
      </c>
      <c r="B2208" s="8" t="s">
        <v>5693</v>
      </c>
      <c r="C2208" s="8" t="s">
        <v>12479</v>
      </c>
      <c r="D2208" s="10">
        <v>93</v>
      </c>
      <c r="E2208" s="8" t="s">
        <v>791</v>
      </c>
      <c r="F2208" s="8" t="s">
        <v>792</v>
      </c>
      <c r="G2208" s="8" t="s">
        <v>4551</v>
      </c>
      <c r="H2208" s="8" t="s">
        <v>791</v>
      </c>
      <c r="I2208" s="8" t="s">
        <v>791</v>
      </c>
      <c r="J2208" s="8"/>
      <c r="K2208" s="8"/>
      <c r="L2208" s="15" t="s">
        <v>1685</v>
      </c>
      <c r="M2208" s="8" t="s">
        <v>5578</v>
      </c>
      <c r="N2208" s="8"/>
      <c r="O2208" s="8" t="s">
        <v>5574</v>
      </c>
      <c r="P2208" s="11"/>
      <c r="Q2208" s="8"/>
      <c r="R2208" s="8" t="s">
        <v>12304</v>
      </c>
      <c r="S2208" s="8" t="s">
        <v>12658</v>
      </c>
    </row>
    <row r="2209" spans="1:19" ht="65.099999999999994" customHeight="1" x14ac:dyDescent="0.25">
      <c r="A2209" s="8" t="s">
        <v>12659</v>
      </c>
      <c r="B2209" s="8" t="s">
        <v>5693</v>
      </c>
      <c r="C2209" s="8" t="s">
        <v>12479</v>
      </c>
      <c r="D2209" s="10">
        <v>94</v>
      </c>
      <c r="E2209" s="8" t="s">
        <v>528</v>
      </c>
      <c r="F2209" s="8" t="s">
        <v>530</v>
      </c>
      <c r="G2209" s="8" t="s">
        <v>4551</v>
      </c>
      <c r="H2209" s="8" t="s">
        <v>528</v>
      </c>
      <c r="I2209" s="8" t="s">
        <v>528</v>
      </c>
      <c r="J2209" s="8"/>
      <c r="K2209" s="8"/>
      <c r="L2209" s="15" t="s">
        <v>1685</v>
      </c>
      <c r="M2209" s="8" t="s">
        <v>5578</v>
      </c>
      <c r="N2209" s="8"/>
      <c r="O2209" s="8" t="s">
        <v>5574</v>
      </c>
      <c r="P2209" s="11"/>
      <c r="Q2209" s="8"/>
      <c r="R2209" s="8" t="s">
        <v>12304</v>
      </c>
      <c r="S2209" s="8" t="s">
        <v>12660</v>
      </c>
    </row>
    <row r="2210" spans="1:19" ht="78.95" customHeight="1" x14ac:dyDescent="0.25">
      <c r="A2210" s="8" t="s">
        <v>12661</v>
      </c>
      <c r="B2210" s="8" t="s">
        <v>5693</v>
      </c>
      <c r="C2210" s="8" t="s">
        <v>12479</v>
      </c>
      <c r="D2210" s="10">
        <v>95</v>
      </c>
      <c r="E2210" s="8" t="s">
        <v>821</v>
      </c>
      <c r="F2210" s="8" t="s">
        <v>822</v>
      </c>
      <c r="G2210" s="8" t="s">
        <v>4551</v>
      </c>
      <c r="H2210" s="8" t="s">
        <v>821</v>
      </c>
      <c r="I2210" s="8" t="s">
        <v>821</v>
      </c>
      <c r="J2210" s="8"/>
      <c r="K2210" s="8"/>
      <c r="L2210" s="15" t="s">
        <v>1685</v>
      </c>
      <c r="M2210" s="8" t="s">
        <v>5578</v>
      </c>
      <c r="N2210" s="8"/>
      <c r="O2210" s="8" t="s">
        <v>5574</v>
      </c>
      <c r="P2210" s="11"/>
      <c r="Q2210" s="8"/>
      <c r="R2210" s="8" t="s">
        <v>12304</v>
      </c>
      <c r="S2210" s="8" t="s">
        <v>12662</v>
      </c>
    </row>
    <row r="2211" spans="1:19" ht="78.95" customHeight="1" x14ac:dyDescent="0.25">
      <c r="A2211" s="8" t="s">
        <v>12663</v>
      </c>
      <c r="B2211" s="8" t="s">
        <v>5693</v>
      </c>
      <c r="C2211" s="8" t="s">
        <v>12479</v>
      </c>
      <c r="D2211" s="10">
        <v>96</v>
      </c>
      <c r="E2211" s="8" t="s">
        <v>595</v>
      </c>
      <c r="F2211" s="8" t="s">
        <v>596</v>
      </c>
      <c r="G2211" s="8" t="s">
        <v>4551</v>
      </c>
      <c r="H2211" s="8" t="s">
        <v>595</v>
      </c>
      <c r="I2211" s="8" t="s">
        <v>595</v>
      </c>
      <c r="J2211" s="8"/>
      <c r="K2211" s="8"/>
      <c r="L2211" s="15" t="s">
        <v>1685</v>
      </c>
      <c r="M2211" s="8" t="s">
        <v>5578</v>
      </c>
      <c r="N2211" s="8"/>
      <c r="O2211" s="8" t="s">
        <v>5574</v>
      </c>
      <c r="P2211" s="11"/>
      <c r="Q2211" s="8"/>
      <c r="R2211" s="8" t="s">
        <v>12304</v>
      </c>
      <c r="S2211" s="8" t="s">
        <v>12664</v>
      </c>
    </row>
    <row r="2212" spans="1:19" ht="78.95" customHeight="1" x14ac:dyDescent="0.25">
      <c r="A2212" s="8" t="s">
        <v>12665</v>
      </c>
      <c r="B2212" s="8" t="s">
        <v>5693</v>
      </c>
      <c r="C2212" s="8" t="s">
        <v>12479</v>
      </c>
      <c r="D2212" s="10">
        <v>97</v>
      </c>
      <c r="E2212" s="8" t="s">
        <v>619</v>
      </c>
      <c r="F2212" s="8" t="s">
        <v>620</v>
      </c>
      <c r="G2212" s="8" t="s">
        <v>4551</v>
      </c>
      <c r="H2212" s="8" t="s">
        <v>619</v>
      </c>
      <c r="I2212" s="8" t="s">
        <v>619</v>
      </c>
      <c r="J2212" s="8"/>
      <c r="K2212" s="8"/>
      <c r="L2212" s="15" t="s">
        <v>1685</v>
      </c>
      <c r="M2212" s="8" t="s">
        <v>5578</v>
      </c>
      <c r="N2212" s="8"/>
      <c r="O2212" s="8" t="s">
        <v>5574</v>
      </c>
      <c r="P2212" s="11"/>
      <c r="Q2212" s="8"/>
      <c r="R2212" s="8" t="s">
        <v>12304</v>
      </c>
      <c r="S2212" s="8" t="s">
        <v>12666</v>
      </c>
    </row>
    <row r="2213" spans="1:19" ht="65.099999999999994" customHeight="1" x14ac:dyDescent="0.25">
      <c r="A2213" s="8" t="s">
        <v>12667</v>
      </c>
      <c r="B2213" s="8" t="s">
        <v>5693</v>
      </c>
      <c r="C2213" s="8" t="s">
        <v>12479</v>
      </c>
      <c r="D2213" s="10">
        <v>98</v>
      </c>
      <c r="E2213" s="8" t="s">
        <v>634</v>
      </c>
      <c r="F2213" s="8" t="s">
        <v>635</v>
      </c>
      <c r="G2213" s="8" t="s">
        <v>4551</v>
      </c>
      <c r="H2213" s="8" t="s">
        <v>634</v>
      </c>
      <c r="I2213" s="8" t="s">
        <v>634</v>
      </c>
      <c r="J2213" s="8"/>
      <c r="K2213" s="8"/>
      <c r="L2213" s="15" t="s">
        <v>1685</v>
      </c>
      <c r="M2213" s="8" t="s">
        <v>5578</v>
      </c>
      <c r="N2213" s="8"/>
      <c r="O2213" s="8" t="s">
        <v>5574</v>
      </c>
      <c r="P2213" s="11"/>
      <c r="Q2213" s="8"/>
      <c r="R2213" s="8" t="s">
        <v>12304</v>
      </c>
      <c r="S2213" s="8" t="s">
        <v>12668</v>
      </c>
    </row>
    <row r="2214" spans="1:19" ht="65.099999999999994" customHeight="1" x14ac:dyDescent="0.25">
      <c r="A2214" s="8" t="s">
        <v>12669</v>
      </c>
      <c r="B2214" s="8" t="s">
        <v>5693</v>
      </c>
      <c r="C2214" s="8" t="s">
        <v>12479</v>
      </c>
      <c r="D2214" s="10">
        <v>99</v>
      </c>
      <c r="E2214" s="8" t="s">
        <v>688</v>
      </c>
      <c r="F2214" s="8" t="s">
        <v>689</v>
      </c>
      <c r="G2214" s="8" t="s">
        <v>4551</v>
      </c>
      <c r="H2214" s="8" t="s">
        <v>688</v>
      </c>
      <c r="I2214" s="8" t="s">
        <v>688</v>
      </c>
      <c r="J2214" s="8"/>
      <c r="K2214" s="8"/>
      <c r="L2214" s="15" t="s">
        <v>1685</v>
      </c>
      <c r="M2214" s="8" t="s">
        <v>5578</v>
      </c>
      <c r="N2214" s="8"/>
      <c r="O2214" s="8" t="s">
        <v>5574</v>
      </c>
      <c r="P2214" s="11"/>
      <c r="Q2214" s="8"/>
      <c r="R2214" s="8" t="s">
        <v>12304</v>
      </c>
      <c r="S2214" s="8" t="s">
        <v>12670</v>
      </c>
    </row>
    <row r="2215" spans="1:19" ht="65.099999999999994" customHeight="1" x14ac:dyDescent="0.25">
      <c r="A2215" s="8" t="s">
        <v>12671</v>
      </c>
      <c r="B2215" s="8" t="s">
        <v>5693</v>
      </c>
      <c r="C2215" s="8" t="s">
        <v>12479</v>
      </c>
      <c r="D2215" s="10">
        <v>100</v>
      </c>
      <c r="E2215" s="8" t="s">
        <v>1063</v>
      </c>
      <c r="F2215" s="8" t="s">
        <v>1065</v>
      </c>
      <c r="G2215" s="8" t="s">
        <v>4551</v>
      </c>
      <c r="H2215" s="8" t="s">
        <v>1063</v>
      </c>
      <c r="I2215" s="8" t="s">
        <v>1063</v>
      </c>
      <c r="J2215" s="8"/>
      <c r="K2215" s="8"/>
      <c r="L2215" s="15" t="s">
        <v>1685</v>
      </c>
      <c r="M2215" s="8" t="s">
        <v>5578</v>
      </c>
      <c r="N2215" s="8"/>
      <c r="O2215" s="8" t="s">
        <v>5574</v>
      </c>
      <c r="P2215" s="11"/>
      <c r="Q2215" s="8"/>
      <c r="R2215" s="8" t="s">
        <v>12304</v>
      </c>
      <c r="S2215" s="8" t="s">
        <v>12672</v>
      </c>
    </row>
    <row r="2216" spans="1:19" ht="78.95" customHeight="1" x14ac:dyDescent="0.25">
      <c r="A2216" s="8" t="s">
        <v>12673</v>
      </c>
      <c r="B2216" s="8" t="s">
        <v>5693</v>
      </c>
      <c r="C2216" s="8" t="s">
        <v>12479</v>
      </c>
      <c r="D2216" s="10">
        <v>101</v>
      </c>
      <c r="E2216" s="8" t="s">
        <v>1215</v>
      </c>
      <c r="F2216" s="8" t="s">
        <v>1216</v>
      </c>
      <c r="G2216" s="8" t="s">
        <v>4551</v>
      </c>
      <c r="H2216" s="8" t="s">
        <v>1215</v>
      </c>
      <c r="I2216" s="8" t="s">
        <v>1215</v>
      </c>
      <c r="J2216" s="8"/>
      <c r="K2216" s="8"/>
      <c r="L2216" s="15" t="s">
        <v>1685</v>
      </c>
      <c r="M2216" s="8" t="s">
        <v>5578</v>
      </c>
      <c r="N2216" s="8"/>
      <c r="O2216" s="8" t="s">
        <v>5574</v>
      </c>
      <c r="P2216" s="11"/>
      <c r="Q2216" s="8"/>
      <c r="R2216" s="8" t="s">
        <v>12304</v>
      </c>
      <c r="S2216" s="8" t="s">
        <v>12674</v>
      </c>
    </row>
    <row r="2217" spans="1:19" ht="78.95" customHeight="1" x14ac:dyDescent="0.25">
      <c r="A2217" s="8" t="s">
        <v>12675</v>
      </c>
      <c r="B2217" s="8" t="s">
        <v>5693</v>
      </c>
      <c r="C2217" s="8" t="s">
        <v>12479</v>
      </c>
      <c r="D2217" s="10">
        <v>102</v>
      </c>
      <c r="E2217" s="8" t="s">
        <v>1147</v>
      </c>
      <c r="F2217" s="8" t="s">
        <v>1149</v>
      </c>
      <c r="G2217" s="8" t="s">
        <v>4551</v>
      </c>
      <c r="H2217" s="8" t="s">
        <v>1147</v>
      </c>
      <c r="I2217" s="8" t="s">
        <v>1147</v>
      </c>
      <c r="J2217" s="8"/>
      <c r="K2217" s="8"/>
      <c r="L2217" s="15" t="s">
        <v>1685</v>
      </c>
      <c r="M2217" s="8" t="s">
        <v>5578</v>
      </c>
      <c r="N2217" s="8"/>
      <c r="O2217" s="8" t="s">
        <v>5574</v>
      </c>
      <c r="P2217" s="11"/>
      <c r="Q2217" s="8"/>
      <c r="R2217" s="8" t="s">
        <v>12304</v>
      </c>
      <c r="S2217" s="8" t="s">
        <v>12676</v>
      </c>
    </row>
    <row r="2218" spans="1:19" ht="65.099999999999994" customHeight="1" x14ac:dyDescent="0.25">
      <c r="A2218" s="8" t="s">
        <v>12677</v>
      </c>
      <c r="B2218" s="8" t="s">
        <v>5693</v>
      </c>
      <c r="C2218" s="8" t="s">
        <v>12479</v>
      </c>
      <c r="D2218" s="10">
        <v>103</v>
      </c>
      <c r="E2218" s="8" t="s">
        <v>1239</v>
      </c>
      <c r="F2218" s="8" t="s">
        <v>1240</v>
      </c>
      <c r="G2218" s="8" t="s">
        <v>4551</v>
      </c>
      <c r="H2218" s="8" t="s">
        <v>1239</v>
      </c>
      <c r="I2218" s="8" t="s">
        <v>1239</v>
      </c>
      <c r="J2218" s="8"/>
      <c r="K2218" s="8"/>
      <c r="L2218" s="15" t="s">
        <v>1685</v>
      </c>
      <c r="M2218" s="8" t="s">
        <v>5578</v>
      </c>
      <c r="N2218" s="8"/>
      <c r="O2218" s="8" t="s">
        <v>5574</v>
      </c>
      <c r="P2218" s="11"/>
      <c r="Q2218" s="8"/>
      <c r="R2218" s="8" t="s">
        <v>12304</v>
      </c>
      <c r="S2218" s="8" t="s">
        <v>12678</v>
      </c>
    </row>
    <row r="2219" spans="1:19" ht="65.099999999999994" customHeight="1" x14ac:dyDescent="0.25">
      <c r="A2219" s="8" t="s">
        <v>12679</v>
      </c>
      <c r="B2219" s="8" t="s">
        <v>5693</v>
      </c>
      <c r="C2219" s="8" t="s">
        <v>12479</v>
      </c>
      <c r="D2219" s="10">
        <v>104</v>
      </c>
      <c r="E2219" s="8" t="s">
        <v>668</v>
      </c>
      <c r="F2219" s="8" t="s">
        <v>669</v>
      </c>
      <c r="G2219" s="8" t="s">
        <v>4551</v>
      </c>
      <c r="H2219" s="8" t="s">
        <v>668</v>
      </c>
      <c r="I2219" s="8" t="s">
        <v>668</v>
      </c>
      <c r="J2219" s="8"/>
      <c r="K2219" s="8"/>
      <c r="L2219" s="15" t="s">
        <v>1685</v>
      </c>
      <c r="M2219" s="8" t="s">
        <v>5578</v>
      </c>
      <c r="N2219" s="8"/>
      <c r="O2219" s="8" t="s">
        <v>5574</v>
      </c>
      <c r="P2219" s="11"/>
      <c r="Q2219" s="8"/>
      <c r="R2219" s="8" t="s">
        <v>12304</v>
      </c>
      <c r="S2219" s="8" t="s">
        <v>12680</v>
      </c>
    </row>
    <row r="2220" spans="1:19" ht="78.95" customHeight="1" x14ac:dyDescent="0.25">
      <c r="A2220" s="8" t="s">
        <v>12681</v>
      </c>
      <c r="B2220" s="8" t="s">
        <v>5693</v>
      </c>
      <c r="C2220" s="8" t="s">
        <v>12479</v>
      </c>
      <c r="D2220" s="10">
        <v>105</v>
      </c>
      <c r="E2220" s="8" t="s">
        <v>778</v>
      </c>
      <c r="F2220" s="8" t="s">
        <v>781</v>
      </c>
      <c r="G2220" s="8" t="s">
        <v>4551</v>
      </c>
      <c r="H2220" s="8" t="s">
        <v>778</v>
      </c>
      <c r="I2220" s="8" t="s">
        <v>778</v>
      </c>
      <c r="J2220" s="8"/>
      <c r="K2220" s="8"/>
      <c r="L2220" s="15" t="s">
        <v>1685</v>
      </c>
      <c r="M2220" s="8" t="s">
        <v>5578</v>
      </c>
      <c r="N2220" s="8"/>
      <c r="O2220" s="8" t="s">
        <v>5574</v>
      </c>
      <c r="P2220" s="11"/>
      <c r="Q2220" s="8"/>
      <c r="R2220" s="8" t="s">
        <v>12304</v>
      </c>
      <c r="S2220" s="8" t="s">
        <v>12682</v>
      </c>
    </row>
    <row r="2221" spans="1:19" ht="65.099999999999994" customHeight="1" x14ac:dyDescent="0.25">
      <c r="A2221" s="8" t="s">
        <v>12683</v>
      </c>
      <c r="B2221" s="8" t="s">
        <v>5693</v>
      </c>
      <c r="C2221" s="8" t="s">
        <v>12479</v>
      </c>
      <c r="D2221" s="10">
        <v>106</v>
      </c>
      <c r="E2221" s="8" t="s">
        <v>795</v>
      </c>
      <c r="F2221" s="8" t="s">
        <v>796</v>
      </c>
      <c r="G2221" s="8" t="s">
        <v>4551</v>
      </c>
      <c r="H2221" s="8" t="s">
        <v>795</v>
      </c>
      <c r="I2221" s="8" t="s">
        <v>795</v>
      </c>
      <c r="J2221" s="8"/>
      <c r="K2221" s="8"/>
      <c r="L2221" s="15" t="s">
        <v>1685</v>
      </c>
      <c r="M2221" s="8" t="s">
        <v>5578</v>
      </c>
      <c r="N2221" s="8"/>
      <c r="O2221" s="8" t="s">
        <v>5574</v>
      </c>
      <c r="P2221" s="11"/>
      <c r="Q2221" s="8"/>
      <c r="R2221" s="8" t="s">
        <v>12304</v>
      </c>
      <c r="S2221" s="8" t="s">
        <v>12684</v>
      </c>
    </row>
    <row r="2222" spans="1:19" ht="65.099999999999994" customHeight="1" x14ac:dyDescent="0.25">
      <c r="A2222" s="8" t="s">
        <v>12685</v>
      </c>
      <c r="B2222" s="8" t="s">
        <v>5693</v>
      </c>
      <c r="C2222" s="8" t="s">
        <v>12479</v>
      </c>
      <c r="D2222" s="10">
        <v>107</v>
      </c>
      <c r="E2222" s="8" t="s">
        <v>638</v>
      </c>
      <c r="F2222" s="8" t="s">
        <v>639</v>
      </c>
      <c r="G2222" s="8" t="s">
        <v>4551</v>
      </c>
      <c r="H2222" s="8" t="s">
        <v>638</v>
      </c>
      <c r="I2222" s="8" t="s">
        <v>638</v>
      </c>
      <c r="J2222" s="8"/>
      <c r="K2222" s="8"/>
      <c r="L2222" s="15" t="s">
        <v>1685</v>
      </c>
      <c r="M2222" s="8" t="s">
        <v>5578</v>
      </c>
      <c r="N2222" s="8"/>
      <c r="O2222" s="8" t="s">
        <v>5574</v>
      </c>
      <c r="P2222" s="11"/>
      <c r="Q2222" s="8"/>
      <c r="R2222" s="8" t="s">
        <v>12304</v>
      </c>
      <c r="S2222" s="8" t="s">
        <v>12686</v>
      </c>
    </row>
    <row r="2223" spans="1:19" ht="78.95" customHeight="1" x14ac:dyDescent="0.25">
      <c r="A2223" s="8" t="s">
        <v>12687</v>
      </c>
      <c r="B2223" s="8" t="s">
        <v>5693</v>
      </c>
      <c r="C2223" s="8" t="s">
        <v>12479</v>
      </c>
      <c r="D2223" s="10">
        <v>108</v>
      </c>
      <c r="E2223" s="8" t="s">
        <v>1198</v>
      </c>
      <c r="F2223" s="8" t="s">
        <v>1199</v>
      </c>
      <c r="G2223" s="8" t="s">
        <v>4551</v>
      </c>
      <c r="H2223" s="8" t="s">
        <v>1198</v>
      </c>
      <c r="I2223" s="8" t="s">
        <v>1198</v>
      </c>
      <c r="J2223" s="8"/>
      <c r="K2223" s="8"/>
      <c r="L2223" s="15" t="s">
        <v>1685</v>
      </c>
      <c r="M2223" s="8" t="s">
        <v>5578</v>
      </c>
      <c r="N2223" s="8"/>
      <c r="O2223" s="8" t="s">
        <v>5574</v>
      </c>
      <c r="P2223" s="11"/>
      <c r="Q2223" s="8"/>
      <c r="R2223" s="8" t="s">
        <v>12304</v>
      </c>
      <c r="S2223" s="8" t="s">
        <v>12688</v>
      </c>
    </row>
    <row r="2224" spans="1:19" ht="65.099999999999994" customHeight="1" x14ac:dyDescent="0.25">
      <c r="A2224" s="8" t="s">
        <v>12689</v>
      </c>
      <c r="B2224" s="8" t="s">
        <v>5693</v>
      </c>
      <c r="C2224" s="8" t="s">
        <v>12479</v>
      </c>
      <c r="D2224" s="10">
        <v>109</v>
      </c>
      <c r="E2224" s="8" t="s">
        <v>1078</v>
      </c>
      <c r="F2224" s="8" t="s">
        <v>1079</v>
      </c>
      <c r="G2224" s="8" t="s">
        <v>4551</v>
      </c>
      <c r="H2224" s="8" t="s">
        <v>1078</v>
      </c>
      <c r="I2224" s="8" t="s">
        <v>1078</v>
      </c>
      <c r="J2224" s="8"/>
      <c r="K2224" s="8"/>
      <c r="L2224" s="15" t="s">
        <v>1685</v>
      </c>
      <c r="M2224" s="8" t="s">
        <v>5578</v>
      </c>
      <c r="N2224" s="8"/>
      <c r="O2224" s="8" t="s">
        <v>5574</v>
      </c>
      <c r="P2224" s="11"/>
      <c r="Q2224" s="8"/>
      <c r="R2224" s="8" t="s">
        <v>12304</v>
      </c>
      <c r="S2224" s="8" t="s">
        <v>12690</v>
      </c>
    </row>
    <row r="2225" spans="1:19" ht="65.099999999999994" customHeight="1" x14ac:dyDescent="0.25">
      <c r="A2225" s="8" t="s">
        <v>12691</v>
      </c>
      <c r="B2225" s="8" t="s">
        <v>5693</v>
      </c>
      <c r="C2225" s="8" t="s">
        <v>12479</v>
      </c>
      <c r="D2225" s="10">
        <v>110</v>
      </c>
      <c r="E2225" s="8" t="s">
        <v>380</v>
      </c>
      <c r="F2225" s="8" t="s">
        <v>383</v>
      </c>
      <c r="G2225" s="8" t="s">
        <v>4551</v>
      </c>
      <c r="H2225" s="8" t="s">
        <v>380</v>
      </c>
      <c r="I2225" s="8" t="s">
        <v>380</v>
      </c>
      <c r="J2225" s="8"/>
      <c r="K2225" s="8"/>
      <c r="L2225" s="15" t="s">
        <v>1685</v>
      </c>
      <c r="M2225" s="8" t="s">
        <v>5578</v>
      </c>
      <c r="N2225" s="8"/>
      <c r="O2225" s="8" t="s">
        <v>5574</v>
      </c>
      <c r="P2225" s="11"/>
      <c r="Q2225" s="8"/>
      <c r="R2225" s="8" t="s">
        <v>12304</v>
      </c>
      <c r="S2225" s="8" t="s">
        <v>12692</v>
      </c>
    </row>
    <row r="2226" spans="1:19" ht="78.95" customHeight="1" x14ac:dyDescent="0.25">
      <c r="A2226" s="8" t="s">
        <v>12693</v>
      </c>
      <c r="B2226" s="8" t="s">
        <v>5693</v>
      </c>
      <c r="C2226" s="8" t="s">
        <v>12479</v>
      </c>
      <c r="D2226" s="10">
        <v>111</v>
      </c>
      <c r="E2226" s="8" t="s">
        <v>1331</v>
      </c>
      <c r="F2226" s="8" t="s">
        <v>1332</v>
      </c>
      <c r="G2226" s="8" t="s">
        <v>4551</v>
      </c>
      <c r="H2226" s="8" t="s">
        <v>1331</v>
      </c>
      <c r="I2226" s="8" t="s">
        <v>1331</v>
      </c>
      <c r="J2226" s="8"/>
      <c r="K2226" s="8"/>
      <c r="L2226" s="15" t="s">
        <v>1685</v>
      </c>
      <c r="M2226" s="8" t="s">
        <v>5578</v>
      </c>
      <c r="N2226" s="8"/>
      <c r="O2226" s="8" t="s">
        <v>5574</v>
      </c>
      <c r="P2226" s="11"/>
      <c r="Q2226" s="8"/>
      <c r="R2226" s="8" t="s">
        <v>12304</v>
      </c>
      <c r="S2226" s="8" t="s">
        <v>12694</v>
      </c>
    </row>
    <row r="2227" spans="1:19" ht="78.95" customHeight="1" x14ac:dyDescent="0.25">
      <c r="A2227" s="8" t="s">
        <v>12695</v>
      </c>
      <c r="B2227" s="8" t="s">
        <v>5693</v>
      </c>
      <c r="C2227" s="8" t="s">
        <v>12479</v>
      </c>
      <c r="D2227" s="10">
        <v>112</v>
      </c>
      <c r="E2227" s="8" t="s">
        <v>1253</v>
      </c>
      <c r="F2227" s="8" t="s">
        <v>1255</v>
      </c>
      <c r="G2227" s="8" t="s">
        <v>4551</v>
      </c>
      <c r="H2227" s="8" t="s">
        <v>1253</v>
      </c>
      <c r="I2227" s="8" t="s">
        <v>1253</v>
      </c>
      <c r="J2227" s="8"/>
      <c r="K2227" s="8"/>
      <c r="L2227" s="15" t="s">
        <v>1685</v>
      </c>
      <c r="M2227" s="8" t="s">
        <v>5578</v>
      </c>
      <c r="N2227" s="8"/>
      <c r="O2227" s="8" t="s">
        <v>5574</v>
      </c>
      <c r="P2227" s="11"/>
      <c r="Q2227" s="8"/>
      <c r="R2227" s="8" t="s">
        <v>12304</v>
      </c>
      <c r="S2227" s="8" t="s">
        <v>12696</v>
      </c>
    </row>
    <row r="2228" spans="1:19" ht="78.95" customHeight="1" x14ac:dyDescent="0.25">
      <c r="A2228" s="8" t="s">
        <v>12697</v>
      </c>
      <c r="B2228" s="8" t="s">
        <v>5693</v>
      </c>
      <c r="C2228" s="8" t="s">
        <v>12479</v>
      </c>
      <c r="D2228" s="10">
        <v>113</v>
      </c>
      <c r="E2228" s="8" t="s">
        <v>1465</v>
      </c>
      <c r="F2228" s="8" t="s">
        <v>1466</v>
      </c>
      <c r="G2228" s="8" t="s">
        <v>4551</v>
      </c>
      <c r="H2228" s="8" t="s">
        <v>1465</v>
      </c>
      <c r="I2228" s="8" t="s">
        <v>1465</v>
      </c>
      <c r="J2228" s="8"/>
      <c r="K2228" s="8"/>
      <c r="L2228" s="15" t="s">
        <v>1685</v>
      </c>
      <c r="M2228" s="8" t="s">
        <v>5578</v>
      </c>
      <c r="N2228" s="8"/>
      <c r="O2228" s="8" t="s">
        <v>5574</v>
      </c>
      <c r="P2228" s="11"/>
      <c r="Q2228" s="8"/>
      <c r="R2228" s="8" t="s">
        <v>12304</v>
      </c>
      <c r="S2228" s="8" t="s">
        <v>12698</v>
      </c>
    </row>
    <row r="2229" spans="1:19" ht="78.95" customHeight="1" x14ac:dyDescent="0.25">
      <c r="A2229" s="8" t="s">
        <v>12699</v>
      </c>
      <c r="B2229" s="8" t="s">
        <v>5693</v>
      </c>
      <c r="C2229" s="8" t="s">
        <v>12479</v>
      </c>
      <c r="D2229" s="10">
        <v>114</v>
      </c>
      <c r="E2229" s="8" t="s">
        <v>1474</v>
      </c>
      <c r="F2229" s="8" t="s">
        <v>1475</v>
      </c>
      <c r="G2229" s="8" t="s">
        <v>4551</v>
      </c>
      <c r="H2229" s="8" t="s">
        <v>1474</v>
      </c>
      <c r="I2229" s="8" t="s">
        <v>1474</v>
      </c>
      <c r="J2229" s="8"/>
      <c r="K2229" s="8"/>
      <c r="L2229" s="15" t="s">
        <v>1685</v>
      </c>
      <c r="M2229" s="8" t="s">
        <v>5578</v>
      </c>
      <c r="N2229" s="8"/>
      <c r="O2229" s="8" t="s">
        <v>5574</v>
      </c>
      <c r="P2229" s="11"/>
      <c r="Q2229" s="8"/>
      <c r="R2229" s="8" t="s">
        <v>12304</v>
      </c>
      <c r="S2229" s="8" t="s">
        <v>12700</v>
      </c>
    </row>
    <row r="2230" spans="1:19" ht="78.95" customHeight="1" x14ac:dyDescent="0.25">
      <c r="A2230" s="8" t="s">
        <v>12701</v>
      </c>
      <c r="B2230" s="8" t="s">
        <v>5693</v>
      </c>
      <c r="C2230" s="8" t="s">
        <v>12479</v>
      </c>
      <c r="D2230" s="10">
        <v>115</v>
      </c>
      <c r="E2230" s="8" t="s">
        <v>1248</v>
      </c>
      <c r="F2230" s="8" t="s">
        <v>1250</v>
      </c>
      <c r="G2230" s="8" t="s">
        <v>4551</v>
      </c>
      <c r="H2230" s="8" t="s">
        <v>1248</v>
      </c>
      <c r="I2230" s="8" t="s">
        <v>1248</v>
      </c>
      <c r="J2230" s="8"/>
      <c r="K2230" s="8"/>
      <c r="L2230" s="15" t="s">
        <v>1685</v>
      </c>
      <c r="M2230" s="8" t="s">
        <v>5578</v>
      </c>
      <c r="N2230" s="8"/>
      <c r="O2230" s="8" t="s">
        <v>5574</v>
      </c>
      <c r="P2230" s="11"/>
      <c r="Q2230" s="8"/>
      <c r="R2230" s="8" t="s">
        <v>12304</v>
      </c>
      <c r="S2230" s="8" t="s">
        <v>12702</v>
      </c>
    </row>
    <row r="2231" spans="1:19" ht="78.95" customHeight="1" x14ac:dyDescent="0.25">
      <c r="A2231" s="8" t="s">
        <v>12703</v>
      </c>
      <c r="B2231" s="8" t="s">
        <v>5693</v>
      </c>
      <c r="C2231" s="8" t="s">
        <v>12479</v>
      </c>
      <c r="D2231" s="10">
        <v>116</v>
      </c>
      <c r="E2231" s="8" t="s">
        <v>1615</v>
      </c>
      <c r="F2231" s="8" t="s">
        <v>1616</v>
      </c>
      <c r="G2231" s="8" t="s">
        <v>4551</v>
      </c>
      <c r="H2231" s="8" t="s">
        <v>1615</v>
      </c>
      <c r="I2231" s="8" t="s">
        <v>1615</v>
      </c>
      <c r="J2231" s="8"/>
      <c r="K2231" s="8"/>
      <c r="L2231" s="15" t="s">
        <v>1685</v>
      </c>
      <c r="M2231" s="8" t="s">
        <v>5578</v>
      </c>
      <c r="N2231" s="8"/>
      <c r="O2231" s="8" t="s">
        <v>5574</v>
      </c>
      <c r="P2231" s="11"/>
      <c r="Q2231" s="8"/>
      <c r="R2231" s="8" t="s">
        <v>12304</v>
      </c>
      <c r="S2231" s="8" t="s">
        <v>12704</v>
      </c>
    </row>
    <row r="2232" spans="1:19" ht="65.099999999999994" customHeight="1" x14ac:dyDescent="0.25">
      <c r="A2232" s="8" t="s">
        <v>12705</v>
      </c>
      <c r="B2232" s="8" t="s">
        <v>5693</v>
      </c>
      <c r="C2232" s="8" t="s">
        <v>12479</v>
      </c>
      <c r="D2232" s="10">
        <v>117</v>
      </c>
      <c r="E2232" s="8" t="s">
        <v>1426</v>
      </c>
      <c r="F2232" s="8" t="s">
        <v>1427</v>
      </c>
      <c r="G2232" s="8" t="s">
        <v>4551</v>
      </c>
      <c r="H2232" s="8" t="s">
        <v>1426</v>
      </c>
      <c r="I2232" s="8" t="s">
        <v>1426</v>
      </c>
      <c r="J2232" s="8"/>
      <c r="K2232" s="8"/>
      <c r="L2232" s="15" t="s">
        <v>1685</v>
      </c>
      <c r="M2232" s="8" t="s">
        <v>5578</v>
      </c>
      <c r="N2232" s="8"/>
      <c r="O2232" s="8" t="s">
        <v>5574</v>
      </c>
      <c r="P2232" s="11"/>
      <c r="Q2232" s="8"/>
      <c r="R2232" s="8" t="s">
        <v>12304</v>
      </c>
      <c r="S2232" s="8" t="s">
        <v>12706</v>
      </c>
    </row>
    <row r="2233" spans="1:19" ht="78.95" customHeight="1" x14ac:dyDescent="0.25">
      <c r="A2233" s="8" t="s">
        <v>12707</v>
      </c>
      <c r="B2233" s="8" t="s">
        <v>5693</v>
      </c>
      <c r="C2233" s="8" t="s">
        <v>12479</v>
      </c>
      <c r="D2233" s="10">
        <v>118</v>
      </c>
      <c r="E2233" s="8" t="s">
        <v>1662</v>
      </c>
      <c r="F2233" s="8" t="s">
        <v>1663</v>
      </c>
      <c r="G2233" s="8" t="s">
        <v>4551</v>
      </c>
      <c r="H2233" s="8" t="s">
        <v>1662</v>
      </c>
      <c r="I2233" s="8" t="s">
        <v>1662</v>
      </c>
      <c r="J2233" s="8"/>
      <c r="K2233" s="8"/>
      <c r="L2233" s="15" t="s">
        <v>1685</v>
      </c>
      <c r="M2233" s="8" t="s">
        <v>5578</v>
      </c>
      <c r="N2233" s="8"/>
      <c r="O2233" s="8" t="s">
        <v>5574</v>
      </c>
      <c r="P2233" s="11"/>
      <c r="Q2233" s="8"/>
      <c r="R2233" s="8" t="s">
        <v>12304</v>
      </c>
      <c r="S2233" s="8" t="s">
        <v>12708</v>
      </c>
    </row>
    <row r="2234" spans="1:19" ht="78.95" customHeight="1" x14ac:dyDescent="0.25">
      <c r="A2234" s="8" t="s">
        <v>12709</v>
      </c>
      <c r="B2234" s="8" t="s">
        <v>5693</v>
      </c>
      <c r="C2234" s="8" t="s">
        <v>12479</v>
      </c>
      <c r="D2234" s="10">
        <v>119</v>
      </c>
      <c r="E2234" s="8" t="s">
        <v>1378</v>
      </c>
      <c r="F2234" s="8" t="s">
        <v>1379</v>
      </c>
      <c r="G2234" s="8" t="s">
        <v>4551</v>
      </c>
      <c r="H2234" s="8" t="s">
        <v>1378</v>
      </c>
      <c r="I2234" s="8" t="s">
        <v>1378</v>
      </c>
      <c r="J2234" s="8"/>
      <c r="K2234" s="8"/>
      <c r="L2234" s="15" t="s">
        <v>1685</v>
      </c>
      <c r="M2234" s="8" t="s">
        <v>5578</v>
      </c>
      <c r="N2234" s="8"/>
      <c r="O2234" s="8" t="s">
        <v>5574</v>
      </c>
      <c r="P2234" s="11"/>
      <c r="Q2234" s="8"/>
      <c r="R2234" s="8" t="s">
        <v>12304</v>
      </c>
      <c r="S2234" s="8" t="s">
        <v>12710</v>
      </c>
    </row>
    <row r="2235" spans="1:19" ht="78.95" customHeight="1" x14ac:dyDescent="0.25">
      <c r="A2235" s="8" t="s">
        <v>12711</v>
      </c>
      <c r="B2235" s="8" t="s">
        <v>5693</v>
      </c>
      <c r="C2235" s="8" t="s">
        <v>12479</v>
      </c>
      <c r="D2235" s="10">
        <v>120</v>
      </c>
      <c r="E2235" s="8" t="s">
        <v>1262</v>
      </c>
      <c r="F2235" s="8" t="s">
        <v>1263</v>
      </c>
      <c r="G2235" s="8" t="s">
        <v>4551</v>
      </c>
      <c r="H2235" s="8" t="s">
        <v>1262</v>
      </c>
      <c r="I2235" s="8" t="s">
        <v>1262</v>
      </c>
      <c r="J2235" s="8"/>
      <c r="K2235" s="8"/>
      <c r="L2235" s="15" t="s">
        <v>1685</v>
      </c>
      <c r="M2235" s="8" t="s">
        <v>5578</v>
      </c>
      <c r="N2235" s="8"/>
      <c r="O2235" s="8" t="s">
        <v>5574</v>
      </c>
      <c r="P2235" s="11"/>
      <c r="Q2235" s="8"/>
      <c r="R2235" s="8" t="s">
        <v>12304</v>
      </c>
      <c r="S2235" s="8" t="s">
        <v>12712</v>
      </c>
    </row>
    <row r="2236" spans="1:19" ht="65.099999999999994" customHeight="1" x14ac:dyDescent="0.25">
      <c r="A2236" s="8" t="s">
        <v>12713</v>
      </c>
      <c r="B2236" s="8" t="s">
        <v>5693</v>
      </c>
      <c r="C2236" s="8" t="s">
        <v>12479</v>
      </c>
      <c r="D2236" s="10">
        <v>121</v>
      </c>
      <c r="E2236" s="8" t="s">
        <v>1544</v>
      </c>
      <c r="F2236" s="8" t="s">
        <v>1545</v>
      </c>
      <c r="G2236" s="8" t="s">
        <v>4551</v>
      </c>
      <c r="H2236" s="8" t="s">
        <v>1544</v>
      </c>
      <c r="I2236" s="8" t="s">
        <v>1544</v>
      </c>
      <c r="J2236" s="8"/>
      <c r="K2236" s="8"/>
      <c r="L2236" s="15" t="s">
        <v>1685</v>
      </c>
      <c r="M2236" s="8" t="s">
        <v>5578</v>
      </c>
      <c r="N2236" s="8"/>
      <c r="O2236" s="8" t="s">
        <v>5574</v>
      </c>
      <c r="P2236" s="11"/>
      <c r="Q2236" s="8"/>
      <c r="R2236" s="8" t="s">
        <v>12304</v>
      </c>
      <c r="S2236" s="8" t="s">
        <v>12714</v>
      </c>
    </row>
    <row r="2237" spans="1:19" ht="78.95" customHeight="1" x14ac:dyDescent="0.25">
      <c r="A2237" s="8" t="s">
        <v>12715</v>
      </c>
      <c r="B2237" s="8" t="s">
        <v>5693</v>
      </c>
      <c r="C2237" s="8" t="s">
        <v>12479</v>
      </c>
      <c r="D2237" s="10">
        <v>122</v>
      </c>
      <c r="E2237" s="8" t="s">
        <v>996</v>
      </c>
      <c r="F2237" s="8" t="s">
        <v>3179</v>
      </c>
      <c r="G2237" s="8" t="s">
        <v>4551</v>
      </c>
      <c r="H2237" s="8" t="s">
        <v>996</v>
      </c>
      <c r="I2237" s="8" t="s">
        <v>996</v>
      </c>
      <c r="J2237" s="8"/>
      <c r="K2237" s="8"/>
      <c r="L2237" s="15" t="s">
        <v>1685</v>
      </c>
      <c r="M2237" s="8" t="s">
        <v>5578</v>
      </c>
      <c r="N2237" s="8"/>
      <c r="O2237" s="8" t="s">
        <v>5574</v>
      </c>
      <c r="P2237" s="11"/>
      <c r="Q2237" s="8"/>
      <c r="R2237" s="8" t="s">
        <v>12304</v>
      </c>
      <c r="S2237" s="8" t="s">
        <v>12716</v>
      </c>
    </row>
    <row r="2238" spans="1:19" ht="65.099999999999994" customHeight="1" x14ac:dyDescent="0.25">
      <c r="A2238" s="8" t="s">
        <v>12717</v>
      </c>
      <c r="B2238" s="8" t="s">
        <v>5693</v>
      </c>
      <c r="C2238" s="8" t="s">
        <v>12479</v>
      </c>
      <c r="D2238" s="10">
        <v>123</v>
      </c>
      <c r="E2238" s="8" t="s">
        <v>1391</v>
      </c>
      <c r="F2238" s="8" t="s">
        <v>1393</v>
      </c>
      <c r="G2238" s="8" t="s">
        <v>4551</v>
      </c>
      <c r="H2238" s="8" t="s">
        <v>1391</v>
      </c>
      <c r="I2238" s="8" t="s">
        <v>1391</v>
      </c>
      <c r="J2238" s="8"/>
      <c r="K2238" s="8"/>
      <c r="L2238" s="15" t="s">
        <v>1685</v>
      </c>
      <c r="M2238" s="8" t="s">
        <v>5578</v>
      </c>
      <c r="N2238" s="8"/>
      <c r="O2238" s="8" t="s">
        <v>5574</v>
      </c>
      <c r="P2238" s="11"/>
      <c r="Q2238" s="8"/>
      <c r="R2238" s="8" t="s">
        <v>12304</v>
      </c>
      <c r="S2238" s="8" t="s">
        <v>12718</v>
      </c>
    </row>
    <row r="2239" spans="1:19" ht="78.95" customHeight="1" x14ac:dyDescent="0.25">
      <c r="A2239" s="8" t="s">
        <v>12719</v>
      </c>
      <c r="B2239" s="8" t="s">
        <v>5693</v>
      </c>
      <c r="C2239" s="8" t="s">
        <v>12479</v>
      </c>
      <c r="D2239" s="10">
        <v>124</v>
      </c>
      <c r="E2239" s="8" t="s">
        <v>976</v>
      </c>
      <c r="F2239" s="8" t="s">
        <v>2948</v>
      </c>
      <c r="G2239" s="8" t="s">
        <v>4551</v>
      </c>
      <c r="H2239" s="8" t="s">
        <v>976</v>
      </c>
      <c r="I2239" s="8" t="s">
        <v>976</v>
      </c>
      <c r="J2239" s="8"/>
      <c r="K2239" s="8"/>
      <c r="L2239" s="15" t="s">
        <v>1685</v>
      </c>
      <c r="M2239" s="8" t="s">
        <v>5578</v>
      </c>
      <c r="N2239" s="8"/>
      <c r="O2239" s="8" t="s">
        <v>5574</v>
      </c>
      <c r="P2239" s="11"/>
      <c r="Q2239" s="8"/>
      <c r="R2239" s="8" t="s">
        <v>12304</v>
      </c>
      <c r="S2239" s="8" t="s">
        <v>12720</v>
      </c>
    </row>
    <row r="2240" spans="1:19" ht="78.95" customHeight="1" x14ac:dyDescent="0.25">
      <c r="A2240" s="8" t="s">
        <v>12721</v>
      </c>
      <c r="B2240" s="8" t="s">
        <v>5693</v>
      </c>
      <c r="C2240" s="8" t="s">
        <v>12479</v>
      </c>
      <c r="D2240" s="10">
        <v>125</v>
      </c>
      <c r="E2240" s="8" t="s">
        <v>1449</v>
      </c>
      <c r="F2240" s="8" t="s">
        <v>1450</v>
      </c>
      <c r="G2240" s="8" t="s">
        <v>4551</v>
      </c>
      <c r="H2240" s="8" t="s">
        <v>1449</v>
      </c>
      <c r="I2240" s="8" t="s">
        <v>1449</v>
      </c>
      <c r="J2240" s="8"/>
      <c r="K2240" s="8"/>
      <c r="L2240" s="15" t="s">
        <v>1685</v>
      </c>
      <c r="M2240" s="8" t="s">
        <v>5578</v>
      </c>
      <c r="N2240" s="8"/>
      <c r="O2240" s="8" t="s">
        <v>5574</v>
      </c>
      <c r="P2240" s="11"/>
      <c r="Q2240" s="8"/>
      <c r="R2240" s="8" t="s">
        <v>12304</v>
      </c>
      <c r="S2240" s="8" t="s">
        <v>12722</v>
      </c>
    </row>
    <row r="2241" spans="1:19" ht="78.95" customHeight="1" x14ac:dyDescent="0.25">
      <c r="A2241" s="8" t="s">
        <v>12723</v>
      </c>
      <c r="B2241" s="8" t="s">
        <v>5693</v>
      </c>
      <c r="C2241" s="8" t="s">
        <v>12479</v>
      </c>
      <c r="D2241" s="10">
        <v>126</v>
      </c>
      <c r="E2241" s="8" t="s">
        <v>1288</v>
      </c>
      <c r="F2241" s="8" t="s">
        <v>1289</v>
      </c>
      <c r="G2241" s="8" t="s">
        <v>4551</v>
      </c>
      <c r="H2241" s="8" t="s">
        <v>1288</v>
      </c>
      <c r="I2241" s="8" t="s">
        <v>1288</v>
      </c>
      <c r="J2241" s="8"/>
      <c r="K2241" s="8"/>
      <c r="L2241" s="15" t="s">
        <v>1685</v>
      </c>
      <c r="M2241" s="8" t="s">
        <v>5578</v>
      </c>
      <c r="N2241" s="8"/>
      <c r="O2241" s="8" t="s">
        <v>5574</v>
      </c>
      <c r="P2241" s="11"/>
      <c r="Q2241" s="8"/>
      <c r="R2241" s="8" t="s">
        <v>12304</v>
      </c>
      <c r="S2241" s="8" t="s">
        <v>12724</v>
      </c>
    </row>
    <row r="2242" spans="1:19" ht="78.95" customHeight="1" x14ac:dyDescent="0.25">
      <c r="A2242" s="8" t="s">
        <v>12725</v>
      </c>
      <c r="B2242" s="8" t="s">
        <v>5693</v>
      </c>
      <c r="C2242" s="8" t="s">
        <v>12479</v>
      </c>
      <c r="D2242" s="10">
        <v>127</v>
      </c>
      <c r="E2242" s="8" t="s">
        <v>1366</v>
      </c>
      <c r="F2242" s="8" t="s">
        <v>1367</v>
      </c>
      <c r="G2242" s="8" t="s">
        <v>4551</v>
      </c>
      <c r="H2242" s="8" t="s">
        <v>1366</v>
      </c>
      <c r="I2242" s="8" t="s">
        <v>1366</v>
      </c>
      <c r="J2242" s="8"/>
      <c r="K2242" s="8"/>
      <c r="L2242" s="15" t="s">
        <v>1685</v>
      </c>
      <c r="M2242" s="8" t="s">
        <v>5578</v>
      </c>
      <c r="N2242" s="8"/>
      <c r="O2242" s="8" t="s">
        <v>5574</v>
      </c>
      <c r="P2242" s="11"/>
      <c r="Q2242" s="8"/>
      <c r="R2242" s="8" t="s">
        <v>12304</v>
      </c>
      <c r="S2242" s="8" t="s">
        <v>12726</v>
      </c>
    </row>
    <row r="2243" spans="1:19" ht="78.95" customHeight="1" x14ac:dyDescent="0.25">
      <c r="A2243" s="8" t="s">
        <v>12727</v>
      </c>
      <c r="B2243" s="8" t="s">
        <v>5693</v>
      </c>
      <c r="C2243" s="8" t="s">
        <v>12479</v>
      </c>
      <c r="D2243" s="10">
        <v>128</v>
      </c>
      <c r="E2243" s="8" t="s">
        <v>1469</v>
      </c>
      <c r="F2243" s="8" t="s">
        <v>1471</v>
      </c>
      <c r="G2243" s="8" t="s">
        <v>4551</v>
      </c>
      <c r="H2243" s="8" t="s">
        <v>1469</v>
      </c>
      <c r="I2243" s="8" t="s">
        <v>1469</v>
      </c>
      <c r="J2243" s="8"/>
      <c r="K2243" s="8"/>
      <c r="L2243" s="15" t="s">
        <v>1685</v>
      </c>
      <c r="M2243" s="8" t="s">
        <v>5578</v>
      </c>
      <c r="N2243" s="8"/>
      <c r="O2243" s="8" t="s">
        <v>5574</v>
      </c>
      <c r="P2243" s="11"/>
      <c r="Q2243" s="8"/>
      <c r="R2243" s="8" t="s">
        <v>12304</v>
      </c>
      <c r="S2243" s="8" t="s">
        <v>12728</v>
      </c>
    </row>
    <row r="2244" spans="1:19" ht="78.95" customHeight="1" x14ac:dyDescent="0.25">
      <c r="A2244" s="8" t="s">
        <v>12729</v>
      </c>
      <c r="B2244" s="8" t="s">
        <v>5693</v>
      </c>
      <c r="C2244" s="8" t="s">
        <v>12479</v>
      </c>
      <c r="D2244" s="10">
        <v>129</v>
      </c>
      <c r="E2244" s="8" t="s">
        <v>1382</v>
      </c>
      <c r="F2244" s="8" t="s">
        <v>1383</v>
      </c>
      <c r="G2244" s="8" t="s">
        <v>4551</v>
      </c>
      <c r="H2244" s="8" t="s">
        <v>1382</v>
      </c>
      <c r="I2244" s="8" t="s">
        <v>1382</v>
      </c>
      <c r="J2244" s="8"/>
      <c r="K2244" s="8"/>
      <c r="L2244" s="15" t="s">
        <v>1685</v>
      </c>
      <c r="M2244" s="8" t="s">
        <v>5578</v>
      </c>
      <c r="N2244" s="8"/>
      <c r="O2244" s="8" t="s">
        <v>5574</v>
      </c>
      <c r="P2244" s="11"/>
      <c r="Q2244" s="8"/>
      <c r="R2244" s="8" t="s">
        <v>12304</v>
      </c>
      <c r="S2244" s="8" t="s">
        <v>12730</v>
      </c>
    </row>
    <row r="2245" spans="1:19" ht="65.099999999999994" customHeight="1" x14ac:dyDescent="0.25">
      <c r="A2245" s="8" t="s">
        <v>12731</v>
      </c>
      <c r="B2245" s="8" t="s">
        <v>5693</v>
      </c>
      <c r="C2245" s="8" t="s">
        <v>12479</v>
      </c>
      <c r="D2245" s="10">
        <v>130</v>
      </c>
      <c r="E2245" s="8" t="s">
        <v>1326</v>
      </c>
      <c r="F2245" s="8" t="s">
        <v>1328</v>
      </c>
      <c r="G2245" s="8" t="s">
        <v>4551</v>
      </c>
      <c r="H2245" s="8" t="s">
        <v>1326</v>
      </c>
      <c r="I2245" s="8" t="s">
        <v>1326</v>
      </c>
      <c r="J2245" s="8"/>
      <c r="K2245" s="8"/>
      <c r="L2245" s="15" t="s">
        <v>1685</v>
      </c>
      <c r="M2245" s="8" t="s">
        <v>5578</v>
      </c>
      <c r="N2245" s="8"/>
      <c r="O2245" s="8" t="s">
        <v>5574</v>
      </c>
      <c r="P2245" s="11"/>
      <c r="Q2245" s="8"/>
      <c r="R2245" s="8" t="s">
        <v>12304</v>
      </c>
      <c r="S2245" s="8" t="s">
        <v>12732</v>
      </c>
    </row>
    <row r="2246" spans="1:19" ht="78.95" customHeight="1" x14ac:dyDescent="0.25">
      <c r="A2246" s="8" t="s">
        <v>12733</v>
      </c>
      <c r="B2246" s="8" t="s">
        <v>5693</v>
      </c>
      <c r="C2246" s="8" t="s">
        <v>12479</v>
      </c>
      <c r="D2246" s="10">
        <v>131</v>
      </c>
      <c r="E2246" s="8" t="s">
        <v>1532</v>
      </c>
      <c r="F2246" s="8" t="s">
        <v>1533</v>
      </c>
      <c r="G2246" s="8" t="s">
        <v>4551</v>
      </c>
      <c r="H2246" s="8" t="s">
        <v>1532</v>
      </c>
      <c r="I2246" s="8" t="s">
        <v>1532</v>
      </c>
      <c r="J2246" s="8"/>
      <c r="K2246" s="8"/>
      <c r="L2246" s="15" t="s">
        <v>1685</v>
      </c>
      <c r="M2246" s="8" t="s">
        <v>5578</v>
      </c>
      <c r="N2246" s="8"/>
      <c r="O2246" s="8" t="s">
        <v>5574</v>
      </c>
      <c r="P2246" s="11"/>
      <c r="Q2246" s="8"/>
      <c r="R2246" s="8" t="s">
        <v>12304</v>
      </c>
      <c r="S2246" s="8" t="s">
        <v>12734</v>
      </c>
    </row>
    <row r="2247" spans="1:19" ht="65.099999999999994" customHeight="1" x14ac:dyDescent="0.25">
      <c r="A2247" s="8" t="s">
        <v>12735</v>
      </c>
      <c r="B2247" s="8" t="s">
        <v>5693</v>
      </c>
      <c r="C2247" s="8" t="s">
        <v>12479</v>
      </c>
      <c r="D2247" s="10">
        <v>132</v>
      </c>
      <c r="E2247" s="8" t="s">
        <v>1581</v>
      </c>
      <c r="F2247" s="8" t="s">
        <v>1582</v>
      </c>
      <c r="G2247" s="8" t="s">
        <v>4551</v>
      </c>
      <c r="H2247" s="8" t="s">
        <v>1581</v>
      </c>
      <c r="I2247" s="8" t="s">
        <v>1581</v>
      </c>
      <c r="J2247" s="8"/>
      <c r="K2247" s="8"/>
      <c r="L2247" s="15" t="s">
        <v>1685</v>
      </c>
      <c r="M2247" s="8" t="s">
        <v>5578</v>
      </c>
      <c r="N2247" s="8"/>
      <c r="O2247" s="8" t="s">
        <v>5574</v>
      </c>
      <c r="P2247" s="11"/>
      <c r="Q2247" s="8"/>
      <c r="R2247" s="8" t="s">
        <v>12304</v>
      </c>
      <c r="S2247" s="8" t="s">
        <v>12736</v>
      </c>
    </row>
    <row r="2248" spans="1:19" ht="78.95" customHeight="1" x14ac:dyDescent="0.25">
      <c r="A2248" s="8" t="s">
        <v>12737</v>
      </c>
      <c r="B2248" s="8" t="s">
        <v>5693</v>
      </c>
      <c r="C2248" s="8" t="s">
        <v>12479</v>
      </c>
      <c r="D2248" s="10">
        <v>133</v>
      </c>
      <c r="E2248" s="8" t="s">
        <v>1611</v>
      </c>
      <c r="F2248" s="8" t="s">
        <v>1612</v>
      </c>
      <c r="G2248" s="8" t="s">
        <v>4551</v>
      </c>
      <c r="H2248" s="8" t="s">
        <v>1611</v>
      </c>
      <c r="I2248" s="8" t="s">
        <v>1611</v>
      </c>
      <c r="J2248" s="8"/>
      <c r="K2248" s="8"/>
      <c r="L2248" s="15" t="s">
        <v>1685</v>
      </c>
      <c r="M2248" s="8" t="s">
        <v>5578</v>
      </c>
      <c r="N2248" s="8"/>
      <c r="O2248" s="8" t="s">
        <v>5574</v>
      </c>
      <c r="P2248" s="11"/>
      <c r="Q2248" s="8"/>
      <c r="R2248" s="8" t="s">
        <v>12304</v>
      </c>
      <c r="S2248" s="8" t="s">
        <v>12738</v>
      </c>
    </row>
    <row r="2249" spans="1:19" ht="78.95" customHeight="1" x14ac:dyDescent="0.25">
      <c r="A2249" s="8" t="s">
        <v>12739</v>
      </c>
      <c r="B2249" s="8" t="s">
        <v>5693</v>
      </c>
      <c r="C2249" s="8" t="s">
        <v>12479</v>
      </c>
      <c r="D2249" s="10">
        <v>134</v>
      </c>
      <c r="E2249" s="8" t="s">
        <v>1628</v>
      </c>
      <c r="F2249" s="8" t="s">
        <v>1630</v>
      </c>
      <c r="G2249" s="8" t="s">
        <v>4551</v>
      </c>
      <c r="H2249" s="8" t="s">
        <v>1628</v>
      </c>
      <c r="I2249" s="8" t="s">
        <v>1628</v>
      </c>
      <c r="J2249" s="8"/>
      <c r="K2249" s="8"/>
      <c r="L2249" s="15" t="s">
        <v>1685</v>
      </c>
      <c r="M2249" s="8" t="s">
        <v>5578</v>
      </c>
      <c r="N2249" s="8"/>
      <c r="O2249" s="8" t="s">
        <v>5574</v>
      </c>
      <c r="P2249" s="11"/>
      <c r="Q2249" s="8"/>
      <c r="R2249" s="8" t="s">
        <v>12304</v>
      </c>
      <c r="S2249" s="8" t="s">
        <v>12740</v>
      </c>
    </row>
    <row r="2250" spans="1:19" ht="78.95" customHeight="1" x14ac:dyDescent="0.25">
      <c r="A2250" s="8" t="s">
        <v>12741</v>
      </c>
      <c r="B2250" s="8" t="s">
        <v>5693</v>
      </c>
      <c r="C2250" s="8" t="s">
        <v>12479</v>
      </c>
      <c r="D2250" s="10">
        <v>135</v>
      </c>
      <c r="E2250" s="8" t="s">
        <v>1258</v>
      </c>
      <c r="F2250" s="8" t="s">
        <v>1259</v>
      </c>
      <c r="G2250" s="8" t="s">
        <v>4551</v>
      </c>
      <c r="H2250" s="8" t="s">
        <v>1258</v>
      </c>
      <c r="I2250" s="8" t="s">
        <v>1258</v>
      </c>
      <c r="J2250" s="8"/>
      <c r="K2250" s="8"/>
      <c r="L2250" s="15" t="s">
        <v>1685</v>
      </c>
      <c r="M2250" s="8" t="s">
        <v>5578</v>
      </c>
      <c r="N2250" s="8"/>
      <c r="O2250" s="8" t="s">
        <v>5574</v>
      </c>
      <c r="P2250" s="11"/>
      <c r="Q2250" s="8"/>
      <c r="R2250" s="8" t="s">
        <v>12304</v>
      </c>
      <c r="S2250" s="8" t="s">
        <v>12742</v>
      </c>
    </row>
    <row r="2251" spans="1:19" ht="78.95" customHeight="1" x14ac:dyDescent="0.25">
      <c r="A2251" s="8" t="s">
        <v>12743</v>
      </c>
      <c r="B2251" s="8" t="s">
        <v>5693</v>
      </c>
      <c r="C2251" s="8" t="s">
        <v>12479</v>
      </c>
      <c r="D2251" s="10">
        <v>136</v>
      </c>
      <c r="E2251" s="8" t="s">
        <v>1528</v>
      </c>
      <c r="F2251" s="8" t="s">
        <v>1529</v>
      </c>
      <c r="G2251" s="8" t="s">
        <v>4551</v>
      </c>
      <c r="H2251" s="8" t="s">
        <v>1528</v>
      </c>
      <c r="I2251" s="8" t="s">
        <v>1528</v>
      </c>
      <c r="J2251" s="8"/>
      <c r="K2251" s="8"/>
      <c r="L2251" s="15" t="s">
        <v>1685</v>
      </c>
      <c r="M2251" s="8" t="s">
        <v>5578</v>
      </c>
      <c r="N2251" s="8"/>
      <c r="O2251" s="8" t="s">
        <v>5574</v>
      </c>
      <c r="P2251" s="11"/>
      <c r="Q2251" s="8"/>
      <c r="R2251" s="8" t="s">
        <v>12304</v>
      </c>
      <c r="S2251" s="8" t="s">
        <v>12744</v>
      </c>
    </row>
    <row r="2252" spans="1:19" ht="65.099999999999994" customHeight="1" x14ac:dyDescent="0.25">
      <c r="A2252" s="8" t="s">
        <v>12745</v>
      </c>
      <c r="B2252" s="8" t="s">
        <v>5693</v>
      </c>
      <c r="C2252" s="8" t="s">
        <v>12479</v>
      </c>
      <c r="D2252" s="10">
        <v>137</v>
      </c>
      <c r="E2252" s="8" t="s">
        <v>1413</v>
      </c>
      <c r="F2252" s="8" t="s">
        <v>1414</v>
      </c>
      <c r="G2252" s="8" t="s">
        <v>4551</v>
      </c>
      <c r="H2252" s="8" t="s">
        <v>1413</v>
      </c>
      <c r="I2252" s="8" t="s">
        <v>1413</v>
      </c>
      <c r="J2252" s="8"/>
      <c r="K2252" s="8"/>
      <c r="L2252" s="15" t="s">
        <v>1685</v>
      </c>
      <c r="M2252" s="8" t="s">
        <v>5578</v>
      </c>
      <c r="N2252" s="8"/>
      <c r="O2252" s="8" t="s">
        <v>5574</v>
      </c>
      <c r="P2252" s="11"/>
      <c r="Q2252" s="8"/>
      <c r="R2252" s="8" t="s">
        <v>12304</v>
      </c>
      <c r="S2252" s="8" t="s">
        <v>12746</v>
      </c>
    </row>
    <row r="2253" spans="1:19" ht="78.95" customHeight="1" x14ac:dyDescent="0.25">
      <c r="A2253" s="8" t="s">
        <v>12747</v>
      </c>
      <c r="B2253" s="8" t="s">
        <v>5693</v>
      </c>
      <c r="C2253" s="8" t="s">
        <v>12479</v>
      </c>
      <c r="D2253" s="10">
        <v>138</v>
      </c>
      <c r="E2253" s="8" t="s">
        <v>1312</v>
      </c>
      <c r="F2253" s="8" t="s">
        <v>1314</v>
      </c>
      <c r="G2253" s="8" t="s">
        <v>4551</v>
      </c>
      <c r="H2253" s="8" t="s">
        <v>1312</v>
      </c>
      <c r="I2253" s="8" t="s">
        <v>1312</v>
      </c>
      <c r="J2253" s="8"/>
      <c r="K2253" s="8"/>
      <c r="L2253" s="15" t="s">
        <v>1685</v>
      </c>
      <c r="M2253" s="8" t="s">
        <v>5578</v>
      </c>
      <c r="N2253" s="8"/>
      <c r="O2253" s="8" t="s">
        <v>5574</v>
      </c>
      <c r="P2253" s="11"/>
      <c r="Q2253" s="8"/>
      <c r="R2253" s="8" t="s">
        <v>12304</v>
      </c>
      <c r="S2253" s="8" t="s">
        <v>12748</v>
      </c>
    </row>
    <row r="2254" spans="1:19" ht="78.95" customHeight="1" x14ac:dyDescent="0.25">
      <c r="A2254" s="8" t="s">
        <v>12749</v>
      </c>
      <c r="B2254" s="8" t="s">
        <v>5693</v>
      </c>
      <c r="C2254" s="8" t="s">
        <v>12479</v>
      </c>
      <c r="D2254" s="10">
        <v>139</v>
      </c>
      <c r="E2254" s="8" t="s">
        <v>991</v>
      </c>
      <c r="F2254" s="8" t="s">
        <v>2879</v>
      </c>
      <c r="G2254" s="8" t="s">
        <v>4551</v>
      </c>
      <c r="H2254" s="8" t="s">
        <v>991</v>
      </c>
      <c r="I2254" s="8" t="s">
        <v>991</v>
      </c>
      <c r="J2254" s="8"/>
      <c r="K2254" s="8"/>
      <c r="L2254" s="15" t="s">
        <v>1685</v>
      </c>
      <c r="M2254" s="8" t="s">
        <v>5578</v>
      </c>
      <c r="N2254" s="8"/>
      <c r="O2254" s="8" t="s">
        <v>5574</v>
      </c>
      <c r="P2254" s="11"/>
      <c r="Q2254" s="8"/>
      <c r="R2254" s="8" t="s">
        <v>12304</v>
      </c>
      <c r="S2254" s="8" t="s">
        <v>12750</v>
      </c>
    </row>
    <row r="2255" spans="1:19" ht="78.95" customHeight="1" x14ac:dyDescent="0.25">
      <c r="A2255" s="8" t="s">
        <v>12751</v>
      </c>
      <c r="B2255" s="8" t="s">
        <v>5693</v>
      </c>
      <c r="C2255" s="8" t="s">
        <v>12479</v>
      </c>
      <c r="D2255" s="10">
        <v>140</v>
      </c>
      <c r="E2255" s="8" t="s">
        <v>1304</v>
      </c>
      <c r="F2255" s="8" t="s">
        <v>1305</v>
      </c>
      <c r="G2255" s="8" t="s">
        <v>4551</v>
      </c>
      <c r="H2255" s="8" t="s">
        <v>1304</v>
      </c>
      <c r="I2255" s="8" t="s">
        <v>1304</v>
      </c>
      <c r="J2255" s="8"/>
      <c r="K2255" s="8"/>
      <c r="L2255" s="15" t="s">
        <v>1685</v>
      </c>
      <c r="M2255" s="8" t="s">
        <v>5578</v>
      </c>
      <c r="N2255" s="8"/>
      <c r="O2255" s="8" t="s">
        <v>5574</v>
      </c>
      <c r="P2255" s="11"/>
      <c r="Q2255" s="8"/>
      <c r="R2255" s="8" t="s">
        <v>12304</v>
      </c>
      <c r="S2255" s="8" t="s">
        <v>12752</v>
      </c>
    </row>
    <row r="2256" spans="1:19" ht="65.099999999999994" customHeight="1" x14ac:dyDescent="0.25">
      <c r="A2256" s="8" t="s">
        <v>12753</v>
      </c>
      <c r="B2256" s="8" t="s">
        <v>5693</v>
      </c>
      <c r="C2256" s="8" t="s">
        <v>12479</v>
      </c>
      <c r="D2256" s="10">
        <v>141</v>
      </c>
      <c r="E2256" s="8" t="s">
        <v>1417</v>
      </c>
      <c r="F2256" s="8" t="s">
        <v>1419</v>
      </c>
      <c r="G2256" s="8" t="s">
        <v>4551</v>
      </c>
      <c r="H2256" s="8" t="s">
        <v>1417</v>
      </c>
      <c r="I2256" s="8" t="s">
        <v>1417</v>
      </c>
      <c r="J2256" s="8"/>
      <c r="K2256" s="8"/>
      <c r="L2256" s="15" t="s">
        <v>1685</v>
      </c>
      <c r="M2256" s="8" t="s">
        <v>5578</v>
      </c>
      <c r="N2256" s="8"/>
      <c r="O2256" s="8" t="s">
        <v>5574</v>
      </c>
      <c r="P2256" s="11"/>
      <c r="Q2256" s="8"/>
      <c r="R2256" s="8" t="s">
        <v>12304</v>
      </c>
      <c r="S2256" s="8" t="s">
        <v>12754</v>
      </c>
    </row>
    <row r="2257" spans="1:19" ht="78.95" customHeight="1" x14ac:dyDescent="0.25">
      <c r="A2257" s="8" t="s">
        <v>12755</v>
      </c>
      <c r="B2257" s="8" t="s">
        <v>5693</v>
      </c>
      <c r="C2257" s="8" t="s">
        <v>12479</v>
      </c>
      <c r="D2257" s="10">
        <v>142</v>
      </c>
      <c r="E2257" s="8" t="s">
        <v>1619</v>
      </c>
      <c r="F2257" s="8" t="s">
        <v>1620</v>
      </c>
      <c r="G2257" s="8" t="s">
        <v>4551</v>
      </c>
      <c r="H2257" s="8" t="s">
        <v>1619</v>
      </c>
      <c r="I2257" s="8" t="s">
        <v>1619</v>
      </c>
      <c r="J2257" s="8"/>
      <c r="K2257" s="8"/>
      <c r="L2257" s="15" t="s">
        <v>1685</v>
      </c>
      <c r="M2257" s="8" t="s">
        <v>5578</v>
      </c>
      <c r="N2257" s="8"/>
      <c r="O2257" s="8" t="s">
        <v>5574</v>
      </c>
      <c r="P2257" s="11"/>
      <c r="Q2257" s="8"/>
      <c r="R2257" s="8" t="s">
        <v>12304</v>
      </c>
      <c r="S2257" s="8" t="s">
        <v>12756</v>
      </c>
    </row>
    <row r="2258" spans="1:19" ht="78.95" customHeight="1" x14ac:dyDescent="0.25">
      <c r="A2258" s="8" t="s">
        <v>12757</v>
      </c>
      <c r="B2258" s="8" t="s">
        <v>5693</v>
      </c>
      <c r="C2258" s="8" t="s">
        <v>12479</v>
      </c>
      <c r="D2258" s="10">
        <v>143</v>
      </c>
      <c r="E2258" s="8" t="s">
        <v>1292</v>
      </c>
      <c r="F2258" s="8" t="s">
        <v>1293</v>
      </c>
      <c r="G2258" s="8" t="s">
        <v>4551</v>
      </c>
      <c r="H2258" s="8" t="s">
        <v>1292</v>
      </c>
      <c r="I2258" s="8" t="s">
        <v>1292</v>
      </c>
      <c r="J2258" s="8"/>
      <c r="K2258" s="8"/>
      <c r="L2258" s="15" t="s">
        <v>1685</v>
      </c>
      <c r="M2258" s="8" t="s">
        <v>5578</v>
      </c>
      <c r="N2258" s="8"/>
      <c r="O2258" s="8" t="s">
        <v>5574</v>
      </c>
      <c r="P2258" s="11"/>
      <c r="Q2258" s="8"/>
      <c r="R2258" s="8" t="s">
        <v>12304</v>
      </c>
      <c r="S2258" s="8" t="s">
        <v>12758</v>
      </c>
    </row>
    <row r="2259" spans="1:19" ht="65.099999999999994" customHeight="1" x14ac:dyDescent="0.25">
      <c r="A2259" s="8" t="s">
        <v>12759</v>
      </c>
      <c r="B2259" s="8" t="s">
        <v>5693</v>
      </c>
      <c r="C2259" s="8" t="s">
        <v>12479</v>
      </c>
      <c r="D2259" s="10">
        <v>144</v>
      </c>
      <c r="E2259" s="8" t="s">
        <v>1279</v>
      </c>
      <c r="F2259" s="8" t="s">
        <v>1280</v>
      </c>
      <c r="G2259" s="8" t="s">
        <v>4551</v>
      </c>
      <c r="H2259" s="8" t="s">
        <v>1279</v>
      </c>
      <c r="I2259" s="8" t="s">
        <v>1279</v>
      </c>
      <c r="J2259" s="8"/>
      <c r="K2259" s="8"/>
      <c r="L2259" s="15" t="s">
        <v>1685</v>
      </c>
      <c r="M2259" s="8" t="s">
        <v>5578</v>
      </c>
      <c r="N2259" s="8"/>
      <c r="O2259" s="8" t="s">
        <v>5574</v>
      </c>
      <c r="P2259" s="11"/>
      <c r="Q2259" s="8"/>
      <c r="R2259" s="8" t="s">
        <v>12304</v>
      </c>
      <c r="S2259" s="8" t="s">
        <v>12760</v>
      </c>
    </row>
    <row r="2260" spans="1:19" ht="78.95" customHeight="1" x14ac:dyDescent="0.25">
      <c r="A2260" s="8" t="s">
        <v>12761</v>
      </c>
      <c r="B2260" s="8" t="s">
        <v>5693</v>
      </c>
      <c r="C2260" s="8" t="s">
        <v>12479</v>
      </c>
      <c r="D2260" s="10">
        <v>145</v>
      </c>
      <c r="E2260" s="8" t="s">
        <v>1557</v>
      </c>
      <c r="F2260" s="8" t="s">
        <v>1558</v>
      </c>
      <c r="G2260" s="8" t="s">
        <v>4551</v>
      </c>
      <c r="H2260" s="8" t="s">
        <v>1557</v>
      </c>
      <c r="I2260" s="8" t="s">
        <v>1557</v>
      </c>
      <c r="J2260" s="8"/>
      <c r="K2260" s="8"/>
      <c r="L2260" s="15" t="s">
        <v>1685</v>
      </c>
      <c r="M2260" s="8" t="s">
        <v>5578</v>
      </c>
      <c r="N2260" s="8"/>
      <c r="O2260" s="8" t="s">
        <v>5574</v>
      </c>
      <c r="P2260" s="11"/>
      <c r="Q2260" s="8"/>
      <c r="R2260" s="8" t="s">
        <v>12304</v>
      </c>
      <c r="S2260" s="8" t="s">
        <v>12762</v>
      </c>
    </row>
    <row r="2261" spans="1:19" ht="65.099999999999994" customHeight="1" x14ac:dyDescent="0.25">
      <c r="A2261" s="8" t="s">
        <v>12763</v>
      </c>
      <c r="B2261" s="8" t="s">
        <v>5693</v>
      </c>
      <c r="C2261" s="8" t="s">
        <v>12479</v>
      </c>
      <c r="D2261" s="10">
        <v>146</v>
      </c>
      <c r="E2261" s="8" t="s">
        <v>1430</v>
      </c>
      <c r="F2261" s="8" t="s">
        <v>1432</v>
      </c>
      <c r="G2261" s="8" t="s">
        <v>4551</v>
      </c>
      <c r="H2261" s="8" t="s">
        <v>1430</v>
      </c>
      <c r="I2261" s="8" t="s">
        <v>1430</v>
      </c>
      <c r="J2261" s="8"/>
      <c r="K2261" s="8"/>
      <c r="L2261" s="15" t="s">
        <v>1685</v>
      </c>
      <c r="M2261" s="8" t="s">
        <v>5578</v>
      </c>
      <c r="N2261" s="8"/>
      <c r="O2261" s="8" t="s">
        <v>5574</v>
      </c>
      <c r="P2261" s="11"/>
      <c r="Q2261" s="8"/>
      <c r="R2261" s="8" t="s">
        <v>12304</v>
      </c>
      <c r="S2261" s="8" t="s">
        <v>12764</v>
      </c>
    </row>
    <row r="2262" spans="1:19" ht="78.95" customHeight="1" x14ac:dyDescent="0.25">
      <c r="A2262" s="8" t="s">
        <v>12765</v>
      </c>
      <c r="B2262" s="8" t="s">
        <v>5693</v>
      </c>
      <c r="C2262" s="8" t="s">
        <v>12479</v>
      </c>
      <c r="D2262" s="10">
        <v>147</v>
      </c>
      <c r="E2262" s="8" t="s">
        <v>1670</v>
      </c>
      <c r="F2262" s="8" t="s">
        <v>1671</v>
      </c>
      <c r="G2262" s="8" t="s">
        <v>4551</v>
      </c>
      <c r="H2262" s="8" t="s">
        <v>1670</v>
      </c>
      <c r="I2262" s="8" t="s">
        <v>1670</v>
      </c>
      <c r="J2262" s="8"/>
      <c r="K2262" s="8"/>
      <c r="L2262" s="15" t="s">
        <v>1685</v>
      </c>
      <c r="M2262" s="8" t="s">
        <v>5578</v>
      </c>
      <c r="N2262" s="8"/>
      <c r="O2262" s="8" t="s">
        <v>5574</v>
      </c>
      <c r="P2262" s="11"/>
      <c r="Q2262" s="8"/>
      <c r="R2262" s="8" t="s">
        <v>12304</v>
      </c>
      <c r="S2262" s="8" t="s">
        <v>12766</v>
      </c>
    </row>
    <row r="2263" spans="1:19" ht="78.95" customHeight="1" x14ac:dyDescent="0.25">
      <c r="A2263" s="8" t="s">
        <v>12767</v>
      </c>
      <c r="B2263" s="8" t="s">
        <v>5693</v>
      </c>
      <c r="C2263" s="8" t="s">
        <v>12479</v>
      </c>
      <c r="D2263" s="10">
        <v>148</v>
      </c>
      <c r="E2263" s="8" t="s">
        <v>1654</v>
      </c>
      <c r="F2263" s="8" t="s">
        <v>1655</v>
      </c>
      <c r="G2263" s="8" t="s">
        <v>4551</v>
      </c>
      <c r="H2263" s="8" t="s">
        <v>1654</v>
      </c>
      <c r="I2263" s="8" t="s">
        <v>1654</v>
      </c>
      <c r="J2263" s="8"/>
      <c r="K2263" s="8"/>
      <c r="L2263" s="15" t="s">
        <v>1685</v>
      </c>
      <c r="M2263" s="8" t="s">
        <v>5578</v>
      </c>
      <c r="N2263" s="8"/>
      <c r="O2263" s="8" t="s">
        <v>5574</v>
      </c>
      <c r="P2263" s="11"/>
      <c r="Q2263" s="8"/>
      <c r="R2263" s="8" t="s">
        <v>12304</v>
      </c>
      <c r="S2263" s="8" t="s">
        <v>12768</v>
      </c>
    </row>
    <row r="2264" spans="1:19" ht="78.95" customHeight="1" x14ac:dyDescent="0.25">
      <c r="A2264" s="8" t="s">
        <v>12769</v>
      </c>
      <c r="B2264" s="8" t="s">
        <v>5693</v>
      </c>
      <c r="C2264" s="8" t="s">
        <v>12479</v>
      </c>
      <c r="D2264" s="10">
        <v>149</v>
      </c>
      <c r="E2264" s="8" t="s">
        <v>1300</v>
      </c>
      <c r="F2264" s="8" t="s">
        <v>1301</v>
      </c>
      <c r="G2264" s="8" t="s">
        <v>4551</v>
      </c>
      <c r="H2264" s="8" t="s">
        <v>1300</v>
      </c>
      <c r="I2264" s="8" t="s">
        <v>1300</v>
      </c>
      <c r="J2264" s="8"/>
      <c r="K2264" s="8"/>
      <c r="L2264" s="15" t="s">
        <v>1685</v>
      </c>
      <c r="M2264" s="8" t="s">
        <v>5578</v>
      </c>
      <c r="N2264" s="8"/>
      <c r="O2264" s="8" t="s">
        <v>5574</v>
      </c>
      <c r="P2264" s="11"/>
      <c r="Q2264" s="8"/>
      <c r="R2264" s="8" t="s">
        <v>12304</v>
      </c>
      <c r="S2264" s="8" t="s">
        <v>12770</v>
      </c>
    </row>
    <row r="2265" spans="1:19" ht="78.95" customHeight="1" x14ac:dyDescent="0.25">
      <c r="A2265" s="8" t="s">
        <v>12771</v>
      </c>
      <c r="B2265" s="8" t="s">
        <v>5693</v>
      </c>
      <c r="C2265" s="8" t="s">
        <v>12479</v>
      </c>
      <c r="D2265" s="10">
        <v>150</v>
      </c>
      <c r="E2265" s="8" t="s">
        <v>1457</v>
      </c>
      <c r="F2265" s="8" t="s">
        <v>1458</v>
      </c>
      <c r="G2265" s="8" t="s">
        <v>4551</v>
      </c>
      <c r="H2265" s="8" t="s">
        <v>1457</v>
      </c>
      <c r="I2265" s="8" t="s">
        <v>1457</v>
      </c>
      <c r="J2265" s="8"/>
      <c r="K2265" s="8"/>
      <c r="L2265" s="15" t="s">
        <v>1685</v>
      </c>
      <c r="M2265" s="8" t="s">
        <v>5578</v>
      </c>
      <c r="N2265" s="8"/>
      <c r="O2265" s="8" t="s">
        <v>5574</v>
      </c>
      <c r="P2265" s="11"/>
      <c r="Q2265" s="8"/>
      <c r="R2265" s="8" t="s">
        <v>12304</v>
      </c>
      <c r="S2265" s="8" t="s">
        <v>12772</v>
      </c>
    </row>
    <row r="2266" spans="1:19" ht="78.95" customHeight="1" x14ac:dyDescent="0.25">
      <c r="A2266" s="8" t="s">
        <v>12773</v>
      </c>
      <c r="B2266" s="8" t="s">
        <v>5693</v>
      </c>
      <c r="C2266" s="8" t="s">
        <v>12479</v>
      </c>
      <c r="D2266" s="10">
        <v>151</v>
      </c>
      <c r="E2266" s="8" t="s">
        <v>965</v>
      </c>
      <c r="F2266" s="8" t="s">
        <v>3100</v>
      </c>
      <c r="G2266" s="8" t="s">
        <v>4551</v>
      </c>
      <c r="H2266" s="8" t="s">
        <v>965</v>
      </c>
      <c r="I2266" s="8" t="s">
        <v>965</v>
      </c>
      <c r="J2266" s="8"/>
      <c r="K2266" s="8"/>
      <c r="L2266" s="15" t="s">
        <v>1685</v>
      </c>
      <c r="M2266" s="8" t="s">
        <v>5578</v>
      </c>
      <c r="N2266" s="8"/>
      <c r="O2266" s="8" t="s">
        <v>5574</v>
      </c>
      <c r="P2266" s="11"/>
      <c r="Q2266" s="8"/>
      <c r="R2266" s="8" t="s">
        <v>12304</v>
      </c>
      <c r="S2266" s="8" t="s">
        <v>12774</v>
      </c>
    </row>
    <row r="2267" spans="1:19" ht="78.95" customHeight="1" x14ac:dyDescent="0.25">
      <c r="A2267" s="8" t="s">
        <v>12775</v>
      </c>
      <c r="B2267" s="8" t="s">
        <v>5693</v>
      </c>
      <c r="C2267" s="8" t="s">
        <v>12479</v>
      </c>
      <c r="D2267" s="10">
        <v>152</v>
      </c>
      <c r="E2267" s="8" t="s">
        <v>1400</v>
      </c>
      <c r="F2267" s="8" t="s">
        <v>1401</v>
      </c>
      <c r="G2267" s="8" t="s">
        <v>4551</v>
      </c>
      <c r="H2267" s="8" t="s">
        <v>1400</v>
      </c>
      <c r="I2267" s="8" t="s">
        <v>1400</v>
      </c>
      <c r="J2267" s="8"/>
      <c r="K2267" s="8"/>
      <c r="L2267" s="15" t="s">
        <v>1685</v>
      </c>
      <c r="M2267" s="8" t="s">
        <v>5578</v>
      </c>
      <c r="N2267" s="8"/>
      <c r="O2267" s="8" t="s">
        <v>5574</v>
      </c>
      <c r="P2267" s="11"/>
      <c r="Q2267" s="8"/>
      <c r="R2267" s="8" t="s">
        <v>12304</v>
      </c>
      <c r="S2267" s="8" t="s">
        <v>12776</v>
      </c>
    </row>
    <row r="2268" spans="1:19" ht="78.95" customHeight="1" x14ac:dyDescent="0.25">
      <c r="A2268" s="8" t="s">
        <v>12777</v>
      </c>
      <c r="B2268" s="8" t="s">
        <v>5693</v>
      </c>
      <c r="C2268" s="8" t="s">
        <v>12479</v>
      </c>
      <c r="D2268" s="10">
        <v>153</v>
      </c>
      <c r="E2268" s="8" t="s">
        <v>1515</v>
      </c>
      <c r="F2268" s="8" t="s">
        <v>1516</v>
      </c>
      <c r="G2268" s="8" t="s">
        <v>4551</v>
      </c>
      <c r="H2268" s="8" t="s">
        <v>1515</v>
      </c>
      <c r="I2268" s="8" t="s">
        <v>1515</v>
      </c>
      <c r="J2268" s="8"/>
      <c r="K2268" s="8"/>
      <c r="L2268" s="15" t="s">
        <v>1685</v>
      </c>
      <c r="M2268" s="8" t="s">
        <v>5578</v>
      </c>
      <c r="N2268" s="8"/>
      <c r="O2268" s="8" t="s">
        <v>5574</v>
      </c>
      <c r="P2268" s="11"/>
      <c r="Q2268" s="8"/>
      <c r="R2268" s="8" t="s">
        <v>12304</v>
      </c>
      <c r="S2268" s="8" t="s">
        <v>12778</v>
      </c>
    </row>
    <row r="2269" spans="1:19" ht="65.099999999999994" customHeight="1" x14ac:dyDescent="0.25">
      <c r="A2269" s="8" t="s">
        <v>12779</v>
      </c>
      <c r="B2269" s="8" t="s">
        <v>5693</v>
      </c>
      <c r="C2269" s="8" t="s">
        <v>12479</v>
      </c>
      <c r="D2269" s="10">
        <v>154</v>
      </c>
      <c r="E2269" s="8" t="s">
        <v>1374</v>
      </c>
      <c r="F2269" s="8" t="s">
        <v>1375</v>
      </c>
      <c r="G2269" s="8" t="s">
        <v>4551</v>
      </c>
      <c r="H2269" s="8" t="s">
        <v>1374</v>
      </c>
      <c r="I2269" s="8" t="s">
        <v>1374</v>
      </c>
      <c r="J2269" s="8"/>
      <c r="K2269" s="8"/>
      <c r="L2269" s="15" t="s">
        <v>1685</v>
      </c>
      <c r="M2269" s="8" t="s">
        <v>5578</v>
      </c>
      <c r="N2269" s="8"/>
      <c r="O2269" s="8" t="s">
        <v>5574</v>
      </c>
      <c r="P2269" s="11"/>
      <c r="Q2269" s="8"/>
      <c r="R2269" s="8" t="s">
        <v>12304</v>
      </c>
      <c r="S2269" s="8" t="s">
        <v>12780</v>
      </c>
    </row>
    <row r="2270" spans="1:19" ht="78.95" customHeight="1" x14ac:dyDescent="0.25">
      <c r="A2270" s="8" t="s">
        <v>12781</v>
      </c>
      <c r="B2270" s="8" t="s">
        <v>5693</v>
      </c>
      <c r="C2270" s="8" t="s">
        <v>12479</v>
      </c>
      <c r="D2270" s="10">
        <v>155</v>
      </c>
      <c r="E2270" s="8" t="s">
        <v>1540</v>
      </c>
      <c r="F2270" s="8" t="s">
        <v>1541</v>
      </c>
      <c r="G2270" s="8" t="s">
        <v>4551</v>
      </c>
      <c r="H2270" s="8" t="s">
        <v>1540</v>
      </c>
      <c r="I2270" s="8" t="s">
        <v>1540</v>
      </c>
      <c r="J2270" s="8"/>
      <c r="K2270" s="8"/>
      <c r="L2270" s="15" t="s">
        <v>1685</v>
      </c>
      <c r="M2270" s="8" t="s">
        <v>5578</v>
      </c>
      <c r="N2270" s="8"/>
      <c r="O2270" s="8" t="s">
        <v>5574</v>
      </c>
      <c r="P2270" s="11"/>
      <c r="Q2270" s="8"/>
      <c r="R2270" s="8" t="s">
        <v>12304</v>
      </c>
      <c r="S2270" s="8" t="s">
        <v>12782</v>
      </c>
    </row>
    <row r="2271" spans="1:19" ht="78.95" customHeight="1" x14ac:dyDescent="0.25">
      <c r="A2271" s="8" t="s">
        <v>12783</v>
      </c>
      <c r="B2271" s="8" t="s">
        <v>5693</v>
      </c>
      <c r="C2271" s="8" t="s">
        <v>12479</v>
      </c>
      <c r="D2271" s="10">
        <v>156</v>
      </c>
      <c r="E2271" s="8" t="s">
        <v>1243</v>
      </c>
      <c r="F2271" s="8" t="s">
        <v>1245</v>
      </c>
      <c r="G2271" s="8" t="s">
        <v>4551</v>
      </c>
      <c r="H2271" s="8" t="s">
        <v>1243</v>
      </c>
      <c r="I2271" s="8" t="s">
        <v>1243</v>
      </c>
      <c r="J2271" s="8"/>
      <c r="K2271" s="8"/>
      <c r="L2271" s="15" t="s">
        <v>1685</v>
      </c>
      <c r="M2271" s="8" t="s">
        <v>5578</v>
      </c>
      <c r="N2271" s="8"/>
      <c r="O2271" s="8" t="s">
        <v>5574</v>
      </c>
      <c r="P2271" s="11"/>
      <c r="Q2271" s="8"/>
      <c r="R2271" s="8" t="s">
        <v>12304</v>
      </c>
      <c r="S2271" s="8" t="s">
        <v>12784</v>
      </c>
    </row>
    <row r="2272" spans="1:19" ht="65.099999999999994" customHeight="1" x14ac:dyDescent="0.25">
      <c r="A2272" s="8" t="s">
        <v>12785</v>
      </c>
      <c r="B2272" s="8" t="s">
        <v>5693</v>
      </c>
      <c r="C2272" s="8" t="s">
        <v>12479</v>
      </c>
      <c r="D2272" s="10">
        <v>157</v>
      </c>
      <c r="E2272" s="8" t="s">
        <v>1486</v>
      </c>
      <c r="F2272" s="8" t="s">
        <v>1487</v>
      </c>
      <c r="G2272" s="8" t="s">
        <v>4551</v>
      </c>
      <c r="H2272" s="8" t="s">
        <v>1486</v>
      </c>
      <c r="I2272" s="8" t="s">
        <v>1486</v>
      </c>
      <c r="J2272" s="8"/>
      <c r="K2272" s="8"/>
      <c r="L2272" s="15" t="s">
        <v>1685</v>
      </c>
      <c r="M2272" s="8" t="s">
        <v>5578</v>
      </c>
      <c r="N2272" s="8"/>
      <c r="O2272" s="8" t="s">
        <v>5574</v>
      </c>
      <c r="P2272" s="11"/>
      <c r="Q2272" s="8"/>
      <c r="R2272" s="8" t="s">
        <v>12304</v>
      </c>
      <c r="S2272" s="8" t="s">
        <v>12786</v>
      </c>
    </row>
    <row r="2273" spans="1:19" ht="65.099999999999994" customHeight="1" x14ac:dyDescent="0.25">
      <c r="A2273" s="8" t="s">
        <v>12787</v>
      </c>
      <c r="B2273" s="8" t="s">
        <v>5693</v>
      </c>
      <c r="C2273" s="8" t="s">
        <v>12479</v>
      </c>
      <c r="D2273" s="10">
        <v>158</v>
      </c>
      <c r="E2273" s="8" t="s">
        <v>1370</v>
      </c>
      <c r="F2273" s="8" t="s">
        <v>1371</v>
      </c>
      <c r="G2273" s="8" t="s">
        <v>4551</v>
      </c>
      <c r="H2273" s="8" t="s">
        <v>1370</v>
      </c>
      <c r="I2273" s="8" t="s">
        <v>1370</v>
      </c>
      <c r="J2273" s="8"/>
      <c r="K2273" s="8"/>
      <c r="L2273" s="15" t="s">
        <v>1685</v>
      </c>
      <c r="M2273" s="8" t="s">
        <v>5578</v>
      </c>
      <c r="N2273" s="8"/>
      <c r="O2273" s="8" t="s">
        <v>5574</v>
      </c>
      <c r="P2273" s="11"/>
      <c r="Q2273" s="8"/>
      <c r="R2273" s="8" t="s">
        <v>12304</v>
      </c>
      <c r="S2273" s="8" t="s">
        <v>12788</v>
      </c>
    </row>
    <row r="2274" spans="1:19" ht="78.95" customHeight="1" x14ac:dyDescent="0.25">
      <c r="A2274" s="8" t="s">
        <v>12789</v>
      </c>
      <c r="B2274" s="8" t="s">
        <v>5693</v>
      </c>
      <c r="C2274" s="8" t="s">
        <v>12479</v>
      </c>
      <c r="D2274" s="10">
        <v>159</v>
      </c>
      <c r="E2274" s="8" t="s">
        <v>1275</v>
      </c>
      <c r="F2274" s="8" t="s">
        <v>1276</v>
      </c>
      <c r="G2274" s="8" t="s">
        <v>4551</v>
      </c>
      <c r="H2274" s="8" t="s">
        <v>1275</v>
      </c>
      <c r="I2274" s="8" t="s">
        <v>1275</v>
      </c>
      <c r="J2274" s="8"/>
      <c r="K2274" s="8"/>
      <c r="L2274" s="15" t="s">
        <v>1685</v>
      </c>
      <c r="M2274" s="8" t="s">
        <v>5578</v>
      </c>
      <c r="N2274" s="8"/>
      <c r="O2274" s="8" t="s">
        <v>5574</v>
      </c>
      <c r="P2274" s="11"/>
      <c r="Q2274" s="8"/>
      <c r="R2274" s="8" t="s">
        <v>12304</v>
      </c>
      <c r="S2274" s="8" t="s">
        <v>12790</v>
      </c>
    </row>
    <row r="2275" spans="1:19" ht="78.95" customHeight="1" x14ac:dyDescent="0.25">
      <c r="A2275" s="8" t="s">
        <v>12791</v>
      </c>
      <c r="B2275" s="8" t="s">
        <v>5693</v>
      </c>
      <c r="C2275" s="8" t="s">
        <v>12479</v>
      </c>
      <c r="D2275" s="10">
        <v>160</v>
      </c>
      <c r="E2275" s="8" t="s">
        <v>971</v>
      </c>
      <c r="F2275" s="8" t="s">
        <v>3105</v>
      </c>
      <c r="G2275" s="8" t="s">
        <v>4551</v>
      </c>
      <c r="H2275" s="8" t="s">
        <v>971</v>
      </c>
      <c r="I2275" s="8" t="s">
        <v>971</v>
      </c>
      <c r="J2275" s="8"/>
      <c r="K2275" s="8"/>
      <c r="L2275" s="15" t="s">
        <v>1685</v>
      </c>
      <c r="M2275" s="8" t="s">
        <v>5578</v>
      </c>
      <c r="N2275" s="8"/>
      <c r="O2275" s="8" t="s">
        <v>5574</v>
      </c>
      <c r="P2275" s="11"/>
      <c r="Q2275" s="8"/>
      <c r="R2275" s="8" t="s">
        <v>12304</v>
      </c>
      <c r="S2275" s="8" t="s">
        <v>12792</v>
      </c>
    </row>
    <row r="2276" spans="1:19" ht="78.95" customHeight="1" x14ac:dyDescent="0.25">
      <c r="A2276" s="8" t="s">
        <v>12793</v>
      </c>
      <c r="B2276" s="8" t="s">
        <v>5693</v>
      </c>
      <c r="C2276" s="8" t="s">
        <v>12479</v>
      </c>
      <c r="D2276" s="10">
        <v>161</v>
      </c>
      <c r="E2276" s="8" t="s">
        <v>1358</v>
      </c>
      <c r="F2276" s="8" t="s">
        <v>1359</v>
      </c>
      <c r="G2276" s="8" t="s">
        <v>4551</v>
      </c>
      <c r="H2276" s="8" t="s">
        <v>1358</v>
      </c>
      <c r="I2276" s="8" t="s">
        <v>1358</v>
      </c>
      <c r="J2276" s="8"/>
      <c r="K2276" s="8"/>
      <c r="L2276" s="15" t="s">
        <v>1685</v>
      </c>
      <c r="M2276" s="8" t="s">
        <v>5578</v>
      </c>
      <c r="N2276" s="8"/>
      <c r="O2276" s="8" t="s">
        <v>5574</v>
      </c>
      <c r="P2276" s="11"/>
      <c r="Q2276" s="8"/>
      <c r="R2276" s="8" t="s">
        <v>12304</v>
      </c>
      <c r="S2276" s="8" t="s">
        <v>12794</v>
      </c>
    </row>
    <row r="2277" spans="1:19" ht="78.95" customHeight="1" x14ac:dyDescent="0.25">
      <c r="A2277" s="8" t="s">
        <v>12795</v>
      </c>
      <c r="B2277" s="8" t="s">
        <v>5693</v>
      </c>
      <c r="C2277" s="8" t="s">
        <v>12479</v>
      </c>
      <c r="D2277" s="10">
        <v>162</v>
      </c>
      <c r="E2277" s="8" t="s">
        <v>1589</v>
      </c>
      <c r="F2277" s="8" t="s">
        <v>1591</v>
      </c>
      <c r="G2277" s="8" t="s">
        <v>4551</v>
      </c>
      <c r="H2277" s="8" t="s">
        <v>1589</v>
      </c>
      <c r="I2277" s="8" t="s">
        <v>1589</v>
      </c>
      <c r="J2277" s="8"/>
      <c r="K2277" s="8"/>
      <c r="L2277" s="15" t="s">
        <v>1685</v>
      </c>
      <c r="M2277" s="8" t="s">
        <v>5578</v>
      </c>
      <c r="N2277" s="8"/>
      <c r="O2277" s="8" t="s">
        <v>5574</v>
      </c>
      <c r="P2277" s="11"/>
      <c r="Q2277" s="8"/>
      <c r="R2277" s="8" t="s">
        <v>12304</v>
      </c>
      <c r="S2277" s="8" t="s">
        <v>12796</v>
      </c>
    </row>
    <row r="2278" spans="1:19" ht="78.95" customHeight="1" x14ac:dyDescent="0.25">
      <c r="A2278" s="8" t="s">
        <v>12797</v>
      </c>
      <c r="B2278" s="8" t="s">
        <v>5693</v>
      </c>
      <c r="C2278" s="8" t="s">
        <v>12479</v>
      </c>
      <c r="D2278" s="10">
        <v>163</v>
      </c>
      <c r="E2278" s="8" t="s">
        <v>1353</v>
      </c>
      <c r="F2278" s="8" t="s">
        <v>1355</v>
      </c>
      <c r="G2278" s="8" t="s">
        <v>4551</v>
      </c>
      <c r="H2278" s="8" t="s">
        <v>1353</v>
      </c>
      <c r="I2278" s="8" t="s">
        <v>1353</v>
      </c>
      <c r="J2278" s="8"/>
      <c r="K2278" s="8"/>
      <c r="L2278" s="15" t="s">
        <v>1685</v>
      </c>
      <c r="M2278" s="8" t="s">
        <v>5578</v>
      </c>
      <c r="N2278" s="8"/>
      <c r="O2278" s="8" t="s">
        <v>5574</v>
      </c>
      <c r="P2278" s="11"/>
      <c r="Q2278" s="8"/>
      <c r="R2278" s="8" t="s">
        <v>12304</v>
      </c>
      <c r="S2278" s="8" t="s">
        <v>12798</v>
      </c>
    </row>
    <row r="2279" spans="1:19" ht="78.95" customHeight="1" x14ac:dyDescent="0.25">
      <c r="A2279" s="8" t="s">
        <v>12799</v>
      </c>
      <c r="B2279" s="8" t="s">
        <v>5693</v>
      </c>
      <c r="C2279" s="8" t="s">
        <v>12479</v>
      </c>
      <c r="D2279" s="10">
        <v>164</v>
      </c>
      <c r="E2279" s="8" t="s">
        <v>1519</v>
      </c>
      <c r="F2279" s="8" t="s">
        <v>1520</v>
      </c>
      <c r="G2279" s="8" t="s">
        <v>4551</v>
      </c>
      <c r="H2279" s="8" t="s">
        <v>1519</v>
      </c>
      <c r="I2279" s="8" t="s">
        <v>1519</v>
      </c>
      <c r="J2279" s="8"/>
      <c r="K2279" s="8"/>
      <c r="L2279" s="15" t="s">
        <v>1685</v>
      </c>
      <c r="M2279" s="8" t="s">
        <v>5578</v>
      </c>
      <c r="N2279" s="8"/>
      <c r="O2279" s="8" t="s">
        <v>5574</v>
      </c>
      <c r="P2279" s="11"/>
      <c r="Q2279" s="8"/>
      <c r="R2279" s="8" t="s">
        <v>12304</v>
      </c>
      <c r="S2279" s="8" t="s">
        <v>12800</v>
      </c>
    </row>
    <row r="2280" spans="1:19" ht="65.099999999999994" customHeight="1" x14ac:dyDescent="0.25">
      <c r="A2280" s="8" t="s">
        <v>12801</v>
      </c>
      <c r="B2280" s="8" t="s">
        <v>5693</v>
      </c>
      <c r="C2280" s="8" t="s">
        <v>12479</v>
      </c>
      <c r="D2280" s="10">
        <v>165</v>
      </c>
      <c r="E2280" s="8" t="s">
        <v>949</v>
      </c>
      <c r="F2280" s="8" t="s">
        <v>2941</v>
      </c>
      <c r="G2280" s="8" t="s">
        <v>4551</v>
      </c>
      <c r="H2280" s="8" t="s">
        <v>949</v>
      </c>
      <c r="I2280" s="8" t="s">
        <v>949</v>
      </c>
      <c r="J2280" s="8"/>
      <c r="K2280" s="8"/>
      <c r="L2280" s="15" t="s">
        <v>1685</v>
      </c>
      <c r="M2280" s="8" t="s">
        <v>5578</v>
      </c>
      <c r="N2280" s="8"/>
      <c r="O2280" s="8" t="s">
        <v>5574</v>
      </c>
      <c r="P2280" s="11"/>
      <c r="Q2280" s="8"/>
      <c r="R2280" s="8" t="s">
        <v>12304</v>
      </c>
      <c r="S2280" s="8" t="s">
        <v>12802</v>
      </c>
    </row>
    <row r="2281" spans="1:19" ht="78.95" customHeight="1" x14ac:dyDescent="0.25">
      <c r="A2281" s="8" t="s">
        <v>12803</v>
      </c>
      <c r="B2281" s="8" t="s">
        <v>5693</v>
      </c>
      <c r="C2281" s="8" t="s">
        <v>12479</v>
      </c>
      <c r="D2281" s="10">
        <v>166</v>
      </c>
      <c r="E2281" s="8" t="s">
        <v>1642</v>
      </c>
      <c r="F2281" s="8" t="s">
        <v>1643</v>
      </c>
      <c r="G2281" s="8" t="s">
        <v>4551</v>
      </c>
      <c r="H2281" s="8" t="s">
        <v>1642</v>
      </c>
      <c r="I2281" s="8" t="s">
        <v>1642</v>
      </c>
      <c r="J2281" s="8"/>
      <c r="K2281" s="8"/>
      <c r="L2281" s="15" t="s">
        <v>1685</v>
      </c>
      <c r="M2281" s="8" t="s">
        <v>5578</v>
      </c>
      <c r="N2281" s="8"/>
      <c r="O2281" s="8" t="s">
        <v>5574</v>
      </c>
      <c r="P2281" s="11"/>
      <c r="Q2281" s="8"/>
      <c r="R2281" s="8" t="s">
        <v>12304</v>
      </c>
      <c r="S2281" s="8" t="s">
        <v>12804</v>
      </c>
    </row>
    <row r="2282" spans="1:19" ht="65.099999999999994" customHeight="1" x14ac:dyDescent="0.25">
      <c r="A2282" s="8" t="s">
        <v>12805</v>
      </c>
      <c r="B2282" s="8" t="s">
        <v>5693</v>
      </c>
      <c r="C2282" s="8" t="s">
        <v>12479</v>
      </c>
      <c r="D2282" s="10">
        <v>167</v>
      </c>
      <c r="E2282" s="8" t="s">
        <v>1386</v>
      </c>
      <c r="F2282" s="8" t="s">
        <v>1388</v>
      </c>
      <c r="G2282" s="8" t="s">
        <v>4551</v>
      </c>
      <c r="H2282" s="8" t="s">
        <v>1386</v>
      </c>
      <c r="I2282" s="8" t="s">
        <v>1386</v>
      </c>
      <c r="J2282" s="8"/>
      <c r="K2282" s="8"/>
      <c r="L2282" s="15" t="s">
        <v>1685</v>
      </c>
      <c r="M2282" s="8" t="s">
        <v>5578</v>
      </c>
      <c r="N2282" s="8"/>
      <c r="O2282" s="8" t="s">
        <v>5574</v>
      </c>
      <c r="P2282" s="11"/>
      <c r="Q2282" s="8"/>
      <c r="R2282" s="8" t="s">
        <v>12304</v>
      </c>
      <c r="S2282" s="8" t="s">
        <v>12806</v>
      </c>
    </row>
    <row r="2283" spans="1:19" ht="78.95" customHeight="1" x14ac:dyDescent="0.25">
      <c r="A2283" s="8" t="s">
        <v>12807</v>
      </c>
      <c r="B2283" s="8" t="s">
        <v>5693</v>
      </c>
      <c r="C2283" s="8" t="s">
        <v>12479</v>
      </c>
      <c r="D2283" s="10">
        <v>168</v>
      </c>
      <c r="E2283" s="8" t="s">
        <v>1266</v>
      </c>
      <c r="F2283" s="8" t="s">
        <v>1268</v>
      </c>
      <c r="G2283" s="8" t="s">
        <v>4551</v>
      </c>
      <c r="H2283" s="8" t="s">
        <v>1266</v>
      </c>
      <c r="I2283" s="8" t="s">
        <v>1266</v>
      </c>
      <c r="J2283" s="8"/>
      <c r="K2283" s="8"/>
      <c r="L2283" s="15" t="s">
        <v>1685</v>
      </c>
      <c r="M2283" s="8" t="s">
        <v>5578</v>
      </c>
      <c r="N2283" s="8"/>
      <c r="O2283" s="8" t="s">
        <v>5574</v>
      </c>
      <c r="P2283" s="11"/>
      <c r="Q2283" s="8"/>
      <c r="R2283" s="8" t="s">
        <v>12304</v>
      </c>
      <c r="S2283" s="8" t="s">
        <v>12808</v>
      </c>
    </row>
    <row r="2284" spans="1:19" ht="78.95" customHeight="1" x14ac:dyDescent="0.25">
      <c r="A2284" s="8" t="s">
        <v>12809</v>
      </c>
      <c r="B2284" s="8" t="s">
        <v>5693</v>
      </c>
      <c r="C2284" s="8" t="s">
        <v>12479</v>
      </c>
      <c r="D2284" s="10">
        <v>169</v>
      </c>
      <c r="E2284" s="8" t="s">
        <v>1482</v>
      </c>
      <c r="F2284" s="8" t="s">
        <v>1483</v>
      </c>
      <c r="G2284" s="8" t="s">
        <v>4551</v>
      </c>
      <c r="H2284" s="8" t="s">
        <v>1482</v>
      </c>
      <c r="I2284" s="8" t="s">
        <v>1482</v>
      </c>
      <c r="J2284" s="8"/>
      <c r="K2284" s="8"/>
      <c r="L2284" s="15" t="s">
        <v>1685</v>
      </c>
      <c r="M2284" s="8" t="s">
        <v>5578</v>
      </c>
      <c r="N2284" s="8"/>
      <c r="O2284" s="8" t="s">
        <v>5574</v>
      </c>
      <c r="P2284" s="11"/>
      <c r="Q2284" s="8"/>
      <c r="R2284" s="8" t="s">
        <v>12304</v>
      </c>
      <c r="S2284" s="8" t="s">
        <v>12810</v>
      </c>
    </row>
    <row r="2285" spans="1:19" ht="65.099999999999994" customHeight="1" x14ac:dyDescent="0.25">
      <c r="A2285" s="8" t="s">
        <v>12811</v>
      </c>
      <c r="B2285" s="8" t="s">
        <v>5693</v>
      </c>
      <c r="C2285" s="8" t="s">
        <v>12479</v>
      </c>
      <c r="D2285" s="10">
        <v>170</v>
      </c>
      <c r="E2285" s="8" t="s">
        <v>1666</v>
      </c>
      <c r="F2285" s="8" t="s">
        <v>1667</v>
      </c>
      <c r="G2285" s="8" t="s">
        <v>4551</v>
      </c>
      <c r="H2285" s="8" t="s">
        <v>1666</v>
      </c>
      <c r="I2285" s="8" t="s">
        <v>1666</v>
      </c>
      <c r="J2285" s="8"/>
      <c r="K2285" s="8"/>
      <c r="L2285" s="15" t="s">
        <v>1685</v>
      </c>
      <c r="M2285" s="8" t="s">
        <v>5578</v>
      </c>
      <c r="N2285" s="8"/>
      <c r="O2285" s="8" t="s">
        <v>5574</v>
      </c>
      <c r="P2285" s="11"/>
      <c r="Q2285" s="8"/>
      <c r="R2285" s="8" t="s">
        <v>12304</v>
      </c>
      <c r="S2285" s="8" t="s">
        <v>12812</v>
      </c>
    </row>
    <row r="2286" spans="1:19" ht="78.95" customHeight="1" x14ac:dyDescent="0.25">
      <c r="A2286" s="8" t="s">
        <v>12813</v>
      </c>
      <c r="B2286" s="8" t="s">
        <v>5693</v>
      </c>
      <c r="C2286" s="8" t="s">
        <v>12479</v>
      </c>
      <c r="D2286" s="10">
        <v>171</v>
      </c>
      <c r="E2286" s="8" t="s">
        <v>1577</v>
      </c>
      <c r="F2286" s="8" t="s">
        <v>1578</v>
      </c>
      <c r="G2286" s="8" t="s">
        <v>4551</v>
      </c>
      <c r="H2286" s="8" t="s">
        <v>1577</v>
      </c>
      <c r="I2286" s="8" t="s">
        <v>1577</v>
      </c>
      <c r="J2286" s="8"/>
      <c r="K2286" s="8"/>
      <c r="L2286" s="15" t="s">
        <v>1685</v>
      </c>
      <c r="M2286" s="8" t="s">
        <v>5578</v>
      </c>
      <c r="N2286" s="8"/>
      <c r="O2286" s="8" t="s">
        <v>5574</v>
      </c>
      <c r="P2286" s="11"/>
      <c r="Q2286" s="8"/>
      <c r="R2286" s="8" t="s">
        <v>12304</v>
      </c>
      <c r="S2286" s="8" t="s">
        <v>12814</v>
      </c>
    </row>
    <row r="2287" spans="1:19" ht="78.95" customHeight="1" x14ac:dyDescent="0.25">
      <c r="A2287" s="8" t="s">
        <v>12815</v>
      </c>
      <c r="B2287" s="8" t="s">
        <v>5693</v>
      </c>
      <c r="C2287" s="8" t="s">
        <v>12479</v>
      </c>
      <c r="D2287" s="10">
        <v>172</v>
      </c>
      <c r="E2287" s="8" t="s">
        <v>1335</v>
      </c>
      <c r="F2287" s="8" t="s">
        <v>1336</v>
      </c>
      <c r="G2287" s="8" t="s">
        <v>4551</v>
      </c>
      <c r="H2287" s="8" t="s">
        <v>1335</v>
      </c>
      <c r="I2287" s="8" t="s">
        <v>1335</v>
      </c>
      <c r="J2287" s="8"/>
      <c r="K2287" s="8"/>
      <c r="L2287" s="15" t="s">
        <v>1685</v>
      </c>
      <c r="M2287" s="8" t="s">
        <v>5578</v>
      </c>
      <c r="N2287" s="8"/>
      <c r="O2287" s="8" t="s">
        <v>5574</v>
      </c>
      <c r="P2287" s="11"/>
      <c r="Q2287" s="8"/>
      <c r="R2287" s="8" t="s">
        <v>12304</v>
      </c>
      <c r="S2287" s="8" t="s">
        <v>12816</v>
      </c>
    </row>
    <row r="2288" spans="1:19" ht="78.95" customHeight="1" x14ac:dyDescent="0.25">
      <c r="A2288" s="8" t="s">
        <v>12817</v>
      </c>
      <c r="B2288" s="8" t="s">
        <v>5693</v>
      </c>
      <c r="C2288" s="8" t="s">
        <v>12479</v>
      </c>
      <c r="D2288" s="10">
        <v>173</v>
      </c>
      <c r="E2288" s="8" t="s">
        <v>1408</v>
      </c>
      <c r="F2288" s="8" t="s">
        <v>1410</v>
      </c>
      <c r="G2288" s="8" t="s">
        <v>4551</v>
      </c>
      <c r="H2288" s="8" t="s">
        <v>1408</v>
      </c>
      <c r="I2288" s="8" t="s">
        <v>1408</v>
      </c>
      <c r="J2288" s="8"/>
      <c r="K2288" s="8"/>
      <c r="L2288" s="15" t="s">
        <v>1685</v>
      </c>
      <c r="M2288" s="8" t="s">
        <v>5578</v>
      </c>
      <c r="N2288" s="8"/>
      <c r="O2288" s="8" t="s">
        <v>5574</v>
      </c>
      <c r="P2288" s="11"/>
      <c r="Q2288" s="8"/>
      <c r="R2288" s="8" t="s">
        <v>12304</v>
      </c>
      <c r="S2288" s="8" t="s">
        <v>12818</v>
      </c>
    </row>
    <row r="2289" spans="1:19" ht="78.95" customHeight="1" x14ac:dyDescent="0.25">
      <c r="A2289" s="8" t="s">
        <v>12819</v>
      </c>
      <c r="B2289" s="8" t="s">
        <v>5693</v>
      </c>
      <c r="C2289" s="8" t="s">
        <v>12479</v>
      </c>
      <c r="D2289" s="10">
        <v>174</v>
      </c>
      <c r="E2289" s="8" t="s">
        <v>1494</v>
      </c>
      <c r="F2289" s="8" t="s">
        <v>1495</v>
      </c>
      <c r="G2289" s="8" t="s">
        <v>4551</v>
      </c>
      <c r="H2289" s="8" t="s">
        <v>1494</v>
      </c>
      <c r="I2289" s="8" t="s">
        <v>1494</v>
      </c>
      <c r="J2289" s="8"/>
      <c r="K2289" s="8"/>
      <c r="L2289" s="15" t="s">
        <v>1685</v>
      </c>
      <c r="M2289" s="8" t="s">
        <v>5578</v>
      </c>
      <c r="N2289" s="8"/>
      <c r="O2289" s="8" t="s">
        <v>5574</v>
      </c>
      <c r="P2289" s="11"/>
      <c r="Q2289" s="8"/>
      <c r="R2289" s="8" t="s">
        <v>12304</v>
      </c>
      <c r="S2289" s="8" t="s">
        <v>12820</v>
      </c>
    </row>
    <row r="2290" spans="1:19" ht="65.099999999999994" customHeight="1" x14ac:dyDescent="0.25">
      <c r="A2290" s="8" t="s">
        <v>12821</v>
      </c>
      <c r="B2290" s="8" t="s">
        <v>5693</v>
      </c>
      <c r="C2290" s="8" t="s">
        <v>12479</v>
      </c>
      <c r="D2290" s="10">
        <v>175</v>
      </c>
      <c r="E2290" s="8" t="s">
        <v>1536</v>
      </c>
      <c r="F2290" s="8" t="s">
        <v>1537</v>
      </c>
      <c r="G2290" s="8" t="s">
        <v>4551</v>
      </c>
      <c r="H2290" s="8" t="s">
        <v>1536</v>
      </c>
      <c r="I2290" s="8" t="s">
        <v>1536</v>
      </c>
      <c r="J2290" s="8"/>
      <c r="K2290" s="8"/>
      <c r="L2290" s="15" t="s">
        <v>1685</v>
      </c>
      <c r="M2290" s="8" t="s">
        <v>5578</v>
      </c>
      <c r="N2290" s="8"/>
      <c r="O2290" s="8" t="s">
        <v>5574</v>
      </c>
      <c r="P2290" s="11"/>
      <c r="Q2290" s="8"/>
      <c r="R2290" s="8" t="s">
        <v>12304</v>
      </c>
      <c r="S2290" s="8" t="s">
        <v>12822</v>
      </c>
    </row>
    <row r="2291" spans="1:19" ht="78.95" customHeight="1" x14ac:dyDescent="0.25">
      <c r="A2291" s="8" t="s">
        <v>12823</v>
      </c>
      <c r="B2291" s="8" t="s">
        <v>5693</v>
      </c>
      <c r="C2291" s="8" t="s">
        <v>12479</v>
      </c>
      <c r="D2291" s="10">
        <v>176</v>
      </c>
      <c r="E2291" s="8" t="s">
        <v>1321</v>
      </c>
      <c r="F2291" s="8" t="s">
        <v>1323</v>
      </c>
      <c r="G2291" s="8" t="s">
        <v>4551</v>
      </c>
      <c r="H2291" s="8" t="s">
        <v>1321</v>
      </c>
      <c r="I2291" s="8" t="s">
        <v>1321</v>
      </c>
      <c r="J2291" s="8"/>
      <c r="K2291" s="8"/>
      <c r="L2291" s="15" t="s">
        <v>1685</v>
      </c>
      <c r="M2291" s="8" t="s">
        <v>5578</v>
      </c>
      <c r="N2291" s="8"/>
      <c r="O2291" s="8" t="s">
        <v>5574</v>
      </c>
      <c r="P2291" s="11"/>
      <c r="Q2291" s="8"/>
      <c r="R2291" s="8" t="s">
        <v>12304</v>
      </c>
      <c r="S2291" s="8" t="s">
        <v>12824</v>
      </c>
    </row>
    <row r="2292" spans="1:19" ht="65.099999999999994" customHeight="1" x14ac:dyDescent="0.25">
      <c r="A2292" s="8" t="s">
        <v>12825</v>
      </c>
      <c r="B2292" s="8" t="s">
        <v>5693</v>
      </c>
      <c r="C2292" s="8" t="s">
        <v>12479</v>
      </c>
      <c r="D2292" s="10">
        <v>177</v>
      </c>
      <c r="E2292" s="8" t="s">
        <v>1317</v>
      </c>
      <c r="F2292" s="8" t="s">
        <v>1318</v>
      </c>
      <c r="G2292" s="8" t="s">
        <v>4551</v>
      </c>
      <c r="H2292" s="8" t="s">
        <v>1317</v>
      </c>
      <c r="I2292" s="8" t="s">
        <v>1317</v>
      </c>
      <c r="J2292" s="8"/>
      <c r="K2292" s="8"/>
      <c r="L2292" s="15" t="s">
        <v>1685</v>
      </c>
      <c r="M2292" s="8" t="s">
        <v>5578</v>
      </c>
      <c r="N2292" s="8"/>
      <c r="O2292" s="8" t="s">
        <v>5574</v>
      </c>
      <c r="P2292" s="11"/>
      <c r="Q2292" s="8"/>
      <c r="R2292" s="8" t="s">
        <v>12304</v>
      </c>
      <c r="S2292" s="8" t="s">
        <v>12826</v>
      </c>
    </row>
    <row r="2293" spans="1:19" ht="78.95" customHeight="1" x14ac:dyDescent="0.25">
      <c r="A2293" s="8" t="s">
        <v>12827</v>
      </c>
      <c r="B2293" s="8" t="s">
        <v>5693</v>
      </c>
      <c r="C2293" s="8" t="s">
        <v>12479</v>
      </c>
      <c r="D2293" s="10">
        <v>178</v>
      </c>
      <c r="E2293" s="8" t="s">
        <v>1271</v>
      </c>
      <c r="F2293" s="8" t="s">
        <v>1272</v>
      </c>
      <c r="G2293" s="8" t="s">
        <v>4551</v>
      </c>
      <c r="H2293" s="8" t="s">
        <v>1271</v>
      </c>
      <c r="I2293" s="8" t="s">
        <v>1271</v>
      </c>
      <c r="J2293" s="8"/>
      <c r="K2293" s="8"/>
      <c r="L2293" s="15" t="s">
        <v>1685</v>
      </c>
      <c r="M2293" s="8" t="s">
        <v>5578</v>
      </c>
      <c r="N2293" s="8"/>
      <c r="O2293" s="8" t="s">
        <v>5574</v>
      </c>
      <c r="P2293" s="11"/>
      <c r="Q2293" s="8"/>
      <c r="R2293" s="8" t="s">
        <v>12304</v>
      </c>
      <c r="S2293" s="8" t="s">
        <v>12828</v>
      </c>
    </row>
    <row r="2294" spans="1:19" ht="78.95" customHeight="1" x14ac:dyDescent="0.25">
      <c r="A2294" s="8" t="s">
        <v>12829</v>
      </c>
      <c r="B2294" s="8" t="s">
        <v>5693</v>
      </c>
      <c r="C2294" s="8" t="s">
        <v>12479</v>
      </c>
      <c r="D2294" s="10">
        <v>179</v>
      </c>
      <c r="E2294" s="8" t="s">
        <v>1502</v>
      </c>
      <c r="F2294" s="8" t="s">
        <v>1503</v>
      </c>
      <c r="G2294" s="8" t="s">
        <v>4551</v>
      </c>
      <c r="H2294" s="8" t="s">
        <v>1502</v>
      </c>
      <c r="I2294" s="8" t="s">
        <v>1502</v>
      </c>
      <c r="J2294" s="8"/>
      <c r="K2294" s="8"/>
      <c r="L2294" s="15" t="s">
        <v>1685</v>
      </c>
      <c r="M2294" s="8" t="s">
        <v>5578</v>
      </c>
      <c r="N2294" s="8"/>
      <c r="O2294" s="8" t="s">
        <v>5574</v>
      </c>
      <c r="P2294" s="11"/>
      <c r="Q2294" s="8"/>
      <c r="R2294" s="8" t="s">
        <v>12304</v>
      </c>
      <c r="S2294" s="8" t="s">
        <v>12830</v>
      </c>
    </row>
    <row r="2295" spans="1:19" ht="78.95" customHeight="1" x14ac:dyDescent="0.25">
      <c r="A2295" s="8" t="s">
        <v>12831</v>
      </c>
      <c r="B2295" s="8" t="s">
        <v>5693</v>
      </c>
      <c r="C2295" s="8" t="s">
        <v>12479</v>
      </c>
      <c r="D2295" s="10">
        <v>180</v>
      </c>
      <c r="E2295" s="8" t="s">
        <v>1461</v>
      </c>
      <c r="F2295" s="8" t="s">
        <v>1462</v>
      </c>
      <c r="G2295" s="8" t="s">
        <v>4551</v>
      </c>
      <c r="H2295" s="8" t="s">
        <v>1461</v>
      </c>
      <c r="I2295" s="8" t="s">
        <v>1461</v>
      </c>
      <c r="J2295" s="8"/>
      <c r="K2295" s="8"/>
      <c r="L2295" s="15" t="s">
        <v>1685</v>
      </c>
      <c r="M2295" s="8" t="s">
        <v>5578</v>
      </c>
      <c r="N2295" s="8"/>
      <c r="O2295" s="8" t="s">
        <v>5574</v>
      </c>
      <c r="P2295" s="11"/>
      <c r="Q2295" s="8"/>
      <c r="R2295" s="8" t="s">
        <v>12304</v>
      </c>
      <c r="S2295" s="8" t="s">
        <v>12832</v>
      </c>
    </row>
    <row r="2296" spans="1:19" ht="78.95" customHeight="1" x14ac:dyDescent="0.25">
      <c r="A2296" s="8" t="s">
        <v>12833</v>
      </c>
      <c r="B2296" s="8" t="s">
        <v>5693</v>
      </c>
      <c r="C2296" s="8" t="s">
        <v>12479</v>
      </c>
      <c r="D2296" s="10">
        <v>181</v>
      </c>
      <c r="E2296" s="8" t="s">
        <v>1031</v>
      </c>
      <c r="F2296" s="8" t="s">
        <v>3148</v>
      </c>
      <c r="G2296" s="8" t="s">
        <v>4551</v>
      </c>
      <c r="H2296" s="8" t="s">
        <v>1031</v>
      </c>
      <c r="I2296" s="8" t="s">
        <v>1031</v>
      </c>
      <c r="J2296" s="8"/>
      <c r="K2296" s="8"/>
      <c r="L2296" s="15" t="s">
        <v>1685</v>
      </c>
      <c r="M2296" s="8" t="s">
        <v>5578</v>
      </c>
      <c r="N2296" s="8"/>
      <c r="O2296" s="8" t="s">
        <v>5574</v>
      </c>
      <c r="P2296" s="11"/>
      <c r="Q2296" s="8"/>
      <c r="R2296" s="8" t="s">
        <v>12304</v>
      </c>
      <c r="S2296" s="8" t="s">
        <v>12834</v>
      </c>
    </row>
    <row r="2297" spans="1:19" ht="78.95" customHeight="1" x14ac:dyDescent="0.25">
      <c r="A2297" s="8" t="s">
        <v>12835</v>
      </c>
      <c r="B2297" s="8" t="s">
        <v>5693</v>
      </c>
      <c r="C2297" s="8" t="s">
        <v>12479</v>
      </c>
      <c r="D2297" s="10">
        <v>182</v>
      </c>
      <c r="E2297" s="8" t="s">
        <v>1339</v>
      </c>
      <c r="F2297" s="8" t="s">
        <v>1340</v>
      </c>
      <c r="G2297" s="8" t="s">
        <v>4551</v>
      </c>
      <c r="H2297" s="8" t="s">
        <v>1339</v>
      </c>
      <c r="I2297" s="8" t="s">
        <v>1339</v>
      </c>
      <c r="J2297" s="8"/>
      <c r="K2297" s="8"/>
      <c r="L2297" s="15" t="s">
        <v>1685</v>
      </c>
      <c r="M2297" s="8" t="s">
        <v>5578</v>
      </c>
      <c r="N2297" s="8"/>
      <c r="O2297" s="8" t="s">
        <v>5574</v>
      </c>
      <c r="P2297" s="11"/>
      <c r="Q2297" s="8"/>
      <c r="R2297" s="8" t="s">
        <v>12304</v>
      </c>
      <c r="S2297" s="8" t="s">
        <v>12836</v>
      </c>
    </row>
    <row r="2298" spans="1:19" ht="65.099999999999994" customHeight="1" x14ac:dyDescent="0.25">
      <c r="A2298" s="8" t="s">
        <v>12837</v>
      </c>
      <c r="B2298" s="8" t="s">
        <v>5693</v>
      </c>
      <c r="C2298" s="8" t="s">
        <v>12479</v>
      </c>
      <c r="D2298" s="10">
        <v>183</v>
      </c>
      <c r="E2298" s="8" t="s">
        <v>1490</v>
      </c>
      <c r="F2298" s="8" t="s">
        <v>1491</v>
      </c>
      <c r="G2298" s="8" t="s">
        <v>4551</v>
      </c>
      <c r="H2298" s="8" t="s">
        <v>1490</v>
      </c>
      <c r="I2298" s="8" t="s">
        <v>1490</v>
      </c>
      <c r="J2298" s="8"/>
      <c r="K2298" s="8"/>
      <c r="L2298" s="15" t="s">
        <v>1685</v>
      </c>
      <c r="M2298" s="8" t="s">
        <v>5578</v>
      </c>
      <c r="N2298" s="8"/>
      <c r="O2298" s="8" t="s">
        <v>5574</v>
      </c>
      <c r="P2298" s="11"/>
      <c r="Q2298" s="8"/>
      <c r="R2298" s="8" t="s">
        <v>12304</v>
      </c>
      <c r="S2298" s="8" t="s">
        <v>12838</v>
      </c>
    </row>
    <row r="2299" spans="1:19" ht="78.95" customHeight="1" x14ac:dyDescent="0.25">
      <c r="A2299" s="8" t="s">
        <v>12839</v>
      </c>
      <c r="B2299" s="8" t="s">
        <v>5693</v>
      </c>
      <c r="C2299" s="8" t="s">
        <v>12479</v>
      </c>
      <c r="D2299" s="10">
        <v>184</v>
      </c>
      <c r="E2299" s="8" t="s">
        <v>1343</v>
      </c>
      <c r="F2299" s="8" t="s">
        <v>1345</v>
      </c>
      <c r="G2299" s="8" t="s">
        <v>4551</v>
      </c>
      <c r="H2299" s="8" t="s">
        <v>1343</v>
      </c>
      <c r="I2299" s="8" t="s">
        <v>1343</v>
      </c>
      <c r="J2299" s="8"/>
      <c r="K2299" s="8"/>
      <c r="L2299" s="15" t="s">
        <v>1685</v>
      </c>
      <c r="M2299" s="8" t="s">
        <v>5578</v>
      </c>
      <c r="N2299" s="8"/>
      <c r="O2299" s="8" t="s">
        <v>5574</v>
      </c>
      <c r="P2299" s="11"/>
      <c r="Q2299" s="8"/>
      <c r="R2299" s="8" t="s">
        <v>12304</v>
      </c>
      <c r="S2299" s="8" t="s">
        <v>12840</v>
      </c>
    </row>
    <row r="2300" spans="1:19" ht="78.95" customHeight="1" x14ac:dyDescent="0.25">
      <c r="A2300" s="8" t="s">
        <v>12841</v>
      </c>
      <c r="B2300" s="8" t="s">
        <v>5693</v>
      </c>
      <c r="C2300" s="8" t="s">
        <v>12479</v>
      </c>
      <c r="D2300" s="10">
        <v>185</v>
      </c>
      <c r="E2300" s="8" t="s">
        <v>1511</v>
      </c>
      <c r="F2300" s="8" t="s">
        <v>1512</v>
      </c>
      <c r="G2300" s="8" t="s">
        <v>4551</v>
      </c>
      <c r="H2300" s="8" t="s">
        <v>1511</v>
      </c>
      <c r="I2300" s="8" t="s">
        <v>1511</v>
      </c>
      <c r="J2300" s="8"/>
      <c r="K2300" s="8"/>
      <c r="L2300" s="15" t="s">
        <v>1685</v>
      </c>
      <c r="M2300" s="8" t="s">
        <v>5578</v>
      </c>
      <c r="N2300" s="8"/>
      <c r="O2300" s="8" t="s">
        <v>5574</v>
      </c>
      <c r="P2300" s="11"/>
      <c r="Q2300" s="8"/>
      <c r="R2300" s="8" t="s">
        <v>12304</v>
      </c>
      <c r="S2300" s="8" t="s">
        <v>12842</v>
      </c>
    </row>
    <row r="2301" spans="1:19" ht="65.099999999999994" customHeight="1" x14ac:dyDescent="0.25">
      <c r="A2301" s="8" t="s">
        <v>12843</v>
      </c>
      <c r="B2301" s="8" t="s">
        <v>5693</v>
      </c>
      <c r="C2301" s="8" t="s">
        <v>12479</v>
      </c>
      <c r="D2301" s="10">
        <v>186</v>
      </c>
      <c r="E2301" s="8" t="s">
        <v>1565</v>
      </c>
      <c r="F2301" s="8" t="s">
        <v>1566</v>
      </c>
      <c r="G2301" s="8" t="s">
        <v>4551</v>
      </c>
      <c r="H2301" s="8" t="s">
        <v>1565</v>
      </c>
      <c r="I2301" s="8" t="s">
        <v>1565</v>
      </c>
      <c r="J2301" s="8"/>
      <c r="K2301" s="8"/>
      <c r="L2301" s="15" t="s">
        <v>1685</v>
      </c>
      <c r="M2301" s="8" t="s">
        <v>5578</v>
      </c>
      <c r="N2301" s="8"/>
      <c r="O2301" s="8" t="s">
        <v>5574</v>
      </c>
      <c r="P2301" s="11"/>
      <c r="Q2301" s="8"/>
      <c r="R2301" s="8" t="s">
        <v>12304</v>
      </c>
      <c r="S2301" s="8" t="s">
        <v>12844</v>
      </c>
    </row>
    <row r="2302" spans="1:19" ht="78.95" customHeight="1" x14ac:dyDescent="0.25">
      <c r="A2302" s="8" t="s">
        <v>12845</v>
      </c>
      <c r="B2302" s="8" t="s">
        <v>5693</v>
      </c>
      <c r="C2302" s="8" t="s">
        <v>12479</v>
      </c>
      <c r="D2302" s="10">
        <v>187</v>
      </c>
      <c r="E2302" s="8" t="s">
        <v>1623</v>
      </c>
      <c r="F2302" s="8" t="s">
        <v>1625</v>
      </c>
      <c r="G2302" s="8" t="s">
        <v>4551</v>
      </c>
      <c r="H2302" s="8" t="s">
        <v>1623</v>
      </c>
      <c r="I2302" s="8" t="s">
        <v>1623</v>
      </c>
      <c r="J2302" s="8"/>
      <c r="K2302" s="8"/>
      <c r="L2302" s="15" t="s">
        <v>1685</v>
      </c>
      <c r="M2302" s="8" t="s">
        <v>5578</v>
      </c>
      <c r="N2302" s="8"/>
      <c r="O2302" s="8" t="s">
        <v>5574</v>
      </c>
      <c r="P2302" s="11"/>
      <c r="Q2302" s="8"/>
      <c r="R2302" s="8" t="s">
        <v>12304</v>
      </c>
      <c r="S2302" s="8" t="s">
        <v>12846</v>
      </c>
    </row>
    <row r="2303" spans="1:19" ht="78.95" customHeight="1" x14ac:dyDescent="0.25">
      <c r="A2303" s="8" t="s">
        <v>12847</v>
      </c>
      <c r="B2303" s="8" t="s">
        <v>5693</v>
      </c>
      <c r="C2303" s="8" t="s">
        <v>12479</v>
      </c>
      <c r="D2303" s="10">
        <v>188</v>
      </c>
      <c r="E2303" s="8" t="s">
        <v>1633</v>
      </c>
      <c r="F2303" s="8" t="s">
        <v>1635</v>
      </c>
      <c r="G2303" s="8" t="s">
        <v>4551</v>
      </c>
      <c r="H2303" s="8" t="s">
        <v>1633</v>
      </c>
      <c r="I2303" s="8" t="s">
        <v>1633</v>
      </c>
      <c r="J2303" s="8"/>
      <c r="K2303" s="8"/>
      <c r="L2303" s="15" t="s">
        <v>1685</v>
      </c>
      <c r="M2303" s="8" t="s">
        <v>5578</v>
      </c>
      <c r="N2303" s="8"/>
      <c r="O2303" s="8" t="s">
        <v>5574</v>
      </c>
      <c r="P2303" s="11"/>
      <c r="Q2303" s="8"/>
      <c r="R2303" s="8" t="s">
        <v>12304</v>
      </c>
      <c r="S2303" s="8" t="s">
        <v>12848</v>
      </c>
    </row>
    <row r="2304" spans="1:19" ht="65.099999999999994" customHeight="1" x14ac:dyDescent="0.25">
      <c r="A2304" s="8" t="s">
        <v>12849</v>
      </c>
      <c r="B2304" s="8" t="s">
        <v>5693</v>
      </c>
      <c r="C2304" s="8" t="s">
        <v>12479</v>
      </c>
      <c r="D2304" s="10">
        <v>189</v>
      </c>
      <c r="E2304" s="8" t="s">
        <v>1506</v>
      </c>
      <c r="F2304" s="8" t="s">
        <v>1508</v>
      </c>
      <c r="G2304" s="8" t="s">
        <v>4551</v>
      </c>
      <c r="H2304" s="8" t="s">
        <v>1506</v>
      </c>
      <c r="I2304" s="8" t="s">
        <v>1506</v>
      </c>
      <c r="J2304" s="8"/>
      <c r="K2304" s="8"/>
      <c r="L2304" s="15" t="s">
        <v>1685</v>
      </c>
      <c r="M2304" s="8" t="s">
        <v>5578</v>
      </c>
      <c r="N2304" s="8"/>
      <c r="O2304" s="8" t="s">
        <v>5574</v>
      </c>
      <c r="P2304" s="11"/>
      <c r="Q2304" s="8"/>
      <c r="R2304" s="8" t="s">
        <v>12304</v>
      </c>
      <c r="S2304" s="8" t="s">
        <v>12850</v>
      </c>
    </row>
    <row r="2305" spans="1:19" ht="78.95" customHeight="1" x14ac:dyDescent="0.25">
      <c r="A2305" s="8" t="s">
        <v>12851</v>
      </c>
      <c r="B2305" s="8" t="s">
        <v>5693</v>
      </c>
      <c r="C2305" s="8" t="s">
        <v>12479</v>
      </c>
      <c r="D2305" s="10">
        <v>190</v>
      </c>
      <c r="E2305" s="8" t="s">
        <v>1573</v>
      </c>
      <c r="F2305" s="8" t="s">
        <v>1574</v>
      </c>
      <c r="G2305" s="8" t="s">
        <v>4551</v>
      </c>
      <c r="H2305" s="8" t="s">
        <v>1573</v>
      </c>
      <c r="I2305" s="8" t="s">
        <v>1573</v>
      </c>
      <c r="J2305" s="8"/>
      <c r="K2305" s="8"/>
      <c r="L2305" s="15" t="s">
        <v>1685</v>
      </c>
      <c r="M2305" s="8" t="s">
        <v>5578</v>
      </c>
      <c r="N2305" s="8"/>
      <c r="O2305" s="8" t="s">
        <v>5574</v>
      </c>
      <c r="P2305" s="11"/>
      <c r="Q2305" s="8"/>
      <c r="R2305" s="8" t="s">
        <v>12304</v>
      </c>
      <c r="S2305" s="8" t="s">
        <v>12852</v>
      </c>
    </row>
    <row r="2306" spans="1:19" ht="65.099999999999994" customHeight="1" x14ac:dyDescent="0.25">
      <c r="A2306" s="8" t="s">
        <v>12853</v>
      </c>
      <c r="B2306" s="8" t="s">
        <v>5693</v>
      </c>
      <c r="C2306" s="8" t="s">
        <v>12479</v>
      </c>
      <c r="D2306" s="10">
        <v>191</v>
      </c>
      <c r="E2306" s="8" t="s">
        <v>1283</v>
      </c>
      <c r="F2306" s="8" t="s">
        <v>1285</v>
      </c>
      <c r="G2306" s="8" t="s">
        <v>4551</v>
      </c>
      <c r="H2306" s="8" t="s">
        <v>1283</v>
      </c>
      <c r="I2306" s="8" t="s">
        <v>1283</v>
      </c>
      <c r="J2306" s="8"/>
      <c r="K2306" s="8"/>
      <c r="L2306" s="15" t="s">
        <v>1685</v>
      </c>
      <c r="M2306" s="8" t="s">
        <v>5578</v>
      </c>
      <c r="N2306" s="8"/>
      <c r="O2306" s="8" t="s">
        <v>5574</v>
      </c>
      <c r="P2306" s="11"/>
      <c r="Q2306" s="8"/>
      <c r="R2306" s="8" t="s">
        <v>12304</v>
      </c>
      <c r="S2306" s="8" t="s">
        <v>12854</v>
      </c>
    </row>
    <row r="2307" spans="1:19" ht="65.099999999999994" customHeight="1" x14ac:dyDescent="0.25">
      <c r="A2307" s="8" t="s">
        <v>12855</v>
      </c>
      <c r="B2307" s="8" t="s">
        <v>5693</v>
      </c>
      <c r="C2307" s="8" t="s">
        <v>12479</v>
      </c>
      <c r="D2307" s="10">
        <v>192</v>
      </c>
      <c r="E2307" s="8" t="s">
        <v>1308</v>
      </c>
      <c r="F2307" s="8" t="s">
        <v>1309</v>
      </c>
      <c r="G2307" s="8" t="s">
        <v>4551</v>
      </c>
      <c r="H2307" s="8" t="s">
        <v>1308</v>
      </c>
      <c r="I2307" s="8" t="s">
        <v>1308</v>
      </c>
      <c r="J2307" s="8"/>
      <c r="K2307" s="8"/>
      <c r="L2307" s="15" t="s">
        <v>1685</v>
      </c>
      <c r="M2307" s="8" t="s">
        <v>5578</v>
      </c>
      <c r="N2307" s="8"/>
      <c r="O2307" s="8" t="s">
        <v>5574</v>
      </c>
      <c r="P2307" s="11"/>
      <c r="Q2307" s="8"/>
      <c r="R2307" s="8" t="s">
        <v>12304</v>
      </c>
      <c r="S2307" s="8" t="s">
        <v>12856</v>
      </c>
    </row>
    <row r="2308" spans="1:19" ht="78.95" customHeight="1" x14ac:dyDescent="0.25">
      <c r="A2308" s="8" t="s">
        <v>12857</v>
      </c>
      <c r="B2308" s="8" t="s">
        <v>5693</v>
      </c>
      <c r="C2308" s="8" t="s">
        <v>12479</v>
      </c>
      <c r="D2308" s="10">
        <v>193</v>
      </c>
      <c r="E2308" s="8" t="s">
        <v>1498</v>
      </c>
      <c r="F2308" s="8" t="s">
        <v>1499</v>
      </c>
      <c r="G2308" s="8" t="s">
        <v>4551</v>
      </c>
      <c r="H2308" s="8" t="s">
        <v>1498</v>
      </c>
      <c r="I2308" s="8" t="s">
        <v>1498</v>
      </c>
      <c r="J2308" s="8"/>
      <c r="K2308" s="8"/>
      <c r="L2308" s="15" t="s">
        <v>1685</v>
      </c>
      <c r="M2308" s="8" t="s">
        <v>5578</v>
      </c>
      <c r="N2308" s="8"/>
      <c r="O2308" s="8" t="s">
        <v>5574</v>
      </c>
      <c r="P2308" s="11"/>
      <c r="Q2308" s="8"/>
      <c r="R2308" s="8" t="s">
        <v>12304</v>
      </c>
      <c r="S2308" s="8" t="s">
        <v>12858</v>
      </c>
    </row>
    <row r="2309" spans="1:19" ht="78.95" customHeight="1" x14ac:dyDescent="0.25">
      <c r="A2309" s="8" t="s">
        <v>12859</v>
      </c>
      <c r="B2309" s="8" t="s">
        <v>5693</v>
      </c>
      <c r="C2309" s="8" t="s">
        <v>12479</v>
      </c>
      <c r="D2309" s="10">
        <v>194</v>
      </c>
      <c r="E2309" s="8" t="s">
        <v>1396</v>
      </c>
      <c r="F2309" s="8" t="s">
        <v>1397</v>
      </c>
      <c r="G2309" s="8" t="s">
        <v>4551</v>
      </c>
      <c r="H2309" s="8" t="s">
        <v>1396</v>
      </c>
      <c r="I2309" s="8" t="s">
        <v>1396</v>
      </c>
      <c r="J2309" s="8"/>
      <c r="K2309" s="8"/>
      <c r="L2309" s="15" t="s">
        <v>1685</v>
      </c>
      <c r="M2309" s="8" t="s">
        <v>5578</v>
      </c>
      <c r="N2309" s="8"/>
      <c r="O2309" s="8" t="s">
        <v>5574</v>
      </c>
      <c r="P2309" s="11"/>
      <c r="Q2309" s="8"/>
      <c r="R2309" s="8" t="s">
        <v>12304</v>
      </c>
      <c r="S2309" s="8" t="s">
        <v>12860</v>
      </c>
    </row>
    <row r="2310" spans="1:19" ht="78.95" customHeight="1" x14ac:dyDescent="0.25">
      <c r="A2310" s="8" t="s">
        <v>12861</v>
      </c>
      <c r="B2310" s="8" t="s">
        <v>5693</v>
      </c>
      <c r="C2310" s="8" t="s">
        <v>12479</v>
      </c>
      <c r="D2310" s="10">
        <v>195</v>
      </c>
      <c r="E2310" s="8" t="s">
        <v>1011</v>
      </c>
      <c r="F2310" s="8" t="s">
        <v>3072</v>
      </c>
      <c r="G2310" s="8" t="s">
        <v>4551</v>
      </c>
      <c r="H2310" s="8" t="s">
        <v>1011</v>
      </c>
      <c r="I2310" s="8" t="s">
        <v>1011</v>
      </c>
      <c r="J2310" s="8"/>
      <c r="K2310" s="8"/>
      <c r="L2310" s="15" t="s">
        <v>1685</v>
      </c>
      <c r="M2310" s="8" t="s">
        <v>5578</v>
      </c>
      <c r="N2310" s="8"/>
      <c r="O2310" s="8" t="s">
        <v>5574</v>
      </c>
      <c r="P2310" s="11"/>
      <c r="Q2310" s="8"/>
      <c r="R2310" s="8" t="s">
        <v>12304</v>
      </c>
      <c r="S2310" s="8" t="s">
        <v>12862</v>
      </c>
    </row>
    <row r="2311" spans="1:19" ht="78.95" customHeight="1" x14ac:dyDescent="0.25">
      <c r="A2311" s="8" t="s">
        <v>12863</v>
      </c>
      <c r="B2311" s="8" t="s">
        <v>5693</v>
      </c>
      <c r="C2311" s="8" t="s">
        <v>12479</v>
      </c>
      <c r="D2311" s="10">
        <v>196</v>
      </c>
      <c r="E2311" s="8" t="s">
        <v>1603</v>
      </c>
      <c r="F2311" s="8" t="s">
        <v>1604</v>
      </c>
      <c r="G2311" s="8" t="s">
        <v>4551</v>
      </c>
      <c r="H2311" s="8" t="s">
        <v>1603</v>
      </c>
      <c r="I2311" s="8" t="s">
        <v>1603</v>
      </c>
      <c r="J2311" s="8"/>
      <c r="K2311" s="8"/>
      <c r="L2311" s="15" t="s">
        <v>1685</v>
      </c>
      <c r="M2311" s="8" t="s">
        <v>5578</v>
      </c>
      <c r="N2311" s="8"/>
      <c r="O2311" s="8" t="s">
        <v>5574</v>
      </c>
      <c r="P2311" s="11"/>
      <c r="Q2311" s="8"/>
      <c r="R2311" s="8" t="s">
        <v>12304</v>
      </c>
      <c r="S2311" s="8" t="s">
        <v>12864</v>
      </c>
    </row>
    <row r="2312" spans="1:19" ht="78.95" customHeight="1" x14ac:dyDescent="0.25">
      <c r="A2312" s="8" t="s">
        <v>12865</v>
      </c>
      <c r="B2312" s="8" t="s">
        <v>5693</v>
      </c>
      <c r="C2312" s="8" t="s">
        <v>12479</v>
      </c>
      <c r="D2312" s="10">
        <v>197</v>
      </c>
      <c r="E2312" s="8" t="s">
        <v>1548</v>
      </c>
      <c r="F2312" s="8" t="s">
        <v>1550</v>
      </c>
      <c r="G2312" s="8" t="s">
        <v>4551</v>
      </c>
      <c r="H2312" s="8" t="s">
        <v>1548</v>
      </c>
      <c r="I2312" s="8" t="s">
        <v>1548</v>
      </c>
      <c r="J2312" s="8"/>
      <c r="K2312" s="8"/>
      <c r="L2312" s="15" t="s">
        <v>1685</v>
      </c>
      <c r="M2312" s="8" t="s">
        <v>5578</v>
      </c>
      <c r="N2312" s="8"/>
      <c r="O2312" s="8" t="s">
        <v>5574</v>
      </c>
      <c r="P2312" s="11"/>
      <c r="Q2312" s="8"/>
      <c r="R2312" s="8" t="s">
        <v>12304</v>
      </c>
      <c r="S2312" s="8" t="s">
        <v>12866</v>
      </c>
    </row>
    <row r="2313" spans="1:19" ht="78.95" customHeight="1" x14ac:dyDescent="0.25">
      <c r="A2313" s="8" t="s">
        <v>12867</v>
      </c>
      <c r="B2313" s="8" t="s">
        <v>5693</v>
      </c>
      <c r="C2313" s="8" t="s">
        <v>12479</v>
      </c>
      <c r="D2313" s="10">
        <v>198</v>
      </c>
      <c r="E2313" s="8" t="s">
        <v>1561</v>
      </c>
      <c r="F2313" s="8" t="s">
        <v>1562</v>
      </c>
      <c r="G2313" s="8" t="s">
        <v>4551</v>
      </c>
      <c r="H2313" s="8" t="s">
        <v>1561</v>
      </c>
      <c r="I2313" s="8" t="s">
        <v>1561</v>
      </c>
      <c r="J2313" s="8"/>
      <c r="K2313" s="8"/>
      <c r="L2313" s="15" t="s">
        <v>1685</v>
      </c>
      <c r="M2313" s="8" t="s">
        <v>5578</v>
      </c>
      <c r="N2313" s="8"/>
      <c r="O2313" s="8" t="s">
        <v>5574</v>
      </c>
      <c r="P2313" s="11"/>
      <c r="Q2313" s="8"/>
      <c r="R2313" s="8" t="s">
        <v>12304</v>
      </c>
      <c r="S2313" s="8" t="s">
        <v>12868</v>
      </c>
    </row>
    <row r="2314" spans="1:19" ht="78.95" customHeight="1" x14ac:dyDescent="0.25">
      <c r="A2314" s="8" t="s">
        <v>12869</v>
      </c>
      <c r="B2314" s="8" t="s">
        <v>5693</v>
      </c>
      <c r="C2314" s="8" t="s">
        <v>12479</v>
      </c>
      <c r="D2314" s="10">
        <v>199</v>
      </c>
      <c r="E2314" s="8" t="s">
        <v>1444</v>
      </c>
      <c r="F2314" s="8" t="s">
        <v>1446</v>
      </c>
      <c r="G2314" s="8" t="s">
        <v>4551</v>
      </c>
      <c r="H2314" s="8" t="s">
        <v>1444</v>
      </c>
      <c r="I2314" s="8" t="s">
        <v>1444</v>
      </c>
      <c r="J2314" s="8"/>
      <c r="K2314" s="8"/>
      <c r="L2314" s="15" t="s">
        <v>1685</v>
      </c>
      <c r="M2314" s="8" t="s">
        <v>5578</v>
      </c>
      <c r="N2314" s="8"/>
      <c r="O2314" s="8" t="s">
        <v>5574</v>
      </c>
      <c r="P2314" s="11"/>
      <c r="Q2314" s="8"/>
      <c r="R2314" s="8" t="s">
        <v>12304</v>
      </c>
      <c r="S2314" s="8" t="s">
        <v>12870</v>
      </c>
    </row>
    <row r="2315" spans="1:19" ht="78.95" customHeight="1" x14ac:dyDescent="0.25">
      <c r="A2315" s="8" t="s">
        <v>12871</v>
      </c>
      <c r="B2315" s="8" t="s">
        <v>5693</v>
      </c>
      <c r="C2315" s="8" t="s">
        <v>12479</v>
      </c>
      <c r="D2315" s="10">
        <v>200</v>
      </c>
      <c r="E2315" s="8" t="s">
        <v>1435</v>
      </c>
      <c r="F2315" s="8" t="s">
        <v>1436</v>
      </c>
      <c r="G2315" s="8" t="s">
        <v>4551</v>
      </c>
      <c r="H2315" s="8" t="s">
        <v>1435</v>
      </c>
      <c r="I2315" s="8" t="s">
        <v>1435</v>
      </c>
      <c r="J2315" s="8"/>
      <c r="K2315" s="8"/>
      <c r="L2315" s="15" t="s">
        <v>1685</v>
      </c>
      <c r="M2315" s="8" t="s">
        <v>5578</v>
      </c>
      <c r="N2315" s="8"/>
      <c r="O2315" s="8" t="s">
        <v>5574</v>
      </c>
      <c r="P2315" s="11"/>
      <c r="Q2315" s="8"/>
      <c r="R2315" s="8" t="s">
        <v>12304</v>
      </c>
      <c r="S2315" s="8" t="s">
        <v>12872</v>
      </c>
    </row>
    <row r="2316" spans="1:19" ht="78.95" customHeight="1" x14ac:dyDescent="0.25">
      <c r="A2316" s="8" t="s">
        <v>12873</v>
      </c>
      <c r="B2316" s="8" t="s">
        <v>5693</v>
      </c>
      <c r="C2316" s="8" t="s">
        <v>12479</v>
      </c>
      <c r="D2316" s="10">
        <v>201</v>
      </c>
      <c r="E2316" s="8" t="s">
        <v>1348</v>
      </c>
      <c r="F2316" s="8" t="s">
        <v>1350</v>
      </c>
      <c r="G2316" s="8" t="s">
        <v>4551</v>
      </c>
      <c r="H2316" s="8" t="s">
        <v>1348</v>
      </c>
      <c r="I2316" s="8" t="s">
        <v>1348</v>
      </c>
      <c r="J2316" s="8"/>
      <c r="K2316" s="8"/>
      <c r="L2316" s="15" t="s">
        <v>1685</v>
      </c>
      <c r="M2316" s="8" t="s">
        <v>5578</v>
      </c>
      <c r="N2316" s="8"/>
      <c r="O2316" s="8" t="s">
        <v>5574</v>
      </c>
      <c r="P2316" s="11"/>
      <c r="Q2316" s="8"/>
      <c r="R2316" s="8" t="s">
        <v>12304</v>
      </c>
      <c r="S2316" s="8" t="s">
        <v>12874</v>
      </c>
    </row>
    <row r="2317" spans="1:19" ht="65.099999999999994" customHeight="1" x14ac:dyDescent="0.25">
      <c r="A2317" s="8" t="s">
        <v>12875</v>
      </c>
      <c r="B2317" s="8" t="s">
        <v>5693</v>
      </c>
      <c r="C2317" s="8" t="s">
        <v>12479</v>
      </c>
      <c r="D2317" s="10">
        <v>202</v>
      </c>
      <c r="E2317" s="8" t="s">
        <v>1362</v>
      </c>
      <c r="F2317" s="8" t="s">
        <v>1363</v>
      </c>
      <c r="G2317" s="8" t="s">
        <v>4551</v>
      </c>
      <c r="H2317" s="8" t="s">
        <v>1362</v>
      </c>
      <c r="I2317" s="8" t="s">
        <v>1362</v>
      </c>
      <c r="J2317" s="8"/>
      <c r="K2317" s="8"/>
      <c r="L2317" s="15" t="s">
        <v>1685</v>
      </c>
      <c r="M2317" s="8" t="s">
        <v>5578</v>
      </c>
      <c r="N2317" s="8"/>
      <c r="O2317" s="8" t="s">
        <v>5574</v>
      </c>
      <c r="P2317" s="11"/>
      <c r="Q2317" s="8"/>
      <c r="R2317" s="8" t="s">
        <v>12304</v>
      </c>
      <c r="S2317" s="8" t="s">
        <v>12876</v>
      </c>
    </row>
    <row r="2318" spans="1:19" ht="78.95" customHeight="1" x14ac:dyDescent="0.25">
      <c r="A2318" s="8" t="s">
        <v>12877</v>
      </c>
      <c r="B2318" s="8" t="s">
        <v>5693</v>
      </c>
      <c r="C2318" s="8" t="s">
        <v>12479</v>
      </c>
      <c r="D2318" s="10">
        <v>203</v>
      </c>
      <c r="E2318" s="8" t="s">
        <v>1553</v>
      </c>
      <c r="F2318" s="8" t="s">
        <v>1554</v>
      </c>
      <c r="G2318" s="8" t="s">
        <v>4551</v>
      </c>
      <c r="H2318" s="8" t="s">
        <v>1553</v>
      </c>
      <c r="I2318" s="8" t="s">
        <v>1553</v>
      </c>
      <c r="J2318" s="8"/>
      <c r="K2318" s="8"/>
      <c r="L2318" s="15" t="s">
        <v>1685</v>
      </c>
      <c r="M2318" s="8" t="s">
        <v>5578</v>
      </c>
      <c r="N2318" s="8"/>
      <c r="O2318" s="8" t="s">
        <v>5574</v>
      </c>
      <c r="P2318" s="11"/>
      <c r="Q2318" s="8"/>
      <c r="R2318" s="8" t="s">
        <v>12304</v>
      </c>
      <c r="S2318" s="8" t="s">
        <v>12878</v>
      </c>
    </row>
    <row r="2319" spans="1:19" ht="78.95" customHeight="1" x14ac:dyDescent="0.25">
      <c r="A2319" s="8" t="s">
        <v>12879</v>
      </c>
      <c r="B2319" s="8" t="s">
        <v>5693</v>
      </c>
      <c r="C2319" s="8" t="s">
        <v>12479</v>
      </c>
      <c r="D2319" s="10">
        <v>204</v>
      </c>
      <c r="E2319" s="8" t="s">
        <v>1523</v>
      </c>
      <c r="F2319" s="8" t="s">
        <v>1525</v>
      </c>
      <c r="G2319" s="8" t="s">
        <v>4551</v>
      </c>
      <c r="H2319" s="8" t="s">
        <v>1523</v>
      </c>
      <c r="I2319" s="8" t="s">
        <v>1523</v>
      </c>
      <c r="J2319" s="8"/>
      <c r="K2319" s="8"/>
      <c r="L2319" s="15" t="s">
        <v>1685</v>
      </c>
      <c r="M2319" s="8" t="s">
        <v>5578</v>
      </c>
      <c r="N2319" s="8"/>
      <c r="O2319" s="8" t="s">
        <v>5574</v>
      </c>
      <c r="P2319" s="11"/>
      <c r="Q2319" s="8"/>
      <c r="R2319" s="8" t="s">
        <v>12304</v>
      </c>
      <c r="S2319" s="8" t="s">
        <v>12880</v>
      </c>
    </row>
    <row r="2320" spans="1:19" ht="78.95" customHeight="1" x14ac:dyDescent="0.25">
      <c r="A2320" s="8" t="s">
        <v>12881</v>
      </c>
      <c r="B2320" s="8" t="s">
        <v>5693</v>
      </c>
      <c r="C2320" s="8" t="s">
        <v>12479</v>
      </c>
      <c r="D2320" s="10">
        <v>205</v>
      </c>
      <c r="E2320" s="8" t="s">
        <v>1404</v>
      </c>
      <c r="F2320" s="8" t="s">
        <v>1405</v>
      </c>
      <c r="G2320" s="8" t="s">
        <v>4551</v>
      </c>
      <c r="H2320" s="8" t="s">
        <v>1404</v>
      </c>
      <c r="I2320" s="8" t="s">
        <v>1404</v>
      </c>
      <c r="J2320" s="8"/>
      <c r="K2320" s="8"/>
      <c r="L2320" s="15" t="s">
        <v>1685</v>
      </c>
      <c r="M2320" s="8" t="s">
        <v>5578</v>
      </c>
      <c r="N2320" s="8"/>
      <c r="O2320" s="8" t="s">
        <v>5574</v>
      </c>
      <c r="P2320" s="11"/>
      <c r="Q2320" s="8"/>
      <c r="R2320" s="8" t="s">
        <v>12304</v>
      </c>
      <c r="S2320" s="8" t="s">
        <v>12882</v>
      </c>
    </row>
    <row r="2321" spans="1:19" ht="78.95" customHeight="1" x14ac:dyDescent="0.25">
      <c r="A2321" s="8" t="s">
        <v>12883</v>
      </c>
      <c r="B2321" s="8" t="s">
        <v>5693</v>
      </c>
      <c r="C2321" s="8" t="s">
        <v>12479</v>
      </c>
      <c r="D2321" s="10">
        <v>206</v>
      </c>
      <c r="E2321" s="8" t="s">
        <v>1598</v>
      </c>
      <c r="F2321" s="8" t="s">
        <v>1600</v>
      </c>
      <c r="G2321" s="8" t="s">
        <v>4551</v>
      </c>
      <c r="H2321" s="8" t="s">
        <v>1598</v>
      </c>
      <c r="I2321" s="8" t="s">
        <v>1598</v>
      </c>
      <c r="J2321" s="8"/>
      <c r="K2321" s="8"/>
      <c r="L2321" s="15" t="s">
        <v>1685</v>
      </c>
      <c r="M2321" s="8" t="s">
        <v>5578</v>
      </c>
      <c r="N2321" s="8"/>
      <c r="O2321" s="8" t="s">
        <v>5574</v>
      </c>
      <c r="P2321" s="11"/>
      <c r="Q2321" s="8"/>
      <c r="R2321" s="8" t="s">
        <v>12304</v>
      </c>
      <c r="S2321" s="8" t="s">
        <v>12884</v>
      </c>
    </row>
    <row r="2322" spans="1:19" ht="78.95" customHeight="1" x14ac:dyDescent="0.25">
      <c r="A2322" s="8" t="s">
        <v>12885</v>
      </c>
      <c r="B2322" s="8" t="s">
        <v>5693</v>
      </c>
      <c r="C2322" s="8" t="s">
        <v>12479</v>
      </c>
      <c r="D2322" s="10">
        <v>207</v>
      </c>
      <c r="E2322" s="8" t="s">
        <v>1439</v>
      </c>
      <c r="F2322" s="8" t="s">
        <v>1441</v>
      </c>
      <c r="G2322" s="8" t="s">
        <v>4551</v>
      </c>
      <c r="H2322" s="8" t="s">
        <v>1439</v>
      </c>
      <c r="I2322" s="8" t="s">
        <v>1439</v>
      </c>
      <c r="J2322" s="8"/>
      <c r="K2322" s="8"/>
      <c r="L2322" s="15" t="s">
        <v>1685</v>
      </c>
      <c r="M2322" s="8" t="s">
        <v>5578</v>
      </c>
      <c r="N2322" s="8"/>
      <c r="O2322" s="8" t="s">
        <v>5574</v>
      </c>
      <c r="P2322" s="11"/>
      <c r="Q2322" s="8"/>
      <c r="R2322" s="8" t="s">
        <v>12304</v>
      </c>
      <c r="S2322" s="8" t="s">
        <v>12886</v>
      </c>
    </row>
    <row r="2323" spans="1:19" ht="78.95" customHeight="1" x14ac:dyDescent="0.25">
      <c r="A2323" s="8" t="s">
        <v>12887</v>
      </c>
      <c r="B2323" s="8" t="s">
        <v>5693</v>
      </c>
      <c r="C2323" s="8" t="s">
        <v>12479</v>
      </c>
      <c r="D2323" s="10">
        <v>208</v>
      </c>
      <c r="E2323" s="8" t="s">
        <v>1650</v>
      </c>
      <c r="F2323" s="8" t="s">
        <v>1651</v>
      </c>
      <c r="G2323" s="8" t="s">
        <v>4551</v>
      </c>
      <c r="H2323" s="8" t="s">
        <v>1650</v>
      </c>
      <c r="I2323" s="8" t="s">
        <v>1650</v>
      </c>
      <c r="J2323" s="8"/>
      <c r="K2323" s="8"/>
      <c r="L2323" s="15" t="s">
        <v>1685</v>
      </c>
      <c r="M2323" s="8" t="s">
        <v>5578</v>
      </c>
      <c r="N2323" s="8"/>
      <c r="O2323" s="8" t="s">
        <v>5574</v>
      </c>
      <c r="P2323" s="11"/>
      <c r="Q2323" s="8"/>
      <c r="R2323" s="8" t="s">
        <v>12304</v>
      </c>
      <c r="S2323" s="8" t="s">
        <v>12888</v>
      </c>
    </row>
    <row r="2324" spans="1:19" ht="78.95" customHeight="1" x14ac:dyDescent="0.25">
      <c r="A2324" s="8" t="s">
        <v>12889</v>
      </c>
      <c r="B2324" s="8" t="s">
        <v>5693</v>
      </c>
      <c r="C2324" s="8" t="s">
        <v>12479</v>
      </c>
      <c r="D2324" s="10">
        <v>209</v>
      </c>
      <c r="E2324" s="8" t="s">
        <v>1594</v>
      </c>
      <c r="F2324" s="8" t="s">
        <v>1595</v>
      </c>
      <c r="G2324" s="8" t="s">
        <v>4551</v>
      </c>
      <c r="H2324" s="8" t="s">
        <v>1594</v>
      </c>
      <c r="I2324" s="8" t="s">
        <v>1594</v>
      </c>
      <c r="J2324" s="8"/>
      <c r="K2324" s="8"/>
      <c r="L2324" s="15" t="s">
        <v>1685</v>
      </c>
      <c r="M2324" s="8" t="s">
        <v>5578</v>
      </c>
      <c r="N2324" s="8"/>
      <c r="O2324" s="8" t="s">
        <v>5574</v>
      </c>
      <c r="P2324" s="11"/>
      <c r="Q2324" s="8"/>
      <c r="R2324" s="8" t="s">
        <v>12304</v>
      </c>
      <c r="S2324" s="8" t="s">
        <v>12890</v>
      </c>
    </row>
    <row r="2325" spans="1:19" ht="78.95" customHeight="1" x14ac:dyDescent="0.25">
      <c r="A2325" s="8" t="s">
        <v>12891</v>
      </c>
      <c r="B2325" s="8" t="s">
        <v>5693</v>
      </c>
      <c r="C2325" s="8" t="s">
        <v>12479</v>
      </c>
      <c r="D2325" s="10">
        <v>210</v>
      </c>
      <c r="E2325" s="8" t="s">
        <v>1478</v>
      </c>
      <c r="F2325" s="8" t="s">
        <v>1479</v>
      </c>
      <c r="G2325" s="8" t="s">
        <v>4551</v>
      </c>
      <c r="H2325" s="8" t="s">
        <v>1478</v>
      </c>
      <c r="I2325" s="8" t="s">
        <v>1478</v>
      </c>
      <c r="J2325" s="8"/>
      <c r="K2325" s="8"/>
      <c r="L2325" s="15" t="s">
        <v>1685</v>
      </c>
      <c r="M2325" s="8" t="s">
        <v>5578</v>
      </c>
      <c r="N2325" s="8"/>
      <c r="O2325" s="8" t="s">
        <v>5574</v>
      </c>
      <c r="P2325" s="11"/>
      <c r="Q2325" s="8"/>
      <c r="R2325" s="8" t="s">
        <v>12304</v>
      </c>
      <c r="S2325" s="8" t="s">
        <v>12892</v>
      </c>
    </row>
    <row r="2326" spans="1:19" ht="78.95" customHeight="1" x14ac:dyDescent="0.25">
      <c r="A2326" s="8" t="s">
        <v>12893</v>
      </c>
      <c r="B2326" s="8" t="s">
        <v>5693</v>
      </c>
      <c r="C2326" s="8" t="s">
        <v>12479</v>
      </c>
      <c r="D2326" s="10">
        <v>211</v>
      </c>
      <c r="E2326" s="8" t="s">
        <v>1607</v>
      </c>
      <c r="F2326" s="8" t="s">
        <v>1608</v>
      </c>
      <c r="G2326" s="8" t="s">
        <v>4551</v>
      </c>
      <c r="H2326" s="8" t="s">
        <v>1607</v>
      </c>
      <c r="I2326" s="8" t="s">
        <v>1607</v>
      </c>
      <c r="J2326" s="8"/>
      <c r="K2326" s="8"/>
      <c r="L2326" s="15" t="s">
        <v>1685</v>
      </c>
      <c r="M2326" s="8" t="s">
        <v>5578</v>
      </c>
      <c r="N2326" s="8"/>
      <c r="O2326" s="8" t="s">
        <v>5574</v>
      </c>
      <c r="P2326" s="11"/>
      <c r="Q2326" s="8"/>
      <c r="R2326" s="8" t="s">
        <v>12304</v>
      </c>
      <c r="S2326" s="8" t="s">
        <v>12894</v>
      </c>
    </row>
    <row r="2327" spans="1:19" ht="78.95" customHeight="1" x14ac:dyDescent="0.25">
      <c r="A2327" s="8" t="s">
        <v>12895</v>
      </c>
      <c r="B2327" s="8" t="s">
        <v>5693</v>
      </c>
      <c r="C2327" s="8" t="s">
        <v>12479</v>
      </c>
      <c r="D2327" s="10">
        <v>212</v>
      </c>
      <c r="E2327" s="8" t="s">
        <v>1296</v>
      </c>
      <c r="F2327" s="8" t="s">
        <v>1297</v>
      </c>
      <c r="G2327" s="8" t="s">
        <v>4551</v>
      </c>
      <c r="H2327" s="8" t="s">
        <v>1296</v>
      </c>
      <c r="I2327" s="8" t="s">
        <v>1296</v>
      </c>
      <c r="J2327" s="8"/>
      <c r="K2327" s="8"/>
      <c r="L2327" s="15" t="s">
        <v>1685</v>
      </c>
      <c r="M2327" s="8" t="s">
        <v>5578</v>
      </c>
      <c r="N2327" s="8"/>
      <c r="O2327" s="8" t="s">
        <v>5574</v>
      </c>
      <c r="P2327" s="11"/>
      <c r="Q2327" s="8"/>
      <c r="R2327" s="8" t="s">
        <v>12304</v>
      </c>
      <c r="S2327" s="8" t="s">
        <v>12896</v>
      </c>
    </row>
    <row r="2328" spans="1:19" ht="78.95" customHeight="1" x14ac:dyDescent="0.25">
      <c r="A2328" s="8" t="s">
        <v>12897</v>
      </c>
      <c r="B2328" s="8" t="s">
        <v>5693</v>
      </c>
      <c r="C2328" s="8" t="s">
        <v>12479</v>
      </c>
      <c r="D2328" s="10">
        <v>213</v>
      </c>
      <c r="E2328" s="8" t="s">
        <v>1422</v>
      </c>
      <c r="F2328" s="8" t="s">
        <v>1423</v>
      </c>
      <c r="G2328" s="8" t="s">
        <v>4551</v>
      </c>
      <c r="H2328" s="8" t="s">
        <v>1422</v>
      </c>
      <c r="I2328" s="8" t="s">
        <v>1422</v>
      </c>
      <c r="J2328" s="8"/>
      <c r="K2328" s="8"/>
      <c r="L2328" s="15" t="s">
        <v>1685</v>
      </c>
      <c r="M2328" s="8" t="s">
        <v>5578</v>
      </c>
      <c r="N2328" s="8"/>
      <c r="O2328" s="8" t="s">
        <v>5574</v>
      </c>
      <c r="P2328" s="11"/>
      <c r="Q2328" s="8"/>
      <c r="R2328" s="8" t="s">
        <v>12304</v>
      </c>
      <c r="S2328" s="8" t="s">
        <v>12898</v>
      </c>
    </row>
    <row r="2329" spans="1:19" ht="65.099999999999994" customHeight="1" x14ac:dyDescent="0.25">
      <c r="A2329" s="8" t="s">
        <v>12899</v>
      </c>
      <c r="B2329" s="8" t="s">
        <v>5693</v>
      </c>
      <c r="C2329" s="8" t="s">
        <v>12479</v>
      </c>
      <c r="D2329" s="10">
        <v>214</v>
      </c>
      <c r="E2329" s="8" t="s">
        <v>1658</v>
      </c>
      <c r="F2329" s="8" t="s">
        <v>1659</v>
      </c>
      <c r="G2329" s="8" t="s">
        <v>4551</v>
      </c>
      <c r="H2329" s="8" t="s">
        <v>1658</v>
      </c>
      <c r="I2329" s="8" t="s">
        <v>1658</v>
      </c>
      <c r="J2329" s="8"/>
      <c r="K2329" s="8"/>
      <c r="L2329" s="15" t="s">
        <v>1685</v>
      </c>
      <c r="M2329" s="8" t="s">
        <v>5578</v>
      </c>
      <c r="N2329" s="8"/>
      <c r="O2329" s="8" t="s">
        <v>5574</v>
      </c>
      <c r="P2329" s="11"/>
      <c r="Q2329" s="8"/>
      <c r="R2329" s="8" t="s">
        <v>12304</v>
      </c>
      <c r="S2329" s="8" t="s">
        <v>12900</v>
      </c>
    </row>
    <row r="2330" spans="1:19" ht="78.95" customHeight="1" x14ac:dyDescent="0.25">
      <c r="A2330" s="8" t="s">
        <v>12901</v>
      </c>
      <c r="B2330" s="8" t="s">
        <v>5693</v>
      </c>
      <c r="C2330" s="8" t="s">
        <v>12479</v>
      </c>
      <c r="D2330" s="10">
        <v>215</v>
      </c>
      <c r="E2330" s="8" t="s">
        <v>1453</v>
      </c>
      <c r="F2330" s="8" t="s">
        <v>1454</v>
      </c>
      <c r="G2330" s="8" t="s">
        <v>4551</v>
      </c>
      <c r="H2330" s="8" t="s">
        <v>1453</v>
      </c>
      <c r="I2330" s="8" t="s">
        <v>1453</v>
      </c>
      <c r="J2330" s="8"/>
      <c r="K2330" s="8"/>
      <c r="L2330" s="15" t="s">
        <v>1685</v>
      </c>
      <c r="M2330" s="8" t="s">
        <v>5578</v>
      </c>
      <c r="N2330" s="8"/>
      <c r="O2330" s="8" t="s">
        <v>5574</v>
      </c>
      <c r="P2330" s="11"/>
      <c r="Q2330" s="8"/>
      <c r="R2330" s="8" t="s">
        <v>12304</v>
      </c>
      <c r="S2330" s="8" t="s">
        <v>12902</v>
      </c>
    </row>
    <row r="2331" spans="1:19" ht="78.95" customHeight="1" x14ac:dyDescent="0.25">
      <c r="A2331" s="8" t="s">
        <v>12903</v>
      </c>
      <c r="B2331" s="8" t="s">
        <v>5693</v>
      </c>
      <c r="C2331" s="8" t="s">
        <v>12479</v>
      </c>
      <c r="D2331" s="10">
        <v>216</v>
      </c>
      <c r="E2331" s="8" t="s">
        <v>1638</v>
      </c>
      <c r="F2331" s="8" t="s">
        <v>1639</v>
      </c>
      <c r="G2331" s="8" t="s">
        <v>4551</v>
      </c>
      <c r="H2331" s="8" t="s">
        <v>1638</v>
      </c>
      <c r="I2331" s="8" t="s">
        <v>1638</v>
      </c>
      <c r="J2331" s="8"/>
      <c r="K2331" s="8"/>
      <c r="L2331" s="15" t="s">
        <v>1685</v>
      </c>
      <c r="M2331" s="8" t="s">
        <v>5578</v>
      </c>
      <c r="N2331" s="8"/>
      <c r="O2331" s="8" t="s">
        <v>5574</v>
      </c>
      <c r="P2331" s="11"/>
      <c r="Q2331" s="8"/>
      <c r="R2331" s="8" t="s">
        <v>12304</v>
      </c>
      <c r="S2331" s="8" t="s">
        <v>12904</v>
      </c>
    </row>
    <row r="2332" spans="1:19" ht="65.099999999999994" customHeight="1" x14ac:dyDescent="0.25">
      <c r="A2332" s="8" t="s">
        <v>12905</v>
      </c>
      <c r="B2332" s="8" t="s">
        <v>5693</v>
      </c>
      <c r="C2332" s="8" t="s">
        <v>12479</v>
      </c>
      <c r="D2332" s="10">
        <v>217</v>
      </c>
      <c r="E2332" s="8" t="s">
        <v>1646</v>
      </c>
      <c r="F2332" s="8" t="s">
        <v>1647</v>
      </c>
      <c r="G2332" s="8" t="s">
        <v>4551</v>
      </c>
      <c r="H2332" s="8" t="s">
        <v>1646</v>
      </c>
      <c r="I2332" s="8" t="s">
        <v>1646</v>
      </c>
      <c r="J2332" s="8"/>
      <c r="K2332" s="8"/>
      <c r="L2332" s="15" t="s">
        <v>1685</v>
      </c>
      <c r="M2332" s="8" t="s">
        <v>5578</v>
      </c>
      <c r="N2332" s="8"/>
      <c r="O2332" s="8" t="s">
        <v>5574</v>
      </c>
      <c r="P2332" s="11"/>
      <c r="Q2332" s="8"/>
      <c r="R2332" s="8" t="s">
        <v>12304</v>
      </c>
      <c r="S2332" s="8" t="s">
        <v>12906</v>
      </c>
    </row>
    <row r="2333" spans="1:19" ht="78.95" customHeight="1" x14ac:dyDescent="0.25">
      <c r="A2333" s="8" t="s">
        <v>12907</v>
      </c>
      <c r="B2333" s="8" t="s">
        <v>5693</v>
      </c>
      <c r="C2333" s="8" t="s">
        <v>12479</v>
      </c>
      <c r="D2333" s="10">
        <v>218</v>
      </c>
      <c r="E2333" s="8" t="s">
        <v>1569</v>
      </c>
      <c r="F2333" s="8" t="s">
        <v>1570</v>
      </c>
      <c r="G2333" s="8" t="s">
        <v>4551</v>
      </c>
      <c r="H2333" s="8" t="s">
        <v>1569</v>
      </c>
      <c r="I2333" s="8" t="s">
        <v>1569</v>
      </c>
      <c r="J2333" s="8"/>
      <c r="K2333" s="8"/>
      <c r="L2333" s="15" t="s">
        <v>1685</v>
      </c>
      <c r="M2333" s="8" t="s">
        <v>5578</v>
      </c>
      <c r="N2333" s="8"/>
      <c r="O2333" s="8" t="s">
        <v>5574</v>
      </c>
      <c r="P2333" s="11"/>
      <c r="Q2333" s="8"/>
      <c r="R2333" s="8" t="s">
        <v>12304</v>
      </c>
      <c r="S2333" s="8" t="s">
        <v>12908</v>
      </c>
    </row>
    <row r="2334" spans="1:19" ht="78.95" customHeight="1" x14ac:dyDescent="0.25">
      <c r="A2334" s="8" t="s">
        <v>12909</v>
      </c>
      <c r="B2334" s="8" t="s">
        <v>5693</v>
      </c>
      <c r="C2334" s="8" t="s">
        <v>12479</v>
      </c>
      <c r="D2334" s="10">
        <v>219</v>
      </c>
      <c r="E2334" s="8" t="s">
        <v>1585</v>
      </c>
      <c r="F2334" s="8" t="s">
        <v>1586</v>
      </c>
      <c r="G2334" s="8" t="s">
        <v>4551</v>
      </c>
      <c r="H2334" s="8" t="s">
        <v>1585</v>
      </c>
      <c r="I2334" s="8" t="s">
        <v>1585</v>
      </c>
      <c r="J2334" s="8"/>
      <c r="K2334" s="8"/>
      <c r="L2334" s="15" t="s">
        <v>1685</v>
      </c>
      <c r="M2334" s="8" t="s">
        <v>5578</v>
      </c>
      <c r="N2334" s="8"/>
      <c r="O2334" s="8" t="s">
        <v>5574</v>
      </c>
      <c r="P2334" s="11"/>
      <c r="Q2334" s="8"/>
      <c r="R2334" s="8" t="s">
        <v>12304</v>
      </c>
      <c r="S2334" s="8" t="s">
        <v>12910</v>
      </c>
    </row>
    <row r="2335" spans="1:19" ht="93" customHeight="1" x14ac:dyDescent="0.25">
      <c r="A2335" s="8" t="s">
        <v>12911</v>
      </c>
      <c r="B2335" s="8" t="s">
        <v>5693</v>
      </c>
      <c r="C2335" s="8" t="s">
        <v>12912</v>
      </c>
      <c r="D2335" s="10">
        <v>4</v>
      </c>
      <c r="E2335" s="8" t="s">
        <v>12913</v>
      </c>
      <c r="F2335" s="8" t="s">
        <v>12914</v>
      </c>
      <c r="G2335" s="8" t="s">
        <v>5361</v>
      </c>
      <c r="H2335" s="8" t="s">
        <v>12913</v>
      </c>
      <c r="I2335" s="8"/>
      <c r="J2335" s="8"/>
      <c r="K2335" s="8"/>
      <c r="L2335" s="15" t="s">
        <v>1685</v>
      </c>
      <c r="M2335" s="8" t="s">
        <v>5578</v>
      </c>
      <c r="N2335" s="8"/>
      <c r="O2335" s="8" t="s">
        <v>5574</v>
      </c>
      <c r="P2335" s="11" t="s">
        <v>3367</v>
      </c>
      <c r="Q2335" s="8"/>
      <c r="R2335" s="8" t="s">
        <v>12304</v>
      </c>
      <c r="S2335" s="8" t="s">
        <v>12915</v>
      </c>
    </row>
    <row r="2336" spans="1:19" ht="65.099999999999994" customHeight="1" x14ac:dyDescent="0.25">
      <c r="A2336" s="8" t="s">
        <v>12916</v>
      </c>
      <c r="B2336" s="8" t="s">
        <v>5693</v>
      </c>
      <c r="C2336" s="8" t="s">
        <v>12912</v>
      </c>
      <c r="D2336" s="10">
        <v>5</v>
      </c>
      <c r="E2336" s="8" t="s">
        <v>12917</v>
      </c>
      <c r="F2336" s="8" t="s">
        <v>1867</v>
      </c>
      <c r="G2336" s="8" t="s">
        <v>5361</v>
      </c>
      <c r="H2336" s="8" t="s">
        <v>12917</v>
      </c>
      <c r="I2336" s="8"/>
      <c r="J2336" s="8"/>
      <c r="K2336" s="8"/>
      <c r="L2336" s="15" t="s">
        <v>1685</v>
      </c>
      <c r="M2336" s="8" t="s">
        <v>5578</v>
      </c>
      <c r="N2336" s="8"/>
      <c r="O2336" s="8" t="s">
        <v>5574</v>
      </c>
      <c r="P2336" s="11" t="s">
        <v>3570</v>
      </c>
      <c r="Q2336" s="8"/>
      <c r="R2336" s="8" t="s">
        <v>12304</v>
      </c>
      <c r="S2336" s="8" t="s">
        <v>12918</v>
      </c>
    </row>
    <row r="2337" spans="1:19" ht="78.95" customHeight="1" x14ac:dyDescent="0.25">
      <c r="A2337" s="8" t="s">
        <v>12919</v>
      </c>
      <c r="B2337" s="8" t="s">
        <v>5693</v>
      </c>
      <c r="C2337" s="8" t="s">
        <v>12912</v>
      </c>
      <c r="D2337" s="10">
        <v>6</v>
      </c>
      <c r="E2337" s="8" t="s">
        <v>12920</v>
      </c>
      <c r="F2337" s="8" t="s">
        <v>1867</v>
      </c>
      <c r="G2337" s="8" t="s">
        <v>5361</v>
      </c>
      <c r="H2337" s="8" t="s">
        <v>12920</v>
      </c>
      <c r="I2337" s="8"/>
      <c r="J2337" s="8"/>
      <c r="K2337" s="8"/>
      <c r="L2337" s="15" t="s">
        <v>1685</v>
      </c>
      <c r="M2337" s="8" t="s">
        <v>5578</v>
      </c>
      <c r="N2337" s="8"/>
      <c r="O2337" s="8" t="s">
        <v>5574</v>
      </c>
      <c r="P2337" s="11" t="s">
        <v>3574</v>
      </c>
      <c r="Q2337" s="8"/>
      <c r="R2337" s="8" t="s">
        <v>12304</v>
      </c>
      <c r="S2337" s="8" t="s">
        <v>12921</v>
      </c>
    </row>
    <row r="2338" spans="1:19" ht="78.95" customHeight="1" x14ac:dyDescent="0.25">
      <c r="A2338" s="8" t="s">
        <v>12922</v>
      </c>
      <c r="B2338" s="8" t="s">
        <v>5693</v>
      </c>
      <c r="C2338" s="8" t="s">
        <v>12912</v>
      </c>
      <c r="D2338" s="10">
        <v>7</v>
      </c>
      <c r="E2338" s="8" t="s">
        <v>12923</v>
      </c>
      <c r="F2338" s="8" t="s">
        <v>12924</v>
      </c>
      <c r="G2338" s="8" t="s">
        <v>5361</v>
      </c>
      <c r="H2338" s="8" t="s">
        <v>12923</v>
      </c>
      <c r="I2338" s="8"/>
      <c r="J2338" s="8"/>
      <c r="K2338" s="8"/>
      <c r="L2338" s="15" t="s">
        <v>1685</v>
      </c>
      <c r="M2338" s="8" t="s">
        <v>5578</v>
      </c>
      <c r="N2338" s="8"/>
      <c r="O2338" s="8" t="s">
        <v>5574</v>
      </c>
      <c r="P2338" s="11" t="s">
        <v>3567</v>
      </c>
      <c r="Q2338" s="8"/>
      <c r="R2338" s="8" t="s">
        <v>12304</v>
      </c>
      <c r="S2338" s="8" t="s">
        <v>12925</v>
      </c>
    </row>
    <row r="2339" spans="1:19" ht="93" customHeight="1" x14ac:dyDescent="0.25">
      <c r="A2339" s="8" t="s">
        <v>12926</v>
      </c>
      <c r="B2339" s="8" t="s">
        <v>5693</v>
      </c>
      <c r="C2339" s="8" t="s">
        <v>12912</v>
      </c>
      <c r="D2339" s="10">
        <v>8</v>
      </c>
      <c r="E2339" s="8" t="s">
        <v>12927</v>
      </c>
      <c r="F2339" s="8" t="s">
        <v>12924</v>
      </c>
      <c r="G2339" s="8" t="s">
        <v>5361</v>
      </c>
      <c r="H2339" s="8" t="s">
        <v>12927</v>
      </c>
      <c r="I2339" s="8"/>
      <c r="J2339" s="8"/>
      <c r="K2339" s="8"/>
      <c r="L2339" s="15" t="s">
        <v>1685</v>
      </c>
      <c r="M2339" s="8" t="s">
        <v>5578</v>
      </c>
      <c r="N2339" s="8"/>
      <c r="O2339" s="8" t="s">
        <v>5574</v>
      </c>
      <c r="P2339" s="11" t="s">
        <v>3533</v>
      </c>
      <c r="Q2339" s="8"/>
      <c r="R2339" s="8" t="s">
        <v>12304</v>
      </c>
      <c r="S2339" s="8" t="s">
        <v>12928</v>
      </c>
    </row>
    <row r="2340" spans="1:19" ht="93" customHeight="1" x14ac:dyDescent="0.25">
      <c r="A2340" s="8" t="s">
        <v>12929</v>
      </c>
      <c r="B2340" s="8" t="s">
        <v>5693</v>
      </c>
      <c r="C2340" s="8" t="s">
        <v>12912</v>
      </c>
      <c r="D2340" s="10">
        <v>9</v>
      </c>
      <c r="E2340" s="8" t="s">
        <v>12930</v>
      </c>
      <c r="F2340" s="8" t="s">
        <v>3577</v>
      </c>
      <c r="G2340" s="8" t="s">
        <v>5361</v>
      </c>
      <c r="H2340" s="8" t="s">
        <v>12930</v>
      </c>
      <c r="I2340" s="8"/>
      <c r="J2340" s="8"/>
      <c r="K2340" s="8"/>
      <c r="L2340" s="15" t="s">
        <v>1685</v>
      </c>
      <c r="M2340" s="8" t="s">
        <v>5578</v>
      </c>
      <c r="N2340" s="8"/>
      <c r="O2340" s="8" t="s">
        <v>5574</v>
      </c>
      <c r="P2340" s="11" t="s">
        <v>3578</v>
      </c>
      <c r="Q2340" s="8"/>
      <c r="R2340" s="8" t="s">
        <v>12304</v>
      </c>
      <c r="S2340" s="8" t="s">
        <v>12931</v>
      </c>
    </row>
    <row r="2341" spans="1:19" ht="78.95" customHeight="1" x14ac:dyDescent="0.25">
      <c r="A2341" s="8" t="s">
        <v>12932</v>
      </c>
      <c r="B2341" s="8" t="s">
        <v>5693</v>
      </c>
      <c r="C2341" s="8" t="s">
        <v>12912</v>
      </c>
      <c r="D2341" s="10">
        <v>10</v>
      </c>
      <c r="E2341" s="8" t="s">
        <v>12933</v>
      </c>
      <c r="F2341" s="8" t="s">
        <v>12934</v>
      </c>
      <c r="G2341" s="8" t="s">
        <v>5361</v>
      </c>
      <c r="H2341" s="8" t="s">
        <v>12933</v>
      </c>
      <c r="I2341" s="8"/>
      <c r="J2341" s="8"/>
      <c r="K2341" s="8"/>
      <c r="L2341" s="15" t="s">
        <v>1685</v>
      </c>
      <c r="M2341" s="8" t="s">
        <v>5578</v>
      </c>
      <c r="N2341" s="8"/>
      <c r="O2341" s="8" t="s">
        <v>5574</v>
      </c>
      <c r="P2341" s="11" t="s">
        <v>3315</v>
      </c>
      <c r="Q2341" s="8"/>
      <c r="R2341" s="8" t="s">
        <v>12304</v>
      </c>
      <c r="S2341" s="8" t="s">
        <v>12935</v>
      </c>
    </row>
    <row r="2342" spans="1:19" ht="78.95" customHeight="1" x14ac:dyDescent="0.25">
      <c r="A2342" s="8" t="s">
        <v>12936</v>
      </c>
      <c r="B2342" s="8" t="s">
        <v>5693</v>
      </c>
      <c r="C2342" s="8" t="s">
        <v>12912</v>
      </c>
      <c r="D2342" s="10">
        <v>11</v>
      </c>
      <c r="E2342" s="8" t="s">
        <v>12937</v>
      </c>
      <c r="F2342" s="8" t="s">
        <v>770</v>
      </c>
      <c r="G2342" s="8" t="s">
        <v>5361</v>
      </c>
      <c r="H2342" s="8" t="s">
        <v>12937</v>
      </c>
      <c r="I2342" s="8"/>
      <c r="J2342" s="8"/>
      <c r="K2342" s="8"/>
      <c r="L2342" s="15" t="s">
        <v>1685</v>
      </c>
      <c r="M2342" s="8" t="s">
        <v>5578</v>
      </c>
      <c r="N2342" s="8"/>
      <c r="O2342" s="8" t="s">
        <v>5574</v>
      </c>
      <c r="P2342" s="11" t="s">
        <v>3563</v>
      </c>
      <c r="Q2342" s="8"/>
      <c r="R2342" s="8" t="s">
        <v>12304</v>
      </c>
      <c r="S2342" s="8" t="s">
        <v>12938</v>
      </c>
    </row>
    <row r="2343" spans="1:19" ht="78.95" customHeight="1" x14ac:dyDescent="0.25">
      <c r="A2343" s="8" t="s">
        <v>12939</v>
      </c>
      <c r="B2343" s="8" t="s">
        <v>5693</v>
      </c>
      <c r="C2343" s="8" t="s">
        <v>12912</v>
      </c>
      <c r="D2343" s="10">
        <v>12</v>
      </c>
      <c r="E2343" s="8" t="s">
        <v>12940</v>
      </c>
      <c r="F2343" s="8" t="s">
        <v>12399</v>
      </c>
      <c r="G2343" s="8" t="s">
        <v>5361</v>
      </c>
      <c r="H2343" s="8" t="s">
        <v>12940</v>
      </c>
      <c r="I2343" s="8"/>
      <c r="J2343" s="8"/>
      <c r="K2343" s="8"/>
      <c r="L2343" s="15" t="s">
        <v>1685</v>
      </c>
      <c r="M2343" s="8" t="s">
        <v>5578</v>
      </c>
      <c r="N2343" s="8"/>
      <c r="O2343" s="8" t="s">
        <v>5574</v>
      </c>
      <c r="P2343" s="11" t="s">
        <v>3541</v>
      </c>
      <c r="Q2343" s="8"/>
      <c r="R2343" s="8" t="s">
        <v>12304</v>
      </c>
      <c r="S2343" s="8" t="s">
        <v>12941</v>
      </c>
    </row>
    <row r="2344" spans="1:19" ht="78.95" customHeight="1" x14ac:dyDescent="0.25">
      <c r="A2344" s="8" t="s">
        <v>12942</v>
      </c>
      <c r="B2344" s="8" t="s">
        <v>5693</v>
      </c>
      <c r="C2344" s="8" t="s">
        <v>12912</v>
      </c>
      <c r="D2344" s="10">
        <v>13</v>
      </c>
      <c r="E2344" s="8" t="s">
        <v>12943</v>
      </c>
      <c r="F2344" s="8" t="s">
        <v>12402</v>
      </c>
      <c r="G2344" s="8" t="s">
        <v>5361</v>
      </c>
      <c r="H2344" s="8" t="s">
        <v>12943</v>
      </c>
      <c r="I2344" s="8"/>
      <c r="J2344" s="8"/>
      <c r="K2344" s="8"/>
      <c r="L2344" s="15" t="s">
        <v>1685</v>
      </c>
      <c r="M2344" s="8" t="s">
        <v>5578</v>
      </c>
      <c r="N2344" s="8"/>
      <c r="O2344" s="8" t="s">
        <v>5574</v>
      </c>
      <c r="P2344" s="11" t="s">
        <v>3545</v>
      </c>
      <c r="Q2344" s="8"/>
      <c r="R2344" s="8" t="s">
        <v>12304</v>
      </c>
      <c r="S2344" s="8" t="s">
        <v>12944</v>
      </c>
    </row>
    <row r="2345" spans="1:19" ht="78.95" customHeight="1" x14ac:dyDescent="0.25">
      <c r="A2345" s="8" t="s">
        <v>12945</v>
      </c>
      <c r="B2345" s="8" t="s">
        <v>5693</v>
      </c>
      <c r="C2345" s="8" t="s">
        <v>12912</v>
      </c>
      <c r="D2345" s="10">
        <v>14</v>
      </c>
      <c r="E2345" s="8" t="s">
        <v>12946</v>
      </c>
      <c r="F2345" s="8" t="s">
        <v>802</v>
      </c>
      <c r="G2345" s="8" t="s">
        <v>5361</v>
      </c>
      <c r="H2345" s="8" t="s">
        <v>12946</v>
      </c>
      <c r="I2345" s="8"/>
      <c r="J2345" s="8"/>
      <c r="K2345" s="8"/>
      <c r="L2345" s="15" t="s">
        <v>1685</v>
      </c>
      <c r="M2345" s="8" t="s">
        <v>5578</v>
      </c>
      <c r="N2345" s="8"/>
      <c r="O2345" s="8" t="s">
        <v>5574</v>
      </c>
      <c r="P2345" s="11" t="s">
        <v>3558</v>
      </c>
      <c r="Q2345" s="8"/>
      <c r="R2345" s="8" t="s">
        <v>12304</v>
      </c>
      <c r="S2345" s="8" t="s">
        <v>12947</v>
      </c>
    </row>
    <row r="2346" spans="1:19" ht="78.95" customHeight="1" x14ac:dyDescent="0.25">
      <c r="A2346" s="8" t="s">
        <v>12948</v>
      </c>
      <c r="B2346" s="8" t="s">
        <v>5693</v>
      </c>
      <c r="C2346" s="8" t="s">
        <v>12912</v>
      </c>
      <c r="D2346" s="10">
        <v>15</v>
      </c>
      <c r="E2346" s="8" t="s">
        <v>12949</v>
      </c>
      <c r="F2346" s="8" t="s">
        <v>781</v>
      </c>
      <c r="G2346" s="8" t="s">
        <v>5361</v>
      </c>
      <c r="H2346" s="8" t="s">
        <v>12949</v>
      </c>
      <c r="I2346" s="8"/>
      <c r="J2346" s="8"/>
      <c r="K2346" s="8"/>
      <c r="L2346" s="15" t="s">
        <v>1685</v>
      </c>
      <c r="M2346" s="8" t="s">
        <v>5578</v>
      </c>
      <c r="N2346" s="8"/>
      <c r="O2346" s="8" t="s">
        <v>5574</v>
      </c>
      <c r="P2346" s="11" t="s">
        <v>3565</v>
      </c>
      <c r="Q2346" s="8"/>
      <c r="R2346" s="8" t="s">
        <v>12304</v>
      </c>
      <c r="S2346" s="8" t="s">
        <v>12950</v>
      </c>
    </row>
    <row r="2347" spans="1:19" ht="93" customHeight="1" x14ac:dyDescent="0.25">
      <c r="A2347" s="8" t="s">
        <v>12951</v>
      </c>
      <c r="B2347" s="8" t="s">
        <v>5693</v>
      </c>
      <c r="C2347" s="8" t="s">
        <v>12912</v>
      </c>
      <c r="D2347" s="10">
        <v>16</v>
      </c>
      <c r="E2347" s="8" t="s">
        <v>12952</v>
      </c>
      <c r="F2347" s="8" t="s">
        <v>625</v>
      </c>
      <c r="G2347" s="8" t="s">
        <v>5361</v>
      </c>
      <c r="H2347" s="8" t="s">
        <v>12952</v>
      </c>
      <c r="I2347" s="8"/>
      <c r="J2347" s="8"/>
      <c r="K2347" s="8"/>
      <c r="L2347" s="15" t="s">
        <v>1685</v>
      </c>
      <c r="M2347" s="8" t="s">
        <v>5578</v>
      </c>
      <c r="N2347" s="8"/>
      <c r="O2347" s="8" t="s">
        <v>5574</v>
      </c>
      <c r="P2347" s="11" t="s">
        <v>3550</v>
      </c>
      <c r="Q2347" s="8"/>
      <c r="R2347" s="8" t="s">
        <v>12304</v>
      </c>
      <c r="S2347" s="8" t="s">
        <v>12953</v>
      </c>
    </row>
    <row r="2348" spans="1:19" ht="93" customHeight="1" x14ac:dyDescent="0.25">
      <c r="A2348" s="8" t="s">
        <v>12954</v>
      </c>
      <c r="B2348" s="8" t="s">
        <v>5693</v>
      </c>
      <c r="C2348" s="8" t="s">
        <v>12912</v>
      </c>
      <c r="D2348" s="10">
        <v>17</v>
      </c>
      <c r="E2348" s="8" t="s">
        <v>724</v>
      </c>
      <c r="F2348" s="8" t="s">
        <v>724</v>
      </c>
      <c r="G2348" s="8" t="s">
        <v>5361</v>
      </c>
      <c r="H2348" s="8" t="s">
        <v>724</v>
      </c>
      <c r="I2348" s="8"/>
      <c r="J2348" s="8"/>
      <c r="K2348" s="8"/>
      <c r="L2348" s="15" t="s">
        <v>1685</v>
      </c>
      <c r="M2348" s="8" t="s">
        <v>5578</v>
      </c>
      <c r="N2348" s="8"/>
      <c r="O2348" s="8" t="s">
        <v>5574</v>
      </c>
      <c r="P2348" s="11" t="s">
        <v>3548</v>
      </c>
      <c r="Q2348" s="8"/>
      <c r="R2348" s="8" t="s">
        <v>12304</v>
      </c>
      <c r="S2348" s="8" t="s">
        <v>12955</v>
      </c>
    </row>
    <row r="2349" spans="1:19" ht="78.95" customHeight="1" x14ac:dyDescent="0.25">
      <c r="A2349" s="8" t="s">
        <v>12956</v>
      </c>
      <c r="B2349" s="8" t="s">
        <v>5693</v>
      </c>
      <c r="C2349" s="8" t="s">
        <v>12912</v>
      </c>
      <c r="D2349" s="10">
        <v>18</v>
      </c>
      <c r="E2349" s="8" t="s">
        <v>12957</v>
      </c>
      <c r="F2349" s="8" t="s">
        <v>2882</v>
      </c>
      <c r="G2349" s="8" t="s">
        <v>5361</v>
      </c>
      <c r="H2349" s="8" t="s">
        <v>12957</v>
      </c>
      <c r="I2349" s="8"/>
      <c r="J2349" s="8"/>
      <c r="K2349" s="8"/>
      <c r="L2349" s="15" t="s">
        <v>1685</v>
      </c>
      <c r="M2349" s="8" t="s">
        <v>5578</v>
      </c>
      <c r="N2349" s="8"/>
      <c r="O2349" s="8" t="s">
        <v>5574</v>
      </c>
      <c r="P2349" s="11" t="s">
        <v>3552</v>
      </c>
      <c r="Q2349" s="8"/>
      <c r="R2349" s="8" t="s">
        <v>12304</v>
      </c>
      <c r="S2349" s="8" t="s">
        <v>12958</v>
      </c>
    </row>
    <row r="2350" spans="1:19" ht="78.95" customHeight="1" x14ac:dyDescent="0.25">
      <c r="A2350" s="8" t="s">
        <v>12959</v>
      </c>
      <c r="B2350" s="8" t="s">
        <v>5693</v>
      </c>
      <c r="C2350" s="8" t="s">
        <v>12912</v>
      </c>
      <c r="D2350" s="10">
        <v>19</v>
      </c>
      <c r="E2350" s="8" t="s">
        <v>12960</v>
      </c>
      <c r="F2350" s="8" t="s">
        <v>2839</v>
      </c>
      <c r="G2350" s="8" t="s">
        <v>5361</v>
      </c>
      <c r="H2350" s="8" t="s">
        <v>12960</v>
      </c>
      <c r="I2350" s="8"/>
      <c r="J2350" s="8"/>
      <c r="K2350" s="8"/>
      <c r="L2350" s="15" t="s">
        <v>1685</v>
      </c>
      <c r="M2350" s="8" t="s">
        <v>5578</v>
      </c>
      <c r="N2350" s="8"/>
      <c r="O2350" s="8" t="s">
        <v>5574</v>
      </c>
      <c r="P2350" s="11" t="s">
        <v>3582</v>
      </c>
      <c r="Q2350" s="8"/>
      <c r="R2350" s="8" t="s">
        <v>12304</v>
      </c>
      <c r="S2350" s="8" t="s">
        <v>12961</v>
      </c>
    </row>
    <row r="2351" spans="1:19" ht="36.950000000000003" customHeight="1" x14ac:dyDescent="0.25">
      <c r="A2351" s="8" t="s">
        <v>3189</v>
      </c>
      <c r="B2351" s="8" t="s">
        <v>12962</v>
      </c>
      <c r="C2351" s="8" t="s">
        <v>4721</v>
      </c>
      <c r="D2351" s="8"/>
      <c r="E2351" s="8" t="s">
        <v>875</v>
      </c>
      <c r="F2351" s="8" t="s">
        <v>877</v>
      </c>
      <c r="G2351" s="8" t="s">
        <v>4551</v>
      </c>
      <c r="H2351" s="8" t="s">
        <v>875</v>
      </c>
      <c r="I2351" s="8"/>
      <c r="J2351" s="15" t="s">
        <v>1685</v>
      </c>
      <c r="K2351" s="15" t="s">
        <v>1685</v>
      </c>
      <c r="L2351" s="15" t="s">
        <v>1685</v>
      </c>
      <c r="M2351" s="8" t="s">
        <v>12963</v>
      </c>
      <c r="N2351" s="15" t="s">
        <v>1685</v>
      </c>
      <c r="O2351" s="8" t="s">
        <v>3585</v>
      </c>
      <c r="P2351" s="11" t="s">
        <v>3188</v>
      </c>
      <c r="Q2351" s="8" t="s">
        <v>12964</v>
      </c>
      <c r="R2351" s="8" t="s">
        <v>12965</v>
      </c>
      <c r="S2351" s="8" t="s">
        <v>12966</v>
      </c>
    </row>
    <row r="2352" spans="1:19" ht="51" customHeight="1" x14ac:dyDescent="0.25">
      <c r="A2352" s="8" t="s">
        <v>879</v>
      </c>
      <c r="B2352" s="8" t="s">
        <v>12962</v>
      </c>
      <c r="C2352" s="8" t="s">
        <v>4721</v>
      </c>
      <c r="D2352" s="8"/>
      <c r="E2352" s="8" t="s">
        <v>874</v>
      </c>
      <c r="F2352" s="8" t="s">
        <v>877</v>
      </c>
      <c r="G2352" s="8" t="s">
        <v>67</v>
      </c>
      <c r="H2352" s="8" t="s">
        <v>874</v>
      </c>
      <c r="I2352" s="8"/>
      <c r="J2352" s="15" t="s">
        <v>1685</v>
      </c>
      <c r="K2352" s="15" t="s">
        <v>1685</v>
      </c>
      <c r="L2352" s="15" t="s">
        <v>1685</v>
      </c>
      <c r="M2352" s="8" t="s">
        <v>12963</v>
      </c>
      <c r="N2352" s="15" t="s">
        <v>1685</v>
      </c>
      <c r="O2352" s="8" t="s">
        <v>3585</v>
      </c>
      <c r="P2352" s="11" t="s">
        <v>3188</v>
      </c>
      <c r="Q2352" s="8" t="s">
        <v>12964</v>
      </c>
      <c r="R2352" s="8" t="s">
        <v>12967</v>
      </c>
      <c r="S2352" s="8" t="s">
        <v>12968</v>
      </c>
    </row>
    <row r="2353" spans="1:19" ht="36.950000000000003" customHeight="1" x14ac:dyDescent="0.25">
      <c r="A2353" s="8" t="s">
        <v>2576</v>
      </c>
      <c r="B2353" s="8" t="s">
        <v>12962</v>
      </c>
      <c r="C2353" s="8" t="s">
        <v>4721</v>
      </c>
      <c r="D2353" s="8"/>
      <c r="E2353" s="8" t="s">
        <v>2572</v>
      </c>
      <c r="F2353" s="8" t="s">
        <v>877</v>
      </c>
      <c r="G2353" s="8" t="s">
        <v>104</v>
      </c>
      <c r="H2353" s="8" t="s">
        <v>2572</v>
      </c>
      <c r="I2353" s="8"/>
      <c r="J2353" s="15" t="s">
        <v>1685</v>
      </c>
      <c r="K2353" s="15" t="s">
        <v>1685</v>
      </c>
      <c r="L2353" s="15" t="s">
        <v>1685</v>
      </c>
      <c r="M2353" s="8" t="s">
        <v>12963</v>
      </c>
      <c r="N2353" s="15" t="s">
        <v>1685</v>
      </c>
      <c r="O2353" s="8" t="s">
        <v>3585</v>
      </c>
      <c r="P2353" s="11" t="s">
        <v>3188</v>
      </c>
      <c r="Q2353" s="8" t="s">
        <v>12964</v>
      </c>
      <c r="R2353" s="8" t="s">
        <v>12969</v>
      </c>
      <c r="S2353" s="8" t="s">
        <v>12970</v>
      </c>
    </row>
    <row r="2354" spans="1:19" ht="51" customHeight="1" x14ac:dyDescent="0.25">
      <c r="A2354" s="8" t="s">
        <v>3193</v>
      </c>
      <c r="B2354" s="8" t="s">
        <v>12962</v>
      </c>
      <c r="C2354" s="8" t="s">
        <v>4721</v>
      </c>
      <c r="D2354" s="8"/>
      <c r="E2354" s="8" t="s">
        <v>881</v>
      </c>
      <c r="F2354" s="8" t="s">
        <v>885</v>
      </c>
      <c r="G2354" s="8" t="s">
        <v>4551</v>
      </c>
      <c r="H2354" s="8" t="s">
        <v>881</v>
      </c>
      <c r="I2354" s="8"/>
      <c r="J2354" s="15" t="s">
        <v>1685</v>
      </c>
      <c r="K2354" s="15" t="s">
        <v>1685</v>
      </c>
      <c r="L2354" s="15" t="s">
        <v>1685</v>
      </c>
      <c r="M2354" s="8" t="s">
        <v>12963</v>
      </c>
      <c r="N2354" s="15" t="s">
        <v>1685</v>
      </c>
      <c r="O2354" s="8" t="s">
        <v>3592</v>
      </c>
      <c r="P2354" s="11" t="s">
        <v>3591</v>
      </c>
      <c r="Q2354" s="8" t="s">
        <v>12964</v>
      </c>
      <c r="R2354" s="8" t="s">
        <v>12965</v>
      </c>
      <c r="S2354" s="8" t="s">
        <v>12971</v>
      </c>
    </row>
    <row r="2355" spans="1:19" ht="51" customHeight="1" x14ac:dyDescent="0.25">
      <c r="A2355" s="8" t="s">
        <v>887</v>
      </c>
      <c r="B2355" s="8" t="s">
        <v>12962</v>
      </c>
      <c r="C2355" s="8" t="s">
        <v>4721</v>
      </c>
      <c r="D2355" s="8"/>
      <c r="E2355" s="8" t="s">
        <v>880</v>
      </c>
      <c r="F2355" s="8" t="s">
        <v>885</v>
      </c>
      <c r="G2355" s="8" t="s">
        <v>67</v>
      </c>
      <c r="H2355" s="8" t="s">
        <v>880</v>
      </c>
      <c r="I2355" s="8"/>
      <c r="J2355" s="15" t="s">
        <v>1685</v>
      </c>
      <c r="K2355" s="15" t="s">
        <v>1685</v>
      </c>
      <c r="L2355" s="15" t="s">
        <v>1685</v>
      </c>
      <c r="M2355" s="8" t="s">
        <v>12963</v>
      </c>
      <c r="N2355" s="15" t="s">
        <v>1685</v>
      </c>
      <c r="O2355" s="8" t="s">
        <v>3592</v>
      </c>
      <c r="P2355" s="11" t="s">
        <v>3591</v>
      </c>
      <c r="Q2355" s="8" t="s">
        <v>12964</v>
      </c>
      <c r="R2355" s="8" t="s">
        <v>12967</v>
      </c>
      <c r="S2355" s="8" t="s">
        <v>12972</v>
      </c>
    </row>
    <row r="2356" spans="1:19" ht="51" customHeight="1" x14ac:dyDescent="0.25">
      <c r="A2356" s="8" t="s">
        <v>2578</v>
      </c>
      <c r="B2356" s="8" t="s">
        <v>12962</v>
      </c>
      <c r="C2356" s="8" t="s">
        <v>4721</v>
      </c>
      <c r="D2356" s="8"/>
      <c r="E2356" s="8" t="s">
        <v>2577</v>
      </c>
      <c r="F2356" s="8" t="s">
        <v>885</v>
      </c>
      <c r="G2356" s="8" t="s">
        <v>104</v>
      </c>
      <c r="H2356" s="8" t="s">
        <v>2577</v>
      </c>
      <c r="I2356" s="8"/>
      <c r="J2356" s="15" t="s">
        <v>1685</v>
      </c>
      <c r="K2356" s="15" t="s">
        <v>1685</v>
      </c>
      <c r="L2356" s="15" t="s">
        <v>1685</v>
      </c>
      <c r="M2356" s="8" t="s">
        <v>12963</v>
      </c>
      <c r="N2356" s="15" t="s">
        <v>1685</v>
      </c>
      <c r="O2356" s="8" t="s">
        <v>3592</v>
      </c>
      <c r="P2356" s="11" t="s">
        <v>3591</v>
      </c>
      <c r="Q2356" s="8" t="s">
        <v>12964</v>
      </c>
      <c r="R2356" s="8" t="s">
        <v>12969</v>
      </c>
      <c r="S2356" s="8" t="s">
        <v>12973</v>
      </c>
    </row>
    <row r="2357" spans="1:19" ht="36.950000000000003" customHeight="1" x14ac:dyDescent="0.25">
      <c r="A2357" s="8" t="s">
        <v>3196</v>
      </c>
      <c r="B2357" s="8" t="s">
        <v>12962</v>
      </c>
      <c r="C2357" s="8" t="s">
        <v>4721</v>
      </c>
      <c r="D2357" s="8"/>
      <c r="E2357" s="8" t="s">
        <v>898</v>
      </c>
      <c r="F2357" s="8" t="s">
        <v>902</v>
      </c>
      <c r="G2357" s="8" t="s">
        <v>4551</v>
      </c>
      <c r="H2357" s="8" t="s">
        <v>898</v>
      </c>
      <c r="I2357" s="8"/>
      <c r="J2357" s="15" t="s">
        <v>1685</v>
      </c>
      <c r="K2357" s="15" t="s">
        <v>1685</v>
      </c>
      <c r="L2357" s="15" t="s">
        <v>1685</v>
      </c>
      <c r="M2357" s="8" t="s">
        <v>12963</v>
      </c>
      <c r="N2357" s="15" t="s">
        <v>1685</v>
      </c>
      <c r="O2357" s="8" t="s">
        <v>3595</v>
      </c>
      <c r="P2357" s="11" t="s">
        <v>3195</v>
      </c>
      <c r="Q2357" s="8" t="s">
        <v>12964</v>
      </c>
      <c r="R2357" s="8" t="s">
        <v>12965</v>
      </c>
      <c r="S2357" s="8" t="s">
        <v>12974</v>
      </c>
    </row>
    <row r="2358" spans="1:19" ht="51" customHeight="1" x14ac:dyDescent="0.25">
      <c r="A2358" s="8" t="s">
        <v>904</v>
      </c>
      <c r="B2358" s="8" t="s">
        <v>12962</v>
      </c>
      <c r="C2358" s="8" t="s">
        <v>4721</v>
      </c>
      <c r="D2358" s="8"/>
      <c r="E2358" s="8" t="s">
        <v>897</v>
      </c>
      <c r="F2358" s="8" t="s">
        <v>902</v>
      </c>
      <c r="G2358" s="8" t="s">
        <v>67</v>
      </c>
      <c r="H2358" s="8" t="s">
        <v>897</v>
      </c>
      <c r="I2358" s="8"/>
      <c r="J2358" s="15" t="s">
        <v>1685</v>
      </c>
      <c r="K2358" s="15" t="s">
        <v>1685</v>
      </c>
      <c r="L2358" s="15" t="s">
        <v>1685</v>
      </c>
      <c r="M2358" s="8" t="s">
        <v>12963</v>
      </c>
      <c r="N2358" s="15" t="s">
        <v>1685</v>
      </c>
      <c r="O2358" s="8" t="s">
        <v>3595</v>
      </c>
      <c r="P2358" s="11" t="s">
        <v>3195</v>
      </c>
      <c r="Q2358" s="8" t="s">
        <v>12964</v>
      </c>
      <c r="R2358" s="8" t="s">
        <v>12967</v>
      </c>
      <c r="S2358" s="8" t="s">
        <v>12975</v>
      </c>
    </row>
    <row r="2359" spans="1:19" ht="36.950000000000003" customHeight="1" x14ac:dyDescent="0.25">
      <c r="A2359" s="8" t="s">
        <v>2580</v>
      </c>
      <c r="B2359" s="8" t="s">
        <v>12962</v>
      </c>
      <c r="C2359" s="8" t="s">
        <v>4721</v>
      </c>
      <c r="D2359" s="8"/>
      <c r="E2359" s="8" t="s">
        <v>2579</v>
      </c>
      <c r="F2359" s="8" t="s">
        <v>902</v>
      </c>
      <c r="G2359" s="8" t="s">
        <v>104</v>
      </c>
      <c r="H2359" s="8" t="s">
        <v>2579</v>
      </c>
      <c r="I2359" s="8"/>
      <c r="J2359" s="15" t="s">
        <v>1685</v>
      </c>
      <c r="K2359" s="15" t="s">
        <v>1685</v>
      </c>
      <c r="L2359" s="15" t="s">
        <v>1685</v>
      </c>
      <c r="M2359" s="8" t="s">
        <v>12963</v>
      </c>
      <c r="N2359" s="15" t="s">
        <v>1685</v>
      </c>
      <c r="O2359" s="8" t="s">
        <v>3595</v>
      </c>
      <c r="P2359" s="11" t="s">
        <v>3195</v>
      </c>
      <c r="Q2359" s="8" t="s">
        <v>12964</v>
      </c>
      <c r="R2359" s="8" t="s">
        <v>12969</v>
      </c>
      <c r="S2359" s="8" t="s">
        <v>12976</v>
      </c>
    </row>
    <row r="2360" spans="1:19" ht="36.950000000000003" customHeight="1" x14ac:dyDescent="0.25">
      <c r="A2360" s="8" t="s">
        <v>3199</v>
      </c>
      <c r="B2360" s="8" t="s">
        <v>12962</v>
      </c>
      <c r="C2360" s="8" t="s">
        <v>4721</v>
      </c>
      <c r="D2360" s="8"/>
      <c r="E2360" s="8" t="s">
        <v>869</v>
      </c>
      <c r="F2360" s="8" t="s">
        <v>871</v>
      </c>
      <c r="G2360" s="8" t="s">
        <v>4551</v>
      </c>
      <c r="H2360" s="8" t="s">
        <v>869</v>
      </c>
      <c r="I2360" s="8"/>
      <c r="J2360" s="15" t="s">
        <v>1685</v>
      </c>
      <c r="K2360" s="15" t="s">
        <v>1685</v>
      </c>
      <c r="L2360" s="15" t="s">
        <v>1685</v>
      </c>
      <c r="M2360" s="8" t="s">
        <v>12963</v>
      </c>
      <c r="N2360" s="15" t="s">
        <v>1685</v>
      </c>
      <c r="O2360" s="8" t="s">
        <v>3598</v>
      </c>
      <c r="P2360" s="11" t="s">
        <v>3198</v>
      </c>
      <c r="Q2360" s="8" t="s">
        <v>12964</v>
      </c>
      <c r="R2360" s="8" t="s">
        <v>12965</v>
      </c>
      <c r="S2360" s="8" t="s">
        <v>12977</v>
      </c>
    </row>
    <row r="2361" spans="1:19" ht="51" customHeight="1" x14ac:dyDescent="0.25">
      <c r="A2361" s="8" t="s">
        <v>873</v>
      </c>
      <c r="B2361" s="8" t="s">
        <v>12962</v>
      </c>
      <c r="C2361" s="8" t="s">
        <v>4721</v>
      </c>
      <c r="D2361" s="8"/>
      <c r="E2361" s="8" t="s">
        <v>868</v>
      </c>
      <c r="F2361" s="8" t="s">
        <v>871</v>
      </c>
      <c r="G2361" s="8" t="s">
        <v>67</v>
      </c>
      <c r="H2361" s="8" t="s">
        <v>868</v>
      </c>
      <c r="I2361" s="8"/>
      <c r="J2361" s="15" t="s">
        <v>1685</v>
      </c>
      <c r="K2361" s="15" t="s">
        <v>1685</v>
      </c>
      <c r="L2361" s="15" t="s">
        <v>1685</v>
      </c>
      <c r="M2361" s="8" t="s">
        <v>12963</v>
      </c>
      <c r="N2361" s="15" t="s">
        <v>1685</v>
      </c>
      <c r="O2361" s="8" t="s">
        <v>3598</v>
      </c>
      <c r="P2361" s="11" t="s">
        <v>3198</v>
      </c>
      <c r="Q2361" s="8" t="s">
        <v>12964</v>
      </c>
      <c r="R2361" s="8" t="s">
        <v>12967</v>
      </c>
      <c r="S2361" s="8" t="s">
        <v>12978</v>
      </c>
    </row>
    <row r="2362" spans="1:19" ht="36.950000000000003" customHeight="1" x14ac:dyDescent="0.25">
      <c r="A2362" s="8" t="s">
        <v>2582</v>
      </c>
      <c r="B2362" s="8" t="s">
        <v>12962</v>
      </c>
      <c r="C2362" s="8" t="s">
        <v>4721</v>
      </c>
      <c r="D2362" s="8"/>
      <c r="E2362" s="8" t="s">
        <v>2581</v>
      </c>
      <c r="F2362" s="8" t="s">
        <v>871</v>
      </c>
      <c r="G2362" s="8" t="s">
        <v>104</v>
      </c>
      <c r="H2362" s="8" t="s">
        <v>2581</v>
      </c>
      <c r="I2362" s="8"/>
      <c r="J2362" s="15" t="s">
        <v>1685</v>
      </c>
      <c r="K2362" s="15" t="s">
        <v>1685</v>
      </c>
      <c r="L2362" s="15" t="s">
        <v>1685</v>
      </c>
      <c r="M2362" s="8" t="s">
        <v>12963</v>
      </c>
      <c r="N2362" s="15" t="s">
        <v>1685</v>
      </c>
      <c r="O2362" s="8" t="s">
        <v>3598</v>
      </c>
      <c r="P2362" s="11" t="s">
        <v>3198</v>
      </c>
      <c r="Q2362" s="8" t="s">
        <v>12964</v>
      </c>
      <c r="R2362" s="8" t="s">
        <v>12969</v>
      </c>
      <c r="S2362" s="8" t="s">
        <v>12979</v>
      </c>
    </row>
    <row r="2363" spans="1:19" ht="36.950000000000003" customHeight="1" x14ac:dyDescent="0.25">
      <c r="A2363" s="8" t="s">
        <v>3202</v>
      </c>
      <c r="B2363" s="8" t="s">
        <v>12962</v>
      </c>
      <c r="C2363" s="8" t="s">
        <v>4721</v>
      </c>
      <c r="D2363" s="8"/>
      <c r="E2363" s="8" t="s">
        <v>680</v>
      </c>
      <c r="F2363" s="8" t="s">
        <v>684</v>
      </c>
      <c r="G2363" s="8" t="s">
        <v>4551</v>
      </c>
      <c r="H2363" s="8" t="s">
        <v>680</v>
      </c>
      <c r="I2363" s="8"/>
      <c r="J2363" s="15" t="s">
        <v>1685</v>
      </c>
      <c r="K2363" s="15" t="s">
        <v>1685</v>
      </c>
      <c r="L2363" s="15" t="s">
        <v>1685</v>
      </c>
      <c r="M2363" s="8" t="s">
        <v>12963</v>
      </c>
      <c r="N2363" s="15" t="s">
        <v>1685</v>
      </c>
      <c r="O2363" s="8" t="s">
        <v>3602</v>
      </c>
      <c r="P2363" s="11" t="s">
        <v>3201</v>
      </c>
      <c r="Q2363" s="8" t="s">
        <v>12964</v>
      </c>
      <c r="R2363" s="8" t="s">
        <v>12965</v>
      </c>
      <c r="S2363" s="8" t="s">
        <v>12980</v>
      </c>
    </row>
    <row r="2364" spans="1:19" ht="51" customHeight="1" x14ac:dyDescent="0.25">
      <c r="A2364" s="8" t="s">
        <v>686</v>
      </c>
      <c r="B2364" s="8" t="s">
        <v>12962</v>
      </c>
      <c r="C2364" s="8" t="s">
        <v>4721</v>
      </c>
      <c r="D2364" s="8"/>
      <c r="E2364" s="8" t="s">
        <v>679</v>
      </c>
      <c r="F2364" s="8" t="s">
        <v>684</v>
      </c>
      <c r="G2364" s="8" t="s">
        <v>67</v>
      </c>
      <c r="H2364" s="8" t="s">
        <v>679</v>
      </c>
      <c r="I2364" s="8"/>
      <c r="J2364" s="15" t="s">
        <v>1685</v>
      </c>
      <c r="K2364" s="15" t="s">
        <v>1685</v>
      </c>
      <c r="L2364" s="15" t="s">
        <v>1685</v>
      </c>
      <c r="M2364" s="8" t="s">
        <v>12963</v>
      </c>
      <c r="N2364" s="15" t="s">
        <v>1685</v>
      </c>
      <c r="O2364" s="8" t="s">
        <v>3602</v>
      </c>
      <c r="P2364" s="11" t="s">
        <v>3201</v>
      </c>
      <c r="Q2364" s="8" t="s">
        <v>12964</v>
      </c>
      <c r="R2364" s="8" t="s">
        <v>12967</v>
      </c>
      <c r="S2364" s="8" t="s">
        <v>12981</v>
      </c>
    </row>
    <row r="2365" spans="1:19" ht="36.950000000000003" customHeight="1" x14ac:dyDescent="0.25">
      <c r="A2365" s="8" t="s">
        <v>2584</v>
      </c>
      <c r="B2365" s="8" t="s">
        <v>12962</v>
      </c>
      <c r="C2365" s="8" t="s">
        <v>4721</v>
      </c>
      <c r="D2365" s="8"/>
      <c r="E2365" s="8" t="s">
        <v>2583</v>
      </c>
      <c r="F2365" s="8" t="s">
        <v>684</v>
      </c>
      <c r="G2365" s="8" t="s">
        <v>104</v>
      </c>
      <c r="H2365" s="8" t="s">
        <v>2583</v>
      </c>
      <c r="I2365" s="8"/>
      <c r="J2365" s="15" t="s">
        <v>1685</v>
      </c>
      <c r="K2365" s="15" t="s">
        <v>1685</v>
      </c>
      <c r="L2365" s="15" t="s">
        <v>1685</v>
      </c>
      <c r="M2365" s="8" t="s">
        <v>12963</v>
      </c>
      <c r="N2365" s="15" t="s">
        <v>1685</v>
      </c>
      <c r="O2365" s="8" t="s">
        <v>3602</v>
      </c>
      <c r="P2365" s="11" t="s">
        <v>3201</v>
      </c>
      <c r="Q2365" s="8" t="s">
        <v>12964</v>
      </c>
      <c r="R2365" s="8" t="s">
        <v>12969</v>
      </c>
      <c r="S2365" s="8" t="s">
        <v>12982</v>
      </c>
    </row>
    <row r="2366" spans="1:19" ht="36.950000000000003" customHeight="1" x14ac:dyDescent="0.25">
      <c r="A2366" s="8" t="s">
        <v>3205</v>
      </c>
      <c r="B2366" s="8" t="s">
        <v>12962</v>
      </c>
      <c r="C2366" s="8" t="s">
        <v>4721</v>
      </c>
      <c r="D2366" s="8"/>
      <c r="E2366" s="8" t="s">
        <v>436</v>
      </c>
      <c r="F2366" s="8" t="s">
        <v>440</v>
      </c>
      <c r="G2366" s="8" t="s">
        <v>4551</v>
      </c>
      <c r="H2366" s="8" t="s">
        <v>436</v>
      </c>
      <c r="I2366" s="8"/>
      <c r="J2366" s="15" t="s">
        <v>1685</v>
      </c>
      <c r="K2366" s="15" t="s">
        <v>1685</v>
      </c>
      <c r="L2366" s="15" t="s">
        <v>1685</v>
      </c>
      <c r="M2366" s="8" t="s">
        <v>12963</v>
      </c>
      <c r="N2366" s="15" t="s">
        <v>1685</v>
      </c>
      <c r="O2366" s="8" t="s">
        <v>3605</v>
      </c>
      <c r="P2366" s="11" t="s">
        <v>3204</v>
      </c>
      <c r="Q2366" s="8" t="s">
        <v>12964</v>
      </c>
      <c r="R2366" s="8" t="s">
        <v>12965</v>
      </c>
      <c r="S2366" s="8" t="s">
        <v>12983</v>
      </c>
    </row>
    <row r="2367" spans="1:19" ht="51" customHeight="1" x14ac:dyDescent="0.25">
      <c r="A2367" s="8" t="s">
        <v>443</v>
      </c>
      <c r="B2367" s="8" t="s">
        <v>12962</v>
      </c>
      <c r="C2367" s="8" t="s">
        <v>4721</v>
      </c>
      <c r="D2367" s="8"/>
      <c r="E2367" s="8" t="s">
        <v>435</v>
      </c>
      <c r="F2367" s="8" t="s">
        <v>440</v>
      </c>
      <c r="G2367" s="8" t="s">
        <v>67</v>
      </c>
      <c r="H2367" s="8" t="s">
        <v>435</v>
      </c>
      <c r="I2367" s="8"/>
      <c r="J2367" s="15" t="s">
        <v>1685</v>
      </c>
      <c r="K2367" s="15" t="s">
        <v>1685</v>
      </c>
      <c r="L2367" s="15" t="s">
        <v>1685</v>
      </c>
      <c r="M2367" s="8" t="s">
        <v>12963</v>
      </c>
      <c r="N2367" s="15" t="s">
        <v>1685</v>
      </c>
      <c r="O2367" s="8" t="s">
        <v>3605</v>
      </c>
      <c r="P2367" s="11" t="s">
        <v>3204</v>
      </c>
      <c r="Q2367" s="8" t="s">
        <v>12964</v>
      </c>
      <c r="R2367" s="8" t="s">
        <v>12967</v>
      </c>
      <c r="S2367" s="8" t="s">
        <v>12984</v>
      </c>
    </row>
    <row r="2368" spans="1:19" ht="36.950000000000003" customHeight="1" x14ac:dyDescent="0.25">
      <c r="A2368" s="8" t="s">
        <v>2586</v>
      </c>
      <c r="B2368" s="8" t="s">
        <v>12962</v>
      </c>
      <c r="C2368" s="8" t="s">
        <v>4721</v>
      </c>
      <c r="D2368" s="8"/>
      <c r="E2368" s="8" t="s">
        <v>2585</v>
      </c>
      <c r="F2368" s="8" t="s">
        <v>440</v>
      </c>
      <c r="G2368" s="8" t="s">
        <v>104</v>
      </c>
      <c r="H2368" s="8" t="s">
        <v>2585</v>
      </c>
      <c r="I2368" s="8"/>
      <c r="J2368" s="15" t="s">
        <v>1685</v>
      </c>
      <c r="K2368" s="15" t="s">
        <v>1685</v>
      </c>
      <c r="L2368" s="15" t="s">
        <v>1685</v>
      </c>
      <c r="M2368" s="8" t="s">
        <v>12963</v>
      </c>
      <c r="N2368" s="15" t="s">
        <v>1685</v>
      </c>
      <c r="O2368" s="8" t="s">
        <v>3605</v>
      </c>
      <c r="P2368" s="11" t="s">
        <v>3204</v>
      </c>
      <c r="Q2368" s="8" t="s">
        <v>12964</v>
      </c>
      <c r="R2368" s="8" t="s">
        <v>12969</v>
      </c>
      <c r="S2368" s="8" t="s">
        <v>12985</v>
      </c>
    </row>
    <row r="2369" spans="1:19" ht="36.950000000000003" customHeight="1" x14ac:dyDescent="0.25">
      <c r="A2369" s="8" t="s">
        <v>3208</v>
      </c>
      <c r="B2369" s="8" t="s">
        <v>12962</v>
      </c>
      <c r="C2369" s="8" t="s">
        <v>4721</v>
      </c>
      <c r="D2369" s="8"/>
      <c r="E2369" s="8" t="s">
        <v>785</v>
      </c>
      <c r="F2369" s="8" t="s">
        <v>787</v>
      </c>
      <c r="G2369" s="8" t="s">
        <v>4551</v>
      </c>
      <c r="H2369" s="8" t="s">
        <v>785</v>
      </c>
      <c r="I2369" s="8"/>
      <c r="J2369" s="15" t="s">
        <v>1685</v>
      </c>
      <c r="K2369" s="15" t="s">
        <v>1685</v>
      </c>
      <c r="L2369" s="15" t="s">
        <v>1685</v>
      </c>
      <c r="M2369" s="8" t="s">
        <v>12963</v>
      </c>
      <c r="N2369" s="15" t="s">
        <v>1685</v>
      </c>
      <c r="O2369" s="8" t="s">
        <v>3607</v>
      </c>
      <c r="P2369" s="11" t="s">
        <v>3207</v>
      </c>
      <c r="Q2369" s="8" t="s">
        <v>12964</v>
      </c>
      <c r="R2369" s="8" t="s">
        <v>12965</v>
      </c>
      <c r="S2369" s="8" t="s">
        <v>12986</v>
      </c>
    </row>
    <row r="2370" spans="1:19" ht="51" customHeight="1" x14ac:dyDescent="0.25">
      <c r="A2370" s="8" t="s">
        <v>789</v>
      </c>
      <c r="B2370" s="8" t="s">
        <v>12962</v>
      </c>
      <c r="C2370" s="8" t="s">
        <v>4721</v>
      </c>
      <c r="D2370" s="8"/>
      <c r="E2370" s="8" t="s">
        <v>784</v>
      </c>
      <c r="F2370" s="8" t="s">
        <v>787</v>
      </c>
      <c r="G2370" s="8" t="s">
        <v>67</v>
      </c>
      <c r="H2370" s="8" t="s">
        <v>784</v>
      </c>
      <c r="I2370" s="8"/>
      <c r="J2370" s="15" t="s">
        <v>1685</v>
      </c>
      <c r="K2370" s="15" t="s">
        <v>1685</v>
      </c>
      <c r="L2370" s="15" t="s">
        <v>1685</v>
      </c>
      <c r="M2370" s="8" t="s">
        <v>12963</v>
      </c>
      <c r="N2370" s="15" t="s">
        <v>1685</v>
      </c>
      <c r="O2370" s="8" t="s">
        <v>3607</v>
      </c>
      <c r="P2370" s="11" t="s">
        <v>3207</v>
      </c>
      <c r="Q2370" s="8" t="s">
        <v>12964</v>
      </c>
      <c r="R2370" s="8" t="s">
        <v>12967</v>
      </c>
      <c r="S2370" s="8" t="s">
        <v>12987</v>
      </c>
    </row>
    <row r="2371" spans="1:19" ht="36.950000000000003" customHeight="1" x14ac:dyDescent="0.25">
      <c r="A2371" s="8" t="s">
        <v>2588</v>
      </c>
      <c r="B2371" s="8" t="s">
        <v>12962</v>
      </c>
      <c r="C2371" s="8" t="s">
        <v>4721</v>
      </c>
      <c r="D2371" s="8"/>
      <c r="E2371" s="8" t="s">
        <v>2587</v>
      </c>
      <c r="F2371" s="8" t="s">
        <v>787</v>
      </c>
      <c r="G2371" s="8" t="s">
        <v>104</v>
      </c>
      <c r="H2371" s="8" t="s">
        <v>2587</v>
      </c>
      <c r="I2371" s="8"/>
      <c r="J2371" s="15" t="s">
        <v>1685</v>
      </c>
      <c r="K2371" s="15" t="s">
        <v>1685</v>
      </c>
      <c r="L2371" s="15" t="s">
        <v>1685</v>
      </c>
      <c r="M2371" s="8" t="s">
        <v>12963</v>
      </c>
      <c r="N2371" s="15" t="s">
        <v>1685</v>
      </c>
      <c r="O2371" s="8" t="s">
        <v>3607</v>
      </c>
      <c r="P2371" s="11" t="s">
        <v>3207</v>
      </c>
      <c r="Q2371" s="8" t="s">
        <v>12964</v>
      </c>
      <c r="R2371" s="8" t="s">
        <v>12969</v>
      </c>
      <c r="S2371" s="8" t="s">
        <v>12988</v>
      </c>
    </row>
    <row r="2372" spans="1:19" ht="36.950000000000003" customHeight="1" x14ac:dyDescent="0.25">
      <c r="A2372" s="8" t="s">
        <v>12989</v>
      </c>
      <c r="B2372" s="8" t="s">
        <v>12962</v>
      </c>
      <c r="C2372" s="8" t="s">
        <v>4721</v>
      </c>
      <c r="D2372" s="8"/>
      <c r="E2372" s="8" t="s">
        <v>976</v>
      </c>
      <c r="F2372" s="8" t="s">
        <v>12990</v>
      </c>
      <c r="G2372" s="8" t="s">
        <v>4551</v>
      </c>
      <c r="H2372" s="8" t="s">
        <v>976</v>
      </c>
      <c r="I2372" s="8"/>
      <c r="J2372" s="15" t="s">
        <v>1685</v>
      </c>
      <c r="K2372" s="15" t="s">
        <v>1685</v>
      </c>
      <c r="L2372" s="15" t="s">
        <v>1685</v>
      </c>
      <c r="M2372" s="8" t="s">
        <v>12963</v>
      </c>
      <c r="N2372" s="15" t="s">
        <v>1685</v>
      </c>
      <c r="O2372" s="8" t="s">
        <v>3611</v>
      </c>
      <c r="P2372" s="11" t="s">
        <v>3610</v>
      </c>
      <c r="Q2372" s="8" t="s">
        <v>12964</v>
      </c>
      <c r="R2372" s="8" t="s">
        <v>12965</v>
      </c>
      <c r="S2372" s="8" t="s">
        <v>12991</v>
      </c>
    </row>
    <row r="2373" spans="1:19" ht="36.950000000000003" customHeight="1" x14ac:dyDescent="0.25">
      <c r="A2373" s="8" t="s">
        <v>2591</v>
      </c>
      <c r="B2373" s="8" t="s">
        <v>12962</v>
      </c>
      <c r="C2373" s="8" t="s">
        <v>4721</v>
      </c>
      <c r="D2373" s="8"/>
      <c r="E2373" s="8" t="s">
        <v>2589</v>
      </c>
      <c r="F2373" s="8" t="s">
        <v>2948</v>
      </c>
      <c r="G2373" s="8" t="s">
        <v>104</v>
      </c>
      <c r="H2373" s="8" t="s">
        <v>2589</v>
      </c>
      <c r="I2373" s="8"/>
      <c r="J2373" s="15" t="s">
        <v>1685</v>
      </c>
      <c r="K2373" s="15" t="s">
        <v>1685</v>
      </c>
      <c r="L2373" s="15" t="s">
        <v>1685</v>
      </c>
      <c r="M2373" s="8" t="s">
        <v>12963</v>
      </c>
      <c r="N2373" s="15" t="s">
        <v>1685</v>
      </c>
      <c r="O2373" s="8" t="s">
        <v>3611</v>
      </c>
      <c r="P2373" s="11" t="s">
        <v>3610</v>
      </c>
      <c r="Q2373" s="8" t="s">
        <v>12964</v>
      </c>
      <c r="R2373" s="8" t="s">
        <v>12969</v>
      </c>
      <c r="S2373" s="8" t="s">
        <v>12992</v>
      </c>
    </row>
    <row r="2374" spans="1:19" ht="36.950000000000003" customHeight="1" x14ac:dyDescent="0.25">
      <c r="A2374" s="8" t="s">
        <v>12993</v>
      </c>
      <c r="B2374" s="8" t="s">
        <v>12962</v>
      </c>
      <c r="C2374" s="8" t="s">
        <v>4721</v>
      </c>
      <c r="D2374" s="8"/>
      <c r="E2374" s="8" t="s">
        <v>656</v>
      </c>
      <c r="F2374" s="8" t="s">
        <v>12994</v>
      </c>
      <c r="G2374" s="8" t="s">
        <v>4551</v>
      </c>
      <c r="H2374" s="8" t="s">
        <v>656</v>
      </c>
      <c r="I2374" s="8"/>
      <c r="J2374" s="15" t="s">
        <v>1685</v>
      </c>
      <c r="K2374" s="15" t="s">
        <v>1685</v>
      </c>
      <c r="L2374" s="15" t="s">
        <v>1685</v>
      </c>
      <c r="M2374" s="8" t="s">
        <v>12963</v>
      </c>
      <c r="N2374" s="15" t="s">
        <v>1685</v>
      </c>
      <c r="O2374" s="8" t="s">
        <v>3611</v>
      </c>
      <c r="P2374" s="11" t="s">
        <v>3014</v>
      </c>
      <c r="Q2374" s="8" t="s">
        <v>12964</v>
      </c>
      <c r="R2374" s="8" t="s">
        <v>12965</v>
      </c>
      <c r="S2374" s="8" t="s">
        <v>12995</v>
      </c>
    </row>
    <row r="2375" spans="1:19" ht="36.950000000000003" customHeight="1" x14ac:dyDescent="0.25">
      <c r="A2375" s="8" t="s">
        <v>2594</v>
      </c>
      <c r="B2375" s="8" t="s">
        <v>12962</v>
      </c>
      <c r="C2375" s="8" t="s">
        <v>4721</v>
      </c>
      <c r="D2375" s="8"/>
      <c r="E2375" s="8" t="s">
        <v>2592</v>
      </c>
      <c r="F2375" s="8" t="s">
        <v>659</v>
      </c>
      <c r="G2375" s="8" t="s">
        <v>104</v>
      </c>
      <c r="H2375" s="8" t="s">
        <v>2592</v>
      </c>
      <c r="I2375" s="8"/>
      <c r="J2375" s="15" t="s">
        <v>1685</v>
      </c>
      <c r="K2375" s="15" t="s">
        <v>1685</v>
      </c>
      <c r="L2375" s="15" t="s">
        <v>1685</v>
      </c>
      <c r="M2375" s="8" t="s">
        <v>12963</v>
      </c>
      <c r="N2375" s="15" t="s">
        <v>1685</v>
      </c>
      <c r="O2375" s="8" t="s">
        <v>3611</v>
      </c>
      <c r="P2375" s="11" t="s">
        <v>3014</v>
      </c>
      <c r="Q2375" s="8" t="s">
        <v>12964</v>
      </c>
      <c r="R2375" s="8" t="s">
        <v>12969</v>
      </c>
      <c r="S2375" s="8" t="s">
        <v>12996</v>
      </c>
    </row>
    <row r="2376" spans="1:19" ht="36.950000000000003" customHeight="1" x14ac:dyDescent="0.25">
      <c r="A2376" s="8" t="s">
        <v>3212</v>
      </c>
      <c r="B2376" s="8" t="s">
        <v>12962</v>
      </c>
      <c r="C2376" s="8" t="s">
        <v>4721</v>
      </c>
      <c r="D2376" s="8"/>
      <c r="E2376" s="8" t="s">
        <v>358</v>
      </c>
      <c r="F2376" s="8" t="s">
        <v>364</v>
      </c>
      <c r="G2376" s="8" t="s">
        <v>4551</v>
      </c>
      <c r="H2376" s="8" t="s">
        <v>358</v>
      </c>
      <c r="I2376" s="8"/>
      <c r="J2376" s="15" t="s">
        <v>1685</v>
      </c>
      <c r="K2376" s="15" t="s">
        <v>1685</v>
      </c>
      <c r="L2376" s="15" t="s">
        <v>1685</v>
      </c>
      <c r="M2376" s="8" t="s">
        <v>12963</v>
      </c>
      <c r="N2376" s="15" t="s">
        <v>1685</v>
      </c>
      <c r="O2376" s="8" t="s">
        <v>3595</v>
      </c>
      <c r="P2376" s="11" t="s">
        <v>3211</v>
      </c>
      <c r="Q2376" s="8" t="s">
        <v>12964</v>
      </c>
      <c r="R2376" s="8" t="s">
        <v>12965</v>
      </c>
      <c r="S2376" s="8" t="s">
        <v>12997</v>
      </c>
    </row>
    <row r="2377" spans="1:19" ht="51" customHeight="1" x14ac:dyDescent="0.25">
      <c r="A2377" s="8" t="s">
        <v>367</v>
      </c>
      <c r="B2377" s="8" t="s">
        <v>12962</v>
      </c>
      <c r="C2377" s="8" t="s">
        <v>4721</v>
      </c>
      <c r="D2377" s="8"/>
      <c r="E2377" s="8" t="s">
        <v>357</v>
      </c>
      <c r="F2377" s="8" t="s">
        <v>364</v>
      </c>
      <c r="G2377" s="8" t="s">
        <v>67</v>
      </c>
      <c r="H2377" s="8" t="s">
        <v>357</v>
      </c>
      <c r="I2377" s="8"/>
      <c r="J2377" s="15" t="s">
        <v>1685</v>
      </c>
      <c r="K2377" s="15" t="s">
        <v>1685</v>
      </c>
      <c r="L2377" s="15" t="s">
        <v>1685</v>
      </c>
      <c r="M2377" s="8" t="s">
        <v>12963</v>
      </c>
      <c r="N2377" s="15" t="s">
        <v>1685</v>
      </c>
      <c r="O2377" s="8" t="s">
        <v>3595</v>
      </c>
      <c r="P2377" s="11" t="s">
        <v>3211</v>
      </c>
      <c r="Q2377" s="8" t="s">
        <v>12964</v>
      </c>
      <c r="R2377" s="8" t="s">
        <v>12967</v>
      </c>
      <c r="S2377" s="8" t="s">
        <v>12998</v>
      </c>
    </row>
    <row r="2378" spans="1:19" ht="36.950000000000003" customHeight="1" x14ac:dyDescent="0.25">
      <c r="A2378" s="8" t="s">
        <v>2597</v>
      </c>
      <c r="B2378" s="8" t="s">
        <v>12962</v>
      </c>
      <c r="C2378" s="8" t="s">
        <v>4721</v>
      </c>
      <c r="D2378" s="8"/>
      <c r="E2378" s="8" t="s">
        <v>2595</v>
      </c>
      <c r="F2378" s="8" t="s">
        <v>364</v>
      </c>
      <c r="G2378" s="8" t="s">
        <v>104</v>
      </c>
      <c r="H2378" s="8" t="s">
        <v>2595</v>
      </c>
      <c r="I2378" s="8"/>
      <c r="J2378" s="15" t="s">
        <v>1685</v>
      </c>
      <c r="K2378" s="15" t="s">
        <v>1685</v>
      </c>
      <c r="L2378" s="15" t="s">
        <v>1685</v>
      </c>
      <c r="M2378" s="8" t="s">
        <v>12963</v>
      </c>
      <c r="N2378" s="15" t="s">
        <v>1685</v>
      </c>
      <c r="O2378" s="8" t="s">
        <v>3595</v>
      </c>
      <c r="P2378" s="11" t="s">
        <v>3211</v>
      </c>
      <c r="Q2378" s="8" t="s">
        <v>12964</v>
      </c>
      <c r="R2378" s="8" t="s">
        <v>12969</v>
      </c>
      <c r="S2378" s="8" t="s">
        <v>12999</v>
      </c>
    </row>
    <row r="2379" spans="1:19" ht="36.950000000000003" customHeight="1" x14ac:dyDescent="0.25">
      <c r="A2379" s="8" t="s">
        <v>3215</v>
      </c>
      <c r="B2379" s="8" t="s">
        <v>12962</v>
      </c>
      <c r="C2379" s="8" t="s">
        <v>4721</v>
      </c>
      <c r="D2379" s="8"/>
      <c r="E2379" s="8" t="s">
        <v>650</v>
      </c>
      <c r="F2379" s="8" t="s">
        <v>652</v>
      </c>
      <c r="G2379" s="8" t="s">
        <v>4551</v>
      </c>
      <c r="H2379" s="8" t="s">
        <v>650</v>
      </c>
      <c r="I2379" s="8"/>
      <c r="J2379" s="15" t="s">
        <v>1685</v>
      </c>
      <c r="K2379" s="15" t="s">
        <v>1685</v>
      </c>
      <c r="L2379" s="15" t="s">
        <v>1685</v>
      </c>
      <c r="M2379" s="8" t="s">
        <v>12963</v>
      </c>
      <c r="N2379" s="15" t="s">
        <v>1685</v>
      </c>
      <c r="O2379" s="8" t="s">
        <v>3595</v>
      </c>
      <c r="P2379" s="11" t="s">
        <v>3214</v>
      </c>
      <c r="Q2379" s="8" t="s">
        <v>12964</v>
      </c>
      <c r="R2379" s="8" t="s">
        <v>12965</v>
      </c>
      <c r="S2379" s="8" t="s">
        <v>13000</v>
      </c>
    </row>
    <row r="2380" spans="1:19" ht="51" customHeight="1" x14ac:dyDescent="0.25">
      <c r="A2380" s="8" t="s">
        <v>654</v>
      </c>
      <c r="B2380" s="8" t="s">
        <v>12962</v>
      </c>
      <c r="C2380" s="8" t="s">
        <v>4721</v>
      </c>
      <c r="D2380" s="8"/>
      <c r="E2380" s="8" t="s">
        <v>649</v>
      </c>
      <c r="F2380" s="8" t="s">
        <v>652</v>
      </c>
      <c r="G2380" s="8" t="s">
        <v>67</v>
      </c>
      <c r="H2380" s="8" t="s">
        <v>649</v>
      </c>
      <c r="I2380" s="8"/>
      <c r="J2380" s="15" t="s">
        <v>1685</v>
      </c>
      <c r="K2380" s="15" t="s">
        <v>1685</v>
      </c>
      <c r="L2380" s="15" t="s">
        <v>1685</v>
      </c>
      <c r="M2380" s="8" t="s">
        <v>12963</v>
      </c>
      <c r="N2380" s="15" t="s">
        <v>1685</v>
      </c>
      <c r="O2380" s="8" t="s">
        <v>3595</v>
      </c>
      <c r="P2380" s="11" t="s">
        <v>3214</v>
      </c>
      <c r="Q2380" s="8" t="s">
        <v>12964</v>
      </c>
      <c r="R2380" s="8" t="s">
        <v>12967</v>
      </c>
      <c r="S2380" s="8" t="s">
        <v>13001</v>
      </c>
    </row>
    <row r="2381" spans="1:19" ht="36.950000000000003" customHeight="1" x14ac:dyDescent="0.25">
      <c r="A2381" s="8" t="s">
        <v>2599</v>
      </c>
      <c r="B2381" s="8" t="s">
        <v>12962</v>
      </c>
      <c r="C2381" s="8" t="s">
        <v>4721</v>
      </c>
      <c r="D2381" s="8"/>
      <c r="E2381" s="8" t="s">
        <v>2598</v>
      </c>
      <c r="F2381" s="8" t="s">
        <v>652</v>
      </c>
      <c r="G2381" s="8" t="s">
        <v>104</v>
      </c>
      <c r="H2381" s="8" t="s">
        <v>2598</v>
      </c>
      <c r="I2381" s="8"/>
      <c r="J2381" s="15" t="s">
        <v>1685</v>
      </c>
      <c r="K2381" s="15" t="s">
        <v>1685</v>
      </c>
      <c r="L2381" s="15" t="s">
        <v>1685</v>
      </c>
      <c r="M2381" s="8" t="s">
        <v>12963</v>
      </c>
      <c r="N2381" s="15" t="s">
        <v>1685</v>
      </c>
      <c r="O2381" s="8" t="s">
        <v>3595</v>
      </c>
      <c r="P2381" s="11" t="s">
        <v>3214</v>
      </c>
      <c r="Q2381" s="8" t="s">
        <v>12964</v>
      </c>
      <c r="R2381" s="8" t="s">
        <v>12969</v>
      </c>
      <c r="S2381" s="8" t="s">
        <v>13002</v>
      </c>
    </row>
    <row r="2382" spans="1:19" ht="36.950000000000003" customHeight="1" x14ac:dyDescent="0.25">
      <c r="A2382" s="8" t="s">
        <v>3218</v>
      </c>
      <c r="B2382" s="8" t="s">
        <v>12962</v>
      </c>
      <c r="C2382" s="8" t="s">
        <v>4721</v>
      </c>
      <c r="D2382" s="8"/>
      <c r="E2382" s="8" t="s">
        <v>862</v>
      </c>
      <c r="F2382" s="8" t="s">
        <v>865</v>
      </c>
      <c r="G2382" s="8" t="s">
        <v>4551</v>
      </c>
      <c r="H2382" s="8" t="s">
        <v>862</v>
      </c>
      <c r="I2382" s="8"/>
      <c r="J2382" s="15" t="s">
        <v>1685</v>
      </c>
      <c r="K2382" s="15" t="s">
        <v>1685</v>
      </c>
      <c r="L2382" s="15" t="s">
        <v>1685</v>
      </c>
      <c r="M2382" s="8" t="s">
        <v>12963</v>
      </c>
      <c r="N2382" s="15" t="s">
        <v>1685</v>
      </c>
      <c r="O2382" s="8" t="s">
        <v>3628</v>
      </c>
      <c r="P2382" s="11" t="s">
        <v>3217</v>
      </c>
      <c r="Q2382" s="8" t="s">
        <v>12964</v>
      </c>
      <c r="R2382" s="8" t="s">
        <v>12965</v>
      </c>
      <c r="S2382" s="8" t="s">
        <v>13003</v>
      </c>
    </row>
    <row r="2383" spans="1:19" ht="51" customHeight="1" x14ac:dyDescent="0.25">
      <c r="A2383" s="8" t="s">
        <v>867</v>
      </c>
      <c r="B2383" s="8" t="s">
        <v>12962</v>
      </c>
      <c r="C2383" s="8" t="s">
        <v>4721</v>
      </c>
      <c r="D2383" s="8"/>
      <c r="E2383" s="8" t="s">
        <v>861</v>
      </c>
      <c r="F2383" s="8" t="s">
        <v>865</v>
      </c>
      <c r="G2383" s="8" t="s">
        <v>67</v>
      </c>
      <c r="H2383" s="8" t="s">
        <v>861</v>
      </c>
      <c r="I2383" s="8"/>
      <c r="J2383" s="15" t="s">
        <v>1685</v>
      </c>
      <c r="K2383" s="15" t="s">
        <v>1685</v>
      </c>
      <c r="L2383" s="15" t="s">
        <v>1685</v>
      </c>
      <c r="M2383" s="8" t="s">
        <v>12963</v>
      </c>
      <c r="N2383" s="15" t="s">
        <v>1685</v>
      </c>
      <c r="O2383" s="8" t="s">
        <v>3628</v>
      </c>
      <c r="P2383" s="11" t="s">
        <v>3217</v>
      </c>
      <c r="Q2383" s="8" t="s">
        <v>12964</v>
      </c>
      <c r="R2383" s="8" t="s">
        <v>12967</v>
      </c>
      <c r="S2383" s="8" t="s">
        <v>13004</v>
      </c>
    </row>
    <row r="2384" spans="1:19" ht="36.950000000000003" customHeight="1" x14ac:dyDescent="0.25">
      <c r="A2384" s="8" t="s">
        <v>2602</v>
      </c>
      <c r="B2384" s="8" t="s">
        <v>12962</v>
      </c>
      <c r="C2384" s="8" t="s">
        <v>4721</v>
      </c>
      <c r="D2384" s="8"/>
      <c r="E2384" s="8" t="s">
        <v>2600</v>
      </c>
      <c r="F2384" s="8" t="s">
        <v>865</v>
      </c>
      <c r="G2384" s="8" t="s">
        <v>104</v>
      </c>
      <c r="H2384" s="8" t="s">
        <v>2600</v>
      </c>
      <c r="I2384" s="8"/>
      <c r="J2384" s="15" t="s">
        <v>1685</v>
      </c>
      <c r="K2384" s="15" t="s">
        <v>1685</v>
      </c>
      <c r="L2384" s="15" t="s">
        <v>1685</v>
      </c>
      <c r="M2384" s="8" t="s">
        <v>12963</v>
      </c>
      <c r="N2384" s="15" t="s">
        <v>1685</v>
      </c>
      <c r="O2384" s="8" t="s">
        <v>3628</v>
      </c>
      <c r="P2384" s="11" t="s">
        <v>3217</v>
      </c>
      <c r="Q2384" s="8" t="s">
        <v>12964</v>
      </c>
      <c r="R2384" s="8" t="s">
        <v>12969</v>
      </c>
      <c r="S2384" s="8" t="s">
        <v>13005</v>
      </c>
    </row>
    <row r="2385" spans="1:19" ht="36.950000000000003" customHeight="1" x14ac:dyDescent="0.25">
      <c r="A2385" s="8" t="s">
        <v>3221</v>
      </c>
      <c r="B2385" s="8" t="s">
        <v>12962</v>
      </c>
      <c r="C2385" s="8" t="s">
        <v>4721</v>
      </c>
      <c r="D2385" s="8"/>
      <c r="E2385" s="8" t="s">
        <v>889</v>
      </c>
      <c r="F2385" s="8" t="s">
        <v>893</v>
      </c>
      <c r="G2385" s="8" t="s">
        <v>4551</v>
      </c>
      <c r="H2385" s="8" t="s">
        <v>889</v>
      </c>
      <c r="I2385" s="8"/>
      <c r="J2385" s="15" t="s">
        <v>1685</v>
      </c>
      <c r="K2385" s="15" t="s">
        <v>1685</v>
      </c>
      <c r="L2385" s="15" t="s">
        <v>1685</v>
      </c>
      <c r="M2385" s="8" t="s">
        <v>12963</v>
      </c>
      <c r="N2385" s="15" t="s">
        <v>1685</v>
      </c>
      <c r="O2385" s="8" t="s">
        <v>3632</v>
      </c>
      <c r="P2385" s="11" t="s">
        <v>3220</v>
      </c>
      <c r="Q2385" s="8" t="s">
        <v>12964</v>
      </c>
      <c r="R2385" s="8" t="s">
        <v>12965</v>
      </c>
      <c r="S2385" s="8" t="s">
        <v>13006</v>
      </c>
    </row>
    <row r="2386" spans="1:19" ht="51" customHeight="1" x14ac:dyDescent="0.25">
      <c r="A2386" s="8" t="s">
        <v>895</v>
      </c>
      <c r="B2386" s="8" t="s">
        <v>12962</v>
      </c>
      <c r="C2386" s="8" t="s">
        <v>4721</v>
      </c>
      <c r="D2386" s="8"/>
      <c r="E2386" s="8" t="s">
        <v>888</v>
      </c>
      <c r="F2386" s="8" t="s">
        <v>893</v>
      </c>
      <c r="G2386" s="8" t="s">
        <v>67</v>
      </c>
      <c r="H2386" s="8" t="s">
        <v>888</v>
      </c>
      <c r="I2386" s="8"/>
      <c r="J2386" s="15" t="s">
        <v>1685</v>
      </c>
      <c r="K2386" s="15" t="s">
        <v>1685</v>
      </c>
      <c r="L2386" s="15" t="s">
        <v>1685</v>
      </c>
      <c r="M2386" s="8" t="s">
        <v>12963</v>
      </c>
      <c r="N2386" s="15" t="s">
        <v>1685</v>
      </c>
      <c r="O2386" s="8" t="s">
        <v>3632</v>
      </c>
      <c r="P2386" s="11" t="s">
        <v>3220</v>
      </c>
      <c r="Q2386" s="8" t="s">
        <v>12964</v>
      </c>
      <c r="R2386" s="8" t="s">
        <v>896</v>
      </c>
      <c r="S2386" s="8" t="s">
        <v>13007</v>
      </c>
    </row>
    <row r="2387" spans="1:19" ht="51" customHeight="1" x14ac:dyDescent="0.25">
      <c r="A2387" s="8" t="s">
        <v>2604</v>
      </c>
      <c r="B2387" s="8" t="s">
        <v>12962</v>
      </c>
      <c r="C2387" s="8" t="s">
        <v>4721</v>
      </c>
      <c r="D2387" s="8"/>
      <c r="E2387" s="8" t="s">
        <v>2603</v>
      </c>
      <c r="F2387" s="8" t="s">
        <v>893</v>
      </c>
      <c r="G2387" s="8" t="s">
        <v>104</v>
      </c>
      <c r="H2387" s="8" t="s">
        <v>2603</v>
      </c>
      <c r="I2387" s="8"/>
      <c r="J2387" s="15" t="s">
        <v>1685</v>
      </c>
      <c r="K2387" s="15" t="s">
        <v>1685</v>
      </c>
      <c r="L2387" s="15" t="s">
        <v>1685</v>
      </c>
      <c r="M2387" s="8" t="s">
        <v>12963</v>
      </c>
      <c r="N2387" s="15" t="s">
        <v>1685</v>
      </c>
      <c r="O2387" s="8" t="s">
        <v>3632</v>
      </c>
      <c r="P2387" s="11" t="s">
        <v>3220</v>
      </c>
      <c r="Q2387" s="8" t="s">
        <v>12964</v>
      </c>
      <c r="R2387" s="8" t="s">
        <v>896</v>
      </c>
      <c r="S2387" s="8" t="s">
        <v>13007</v>
      </c>
    </row>
    <row r="2388" spans="1:19" ht="51" customHeight="1" x14ac:dyDescent="0.25">
      <c r="A2388" s="8" t="s">
        <v>2097</v>
      </c>
      <c r="B2388" s="8" t="s">
        <v>12962</v>
      </c>
      <c r="C2388" s="8" t="s">
        <v>4721</v>
      </c>
      <c r="D2388" s="8"/>
      <c r="E2388" s="8" t="s">
        <v>2092</v>
      </c>
      <c r="F2388" s="8" t="s">
        <v>2093</v>
      </c>
      <c r="G2388" s="8" t="s">
        <v>98</v>
      </c>
      <c r="H2388" s="8" t="s">
        <v>2092</v>
      </c>
      <c r="I2388" s="8"/>
      <c r="J2388" s="15" t="s">
        <v>1685</v>
      </c>
      <c r="K2388" s="15" t="s">
        <v>1685</v>
      </c>
      <c r="L2388" s="15" t="s">
        <v>1685</v>
      </c>
      <c r="M2388" s="8" t="s">
        <v>12963</v>
      </c>
      <c r="N2388" s="15" t="s">
        <v>1685</v>
      </c>
      <c r="O2388" s="8" t="s">
        <v>3641</v>
      </c>
      <c r="P2388" s="11" t="s">
        <v>3640</v>
      </c>
      <c r="Q2388" s="8" t="s">
        <v>12964</v>
      </c>
      <c r="R2388" s="8" t="s">
        <v>2096</v>
      </c>
      <c r="S2388" s="8" t="s">
        <v>13008</v>
      </c>
    </row>
    <row r="2389" spans="1:19" ht="36.950000000000003" customHeight="1" x14ac:dyDescent="0.25">
      <c r="A2389" s="8" t="s">
        <v>2104</v>
      </c>
      <c r="B2389" s="8" t="s">
        <v>12962</v>
      </c>
      <c r="C2389" s="8" t="s">
        <v>4721</v>
      </c>
      <c r="D2389" s="8"/>
      <c r="E2389" s="8" t="s">
        <v>2099</v>
      </c>
      <c r="F2389" s="8" t="s">
        <v>2100</v>
      </c>
      <c r="G2389" s="8" t="s">
        <v>98</v>
      </c>
      <c r="H2389" s="8" t="s">
        <v>2099</v>
      </c>
      <c r="I2389" s="8"/>
      <c r="J2389" s="15" t="s">
        <v>1685</v>
      </c>
      <c r="K2389" s="15" t="s">
        <v>1685</v>
      </c>
      <c r="L2389" s="15" t="s">
        <v>1685</v>
      </c>
      <c r="M2389" s="8" t="s">
        <v>12963</v>
      </c>
      <c r="N2389" s="15" t="s">
        <v>1685</v>
      </c>
      <c r="O2389" s="8" t="s">
        <v>3272</v>
      </c>
      <c r="P2389" s="11" t="s">
        <v>3278</v>
      </c>
      <c r="Q2389" s="8" t="s">
        <v>12964</v>
      </c>
      <c r="R2389" s="8" t="s">
        <v>2103</v>
      </c>
      <c r="S2389" s="8" t="s">
        <v>13009</v>
      </c>
    </row>
    <row r="2390" spans="1:19" ht="51" customHeight="1" x14ac:dyDescent="0.25">
      <c r="A2390" s="8" t="s">
        <v>2111</v>
      </c>
      <c r="B2390" s="8" t="s">
        <v>12962</v>
      </c>
      <c r="C2390" s="8" t="s">
        <v>4721</v>
      </c>
      <c r="D2390" s="8"/>
      <c r="E2390" s="8" t="s">
        <v>2105</v>
      </c>
      <c r="F2390" s="8" t="s">
        <v>2106</v>
      </c>
      <c r="G2390" s="8" t="s">
        <v>98</v>
      </c>
      <c r="H2390" s="8" t="s">
        <v>2105</v>
      </c>
      <c r="I2390" s="8"/>
      <c r="J2390" s="15" t="s">
        <v>1685</v>
      </c>
      <c r="K2390" s="15" t="s">
        <v>1685</v>
      </c>
      <c r="L2390" s="15" t="s">
        <v>1685</v>
      </c>
      <c r="M2390" s="8" t="s">
        <v>12963</v>
      </c>
      <c r="N2390" s="15" t="s">
        <v>1685</v>
      </c>
      <c r="O2390" s="8" t="s">
        <v>3641</v>
      </c>
      <c r="P2390" s="11" t="s">
        <v>3643</v>
      </c>
      <c r="Q2390" s="8" t="s">
        <v>12964</v>
      </c>
      <c r="R2390" s="8" t="s">
        <v>2110</v>
      </c>
      <c r="S2390" s="8" t="s">
        <v>13010</v>
      </c>
    </row>
    <row r="2391" spans="1:19" ht="36.950000000000003" customHeight="1" x14ac:dyDescent="0.25">
      <c r="A2391" s="8" t="s">
        <v>2118</v>
      </c>
      <c r="B2391" s="8" t="s">
        <v>12962</v>
      </c>
      <c r="C2391" s="8" t="s">
        <v>4721</v>
      </c>
      <c r="D2391" s="8"/>
      <c r="E2391" s="8" t="s">
        <v>2112</v>
      </c>
      <c r="F2391" s="8" t="s">
        <v>2113</v>
      </c>
      <c r="G2391" s="8" t="s">
        <v>98</v>
      </c>
      <c r="H2391" s="8" t="s">
        <v>2112</v>
      </c>
      <c r="I2391" s="8"/>
      <c r="J2391" s="15" t="s">
        <v>1685</v>
      </c>
      <c r="K2391" s="15" t="s">
        <v>1685</v>
      </c>
      <c r="L2391" s="15" t="s">
        <v>1685</v>
      </c>
      <c r="M2391" s="8" t="s">
        <v>12963</v>
      </c>
      <c r="N2391" s="15" t="s">
        <v>1685</v>
      </c>
      <c r="O2391" s="8" t="s">
        <v>3641</v>
      </c>
      <c r="P2391" s="11" t="s">
        <v>3645</v>
      </c>
      <c r="Q2391" s="8" t="s">
        <v>12964</v>
      </c>
      <c r="R2391" s="8" t="s">
        <v>2117</v>
      </c>
      <c r="S2391" s="8" t="s">
        <v>13011</v>
      </c>
    </row>
    <row r="2392" spans="1:19" ht="51" customHeight="1" x14ac:dyDescent="0.25">
      <c r="A2392" s="8" t="s">
        <v>2125</v>
      </c>
      <c r="B2392" s="8" t="s">
        <v>12962</v>
      </c>
      <c r="C2392" s="8" t="s">
        <v>4721</v>
      </c>
      <c r="D2392" s="8"/>
      <c r="E2392" s="8" t="s">
        <v>2119</v>
      </c>
      <c r="F2392" s="8" t="s">
        <v>2120</v>
      </c>
      <c r="G2392" s="8" t="s">
        <v>98</v>
      </c>
      <c r="H2392" s="8" t="s">
        <v>2119</v>
      </c>
      <c r="I2392" s="8"/>
      <c r="J2392" s="15" t="s">
        <v>1685</v>
      </c>
      <c r="K2392" s="15" t="s">
        <v>1685</v>
      </c>
      <c r="L2392" s="15" t="s">
        <v>1685</v>
      </c>
      <c r="M2392" s="8" t="s">
        <v>12963</v>
      </c>
      <c r="N2392" s="15" t="s">
        <v>1685</v>
      </c>
      <c r="O2392" s="8" t="s">
        <v>3641</v>
      </c>
      <c r="P2392" s="11" t="s">
        <v>3647</v>
      </c>
      <c r="Q2392" s="8" t="s">
        <v>12964</v>
      </c>
      <c r="R2392" s="8" t="s">
        <v>2124</v>
      </c>
      <c r="S2392" s="8" t="s">
        <v>13012</v>
      </c>
    </row>
    <row r="2393" spans="1:19" ht="51" customHeight="1" x14ac:dyDescent="0.25">
      <c r="A2393" s="8" t="s">
        <v>2132</v>
      </c>
      <c r="B2393" s="8" t="s">
        <v>12962</v>
      </c>
      <c r="C2393" s="8" t="s">
        <v>4721</v>
      </c>
      <c r="D2393" s="8"/>
      <c r="E2393" s="8" t="s">
        <v>2126</v>
      </c>
      <c r="F2393" s="8" t="s">
        <v>2127</v>
      </c>
      <c r="G2393" s="8" t="s">
        <v>98</v>
      </c>
      <c r="H2393" s="8" t="s">
        <v>2126</v>
      </c>
      <c r="I2393" s="8"/>
      <c r="J2393" s="15" t="s">
        <v>1685</v>
      </c>
      <c r="K2393" s="15" t="s">
        <v>1685</v>
      </c>
      <c r="L2393" s="15" t="s">
        <v>1685</v>
      </c>
      <c r="M2393" s="8" t="s">
        <v>12963</v>
      </c>
      <c r="N2393" s="15" t="s">
        <v>1685</v>
      </c>
      <c r="O2393" s="8" t="s">
        <v>3641</v>
      </c>
      <c r="P2393" s="11" t="s">
        <v>3649</v>
      </c>
      <c r="Q2393" s="8" t="s">
        <v>12964</v>
      </c>
      <c r="R2393" s="8" t="s">
        <v>2131</v>
      </c>
      <c r="S2393" s="8" t="s">
        <v>13013</v>
      </c>
    </row>
    <row r="2394" spans="1:19" ht="51" customHeight="1" x14ac:dyDescent="0.25">
      <c r="A2394" s="8" t="s">
        <v>2140</v>
      </c>
      <c r="B2394" s="8" t="s">
        <v>12962</v>
      </c>
      <c r="C2394" s="8" t="s">
        <v>4721</v>
      </c>
      <c r="D2394" s="8"/>
      <c r="E2394" s="8" t="s">
        <v>2133</v>
      </c>
      <c r="F2394" s="8" t="s">
        <v>2134</v>
      </c>
      <c r="G2394" s="8" t="s">
        <v>98</v>
      </c>
      <c r="H2394" s="8" t="s">
        <v>2133</v>
      </c>
      <c r="I2394" s="8"/>
      <c r="J2394" s="15" t="s">
        <v>1685</v>
      </c>
      <c r="K2394" s="15" t="s">
        <v>1685</v>
      </c>
      <c r="L2394" s="15" t="s">
        <v>1685</v>
      </c>
      <c r="M2394" s="8" t="s">
        <v>12963</v>
      </c>
      <c r="N2394" s="15" t="s">
        <v>1685</v>
      </c>
      <c r="O2394" s="8" t="s">
        <v>3653</v>
      </c>
      <c r="P2394" s="11" t="s">
        <v>3652</v>
      </c>
      <c r="Q2394" s="8" t="s">
        <v>12964</v>
      </c>
      <c r="R2394" s="8" t="s">
        <v>2139</v>
      </c>
      <c r="S2394" s="8" t="s">
        <v>13014</v>
      </c>
    </row>
    <row r="2395" spans="1:19" ht="51" customHeight="1" x14ac:dyDescent="0.25">
      <c r="A2395" s="8" t="s">
        <v>2147</v>
      </c>
      <c r="B2395" s="8" t="s">
        <v>12962</v>
      </c>
      <c r="C2395" s="8" t="s">
        <v>4721</v>
      </c>
      <c r="D2395" s="8"/>
      <c r="E2395" s="8" t="s">
        <v>2141</v>
      </c>
      <c r="F2395" s="8" t="s">
        <v>2142</v>
      </c>
      <c r="G2395" s="8" t="s">
        <v>98</v>
      </c>
      <c r="H2395" s="8" t="s">
        <v>2141</v>
      </c>
      <c r="I2395" s="8"/>
      <c r="J2395" s="15" t="s">
        <v>1685</v>
      </c>
      <c r="K2395" s="15" t="s">
        <v>1685</v>
      </c>
      <c r="L2395" s="15" t="s">
        <v>1685</v>
      </c>
      <c r="M2395" s="8" t="s">
        <v>12963</v>
      </c>
      <c r="N2395" s="15" t="s">
        <v>1685</v>
      </c>
      <c r="O2395" s="8" t="s">
        <v>3656</v>
      </c>
      <c r="P2395" s="11" t="s">
        <v>3655</v>
      </c>
      <c r="Q2395" s="8" t="s">
        <v>12964</v>
      </c>
      <c r="R2395" s="8" t="s">
        <v>2146</v>
      </c>
      <c r="S2395" s="8" t="s">
        <v>13015</v>
      </c>
    </row>
    <row r="2396" spans="1:19" ht="51" customHeight="1" x14ac:dyDescent="0.25">
      <c r="A2396" s="8" t="s">
        <v>2153</v>
      </c>
      <c r="B2396" s="8" t="s">
        <v>12962</v>
      </c>
      <c r="C2396" s="8" t="s">
        <v>4721</v>
      </c>
      <c r="D2396" s="8"/>
      <c r="E2396" s="8" t="s">
        <v>2148</v>
      </c>
      <c r="F2396" s="8" t="s">
        <v>2149</v>
      </c>
      <c r="G2396" s="8" t="s">
        <v>98</v>
      </c>
      <c r="H2396" s="8" t="s">
        <v>2148</v>
      </c>
      <c r="I2396" s="8"/>
      <c r="J2396" s="15" t="s">
        <v>1685</v>
      </c>
      <c r="K2396" s="15" t="s">
        <v>1685</v>
      </c>
      <c r="L2396" s="15" t="s">
        <v>1685</v>
      </c>
      <c r="M2396" s="8" t="s">
        <v>12963</v>
      </c>
      <c r="N2396" s="15" t="s">
        <v>1685</v>
      </c>
      <c r="O2396" s="8" t="s">
        <v>3598</v>
      </c>
      <c r="P2396" s="11" t="s">
        <v>3198</v>
      </c>
      <c r="Q2396" s="8" t="s">
        <v>12964</v>
      </c>
      <c r="R2396" s="8" t="s">
        <v>2152</v>
      </c>
      <c r="S2396" s="8" t="s">
        <v>13016</v>
      </c>
    </row>
    <row r="2397" spans="1:19" ht="36.950000000000003" customHeight="1" x14ac:dyDescent="0.25">
      <c r="A2397" s="8" t="s">
        <v>2158</v>
      </c>
      <c r="B2397" s="8" t="s">
        <v>12962</v>
      </c>
      <c r="C2397" s="8" t="s">
        <v>4721</v>
      </c>
      <c r="D2397" s="8"/>
      <c r="E2397" s="8" t="s">
        <v>2154</v>
      </c>
      <c r="F2397" s="8" t="s">
        <v>2155</v>
      </c>
      <c r="G2397" s="8" t="s">
        <v>98</v>
      </c>
      <c r="H2397" s="8" t="s">
        <v>2154</v>
      </c>
      <c r="I2397" s="8"/>
      <c r="J2397" s="15" t="s">
        <v>1685</v>
      </c>
      <c r="K2397" s="15" t="s">
        <v>1685</v>
      </c>
      <c r="L2397" s="15" t="s">
        <v>1685</v>
      </c>
      <c r="M2397" s="8" t="s">
        <v>12963</v>
      </c>
      <c r="N2397" s="15" t="s">
        <v>1685</v>
      </c>
      <c r="O2397" s="8" t="s">
        <v>2780</v>
      </c>
      <c r="P2397" s="11" t="s">
        <v>3702</v>
      </c>
      <c r="Q2397" s="8" t="s">
        <v>12964</v>
      </c>
      <c r="R2397" s="8" t="s">
        <v>2157</v>
      </c>
      <c r="S2397" s="8" t="s">
        <v>13017</v>
      </c>
    </row>
    <row r="2398" spans="1:19" ht="36.950000000000003" customHeight="1" x14ac:dyDescent="0.25">
      <c r="A2398" s="8" t="s">
        <v>13018</v>
      </c>
      <c r="B2398" s="8" t="s">
        <v>12962</v>
      </c>
      <c r="C2398" s="8" t="s">
        <v>4721</v>
      </c>
      <c r="D2398" s="8"/>
      <c r="E2398" s="8" t="s">
        <v>1678</v>
      </c>
      <c r="F2398" s="8" t="s">
        <v>1679</v>
      </c>
      <c r="G2398" s="8" t="s">
        <v>79</v>
      </c>
      <c r="H2398" s="8" t="s">
        <v>1678</v>
      </c>
      <c r="I2398" s="8"/>
      <c r="J2398" s="15" t="s">
        <v>1685</v>
      </c>
      <c r="K2398" s="15" t="s">
        <v>1685</v>
      </c>
      <c r="L2398" s="15" t="s">
        <v>1685</v>
      </c>
      <c r="M2398" s="8" t="s">
        <v>12963</v>
      </c>
      <c r="N2398" s="15" t="s">
        <v>1685</v>
      </c>
      <c r="O2398" s="8" t="s">
        <v>1681</v>
      </c>
      <c r="P2398" s="11" t="s">
        <v>3665</v>
      </c>
      <c r="Q2398" s="8" t="s">
        <v>12964</v>
      </c>
      <c r="R2398" s="8" t="s">
        <v>13019</v>
      </c>
      <c r="S2398" s="8" t="s">
        <v>13020</v>
      </c>
    </row>
    <row r="2399" spans="1:19" ht="36.950000000000003" customHeight="1" x14ac:dyDescent="0.25">
      <c r="A2399" s="8" t="s">
        <v>13021</v>
      </c>
      <c r="B2399" s="8" t="s">
        <v>12962</v>
      </c>
      <c r="C2399" s="8" t="s">
        <v>4721</v>
      </c>
      <c r="D2399" s="8"/>
      <c r="E2399" s="8" t="s">
        <v>1687</v>
      </c>
      <c r="F2399" s="8" t="s">
        <v>1688</v>
      </c>
      <c r="G2399" s="8" t="s">
        <v>79</v>
      </c>
      <c r="H2399" s="8" t="s">
        <v>1687</v>
      </c>
      <c r="I2399" s="8"/>
      <c r="J2399" s="15" t="s">
        <v>1685</v>
      </c>
      <c r="K2399" s="15" t="s">
        <v>1685</v>
      </c>
      <c r="L2399" s="15" t="s">
        <v>1685</v>
      </c>
      <c r="M2399" s="8" t="s">
        <v>12963</v>
      </c>
      <c r="N2399" s="15" t="s">
        <v>1685</v>
      </c>
      <c r="O2399" s="8" t="s">
        <v>1689</v>
      </c>
      <c r="P2399" s="11" t="s">
        <v>13022</v>
      </c>
      <c r="Q2399" s="8" t="s">
        <v>12964</v>
      </c>
      <c r="R2399" s="8" t="s">
        <v>13019</v>
      </c>
      <c r="S2399" s="8" t="s">
        <v>13023</v>
      </c>
    </row>
    <row r="2400" spans="1:19" ht="36.950000000000003" customHeight="1" x14ac:dyDescent="0.25">
      <c r="A2400" s="8" t="s">
        <v>13024</v>
      </c>
      <c r="B2400" s="8" t="s">
        <v>12962</v>
      </c>
      <c r="C2400" s="8" t="s">
        <v>4721</v>
      </c>
      <c r="D2400" s="8"/>
      <c r="E2400" s="8" t="s">
        <v>1693</v>
      </c>
      <c r="F2400" s="8" t="s">
        <v>1694</v>
      </c>
      <c r="G2400" s="8" t="s">
        <v>79</v>
      </c>
      <c r="H2400" s="8" t="s">
        <v>1693</v>
      </c>
      <c r="I2400" s="8"/>
      <c r="J2400" s="15" t="s">
        <v>1685</v>
      </c>
      <c r="K2400" s="15" t="s">
        <v>1685</v>
      </c>
      <c r="L2400" s="15" t="s">
        <v>1685</v>
      </c>
      <c r="M2400" s="8" t="s">
        <v>12963</v>
      </c>
      <c r="N2400" s="15" t="s">
        <v>1685</v>
      </c>
      <c r="O2400" s="8" t="s">
        <v>1695</v>
      </c>
      <c r="P2400" s="11" t="s">
        <v>13025</v>
      </c>
      <c r="Q2400" s="8" t="s">
        <v>12964</v>
      </c>
      <c r="R2400" s="8" t="s">
        <v>13019</v>
      </c>
      <c r="S2400" s="8" t="s">
        <v>13026</v>
      </c>
    </row>
    <row r="2401" spans="1:19" ht="36.950000000000003" customHeight="1" x14ac:dyDescent="0.25">
      <c r="A2401" s="8" t="s">
        <v>13027</v>
      </c>
      <c r="B2401" s="8" t="s">
        <v>12962</v>
      </c>
      <c r="C2401" s="8" t="s">
        <v>4721</v>
      </c>
      <c r="D2401" s="8"/>
      <c r="E2401" s="8" t="s">
        <v>1710</v>
      </c>
      <c r="F2401" s="8" t="s">
        <v>1711</v>
      </c>
      <c r="G2401" s="8" t="s">
        <v>87</v>
      </c>
      <c r="H2401" s="8" t="s">
        <v>1710</v>
      </c>
      <c r="I2401" s="8"/>
      <c r="J2401" s="15" t="s">
        <v>1685</v>
      </c>
      <c r="K2401" s="15" t="s">
        <v>1685</v>
      </c>
      <c r="L2401" s="15" t="s">
        <v>1685</v>
      </c>
      <c r="M2401" s="8" t="s">
        <v>12963</v>
      </c>
      <c r="N2401" s="15" t="s">
        <v>1685</v>
      </c>
      <c r="O2401" s="8" t="s">
        <v>1712</v>
      </c>
      <c r="P2401" s="11" t="s">
        <v>13028</v>
      </c>
      <c r="Q2401" s="8" t="s">
        <v>12964</v>
      </c>
      <c r="R2401" s="8" t="s">
        <v>13019</v>
      </c>
      <c r="S2401" s="8" t="s">
        <v>13029</v>
      </c>
    </row>
    <row r="2402" spans="1:19" ht="36.950000000000003" customHeight="1" x14ac:dyDescent="0.25">
      <c r="A2402" s="8" t="s">
        <v>13030</v>
      </c>
      <c r="B2402" s="8" t="s">
        <v>12962</v>
      </c>
      <c r="C2402" s="8" t="s">
        <v>4721</v>
      </c>
      <c r="D2402" s="8"/>
      <c r="E2402" s="8" t="s">
        <v>1715</v>
      </c>
      <c r="F2402" s="8" t="s">
        <v>1716</v>
      </c>
      <c r="G2402" s="8" t="s">
        <v>87</v>
      </c>
      <c r="H2402" s="8" t="s">
        <v>1715</v>
      </c>
      <c r="I2402" s="8"/>
      <c r="J2402" s="15" t="s">
        <v>1685</v>
      </c>
      <c r="K2402" s="15" t="s">
        <v>1685</v>
      </c>
      <c r="L2402" s="15" t="s">
        <v>1685</v>
      </c>
      <c r="M2402" s="8" t="s">
        <v>12963</v>
      </c>
      <c r="N2402" s="15" t="s">
        <v>1685</v>
      </c>
      <c r="O2402" s="8" t="s">
        <v>1712</v>
      </c>
      <c r="P2402" s="11" t="s">
        <v>3679</v>
      </c>
      <c r="Q2402" s="8" t="s">
        <v>12964</v>
      </c>
      <c r="R2402" s="8" t="s">
        <v>13019</v>
      </c>
      <c r="S2402" s="8" t="s">
        <v>13031</v>
      </c>
    </row>
    <row r="2403" spans="1:19" ht="51" customHeight="1" x14ac:dyDescent="0.25">
      <c r="A2403" s="8" t="s">
        <v>13032</v>
      </c>
      <c r="B2403" s="8" t="s">
        <v>12962</v>
      </c>
      <c r="C2403" s="8" t="s">
        <v>4721</v>
      </c>
      <c r="D2403" s="8"/>
      <c r="E2403" s="8" t="s">
        <v>1723</v>
      </c>
      <c r="F2403" s="8" t="s">
        <v>1724</v>
      </c>
      <c r="G2403" s="8" t="s">
        <v>93</v>
      </c>
      <c r="H2403" s="8" t="s">
        <v>1723</v>
      </c>
      <c r="I2403" s="8"/>
      <c r="J2403" s="15" t="s">
        <v>1685</v>
      </c>
      <c r="K2403" s="15" t="s">
        <v>1685</v>
      </c>
      <c r="L2403" s="15" t="s">
        <v>1685</v>
      </c>
      <c r="M2403" s="8" t="s">
        <v>12963</v>
      </c>
      <c r="N2403" s="15" t="s">
        <v>1685</v>
      </c>
      <c r="O2403" s="8" t="s">
        <v>1725</v>
      </c>
      <c r="P2403" s="11" t="s">
        <v>3684</v>
      </c>
      <c r="Q2403" s="8" t="s">
        <v>12964</v>
      </c>
      <c r="R2403" s="8" t="s">
        <v>13019</v>
      </c>
      <c r="S2403" s="8" t="s">
        <v>13033</v>
      </c>
    </row>
    <row r="2404" spans="1:19" ht="36.950000000000003" customHeight="1" x14ac:dyDescent="0.25">
      <c r="A2404" s="8" t="s">
        <v>13034</v>
      </c>
      <c r="B2404" s="8" t="s">
        <v>12962</v>
      </c>
      <c r="C2404" s="8" t="s">
        <v>4721</v>
      </c>
      <c r="D2404" s="8"/>
      <c r="E2404" s="8" t="s">
        <v>1728</v>
      </c>
      <c r="F2404" s="8" t="s">
        <v>1729</v>
      </c>
      <c r="G2404" s="8" t="s">
        <v>93</v>
      </c>
      <c r="H2404" s="8" t="s">
        <v>1728</v>
      </c>
      <c r="I2404" s="8"/>
      <c r="J2404" s="15" t="s">
        <v>1685</v>
      </c>
      <c r="K2404" s="15" t="s">
        <v>1685</v>
      </c>
      <c r="L2404" s="15" t="s">
        <v>1685</v>
      </c>
      <c r="M2404" s="8" t="s">
        <v>12963</v>
      </c>
      <c r="N2404" s="15" t="s">
        <v>1685</v>
      </c>
      <c r="O2404" s="8" t="s">
        <v>1730</v>
      </c>
      <c r="P2404" s="11" t="s">
        <v>3686</v>
      </c>
      <c r="Q2404" s="8" t="s">
        <v>12964</v>
      </c>
      <c r="R2404" s="8" t="s">
        <v>13019</v>
      </c>
      <c r="S2404" s="8" t="s">
        <v>13035</v>
      </c>
    </row>
    <row r="2405" spans="1:19" ht="36.950000000000003" customHeight="1" x14ac:dyDescent="0.25">
      <c r="A2405" s="8" t="s">
        <v>13036</v>
      </c>
      <c r="B2405" s="8" t="s">
        <v>12962</v>
      </c>
      <c r="C2405" s="8" t="s">
        <v>4721</v>
      </c>
      <c r="D2405" s="8"/>
      <c r="E2405" s="8" t="s">
        <v>1734</v>
      </c>
      <c r="F2405" s="8" t="s">
        <v>1735</v>
      </c>
      <c r="G2405" s="8" t="s">
        <v>93</v>
      </c>
      <c r="H2405" s="8" t="s">
        <v>1734</v>
      </c>
      <c r="I2405" s="8"/>
      <c r="J2405" s="15" t="s">
        <v>1685</v>
      </c>
      <c r="K2405" s="15" t="s">
        <v>1685</v>
      </c>
      <c r="L2405" s="15" t="s">
        <v>1685</v>
      </c>
      <c r="M2405" s="8" t="s">
        <v>12963</v>
      </c>
      <c r="N2405" s="15" t="s">
        <v>1685</v>
      </c>
      <c r="O2405" s="8" t="s">
        <v>1736</v>
      </c>
      <c r="P2405" s="11" t="s">
        <v>3691</v>
      </c>
      <c r="Q2405" s="8" t="s">
        <v>12964</v>
      </c>
      <c r="R2405" s="8" t="s">
        <v>13019</v>
      </c>
      <c r="S2405" s="8" t="s">
        <v>13037</v>
      </c>
    </row>
    <row r="2406" spans="1:19" ht="65.099999999999994" customHeight="1" x14ac:dyDescent="0.25">
      <c r="A2406" s="8" t="s">
        <v>13038</v>
      </c>
      <c r="B2406" s="8" t="s">
        <v>12962</v>
      </c>
      <c r="C2406" s="8" t="s">
        <v>4721</v>
      </c>
      <c r="D2406" s="8"/>
      <c r="E2406" s="8" t="s">
        <v>1739</v>
      </c>
      <c r="F2406" s="8" t="s">
        <v>1740</v>
      </c>
      <c r="G2406" s="8" t="s">
        <v>93</v>
      </c>
      <c r="H2406" s="8" t="s">
        <v>1739</v>
      </c>
      <c r="I2406" s="8"/>
      <c r="J2406" s="15" t="s">
        <v>1685</v>
      </c>
      <c r="K2406" s="15" t="s">
        <v>1685</v>
      </c>
      <c r="L2406" s="15" t="s">
        <v>1685</v>
      </c>
      <c r="M2406" s="8" t="s">
        <v>12963</v>
      </c>
      <c r="N2406" s="15" t="s">
        <v>1685</v>
      </c>
      <c r="O2406" s="8" t="s">
        <v>1741</v>
      </c>
      <c r="P2406" s="11" t="s">
        <v>3685</v>
      </c>
      <c r="Q2406" s="8" t="s">
        <v>12964</v>
      </c>
      <c r="R2406" s="8" t="s">
        <v>13019</v>
      </c>
      <c r="S2406" s="8" t="s">
        <v>13039</v>
      </c>
    </row>
    <row r="2407" spans="1:19" ht="36.950000000000003" customHeight="1" x14ac:dyDescent="0.25">
      <c r="A2407" s="8" t="s">
        <v>13040</v>
      </c>
      <c r="B2407" s="8" t="s">
        <v>12962</v>
      </c>
      <c r="C2407" s="8" t="s">
        <v>4721</v>
      </c>
      <c r="D2407" s="8"/>
      <c r="E2407" s="8" t="s">
        <v>1745</v>
      </c>
      <c r="F2407" s="8" t="s">
        <v>1746</v>
      </c>
      <c r="G2407" s="8" t="s">
        <v>93</v>
      </c>
      <c r="H2407" s="8" t="s">
        <v>1745</v>
      </c>
      <c r="I2407" s="8"/>
      <c r="J2407" s="15" t="s">
        <v>1685</v>
      </c>
      <c r="K2407" s="15" t="s">
        <v>1685</v>
      </c>
      <c r="L2407" s="15" t="s">
        <v>1685</v>
      </c>
      <c r="M2407" s="8" t="s">
        <v>12963</v>
      </c>
      <c r="N2407" s="15" t="s">
        <v>1685</v>
      </c>
      <c r="O2407" s="8" t="s">
        <v>1747</v>
      </c>
      <c r="P2407" s="11" t="s">
        <v>3687</v>
      </c>
      <c r="Q2407" s="8" t="s">
        <v>12964</v>
      </c>
      <c r="R2407" s="8" t="s">
        <v>13019</v>
      </c>
      <c r="S2407" s="8" t="s">
        <v>13041</v>
      </c>
    </row>
    <row r="2408" spans="1:19" ht="36.950000000000003" customHeight="1" x14ac:dyDescent="0.25">
      <c r="A2408" s="8" t="s">
        <v>13042</v>
      </c>
      <c r="B2408" s="8" t="s">
        <v>12962</v>
      </c>
      <c r="C2408" s="8" t="s">
        <v>4721</v>
      </c>
      <c r="D2408" s="8"/>
      <c r="E2408" s="8" t="s">
        <v>1750</v>
      </c>
      <c r="F2408" s="8" t="s">
        <v>1751</v>
      </c>
      <c r="G2408" s="8" t="s">
        <v>93</v>
      </c>
      <c r="H2408" s="8" t="s">
        <v>1750</v>
      </c>
      <c r="I2408" s="8"/>
      <c r="J2408" s="15" t="s">
        <v>1685</v>
      </c>
      <c r="K2408" s="15" t="s">
        <v>1685</v>
      </c>
      <c r="L2408" s="15" t="s">
        <v>1685</v>
      </c>
      <c r="M2408" s="8" t="s">
        <v>12963</v>
      </c>
      <c r="N2408" s="15" t="s">
        <v>1685</v>
      </c>
      <c r="O2408" s="8" t="s">
        <v>1752</v>
      </c>
      <c r="P2408" s="11" t="s">
        <v>3688</v>
      </c>
      <c r="Q2408" s="8" t="s">
        <v>12964</v>
      </c>
      <c r="R2408" s="8" t="s">
        <v>13019</v>
      </c>
      <c r="S2408" s="8" t="s">
        <v>13043</v>
      </c>
    </row>
    <row r="2409" spans="1:19" ht="36.950000000000003" customHeight="1" x14ac:dyDescent="0.25">
      <c r="A2409" s="8" t="s">
        <v>13044</v>
      </c>
      <c r="B2409" s="8" t="s">
        <v>12962</v>
      </c>
      <c r="C2409" s="8" t="s">
        <v>4721</v>
      </c>
      <c r="D2409" s="8"/>
      <c r="E2409" s="8" t="s">
        <v>2690</v>
      </c>
      <c r="F2409" s="8" t="s">
        <v>2691</v>
      </c>
      <c r="G2409" s="8" t="s">
        <v>118</v>
      </c>
      <c r="H2409" s="8" t="s">
        <v>2690</v>
      </c>
      <c r="I2409" s="8"/>
      <c r="J2409" s="15" t="s">
        <v>1685</v>
      </c>
      <c r="K2409" s="15" t="s">
        <v>1685</v>
      </c>
      <c r="L2409" s="15" t="s">
        <v>1685</v>
      </c>
      <c r="M2409" s="8" t="s">
        <v>12963</v>
      </c>
      <c r="N2409" s="15" t="s">
        <v>1685</v>
      </c>
      <c r="O2409" s="8" t="s">
        <v>2692</v>
      </c>
      <c r="P2409" s="11" t="s">
        <v>3707</v>
      </c>
      <c r="Q2409" s="8" t="s">
        <v>12964</v>
      </c>
      <c r="R2409" s="8" t="s">
        <v>13019</v>
      </c>
      <c r="S2409" s="8" t="s">
        <v>13045</v>
      </c>
    </row>
    <row r="2410" spans="1:19" ht="36.950000000000003" customHeight="1" x14ac:dyDescent="0.25">
      <c r="A2410" s="8" t="s">
        <v>13046</v>
      </c>
      <c r="B2410" s="8" t="s">
        <v>12962</v>
      </c>
      <c r="C2410" s="8" t="s">
        <v>4721</v>
      </c>
      <c r="D2410" s="8"/>
      <c r="E2410" s="8" t="s">
        <v>2695</v>
      </c>
      <c r="F2410" s="8" t="s">
        <v>2696</v>
      </c>
      <c r="G2410" s="8" t="s">
        <v>118</v>
      </c>
      <c r="H2410" s="8" t="s">
        <v>2695</v>
      </c>
      <c r="I2410" s="8"/>
      <c r="J2410" s="15" t="s">
        <v>1685</v>
      </c>
      <c r="K2410" s="15" t="s">
        <v>1685</v>
      </c>
      <c r="L2410" s="15" t="s">
        <v>1685</v>
      </c>
      <c r="M2410" s="8" t="s">
        <v>12963</v>
      </c>
      <c r="N2410" s="15" t="s">
        <v>1685</v>
      </c>
      <c r="O2410" s="8" t="s">
        <v>2692</v>
      </c>
      <c r="P2410" s="11" t="s">
        <v>3708</v>
      </c>
      <c r="Q2410" s="8" t="s">
        <v>12964</v>
      </c>
      <c r="R2410" s="8" t="s">
        <v>13019</v>
      </c>
      <c r="S2410" s="8" t="s">
        <v>13047</v>
      </c>
    </row>
    <row r="2411" spans="1:19" ht="36.950000000000003" customHeight="1" x14ac:dyDescent="0.25">
      <c r="A2411" s="8" t="s">
        <v>13048</v>
      </c>
      <c r="B2411" s="8" t="s">
        <v>12962</v>
      </c>
      <c r="C2411" s="8" t="s">
        <v>4721</v>
      </c>
      <c r="D2411" s="8"/>
      <c r="E2411" s="8" t="s">
        <v>2699</v>
      </c>
      <c r="F2411" s="8" t="s">
        <v>2700</v>
      </c>
      <c r="G2411" s="8" t="s">
        <v>118</v>
      </c>
      <c r="H2411" s="8" t="s">
        <v>2699</v>
      </c>
      <c r="I2411" s="8"/>
      <c r="J2411" s="15" t="s">
        <v>1685</v>
      </c>
      <c r="K2411" s="15" t="s">
        <v>1685</v>
      </c>
      <c r="L2411" s="15" t="s">
        <v>1685</v>
      </c>
      <c r="M2411" s="8" t="s">
        <v>12963</v>
      </c>
      <c r="N2411" s="15" t="s">
        <v>1685</v>
      </c>
      <c r="O2411" s="8" t="s">
        <v>2692</v>
      </c>
      <c r="P2411" s="11" t="s">
        <v>3709</v>
      </c>
      <c r="Q2411" s="8" t="s">
        <v>12964</v>
      </c>
      <c r="R2411" s="8" t="s">
        <v>13019</v>
      </c>
      <c r="S2411" s="8" t="s">
        <v>13049</v>
      </c>
    </row>
    <row r="2412" spans="1:19" ht="36.950000000000003" customHeight="1" x14ac:dyDescent="0.25">
      <c r="A2412" s="8" t="s">
        <v>13050</v>
      </c>
      <c r="B2412" s="8" t="s">
        <v>12962</v>
      </c>
      <c r="C2412" s="8" t="s">
        <v>4721</v>
      </c>
      <c r="D2412" s="8"/>
      <c r="E2412" s="8" t="s">
        <v>2703</v>
      </c>
      <c r="F2412" s="8" t="s">
        <v>2704</v>
      </c>
      <c r="G2412" s="8" t="s">
        <v>118</v>
      </c>
      <c r="H2412" s="8" t="s">
        <v>2703</v>
      </c>
      <c r="I2412" s="8"/>
      <c r="J2412" s="15" t="s">
        <v>1685</v>
      </c>
      <c r="K2412" s="15" t="s">
        <v>1685</v>
      </c>
      <c r="L2412" s="15" t="s">
        <v>1685</v>
      </c>
      <c r="M2412" s="8" t="s">
        <v>12963</v>
      </c>
      <c r="N2412" s="15" t="s">
        <v>1685</v>
      </c>
      <c r="O2412" s="8" t="s">
        <v>2692</v>
      </c>
      <c r="P2412" s="11" t="s">
        <v>3710</v>
      </c>
      <c r="Q2412" s="8" t="s">
        <v>12964</v>
      </c>
      <c r="R2412" s="8" t="s">
        <v>13019</v>
      </c>
      <c r="S2412" s="8" t="s">
        <v>13051</v>
      </c>
    </row>
    <row r="2413" spans="1:19" ht="36.950000000000003" customHeight="1" x14ac:dyDescent="0.25">
      <c r="A2413" s="8" t="s">
        <v>13052</v>
      </c>
      <c r="B2413" s="8" t="s">
        <v>12962</v>
      </c>
      <c r="C2413" s="8" t="s">
        <v>4721</v>
      </c>
      <c r="D2413" s="8"/>
      <c r="E2413" s="8" t="s">
        <v>2707</v>
      </c>
      <c r="F2413" s="8" t="s">
        <v>2708</v>
      </c>
      <c r="G2413" s="8" t="s">
        <v>118</v>
      </c>
      <c r="H2413" s="8" t="s">
        <v>2707</v>
      </c>
      <c r="I2413" s="8"/>
      <c r="J2413" s="15" t="s">
        <v>1685</v>
      </c>
      <c r="K2413" s="15" t="s">
        <v>1685</v>
      </c>
      <c r="L2413" s="15" t="s">
        <v>1685</v>
      </c>
      <c r="M2413" s="8" t="s">
        <v>12963</v>
      </c>
      <c r="N2413" s="15" t="s">
        <v>1685</v>
      </c>
      <c r="O2413" s="8" t="s">
        <v>2692</v>
      </c>
      <c r="P2413" s="11" t="s">
        <v>3711</v>
      </c>
      <c r="Q2413" s="8" t="s">
        <v>12964</v>
      </c>
      <c r="R2413" s="8" t="s">
        <v>13019</v>
      </c>
      <c r="S2413" s="8" t="s">
        <v>13053</v>
      </c>
    </row>
    <row r="2414" spans="1:19" ht="36.950000000000003" customHeight="1" x14ac:dyDescent="0.25">
      <c r="A2414" s="8" t="s">
        <v>13054</v>
      </c>
      <c r="B2414" s="8" t="s">
        <v>12962</v>
      </c>
      <c r="C2414" s="8" t="s">
        <v>4721</v>
      </c>
      <c r="D2414" s="8"/>
      <c r="E2414" s="8" t="s">
        <v>2712</v>
      </c>
      <c r="F2414" s="8" t="s">
        <v>2713</v>
      </c>
      <c r="G2414" s="8" t="s">
        <v>118</v>
      </c>
      <c r="H2414" s="8" t="s">
        <v>2712</v>
      </c>
      <c r="I2414" s="8"/>
      <c r="J2414" s="15" t="s">
        <v>1685</v>
      </c>
      <c r="K2414" s="15" t="s">
        <v>1685</v>
      </c>
      <c r="L2414" s="15" t="s">
        <v>1685</v>
      </c>
      <c r="M2414" s="8" t="s">
        <v>12963</v>
      </c>
      <c r="N2414" s="15" t="s">
        <v>1685</v>
      </c>
      <c r="O2414" s="8" t="s">
        <v>2692</v>
      </c>
      <c r="P2414" s="11" t="s">
        <v>3712</v>
      </c>
      <c r="Q2414" s="8" t="s">
        <v>12964</v>
      </c>
      <c r="R2414" s="8" t="s">
        <v>13019</v>
      </c>
      <c r="S2414" s="8" t="s">
        <v>13055</v>
      </c>
    </row>
    <row r="2415" spans="1:19" ht="36.950000000000003" customHeight="1" x14ac:dyDescent="0.25">
      <c r="A2415" s="8" t="s">
        <v>13056</v>
      </c>
      <c r="B2415" s="8" t="s">
        <v>12962</v>
      </c>
      <c r="C2415" s="8" t="s">
        <v>4721</v>
      </c>
      <c r="D2415" s="8"/>
      <c r="E2415" s="8" t="s">
        <v>2720</v>
      </c>
      <c r="F2415" s="8" t="s">
        <v>2721</v>
      </c>
      <c r="G2415" s="8" t="s">
        <v>123</v>
      </c>
      <c r="H2415" s="8" t="s">
        <v>2720</v>
      </c>
      <c r="I2415" s="8"/>
      <c r="J2415" s="15" t="s">
        <v>1685</v>
      </c>
      <c r="K2415" s="15" t="s">
        <v>1685</v>
      </c>
      <c r="L2415" s="15" t="s">
        <v>1685</v>
      </c>
      <c r="M2415" s="8" t="s">
        <v>12963</v>
      </c>
      <c r="N2415" s="15" t="s">
        <v>1685</v>
      </c>
      <c r="O2415" s="8" t="s">
        <v>2722</v>
      </c>
      <c r="P2415" s="11" t="s">
        <v>3692</v>
      </c>
      <c r="Q2415" s="8" t="s">
        <v>12964</v>
      </c>
      <c r="R2415" s="8" t="s">
        <v>13019</v>
      </c>
      <c r="S2415" s="8" t="s">
        <v>13057</v>
      </c>
    </row>
    <row r="2416" spans="1:19" ht="36.950000000000003" customHeight="1" x14ac:dyDescent="0.25">
      <c r="A2416" s="8" t="s">
        <v>13058</v>
      </c>
      <c r="B2416" s="8" t="s">
        <v>12962</v>
      </c>
      <c r="C2416" s="8" t="s">
        <v>4721</v>
      </c>
      <c r="D2416" s="8"/>
      <c r="E2416" s="8" t="s">
        <v>2725</v>
      </c>
      <c r="F2416" s="8" t="s">
        <v>2726</v>
      </c>
      <c r="G2416" s="8" t="s">
        <v>123</v>
      </c>
      <c r="H2416" s="8" t="s">
        <v>2725</v>
      </c>
      <c r="I2416" s="8"/>
      <c r="J2416" s="15" t="s">
        <v>1685</v>
      </c>
      <c r="K2416" s="15" t="s">
        <v>1685</v>
      </c>
      <c r="L2416" s="15" t="s">
        <v>1685</v>
      </c>
      <c r="M2416" s="8" t="s">
        <v>12963</v>
      </c>
      <c r="N2416" s="15" t="s">
        <v>1685</v>
      </c>
      <c r="O2416" s="8" t="s">
        <v>2727</v>
      </c>
      <c r="P2416" s="11" t="s">
        <v>3693</v>
      </c>
      <c r="Q2416" s="8" t="s">
        <v>12964</v>
      </c>
      <c r="R2416" s="8" t="s">
        <v>13019</v>
      </c>
      <c r="S2416" s="8" t="s">
        <v>13059</v>
      </c>
    </row>
    <row r="2417" spans="1:19" ht="36.950000000000003" customHeight="1" x14ac:dyDescent="0.25">
      <c r="A2417" s="8" t="s">
        <v>13060</v>
      </c>
      <c r="B2417" s="8" t="s">
        <v>12962</v>
      </c>
      <c r="C2417" s="8" t="s">
        <v>4721</v>
      </c>
      <c r="D2417" s="8"/>
      <c r="E2417" s="8" t="s">
        <v>2730</v>
      </c>
      <c r="F2417" s="8" t="s">
        <v>2731</v>
      </c>
      <c r="G2417" s="8" t="s">
        <v>123</v>
      </c>
      <c r="H2417" s="8" t="s">
        <v>2730</v>
      </c>
      <c r="I2417" s="8"/>
      <c r="J2417" s="15" t="s">
        <v>1685</v>
      </c>
      <c r="K2417" s="15" t="s">
        <v>1685</v>
      </c>
      <c r="L2417" s="15" t="s">
        <v>1685</v>
      </c>
      <c r="M2417" s="8" t="s">
        <v>12963</v>
      </c>
      <c r="N2417" s="15" t="s">
        <v>1685</v>
      </c>
      <c r="O2417" s="8" t="s">
        <v>2732</v>
      </c>
      <c r="P2417" s="11" t="s">
        <v>3694</v>
      </c>
      <c r="Q2417" s="8" t="s">
        <v>12964</v>
      </c>
      <c r="R2417" s="8" t="s">
        <v>13019</v>
      </c>
      <c r="S2417" s="8" t="s">
        <v>13061</v>
      </c>
    </row>
    <row r="2418" spans="1:19" ht="36.950000000000003" customHeight="1" x14ac:dyDescent="0.25">
      <c r="A2418" s="8" t="s">
        <v>13062</v>
      </c>
      <c r="B2418" s="8" t="s">
        <v>12962</v>
      </c>
      <c r="C2418" s="8" t="s">
        <v>4721</v>
      </c>
      <c r="D2418" s="8"/>
      <c r="E2418" s="8" t="s">
        <v>2735</v>
      </c>
      <c r="F2418" s="8" t="s">
        <v>2736</v>
      </c>
      <c r="G2418" s="8" t="s">
        <v>123</v>
      </c>
      <c r="H2418" s="8" t="s">
        <v>2735</v>
      </c>
      <c r="I2418" s="8"/>
      <c r="J2418" s="15" t="s">
        <v>1685</v>
      </c>
      <c r="K2418" s="15" t="s">
        <v>1685</v>
      </c>
      <c r="L2418" s="15" t="s">
        <v>1685</v>
      </c>
      <c r="M2418" s="8" t="s">
        <v>12963</v>
      </c>
      <c r="N2418" s="15" t="s">
        <v>1685</v>
      </c>
      <c r="O2418" s="8" t="s">
        <v>2737</v>
      </c>
      <c r="P2418" s="11" t="s">
        <v>3695</v>
      </c>
      <c r="Q2418" s="8" t="s">
        <v>12964</v>
      </c>
      <c r="R2418" s="8" t="s">
        <v>13019</v>
      </c>
      <c r="S2418" s="8" t="s">
        <v>13063</v>
      </c>
    </row>
    <row r="2419" spans="1:19" ht="36.950000000000003" customHeight="1" x14ac:dyDescent="0.25">
      <c r="A2419" s="8" t="s">
        <v>13064</v>
      </c>
      <c r="B2419" s="8" t="s">
        <v>12962</v>
      </c>
      <c r="C2419" s="8" t="s">
        <v>4721</v>
      </c>
      <c r="D2419" s="8"/>
      <c r="E2419" s="8" t="s">
        <v>2749</v>
      </c>
      <c r="F2419" s="8" t="s">
        <v>2750</v>
      </c>
      <c r="G2419" s="8" t="s">
        <v>127</v>
      </c>
      <c r="H2419" s="8" t="s">
        <v>2749</v>
      </c>
      <c r="I2419" s="8"/>
      <c r="J2419" s="15" t="s">
        <v>1685</v>
      </c>
      <c r="K2419" s="15" t="s">
        <v>1685</v>
      </c>
      <c r="L2419" s="15" t="s">
        <v>1685</v>
      </c>
      <c r="M2419" s="8" t="s">
        <v>12963</v>
      </c>
      <c r="N2419" s="15" t="s">
        <v>1685</v>
      </c>
      <c r="O2419" s="8" t="s">
        <v>2751</v>
      </c>
      <c r="P2419" s="11" t="s">
        <v>3696</v>
      </c>
      <c r="Q2419" s="8" t="s">
        <v>12964</v>
      </c>
      <c r="R2419" s="8" t="s">
        <v>13019</v>
      </c>
      <c r="S2419" s="8" t="s">
        <v>13065</v>
      </c>
    </row>
    <row r="2420" spans="1:19" ht="36.950000000000003" customHeight="1" x14ac:dyDescent="0.25">
      <c r="A2420" s="8" t="s">
        <v>13066</v>
      </c>
      <c r="B2420" s="8" t="s">
        <v>12962</v>
      </c>
      <c r="C2420" s="8" t="s">
        <v>4721</v>
      </c>
      <c r="D2420" s="8"/>
      <c r="E2420" s="8" t="s">
        <v>2754</v>
      </c>
      <c r="F2420" s="8" t="s">
        <v>2755</v>
      </c>
      <c r="G2420" s="8" t="s">
        <v>127</v>
      </c>
      <c r="H2420" s="8" t="s">
        <v>2754</v>
      </c>
      <c r="I2420" s="8"/>
      <c r="J2420" s="15" t="s">
        <v>1685</v>
      </c>
      <c r="K2420" s="15" t="s">
        <v>1685</v>
      </c>
      <c r="L2420" s="15" t="s">
        <v>1685</v>
      </c>
      <c r="M2420" s="8" t="s">
        <v>12963</v>
      </c>
      <c r="N2420" s="15" t="s">
        <v>1685</v>
      </c>
      <c r="O2420" s="8" t="s">
        <v>2751</v>
      </c>
      <c r="P2420" s="11" t="s">
        <v>3697</v>
      </c>
      <c r="Q2420" s="8" t="s">
        <v>12964</v>
      </c>
      <c r="R2420" s="8" t="s">
        <v>13019</v>
      </c>
      <c r="S2420" s="8" t="s">
        <v>13067</v>
      </c>
    </row>
    <row r="2421" spans="1:19" ht="36.950000000000003" customHeight="1" x14ac:dyDescent="0.25">
      <c r="A2421" s="8" t="s">
        <v>13068</v>
      </c>
      <c r="B2421" s="8" t="s">
        <v>12962</v>
      </c>
      <c r="C2421" s="8" t="s">
        <v>4721</v>
      </c>
      <c r="D2421" s="8"/>
      <c r="E2421" s="8" t="s">
        <v>2758</v>
      </c>
      <c r="F2421" s="8" t="s">
        <v>2759</v>
      </c>
      <c r="G2421" s="8" t="s">
        <v>127</v>
      </c>
      <c r="H2421" s="8" t="s">
        <v>2758</v>
      </c>
      <c r="I2421" s="8"/>
      <c r="J2421" s="15" t="s">
        <v>1685</v>
      </c>
      <c r="K2421" s="15" t="s">
        <v>1685</v>
      </c>
      <c r="L2421" s="15" t="s">
        <v>1685</v>
      </c>
      <c r="M2421" s="8" t="s">
        <v>12963</v>
      </c>
      <c r="N2421" s="15" t="s">
        <v>1685</v>
      </c>
      <c r="O2421" s="8" t="s">
        <v>2760</v>
      </c>
      <c r="P2421" s="11" t="s">
        <v>3698</v>
      </c>
      <c r="Q2421" s="8" t="s">
        <v>12964</v>
      </c>
      <c r="R2421" s="8" t="s">
        <v>13019</v>
      </c>
      <c r="S2421" s="8" t="s">
        <v>13069</v>
      </c>
    </row>
    <row r="2422" spans="1:19" ht="36.950000000000003" customHeight="1" x14ac:dyDescent="0.25">
      <c r="A2422" s="8" t="s">
        <v>13070</v>
      </c>
      <c r="B2422" s="8" t="s">
        <v>12962</v>
      </c>
      <c r="C2422" s="8" t="s">
        <v>4721</v>
      </c>
      <c r="D2422" s="8"/>
      <c r="E2422" s="8" t="s">
        <v>2763</v>
      </c>
      <c r="F2422" s="8" t="s">
        <v>2764</v>
      </c>
      <c r="G2422" s="8" t="s">
        <v>133</v>
      </c>
      <c r="H2422" s="8" t="s">
        <v>2763</v>
      </c>
      <c r="I2422" s="8"/>
      <c r="J2422" s="15" t="s">
        <v>1685</v>
      </c>
      <c r="K2422" s="15" t="s">
        <v>1685</v>
      </c>
      <c r="L2422" s="15" t="s">
        <v>1685</v>
      </c>
      <c r="M2422" s="8" t="s">
        <v>12963</v>
      </c>
      <c r="N2422" s="15" t="s">
        <v>1685</v>
      </c>
      <c r="O2422" s="8" t="s">
        <v>2765</v>
      </c>
      <c r="P2422" s="11" t="s">
        <v>3699</v>
      </c>
      <c r="Q2422" s="8" t="s">
        <v>12964</v>
      </c>
      <c r="R2422" s="8" t="s">
        <v>13019</v>
      </c>
      <c r="S2422" s="8" t="s">
        <v>13071</v>
      </c>
    </row>
    <row r="2423" spans="1:19" ht="36.950000000000003" customHeight="1" x14ac:dyDescent="0.25">
      <c r="A2423" s="8" t="s">
        <v>13072</v>
      </c>
      <c r="B2423" s="8" t="s">
        <v>12962</v>
      </c>
      <c r="C2423" s="8" t="s">
        <v>4721</v>
      </c>
      <c r="D2423" s="8"/>
      <c r="E2423" s="8" t="s">
        <v>2768</v>
      </c>
      <c r="F2423" s="8" t="s">
        <v>2769</v>
      </c>
      <c r="G2423" s="8" t="s">
        <v>133</v>
      </c>
      <c r="H2423" s="8" t="s">
        <v>2768</v>
      </c>
      <c r="I2423" s="8"/>
      <c r="J2423" s="15" t="s">
        <v>1685</v>
      </c>
      <c r="K2423" s="15" t="s">
        <v>1685</v>
      </c>
      <c r="L2423" s="15" t="s">
        <v>1685</v>
      </c>
      <c r="M2423" s="8" t="s">
        <v>12963</v>
      </c>
      <c r="N2423" s="15" t="s">
        <v>1685</v>
      </c>
      <c r="O2423" s="8" t="s">
        <v>2770</v>
      </c>
      <c r="P2423" s="11" t="s">
        <v>3700</v>
      </c>
      <c r="Q2423" s="8" t="s">
        <v>12964</v>
      </c>
      <c r="R2423" s="8" t="s">
        <v>13019</v>
      </c>
      <c r="S2423" s="8" t="s">
        <v>13073</v>
      </c>
    </row>
    <row r="2424" spans="1:19" ht="51" customHeight="1" x14ac:dyDescent="0.25">
      <c r="A2424" s="8" t="s">
        <v>13074</v>
      </c>
      <c r="B2424" s="8" t="s">
        <v>12962</v>
      </c>
      <c r="C2424" s="8" t="s">
        <v>4721</v>
      </c>
      <c r="D2424" s="8"/>
      <c r="E2424" s="8" t="s">
        <v>2773</v>
      </c>
      <c r="F2424" s="8" t="s">
        <v>1724</v>
      </c>
      <c r="G2424" s="8" t="s">
        <v>133</v>
      </c>
      <c r="H2424" s="8" t="s">
        <v>2773</v>
      </c>
      <c r="I2424" s="8"/>
      <c r="J2424" s="15" t="s">
        <v>1685</v>
      </c>
      <c r="K2424" s="15" t="s">
        <v>1685</v>
      </c>
      <c r="L2424" s="15" t="s">
        <v>1685</v>
      </c>
      <c r="M2424" s="8" t="s">
        <v>12963</v>
      </c>
      <c r="N2424" s="15" t="s">
        <v>1685</v>
      </c>
      <c r="O2424" s="8" t="s">
        <v>1725</v>
      </c>
      <c r="P2424" s="11" t="s">
        <v>3684</v>
      </c>
      <c r="Q2424" s="8" t="s">
        <v>12964</v>
      </c>
      <c r="R2424" s="8" t="s">
        <v>13019</v>
      </c>
      <c r="S2424" s="8" t="s">
        <v>13033</v>
      </c>
    </row>
    <row r="2425" spans="1:19" ht="36.950000000000003" customHeight="1" x14ac:dyDescent="0.25">
      <c r="A2425" s="8" t="s">
        <v>13075</v>
      </c>
      <c r="B2425" s="8" t="s">
        <v>12962</v>
      </c>
      <c r="C2425" s="8" t="s">
        <v>4721</v>
      </c>
      <c r="D2425" s="8"/>
      <c r="E2425" s="8" t="s">
        <v>2774</v>
      </c>
      <c r="F2425" s="8" t="s">
        <v>1746</v>
      </c>
      <c r="G2425" s="8" t="s">
        <v>133</v>
      </c>
      <c r="H2425" s="8" t="s">
        <v>2774</v>
      </c>
      <c r="I2425" s="8"/>
      <c r="J2425" s="15" t="s">
        <v>1685</v>
      </c>
      <c r="K2425" s="15" t="s">
        <v>1685</v>
      </c>
      <c r="L2425" s="15" t="s">
        <v>1685</v>
      </c>
      <c r="M2425" s="8" t="s">
        <v>12963</v>
      </c>
      <c r="N2425" s="15" t="s">
        <v>1685</v>
      </c>
      <c r="O2425" s="8" t="s">
        <v>1747</v>
      </c>
      <c r="P2425" s="11" t="s">
        <v>3687</v>
      </c>
      <c r="Q2425" s="8" t="s">
        <v>12964</v>
      </c>
      <c r="R2425" s="8" t="s">
        <v>13019</v>
      </c>
      <c r="S2425" s="8" t="s">
        <v>13041</v>
      </c>
    </row>
    <row r="2426" spans="1:19" ht="65.099999999999994" customHeight="1" x14ac:dyDescent="0.25">
      <c r="A2426" s="8" t="s">
        <v>13076</v>
      </c>
      <c r="B2426" s="8" t="s">
        <v>12962</v>
      </c>
      <c r="C2426" s="8" t="s">
        <v>4721</v>
      </c>
      <c r="D2426" s="8"/>
      <c r="E2426" s="8" t="s">
        <v>2775</v>
      </c>
      <c r="F2426" s="8" t="s">
        <v>1740</v>
      </c>
      <c r="G2426" s="8" t="s">
        <v>133</v>
      </c>
      <c r="H2426" s="8" t="s">
        <v>2775</v>
      </c>
      <c r="I2426" s="8"/>
      <c r="J2426" s="15" t="s">
        <v>1685</v>
      </c>
      <c r="K2426" s="15" t="s">
        <v>1685</v>
      </c>
      <c r="L2426" s="15" t="s">
        <v>1685</v>
      </c>
      <c r="M2426" s="8" t="s">
        <v>12963</v>
      </c>
      <c r="N2426" s="15" t="s">
        <v>1685</v>
      </c>
      <c r="O2426" s="8" t="s">
        <v>1741</v>
      </c>
      <c r="P2426" s="11" t="s">
        <v>3685</v>
      </c>
      <c r="Q2426" s="8" t="s">
        <v>12964</v>
      </c>
      <c r="R2426" s="8" t="s">
        <v>13019</v>
      </c>
      <c r="S2426" s="8" t="s">
        <v>13039</v>
      </c>
    </row>
    <row r="2427" spans="1:19" ht="36.950000000000003" customHeight="1" x14ac:dyDescent="0.25">
      <c r="A2427" s="8" t="s">
        <v>13077</v>
      </c>
      <c r="B2427" s="8" t="s">
        <v>12962</v>
      </c>
      <c r="C2427" s="8" t="s">
        <v>4721</v>
      </c>
      <c r="D2427" s="8"/>
      <c r="E2427" s="8" t="s">
        <v>2778</v>
      </c>
      <c r="F2427" s="8" t="s">
        <v>2779</v>
      </c>
      <c r="G2427" s="8" t="s">
        <v>138</v>
      </c>
      <c r="H2427" s="8" t="s">
        <v>2778</v>
      </c>
      <c r="I2427" s="8"/>
      <c r="J2427" s="15" t="s">
        <v>1685</v>
      </c>
      <c r="K2427" s="15" t="s">
        <v>1685</v>
      </c>
      <c r="L2427" s="15" t="s">
        <v>1685</v>
      </c>
      <c r="M2427" s="8" t="s">
        <v>12963</v>
      </c>
      <c r="N2427" s="15" t="s">
        <v>1685</v>
      </c>
      <c r="O2427" s="8" t="s">
        <v>2780</v>
      </c>
      <c r="P2427" s="11" t="s">
        <v>3702</v>
      </c>
      <c r="Q2427" s="8" t="s">
        <v>12964</v>
      </c>
      <c r="R2427" s="8" t="s">
        <v>13019</v>
      </c>
      <c r="S2427" s="8" t="s">
        <v>13078</v>
      </c>
    </row>
    <row r="2428" spans="1:19" ht="36.950000000000003" customHeight="1" x14ac:dyDescent="0.25">
      <c r="A2428" s="8" t="s">
        <v>13079</v>
      </c>
      <c r="B2428" s="8" t="s">
        <v>12962</v>
      </c>
      <c r="C2428" s="8" t="s">
        <v>4721</v>
      </c>
      <c r="D2428" s="8"/>
      <c r="E2428" s="8" t="s">
        <v>2782</v>
      </c>
      <c r="F2428" s="8" t="s">
        <v>2783</v>
      </c>
      <c r="G2428" s="8" t="s">
        <v>138</v>
      </c>
      <c r="H2428" s="8" t="s">
        <v>2782</v>
      </c>
      <c r="I2428" s="8"/>
      <c r="J2428" s="15" t="s">
        <v>1685</v>
      </c>
      <c r="K2428" s="15" t="s">
        <v>1685</v>
      </c>
      <c r="L2428" s="15" t="s">
        <v>1685</v>
      </c>
      <c r="M2428" s="8" t="s">
        <v>12963</v>
      </c>
      <c r="N2428" s="15" t="s">
        <v>1685</v>
      </c>
      <c r="O2428" s="8" t="s">
        <v>2784</v>
      </c>
      <c r="P2428" s="11" t="s">
        <v>3703</v>
      </c>
      <c r="Q2428" s="8" t="s">
        <v>12964</v>
      </c>
      <c r="R2428" s="8" t="s">
        <v>13019</v>
      </c>
      <c r="S2428" s="8" t="s">
        <v>13080</v>
      </c>
    </row>
    <row r="2429" spans="1:19" ht="36.950000000000003" customHeight="1" x14ac:dyDescent="0.25">
      <c r="A2429" s="8" t="s">
        <v>13081</v>
      </c>
      <c r="B2429" s="8" t="s">
        <v>12962</v>
      </c>
      <c r="C2429" s="8" t="s">
        <v>4721</v>
      </c>
      <c r="D2429" s="8"/>
      <c r="E2429" s="8" t="s">
        <v>2787</v>
      </c>
      <c r="F2429" s="8" t="s">
        <v>2788</v>
      </c>
      <c r="G2429" s="8" t="s">
        <v>138</v>
      </c>
      <c r="H2429" s="8" t="s">
        <v>2787</v>
      </c>
      <c r="I2429" s="8"/>
      <c r="J2429" s="15" t="s">
        <v>1685</v>
      </c>
      <c r="K2429" s="15" t="s">
        <v>1685</v>
      </c>
      <c r="L2429" s="15" t="s">
        <v>1685</v>
      </c>
      <c r="M2429" s="8" t="s">
        <v>12963</v>
      </c>
      <c r="N2429" s="15" t="s">
        <v>1685</v>
      </c>
      <c r="O2429" s="8" t="s">
        <v>2789</v>
      </c>
      <c r="P2429" s="11" t="s">
        <v>3704</v>
      </c>
      <c r="Q2429" s="8" t="s">
        <v>12964</v>
      </c>
      <c r="R2429" s="8" t="s">
        <v>13019</v>
      </c>
      <c r="S2429" s="8" t="s">
        <v>13082</v>
      </c>
    </row>
    <row r="2430" spans="1:19" ht="36.950000000000003" customHeight="1" x14ac:dyDescent="0.25">
      <c r="A2430" s="8" t="s">
        <v>13083</v>
      </c>
      <c r="B2430" s="8" t="s">
        <v>12962</v>
      </c>
      <c r="C2430" s="8" t="s">
        <v>4721</v>
      </c>
      <c r="D2430" s="8"/>
      <c r="E2430" s="8" t="s">
        <v>2792</v>
      </c>
      <c r="F2430" s="8" t="s">
        <v>2793</v>
      </c>
      <c r="G2430" s="8" t="s">
        <v>138</v>
      </c>
      <c r="H2430" s="8" t="s">
        <v>2792</v>
      </c>
      <c r="I2430" s="8"/>
      <c r="J2430" s="15" t="s">
        <v>1685</v>
      </c>
      <c r="K2430" s="15" t="s">
        <v>1685</v>
      </c>
      <c r="L2430" s="15" t="s">
        <v>1685</v>
      </c>
      <c r="M2430" s="8" t="s">
        <v>12963</v>
      </c>
      <c r="N2430" s="15" t="s">
        <v>1685</v>
      </c>
      <c r="O2430" s="8" t="s">
        <v>2794</v>
      </c>
      <c r="P2430" s="11" t="s">
        <v>3705</v>
      </c>
      <c r="Q2430" s="8" t="s">
        <v>12964</v>
      </c>
      <c r="R2430" s="8" t="s">
        <v>13019</v>
      </c>
      <c r="S2430" s="8" t="s">
        <v>13084</v>
      </c>
    </row>
    <row r="2431" spans="1:19" ht="36.950000000000003" customHeight="1" x14ac:dyDescent="0.25">
      <c r="A2431" s="8" t="s">
        <v>13085</v>
      </c>
      <c r="B2431" s="8" t="s">
        <v>12962</v>
      </c>
      <c r="C2431" s="8" t="s">
        <v>4721</v>
      </c>
      <c r="D2431" s="8"/>
      <c r="E2431" s="8" t="s">
        <v>2797</v>
      </c>
      <c r="F2431" s="8" t="s">
        <v>2798</v>
      </c>
      <c r="G2431" s="8" t="s">
        <v>138</v>
      </c>
      <c r="H2431" s="8" t="s">
        <v>2797</v>
      </c>
      <c r="I2431" s="8"/>
      <c r="J2431" s="15" t="s">
        <v>1685</v>
      </c>
      <c r="K2431" s="15" t="s">
        <v>1685</v>
      </c>
      <c r="L2431" s="15" t="s">
        <v>1685</v>
      </c>
      <c r="M2431" s="8" t="s">
        <v>12963</v>
      </c>
      <c r="N2431" s="15" t="s">
        <v>1685</v>
      </c>
      <c r="O2431" s="8" t="s">
        <v>2799</v>
      </c>
      <c r="P2431" s="11" t="s">
        <v>3706</v>
      </c>
      <c r="Q2431" s="8" t="s">
        <v>12964</v>
      </c>
      <c r="R2431" s="8" t="s">
        <v>13019</v>
      </c>
      <c r="S2431" s="8" t="s">
        <v>13086</v>
      </c>
    </row>
    <row r="2432" spans="1:19" ht="36.950000000000003" customHeight="1" x14ac:dyDescent="0.25">
      <c r="A2432" s="8" t="s">
        <v>13087</v>
      </c>
      <c r="B2432" s="8" t="s">
        <v>12962</v>
      </c>
      <c r="C2432" s="8" t="s">
        <v>4721</v>
      </c>
      <c r="D2432" s="8"/>
      <c r="E2432" s="8" t="s">
        <v>1757</v>
      </c>
      <c r="F2432" s="8" t="s">
        <v>1758</v>
      </c>
      <c r="G2432" s="8" t="s">
        <v>93</v>
      </c>
      <c r="H2432" s="8" t="s">
        <v>1757</v>
      </c>
      <c r="I2432" s="8"/>
      <c r="J2432" s="15" t="s">
        <v>1685</v>
      </c>
      <c r="K2432" s="15" t="s">
        <v>1685</v>
      </c>
      <c r="L2432" s="15" t="s">
        <v>1685</v>
      </c>
      <c r="M2432" s="8" t="s">
        <v>12963</v>
      </c>
      <c r="N2432" s="15" t="s">
        <v>1685</v>
      </c>
      <c r="O2432" s="8" t="s">
        <v>1759</v>
      </c>
      <c r="P2432" s="11" t="s">
        <v>3724</v>
      </c>
      <c r="Q2432" s="8" t="s">
        <v>12964</v>
      </c>
      <c r="R2432" s="8" t="s">
        <v>13019</v>
      </c>
      <c r="S2432" s="8" t="s">
        <v>13088</v>
      </c>
    </row>
    <row r="2433" spans="1:19" ht="36.950000000000003" customHeight="1" x14ac:dyDescent="0.25">
      <c r="A2433" s="8" t="s">
        <v>13089</v>
      </c>
      <c r="B2433" s="8" t="s">
        <v>12962</v>
      </c>
      <c r="C2433" s="8" t="s">
        <v>4721</v>
      </c>
      <c r="D2433" s="8"/>
      <c r="E2433" s="8" t="s">
        <v>1762</v>
      </c>
      <c r="F2433" s="8" t="s">
        <v>1763</v>
      </c>
      <c r="G2433" s="8" t="s">
        <v>93</v>
      </c>
      <c r="H2433" s="8" t="s">
        <v>1762</v>
      </c>
      <c r="I2433" s="8"/>
      <c r="J2433" s="15" t="s">
        <v>1685</v>
      </c>
      <c r="K2433" s="15" t="s">
        <v>1685</v>
      </c>
      <c r="L2433" s="15" t="s">
        <v>1685</v>
      </c>
      <c r="M2433" s="8" t="s">
        <v>12963</v>
      </c>
      <c r="N2433" s="15" t="s">
        <v>1685</v>
      </c>
      <c r="O2433" s="8" t="s">
        <v>1764</v>
      </c>
      <c r="P2433" s="11" t="s">
        <v>3725</v>
      </c>
      <c r="Q2433" s="8" t="s">
        <v>12964</v>
      </c>
      <c r="R2433" s="8" t="s">
        <v>13019</v>
      </c>
      <c r="S2433" s="8" t="s">
        <v>13090</v>
      </c>
    </row>
    <row r="2434" spans="1:19" ht="65.099999999999994" customHeight="1" x14ac:dyDescent="0.25">
      <c r="A2434" s="8" t="s">
        <v>13091</v>
      </c>
      <c r="B2434" s="8" t="s">
        <v>12962</v>
      </c>
      <c r="C2434" s="8" t="s">
        <v>4721</v>
      </c>
      <c r="D2434" s="8"/>
      <c r="E2434" s="8" t="s">
        <v>1767</v>
      </c>
      <c r="F2434" s="8" t="s">
        <v>1768</v>
      </c>
      <c r="G2434" s="8" t="s">
        <v>93</v>
      </c>
      <c r="H2434" s="8" t="s">
        <v>1767</v>
      </c>
      <c r="I2434" s="8"/>
      <c r="J2434" s="15" t="s">
        <v>1685</v>
      </c>
      <c r="K2434" s="15" t="s">
        <v>1685</v>
      </c>
      <c r="L2434" s="15" t="s">
        <v>1685</v>
      </c>
      <c r="M2434" s="8" t="s">
        <v>12963</v>
      </c>
      <c r="N2434" s="15" t="s">
        <v>1685</v>
      </c>
      <c r="O2434" s="8" t="s">
        <v>1769</v>
      </c>
      <c r="P2434" s="11" t="s">
        <v>3727</v>
      </c>
      <c r="Q2434" s="8" t="s">
        <v>12964</v>
      </c>
      <c r="R2434" s="8" t="s">
        <v>13019</v>
      </c>
      <c r="S2434" s="8" t="s">
        <v>13092</v>
      </c>
    </row>
    <row r="2435" spans="1:19" ht="36.950000000000003" customHeight="1" x14ac:dyDescent="0.25">
      <c r="A2435" s="8" t="s">
        <v>13093</v>
      </c>
      <c r="B2435" s="8" t="s">
        <v>12962</v>
      </c>
      <c r="C2435" s="8" t="s">
        <v>4721</v>
      </c>
      <c r="D2435" s="8"/>
      <c r="E2435" s="8" t="s">
        <v>2776</v>
      </c>
      <c r="F2435" s="8" t="s">
        <v>1763</v>
      </c>
      <c r="G2435" s="8" t="s">
        <v>133</v>
      </c>
      <c r="H2435" s="8" t="s">
        <v>2776</v>
      </c>
      <c r="I2435" s="8"/>
      <c r="J2435" s="15" t="s">
        <v>1685</v>
      </c>
      <c r="K2435" s="15" t="s">
        <v>1685</v>
      </c>
      <c r="L2435" s="15" t="s">
        <v>1685</v>
      </c>
      <c r="M2435" s="8" t="s">
        <v>12963</v>
      </c>
      <c r="N2435" s="15" t="s">
        <v>1685</v>
      </c>
      <c r="O2435" s="8" t="s">
        <v>1764</v>
      </c>
      <c r="P2435" s="11" t="s">
        <v>3725</v>
      </c>
      <c r="Q2435" s="8" t="s">
        <v>12964</v>
      </c>
      <c r="R2435" s="8" t="s">
        <v>13019</v>
      </c>
      <c r="S2435" s="8" t="s">
        <v>13090</v>
      </c>
    </row>
    <row r="2436" spans="1:19" ht="65.099999999999994" customHeight="1" x14ac:dyDescent="0.25">
      <c r="A2436" s="8" t="s">
        <v>13094</v>
      </c>
      <c r="B2436" s="8" t="s">
        <v>12962</v>
      </c>
      <c r="C2436" s="8" t="s">
        <v>4721</v>
      </c>
      <c r="D2436" s="8"/>
      <c r="E2436" s="8" t="s">
        <v>2777</v>
      </c>
      <c r="F2436" s="8" t="s">
        <v>1768</v>
      </c>
      <c r="G2436" s="8" t="s">
        <v>133</v>
      </c>
      <c r="H2436" s="8" t="s">
        <v>2777</v>
      </c>
      <c r="I2436" s="8"/>
      <c r="J2436" s="15" t="s">
        <v>1685</v>
      </c>
      <c r="K2436" s="15" t="s">
        <v>1685</v>
      </c>
      <c r="L2436" s="15" t="s">
        <v>1685</v>
      </c>
      <c r="M2436" s="8" t="s">
        <v>12963</v>
      </c>
      <c r="N2436" s="15" t="s">
        <v>1685</v>
      </c>
      <c r="O2436" s="8" t="s">
        <v>1769</v>
      </c>
      <c r="P2436" s="11" t="s">
        <v>3727</v>
      </c>
      <c r="Q2436" s="8" t="s">
        <v>12964</v>
      </c>
      <c r="R2436" s="8" t="s">
        <v>13019</v>
      </c>
      <c r="S2436" s="8" t="s">
        <v>13092</v>
      </c>
    </row>
    <row r="2437" spans="1:19" ht="36.950000000000003" customHeight="1" x14ac:dyDescent="0.25">
      <c r="A2437" s="8" t="s">
        <v>13095</v>
      </c>
      <c r="B2437" s="8" t="s">
        <v>12962</v>
      </c>
      <c r="C2437" s="8" t="s">
        <v>4721</v>
      </c>
      <c r="D2437" s="8"/>
      <c r="E2437" s="8" t="s">
        <v>2740</v>
      </c>
      <c r="F2437" s="8" t="s">
        <v>2741</v>
      </c>
      <c r="G2437" s="8" t="s">
        <v>123</v>
      </c>
      <c r="H2437" s="8" t="s">
        <v>2740</v>
      </c>
      <c r="I2437" s="8"/>
      <c r="J2437" s="15" t="s">
        <v>1685</v>
      </c>
      <c r="K2437" s="15" t="s">
        <v>1685</v>
      </c>
      <c r="L2437" s="15" t="s">
        <v>1685</v>
      </c>
      <c r="M2437" s="8" t="s">
        <v>12963</v>
      </c>
      <c r="N2437" s="15" t="s">
        <v>1685</v>
      </c>
      <c r="O2437" s="8" t="s">
        <v>2742</v>
      </c>
      <c r="P2437" s="11" t="s">
        <v>3726</v>
      </c>
      <c r="Q2437" s="8" t="s">
        <v>12964</v>
      </c>
      <c r="R2437" s="8" t="s">
        <v>13019</v>
      </c>
      <c r="S2437" s="8" t="s">
        <v>13096</v>
      </c>
    </row>
    <row r="2438" spans="1:19" ht="150" customHeight="1" x14ac:dyDescent="0.25">
      <c r="A2438" s="8" t="s">
        <v>13097</v>
      </c>
      <c r="B2438" s="8" t="s">
        <v>13098</v>
      </c>
      <c r="C2438" s="8" t="s">
        <v>5249</v>
      </c>
      <c r="D2438" s="10">
        <v>2</v>
      </c>
      <c r="E2438" s="8" t="s">
        <v>13099</v>
      </c>
      <c r="F2438" s="8"/>
      <c r="G2438" s="8" t="s">
        <v>5249</v>
      </c>
      <c r="H2438" s="8"/>
      <c r="I2438" s="8"/>
      <c r="J2438" s="15" t="s">
        <v>1685</v>
      </c>
      <c r="K2438" s="8"/>
      <c r="L2438" s="15" t="s">
        <v>1685</v>
      </c>
      <c r="M2438" s="8" t="s">
        <v>13100</v>
      </c>
      <c r="N2438" s="8"/>
      <c r="O2438" s="8" t="s">
        <v>13101</v>
      </c>
      <c r="P2438" s="11"/>
      <c r="Q2438" s="8" t="s">
        <v>13102</v>
      </c>
      <c r="R2438" s="8" t="s">
        <v>13103</v>
      </c>
      <c r="S2438" s="8" t="s">
        <v>13104</v>
      </c>
    </row>
    <row r="2439" spans="1:19" ht="150" customHeight="1" x14ac:dyDescent="0.25">
      <c r="A2439" s="8" t="s">
        <v>13105</v>
      </c>
      <c r="B2439" s="8" t="s">
        <v>13098</v>
      </c>
      <c r="C2439" s="8" t="s">
        <v>5249</v>
      </c>
      <c r="D2439" s="10">
        <v>7</v>
      </c>
      <c r="E2439" s="8" t="s">
        <v>13106</v>
      </c>
      <c r="F2439" s="8"/>
      <c r="G2439" s="8" t="s">
        <v>5249</v>
      </c>
      <c r="H2439" s="8"/>
      <c r="I2439" s="8"/>
      <c r="J2439" s="15" t="s">
        <v>1685</v>
      </c>
      <c r="K2439" s="8"/>
      <c r="L2439" s="15" t="s">
        <v>1685</v>
      </c>
      <c r="M2439" s="8" t="s">
        <v>13100</v>
      </c>
      <c r="N2439" s="8"/>
      <c r="O2439" s="8" t="s">
        <v>13101</v>
      </c>
      <c r="P2439" s="11"/>
      <c r="Q2439" s="8" t="s">
        <v>13102</v>
      </c>
      <c r="R2439" s="8" t="s">
        <v>13103</v>
      </c>
      <c r="S2439" s="8" t="s">
        <v>13107</v>
      </c>
    </row>
    <row r="2440" spans="1:19" ht="150" customHeight="1" x14ac:dyDescent="0.25">
      <c r="A2440" s="8" t="s">
        <v>13108</v>
      </c>
      <c r="B2440" s="8" t="s">
        <v>13098</v>
      </c>
      <c r="C2440" s="8" t="s">
        <v>5249</v>
      </c>
      <c r="D2440" s="10">
        <v>8</v>
      </c>
      <c r="E2440" s="8" t="s">
        <v>13109</v>
      </c>
      <c r="F2440" s="8"/>
      <c r="G2440" s="8" t="s">
        <v>5249</v>
      </c>
      <c r="H2440" s="8"/>
      <c r="I2440" s="8"/>
      <c r="J2440" s="15" t="s">
        <v>1685</v>
      </c>
      <c r="K2440" s="8"/>
      <c r="L2440" s="15" t="s">
        <v>1685</v>
      </c>
      <c r="M2440" s="8" t="s">
        <v>13100</v>
      </c>
      <c r="N2440" s="8"/>
      <c r="O2440" s="8" t="s">
        <v>13101</v>
      </c>
      <c r="P2440" s="11"/>
      <c r="Q2440" s="8" t="s">
        <v>13102</v>
      </c>
      <c r="R2440" s="8" t="s">
        <v>13103</v>
      </c>
      <c r="S2440" s="8" t="s">
        <v>13110</v>
      </c>
    </row>
    <row r="2441" spans="1:19" ht="150" customHeight="1" x14ac:dyDescent="0.25">
      <c r="A2441" s="8" t="s">
        <v>13111</v>
      </c>
      <c r="B2441" s="8" t="s">
        <v>13098</v>
      </c>
      <c r="C2441" s="8" t="s">
        <v>67</v>
      </c>
      <c r="D2441" s="10">
        <v>2</v>
      </c>
      <c r="E2441" s="8" t="s">
        <v>565</v>
      </c>
      <c r="F2441" s="8"/>
      <c r="G2441" s="8" t="s">
        <v>67</v>
      </c>
      <c r="H2441" s="8"/>
      <c r="I2441" s="8" t="s">
        <v>566</v>
      </c>
      <c r="J2441" s="15" t="s">
        <v>1685</v>
      </c>
      <c r="K2441" s="8"/>
      <c r="L2441" s="15" t="s">
        <v>1685</v>
      </c>
      <c r="M2441" s="8" t="s">
        <v>13100</v>
      </c>
      <c r="N2441" s="8"/>
      <c r="O2441" s="8" t="s">
        <v>13101</v>
      </c>
      <c r="P2441" s="11"/>
      <c r="Q2441" s="8" t="s">
        <v>13102</v>
      </c>
      <c r="R2441" s="8" t="s">
        <v>13103</v>
      </c>
      <c r="S2441" s="8" t="s">
        <v>13112</v>
      </c>
    </row>
    <row r="2442" spans="1:19" ht="150" customHeight="1" x14ac:dyDescent="0.25">
      <c r="A2442" s="8" t="s">
        <v>13113</v>
      </c>
      <c r="B2442" s="8" t="s">
        <v>13098</v>
      </c>
      <c r="C2442" s="8" t="s">
        <v>67</v>
      </c>
      <c r="D2442" s="10">
        <v>5</v>
      </c>
      <c r="E2442" s="8" t="s">
        <v>1201</v>
      </c>
      <c r="F2442" s="8"/>
      <c r="G2442" s="8" t="s">
        <v>67</v>
      </c>
      <c r="H2442" s="8"/>
      <c r="I2442" s="8" t="s">
        <v>1202</v>
      </c>
      <c r="J2442" s="15" t="s">
        <v>1685</v>
      </c>
      <c r="K2442" s="8"/>
      <c r="L2442" s="15" t="s">
        <v>1685</v>
      </c>
      <c r="M2442" s="8" t="s">
        <v>13100</v>
      </c>
      <c r="N2442" s="8"/>
      <c r="O2442" s="8" t="s">
        <v>13101</v>
      </c>
      <c r="P2442" s="11"/>
      <c r="Q2442" s="8" t="s">
        <v>13102</v>
      </c>
      <c r="R2442" s="8" t="s">
        <v>13103</v>
      </c>
      <c r="S2442" s="8" t="s">
        <v>13114</v>
      </c>
    </row>
    <row r="2443" spans="1:19" ht="150" customHeight="1" x14ac:dyDescent="0.25">
      <c r="A2443" s="8" t="s">
        <v>13115</v>
      </c>
      <c r="B2443" s="8" t="s">
        <v>13098</v>
      </c>
      <c r="C2443" s="8" t="s">
        <v>67</v>
      </c>
      <c r="D2443" s="10">
        <v>9</v>
      </c>
      <c r="E2443" s="8" t="s">
        <v>641</v>
      </c>
      <c r="F2443" s="8"/>
      <c r="G2443" s="8" t="s">
        <v>67</v>
      </c>
      <c r="H2443" s="8"/>
      <c r="I2443" s="8" t="s">
        <v>642</v>
      </c>
      <c r="J2443" s="15" t="s">
        <v>1685</v>
      </c>
      <c r="K2443" s="8"/>
      <c r="L2443" s="15" t="s">
        <v>1685</v>
      </c>
      <c r="M2443" s="8" t="s">
        <v>13100</v>
      </c>
      <c r="N2443" s="8"/>
      <c r="O2443" s="8" t="s">
        <v>13101</v>
      </c>
      <c r="P2443" s="11"/>
      <c r="Q2443" s="8" t="s">
        <v>13102</v>
      </c>
      <c r="R2443" s="8" t="s">
        <v>13103</v>
      </c>
      <c r="S2443" s="8" t="s">
        <v>13116</v>
      </c>
    </row>
    <row r="2444" spans="1:19" ht="150" customHeight="1" x14ac:dyDescent="0.25">
      <c r="A2444" s="8" t="s">
        <v>13117</v>
      </c>
      <c r="B2444" s="8" t="s">
        <v>13098</v>
      </c>
      <c r="C2444" s="8" t="s">
        <v>67</v>
      </c>
      <c r="D2444" s="10">
        <v>10</v>
      </c>
      <c r="E2444" s="8" t="s">
        <v>1072</v>
      </c>
      <c r="F2444" s="8"/>
      <c r="G2444" s="8" t="s">
        <v>67</v>
      </c>
      <c r="H2444" s="8"/>
      <c r="I2444" s="8" t="s">
        <v>1073</v>
      </c>
      <c r="J2444" s="15" t="s">
        <v>1685</v>
      </c>
      <c r="K2444" s="8"/>
      <c r="L2444" s="15" t="s">
        <v>1685</v>
      </c>
      <c r="M2444" s="8" t="s">
        <v>13100</v>
      </c>
      <c r="N2444" s="8"/>
      <c r="O2444" s="8" t="s">
        <v>13101</v>
      </c>
      <c r="P2444" s="11"/>
      <c r="Q2444" s="8" t="s">
        <v>13102</v>
      </c>
      <c r="R2444" s="8" t="s">
        <v>13103</v>
      </c>
      <c r="S2444" s="8" t="s">
        <v>13118</v>
      </c>
    </row>
    <row r="2445" spans="1:19" ht="150" customHeight="1" x14ac:dyDescent="0.25">
      <c r="A2445" s="8" t="s">
        <v>13119</v>
      </c>
      <c r="B2445" s="8" t="s">
        <v>13098</v>
      </c>
      <c r="C2445" s="8" t="s">
        <v>67</v>
      </c>
      <c r="D2445" s="10">
        <v>11</v>
      </c>
      <c r="E2445" s="8" t="s">
        <v>691</v>
      </c>
      <c r="F2445" s="8"/>
      <c r="G2445" s="8" t="s">
        <v>67</v>
      </c>
      <c r="H2445" s="8"/>
      <c r="I2445" s="8" t="s">
        <v>692</v>
      </c>
      <c r="J2445" s="15" t="s">
        <v>1685</v>
      </c>
      <c r="K2445" s="8"/>
      <c r="L2445" s="15" t="s">
        <v>1685</v>
      </c>
      <c r="M2445" s="8" t="s">
        <v>13100</v>
      </c>
      <c r="N2445" s="8"/>
      <c r="O2445" s="8" t="s">
        <v>13101</v>
      </c>
      <c r="P2445" s="11"/>
      <c r="Q2445" s="8" t="s">
        <v>13102</v>
      </c>
      <c r="R2445" s="8" t="s">
        <v>13103</v>
      </c>
      <c r="S2445" s="8" t="s">
        <v>13120</v>
      </c>
    </row>
    <row r="2446" spans="1:19" ht="150" customHeight="1" x14ac:dyDescent="0.25">
      <c r="A2446" s="8" t="s">
        <v>13121</v>
      </c>
      <c r="B2446" s="8" t="s">
        <v>13098</v>
      </c>
      <c r="C2446" s="8" t="s">
        <v>67</v>
      </c>
      <c r="D2446" s="10">
        <v>12</v>
      </c>
      <c r="E2446" s="8" t="s">
        <v>1174</v>
      </c>
      <c r="F2446" s="8"/>
      <c r="G2446" s="8" t="s">
        <v>67</v>
      </c>
      <c r="H2446" s="8"/>
      <c r="I2446" s="8" t="s">
        <v>1175</v>
      </c>
      <c r="J2446" s="15" t="s">
        <v>1685</v>
      </c>
      <c r="K2446" s="8"/>
      <c r="L2446" s="15" t="s">
        <v>1685</v>
      </c>
      <c r="M2446" s="8" t="s">
        <v>13100</v>
      </c>
      <c r="N2446" s="8"/>
      <c r="O2446" s="8" t="s">
        <v>13101</v>
      </c>
      <c r="P2446" s="11"/>
      <c r="Q2446" s="8" t="s">
        <v>13102</v>
      </c>
      <c r="R2446" s="8" t="s">
        <v>13103</v>
      </c>
      <c r="S2446" s="8" t="s">
        <v>13122</v>
      </c>
    </row>
    <row r="2447" spans="1:19" ht="150" customHeight="1" x14ac:dyDescent="0.25">
      <c r="A2447" s="8" t="s">
        <v>13123</v>
      </c>
      <c r="B2447" s="8" t="s">
        <v>13098</v>
      </c>
      <c r="C2447" s="8" t="s">
        <v>67</v>
      </c>
      <c r="D2447" s="10">
        <v>13</v>
      </c>
      <c r="E2447" s="8" t="s">
        <v>1151</v>
      </c>
      <c r="F2447" s="8"/>
      <c r="G2447" s="8" t="s">
        <v>67</v>
      </c>
      <c r="H2447" s="8"/>
      <c r="I2447" s="8" t="s">
        <v>1152</v>
      </c>
      <c r="J2447" s="15" t="s">
        <v>1685</v>
      </c>
      <c r="K2447" s="8"/>
      <c r="L2447" s="15" t="s">
        <v>1685</v>
      </c>
      <c r="M2447" s="8" t="s">
        <v>13100</v>
      </c>
      <c r="N2447" s="8"/>
      <c r="O2447" s="8" t="s">
        <v>13101</v>
      </c>
      <c r="P2447" s="11"/>
      <c r="Q2447" s="8" t="s">
        <v>13102</v>
      </c>
      <c r="R2447" s="8" t="s">
        <v>13103</v>
      </c>
      <c r="S2447" s="8" t="s">
        <v>13124</v>
      </c>
    </row>
    <row r="2448" spans="1:19" ht="150" customHeight="1" x14ac:dyDescent="0.25">
      <c r="A2448" s="8" t="s">
        <v>13125</v>
      </c>
      <c r="B2448" s="8" t="s">
        <v>13098</v>
      </c>
      <c r="C2448" s="8" t="s">
        <v>67</v>
      </c>
      <c r="D2448" s="10">
        <v>14</v>
      </c>
      <c r="E2448" s="8" t="s">
        <v>813</v>
      </c>
      <c r="F2448" s="8"/>
      <c r="G2448" s="8" t="s">
        <v>67</v>
      </c>
      <c r="H2448" s="8"/>
      <c r="I2448" s="8" t="s">
        <v>814</v>
      </c>
      <c r="J2448" s="15" t="s">
        <v>1685</v>
      </c>
      <c r="K2448" s="8"/>
      <c r="L2448" s="15" t="s">
        <v>1685</v>
      </c>
      <c r="M2448" s="8" t="s">
        <v>13100</v>
      </c>
      <c r="N2448" s="8"/>
      <c r="O2448" s="8" t="s">
        <v>13101</v>
      </c>
      <c r="P2448" s="11"/>
      <c r="Q2448" s="8" t="s">
        <v>13102</v>
      </c>
      <c r="R2448" s="8" t="s">
        <v>13103</v>
      </c>
      <c r="S2448" s="8" t="s">
        <v>13126</v>
      </c>
    </row>
    <row r="2449" spans="1:19" ht="150" customHeight="1" x14ac:dyDescent="0.25">
      <c r="A2449" s="8" t="s">
        <v>13127</v>
      </c>
      <c r="B2449" s="8" t="s">
        <v>13098</v>
      </c>
      <c r="C2449" s="8" t="s">
        <v>67</v>
      </c>
      <c r="D2449" s="10">
        <v>16</v>
      </c>
      <c r="E2449" s="8" t="s">
        <v>1108</v>
      </c>
      <c r="F2449" s="8"/>
      <c r="G2449" s="8" t="s">
        <v>67</v>
      </c>
      <c r="H2449" s="8"/>
      <c r="I2449" s="8" t="s">
        <v>1109</v>
      </c>
      <c r="J2449" s="15" t="s">
        <v>1685</v>
      </c>
      <c r="K2449" s="8"/>
      <c r="L2449" s="15" t="s">
        <v>1685</v>
      </c>
      <c r="M2449" s="8" t="s">
        <v>13100</v>
      </c>
      <c r="N2449" s="8"/>
      <c r="O2449" s="8" t="s">
        <v>13101</v>
      </c>
      <c r="P2449" s="11"/>
      <c r="Q2449" s="8" t="s">
        <v>13102</v>
      </c>
      <c r="R2449" s="8" t="s">
        <v>13103</v>
      </c>
      <c r="S2449" s="8" t="s">
        <v>13128</v>
      </c>
    </row>
    <row r="2450" spans="1:19" ht="150" customHeight="1" x14ac:dyDescent="0.25">
      <c r="A2450" s="8" t="s">
        <v>13129</v>
      </c>
      <c r="B2450" s="8" t="s">
        <v>13098</v>
      </c>
      <c r="C2450" s="8" t="s">
        <v>67</v>
      </c>
      <c r="D2450" s="10">
        <v>18</v>
      </c>
      <c r="E2450" s="8" t="s">
        <v>533</v>
      </c>
      <c r="F2450" s="8"/>
      <c r="G2450" s="8" t="s">
        <v>67</v>
      </c>
      <c r="H2450" s="8"/>
      <c r="I2450" s="8" t="s">
        <v>534</v>
      </c>
      <c r="J2450" s="15" t="s">
        <v>1685</v>
      </c>
      <c r="K2450" s="8"/>
      <c r="L2450" s="15" t="s">
        <v>1685</v>
      </c>
      <c r="M2450" s="8" t="s">
        <v>13100</v>
      </c>
      <c r="N2450" s="8"/>
      <c r="O2450" s="8" t="s">
        <v>13101</v>
      </c>
      <c r="P2450" s="11"/>
      <c r="Q2450" s="8" t="s">
        <v>13102</v>
      </c>
      <c r="R2450" s="8" t="s">
        <v>13103</v>
      </c>
      <c r="S2450" s="8" t="s">
        <v>13130</v>
      </c>
    </row>
    <row r="2451" spans="1:19" ht="150" customHeight="1" x14ac:dyDescent="0.25">
      <c r="A2451" s="8" t="s">
        <v>13131</v>
      </c>
      <c r="B2451" s="8" t="s">
        <v>13098</v>
      </c>
      <c r="C2451" s="8" t="s">
        <v>67</v>
      </c>
      <c r="D2451" s="10">
        <v>19</v>
      </c>
      <c r="E2451" s="8" t="s">
        <v>852</v>
      </c>
      <c r="F2451" s="8"/>
      <c r="G2451" s="8" t="s">
        <v>67</v>
      </c>
      <c r="H2451" s="8"/>
      <c r="I2451" s="8" t="s">
        <v>853</v>
      </c>
      <c r="J2451" s="15" t="s">
        <v>1685</v>
      </c>
      <c r="K2451" s="8"/>
      <c r="L2451" s="15" t="s">
        <v>1685</v>
      </c>
      <c r="M2451" s="8" t="s">
        <v>13100</v>
      </c>
      <c r="N2451" s="8"/>
      <c r="O2451" s="8" t="s">
        <v>13101</v>
      </c>
      <c r="P2451" s="11"/>
      <c r="Q2451" s="8" t="s">
        <v>13102</v>
      </c>
      <c r="R2451" s="8" t="s">
        <v>13103</v>
      </c>
      <c r="S2451" s="8" t="s">
        <v>13132</v>
      </c>
    </row>
    <row r="2452" spans="1:19" ht="150" customHeight="1" x14ac:dyDescent="0.25">
      <c r="A2452" s="8" t="s">
        <v>13133</v>
      </c>
      <c r="B2452" s="8" t="s">
        <v>13098</v>
      </c>
      <c r="C2452" s="8" t="s">
        <v>67</v>
      </c>
      <c r="D2452" s="10">
        <v>21</v>
      </c>
      <c r="E2452" s="8" t="s">
        <v>1090</v>
      </c>
      <c r="F2452" s="8"/>
      <c r="G2452" s="8" t="s">
        <v>67</v>
      </c>
      <c r="H2452" s="8"/>
      <c r="I2452" s="8" t="s">
        <v>1091</v>
      </c>
      <c r="J2452" s="15" t="s">
        <v>1685</v>
      </c>
      <c r="K2452" s="8"/>
      <c r="L2452" s="15" t="s">
        <v>1685</v>
      </c>
      <c r="M2452" s="8" t="s">
        <v>13100</v>
      </c>
      <c r="N2452" s="8"/>
      <c r="O2452" s="8" t="s">
        <v>13101</v>
      </c>
      <c r="P2452" s="11"/>
      <c r="Q2452" s="8" t="s">
        <v>13102</v>
      </c>
      <c r="R2452" s="8" t="s">
        <v>13103</v>
      </c>
      <c r="S2452" s="8" t="s">
        <v>13134</v>
      </c>
    </row>
    <row r="2453" spans="1:19" ht="150" customHeight="1" x14ac:dyDescent="0.25">
      <c r="A2453" s="8" t="s">
        <v>13135</v>
      </c>
      <c r="B2453" s="8" t="s">
        <v>13098</v>
      </c>
      <c r="C2453" s="8" t="s">
        <v>67</v>
      </c>
      <c r="D2453" s="10">
        <v>23</v>
      </c>
      <c r="E2453" s="8" t="s">
        <v>422</v>
      </c>
      <c r="F2453" s="8"/>
      <c r="G2453" s="8" t="s">
        <v>67</v>
      </c>
      <c r="H2453" s="8"/>
      <c r="I2453" s="8" t="s">
        <v>423</v>
      </c>
      <c r="J2453" s="15" t="s">
        <v>1685</v>
      </c>
      <c r="K2453" s="8"/>
      <c r="L2453" s="15" t="s">
        <v>1685</v>
      </c>
      <c r="M2453" s="8" t="s">
        <v>13100</v>
      </c>
      <c r="N2453" s="8"/>
      <c r="O2453" s="8" t="s">
        <v>13101</v>
      </c>
      <c r="P2453" s="11"/>
      <c r="Q2453" s="8" t="s">
        <v>13102</v>
      </c>
      <c r="R2453" s="8" t="s">
        <v>13103</v>
      </c>
      <c r="S2453" s="8" t="s">
        <v>13136</v>
      </c>
    </row>
    <row r="2454" spans="1:19" ht="150" customHeight="1" x14ac:dyDescent="0.25">
      <c r="A2454" s="8" t="s">
        <v>13137</v>
      </c>
      <c r="B2454" s="8" t="s">
        <v>13098</v>
      </c>
      <c r="C2454" s="8" t="s">
        <v>67</v>
      </c>
      <c r="D2454" s="10">
        <v>24</v>
      </c>
      <c r="E2454" s="8" t="s">
        <v>1166</v>
      </c>
      <c r="F2454" s="8"/>
      <c r="G2454" s="8" t="s">
        <v>67</v>
      </c>
      <c r="H2454" s="8"/>
      <c r="I2454" s="8" t="s">
        <v>1167</v>
      </c>
      <c r="J2454" s="15" t="s">
        <v>1685</v>
      </c>
      <c r="K2454" s="8"/>
      <c r="L2454" s="15" t="s">
        <v>1685</v>
      </c>
      <c r="M2454" s="8" t="s">
        <v>13100</v>
      </c>
      <c r="N2454" s="8"/>
      <c r="O2454" s="8" t="s">
        <v>13101</v>
      </c>
      <c r="P2454" s="11"/>
      <c r="Q2454" s="8" t="s">
        <v>13102</v>
      </c>
      <c r="R2454" s="8" t="s">
        <v>13103</v>
      </c>
      <c r="S2454" s="8" t="s">
        <v>13138</v>
      </c>
    </row>
    <row r="2455" spans="1:19" ht="150" customHeight="1" x14ac:dyDescent="0.25">
      <c r="A2455" s="8" t="s">
        <v>13139</v>
      </c>
      <c r="B2455" s="8" t="s">
        <v>13098</v>
      </c>
      <c r="C2455" s="8" t="s">
        <v>67</v>
      </c>
      <c r="D2455" s="10">
        <v>25</v>
      </c>
      <c r="E2455" s="8" t="s">
        <v>1187</v>
      </c>
      <c r="F2455" s="8"/>
      <c r="G2455" s="8" t="s">
        <v>67</v>
      </c>
      <c r="H2455" s="8"/>
      <c r="I2455" s="8" t="s">
        <v>1188</v>
      </c>
      <c r="J2455" s="15" t="s">
        <v>1685</v>
      </c>
      <c r="K2455" s="8"/>
      <c r="L2455" s="15" t="s">
        <v>1685</v>
      </c>
      <c r="M2455" s="8" t="s">
        <v>13100</v>
      </c>
      <c r="N2455" s="8"/>
      <c r="O2455" s="8" t="s">
        <v>13101</v>
      </c>
      <c r="P2455" s="11"/>
      <c r="Q2455" s="8" t="s">
        <v>13102</v>
      </c>
      <c r="R2455" s="8" t="s">
        <v>13103</v>
      </c>
      <c r="S2455" s="8" t="s">
        <v>13140</v>
      </c>
    </row>
    <row r="2456" spans="1:19" ht="150" customHeight="1" x14ac:dyDescent="0.25">
      <c r="A2456" s="8" t="s">
        <v>13141</v>
      </c>
      <c r="B2456" s="8" t="s">
        <v>13098</v>
      </c>
      <c r="C2456" s="8" t="s">
        <v>67</v>
      </c>
      <c r="D2456" s="10">
        <v>26</v>
      </c>
      <c r="E2456" s="8" t="s">
        <v>743</v>
      </c>
      <c r="F2456" s="8"/>
      <c r="G2456" s="8" t="s">
        <v>67</v>
      </c>
      <c r="H2456" s="8"/>
      <c r="I2456" s="8" t="s">
        <v>744</v>
      </c>
      <c r="J2456" s="15" t="s">
        <v>1685</v>
      </c>
      <c r="K2456" s="8"/>
      <c r="L2456" s="15" t="s">
        <v>1685</v>
      </c>
      <c r="M2456" s="8" t="s">
        <v>13100</v>
      </c>
      <c r="N2456" s="8"/>
      <c r="O2456" s="8" t="s">
        <v>13101</v>
      </c>
      <c r="P2456" s="11"/>
      <c r="Q2456" s="8" t="s">
        <v>13102</v>
      </c>
      <c r="R2456" s="8" t="s">
        <v>13103</v>
      </c>
      <c r="S2456" s="8" t="s">
        <v>13142</v>
      </c>
    </row>
    <row r="2457" spans="1:19" ht="150" customHeight="1" x14ac:dyDescent="0.25">
      <c r="A2457" s="8" t="s">
        <v>13143</v>
      </c>
      <c r="B2457" s="8" t="s">
        <v>13098</v>
      </c>
      <c r="C2457" s="8" t="s">
        <v>67</v>
      </c>
      <c r="D2457" s="10">
        <v>27</v>
      </c>
      <c r="E2457" s="8" t="s">
        <v>1132</v>
      </c>
      <c r="F2457" s="8"/>
      <c r="G2457" s="8" t="s">
        <v>67</v>
      </c>
      <c r="H2457" s="8"/>
      <c r="I2457" s="8" t="s">
        <v>1133</v>
      </c>
      <c r="J2457" s="15" t="s">
        <v>1685</v>
      </c>
      <c r="K2457" s="8"/>
      <c r="L2457" s="15" t="s">
        <v>1685</v>
      </c>
      <c r="M2457" s="8" t="s">
        <v>13100</v>
      </c>
      <c r="N2457" s="8"/>
      <c r="O2457" s="8" t="s">
        <v>13101</v>
      </c>
      <c r="P2457" s="11"/>
      <c r="Q2457" s="8" t="s">
        <v>13102</v>
      </c>
      <c r="R2457" s="8" t="s">
        <v>13103</v>
      </c>
      <c r="S2457" s="8" t="s">
        <v>13144</v>
      </c>
    </row>
    <row r="2458" spans="1:19" ht="150" customHeight="1" x14ac:dyDescent="0.25">
      <c r="A2458" s="8" t="s">
        <v>13145</v>
      </c>
      <c r="B2458" s="8" t="s">
        <v>13098</v>
      </c>
      <c r="C2458" s="8" t="s">
        <v>67</v>
      </c>
      <c r="D2458" s="10">
        <v>28</v>
      </c>
      <c r="E2458" s="8" t="s">
        <v>1117</v>
      </c>
      <c r="F2458" s="8"/>
      <c r="G2458" s="8" t="s">
        <v>67</v>
      </c>
      <c r="H2458" s="8"/>
      <c r="I2458" s="8" t="s">
        <v>1118</v>
      </c>
      <c r="J2458" s="15" t="s">
        <v>1685</v>
      </c>
      <c r="K2458" s="8"/>
      <c r="L2458" s="15" t="s">
        <v>1685</v>
      </c>
      <c r="M2458" s="8" t="s">
        <v>13100</v>
      </c>
      <c r="N2458" s="8"/>
      <c r="O2458" s="8" t="s">
        <v>13101</v>
      </c>
      <c r="P2458" s="11"/>
      <c r="Q2458" s="8" t="s">
        <v>13102</v>
      </c>
      <c r="R2458" s="8" t="s">
        <v>13103</v>
      </c>
      <c r="S2458" s="8" t="s">
        <v>13146</v>
      </c>
    </row>
    <row r="2459" spans="1:19" ht="150" customHeight="1" x14ac:dyDescent="0.25">
      <c r="A2459" s="8" t="s">
        <v>13147</v>
      </c>
      <c r="B2459" s="8" t="s">
        <v>13098</v>
      </c>
      <c r="C2459" s="8" t="s">
        <v>67</v>
      </c>
      <c r="D2459" s="10">
        <v>29</v>
      </c>
      <c r="E2459" s="8" t="s">
        <v>571</v>
      </c>
      <c r="F2459" s="8"/>
      <c r="G2459" s="8" t="s">
        <v>67</v>
      </c>
      <c r="H2459" s="8"/>
      <c r="I2459" s="8" t="s">
        <v>572</v>
      </c>
      <c r="J2459" s="15" t="s">
        <v>1685</v>
      </c>
      <c r="K2459" s="8"/>
      <c r="L2459" s="15" t="s">
        <v>1685</v>
      </c>
      <c r="M2459" s="8" t="s">
        <v>13100</v>
      </c>
      <c r="N2459" s="8"/>
      <c r="O2459" s="8" t="s">
        <v>13101</v>
      </c>
      <c r="P2459" s="11"/>
      <c r="Q2459" s="8" t="s">
        <v>13102</v>
      </c>
      <c r="R2459" s="8" t="s">
        <v>13103</v>
      </c>
      <c r="S2459" s="8" t="s">
        <v>13148</v>
      </c>
    </row>
    <row r="2460" spans="1:19" ht="150" customHeight="1" x14ac:dyDescent="0.25">
      <c r="A2460" s="8" t="s">
        <v>13149</v>
      </c>
      <c r="B2460" s="8" t="s">
        <v>13098</v>
      </c>
      <c r="C2460" s="8" t="s">
        <v>67</v>
      </c>
      <c r="D2460" s="10">
        <v>30</v>
      </c>
      <c r="E2460" s="8" t="s">
        <v>1122</v>
      </c>
      <c r="F2460" s="8"/>
      <c r="G2460" s="8" t="s">
        <v>67</v>
      </c>
      <c r="H2460" s="8"/>
      <c r="I2460" s="8" t="s">
        <v>1123</v>
      </c>
      <c r="J2460" s="15" t="s">
        <v>1685</v>
      </c>
      <c r="K2460" s="8"/>
      <c r="L2460" s="15" t="s">
        <v>1685</v>
      </c>
      <c r="M2460" s="8" t="s">
        <v>13100</v>
      </c>
      <c r="N2460" s="8"/>
      <c r="O2460" s="8" t="s">
        <v>13101</v>
      </c>
      <c r="P2460" s="11"/>
      <c r="Q2460" s="8" t="s">
        <v>13102</v>
      </c>
      <c r="R2460" s="8" t="s">
        <v>13103</v>
      </c>
      <c r="S2460" s="8" t="s">
        <v>13150</v>
      </c>
    </row>
    <row r="2461" spans="1:19" ht="150" customHeight="1" x14ac:dyDescent="0.25">
      <c r="A2461" s="8" t="s">
        <v>13151</v>
      </c>
      <c r="B2461" s="8" t="s">
        <v>13098</v>
      </c>
      <c r="C2461" s="8" t="s">
        <v>67</v>
      </c>
      <c r="D2461" s="10">
        <v>31</v>
      </c>
      <c r="E2461" s="8" t="s">
        <v>824</v>
      </c>
      <c r="F2461" s="8"/>
      <c r="G2461" s="8" t="s">
        <v>67</v>
      </c>
      <c r="H2461" s="8"/>
      <c r="I2461" s="8" t="s">
        <v>825</v>
      </c>
      <c r="J2461" s="15" t="s">
        <v>1685</v>
      </c>
      <c r="K2461" s="8"/>
      <c r="L2461" s="15" t="s">
        <v>1685</v>
      </c>
      <c r="M2461" s="8" t="s">
        <v>13100</v>
      </c>
      <c r="N2461" s="8"/>
      <c r="O2461" s="8" t="s">
        <v>13101</v>
      </c>
      <c r="P2461" s="11"/>
      <c r="Q2461" s="8" t="s">
        <v>13102</v>
      </c>
      <c r="R2461" s="8" t="s">
        <v>13103</v>
      </c>
      <c r="S2461" s="8" t="s">
        <v>13152</v>
      </c>
    </row>
    <row r="2462" spans="1:19" ht="150" customHeight="1" x14ac:dyDescent="0.25">
      <c r="A2462" s="8" t="s">
        <v>13153</v>
      </c>
      <c r="B2462" s="8" t="s">
        <v>13098</v>
      </c>
      <c r="C2462" s="8" t="s">
        <v>67</v>
      </c>
      <c r="D2462" s="10">
        <v>32</v>
      </c>
      <c r="E2462" s="8" t="s">
        <v>1233</v>
      </c>
      <c r="F2462" s="8"/>
      <c r="G2462" s="8" t="s">
        <v>67</v>
      </c>
      <c r="H2462" s="8"/>
      <c r="I2462" s="8" t="s">
        <v>1234</v>
      </c>
      <c r="J2462" s="15" t="s">
        <v>1685</v>
      </c>
      <c r="K2462" s="8"/>
      <c r="L2462" s="15" t="s">
        <v>1685</v>
      </c>
      <c r="M2462" s="8" t="s">
        <v>13100</v>
      </c>
      <c r="N2462" s="8"/>
      <c r="O2462" s="8" t="s">
        <v>13101</v>
      </c>
      <c r="P2462" s="11"/>
      <c r="Q2462" s="8" t="s">
        <v>13102</v>
      </c>
      <c r="R2462" s="8" t="s">
        <v>13103</v>
      </c>
      <c r="S2462" s="8" t="s">
        <v>13154</v>
      </c>
    </row>
    <row r="2463" spans="1:19" ht="150" customHeight="1" x14ac:dyDescent="0.25">
      <c r="A2463" s="8" t="s">
        <v>13155</v>
      </c>
      <c r="B2463" s="8" t="s">
        <v>13098</v>
      </c>
      <c r="C2463" s="8" t="s">
        <v>67</v>
      </c>
      <c r="D2463" s="10">
        <v>33</v>
      </c>
      <c r="E2463" s="8" t="s">
        <v>517</v>
      </c>
      <c r="F2463" s="8"/>
      <c r="G2463" s="8" t="s">
        <v>67</v>
      </c>
      <c r="H2463" s="8"/>
      <c r="I2463" s="8" t="s">
        <v>518</v>
      </c>
      <c r="J2463" s="15" t="s">
        <v>1685</v>
      </c>
      <c r="K2463" s="8"/>
      <c r="L2463" s="15" t="s">
        <v>1685</v>
      </c>
      <c r="M2463" s="8" t="s">
        <v>13100</v>
      </c>
      <c r="N2463" s="8"/>
      <c r="O2463" s="8" t="s">
        <v>13101</v>
      </c>
      <c r="P2463" s="11"/>
      <c r="Q2463" s="8" t="s">
        <v>13102</v>
      </c>
      <c r="R2463" s="8" t="s">
        <v>13103</v>
      </c>
      <c r="S2463" s="8" t="s">
        <v>13156</v>
      </c>
    </row>
    <row r="2464" spans="1:19" ht="150" customHeight="1" x14ac:dyDescent="0.25">
      <c r="A2464" s="8" t="s">
        <v>13157</v>
      </c>
      <c r="B2464" s="8" t="s">
        <v>13098</v>
      </c>
      <c r="C2464" s="8" t="s">
        <v>67</v>
      </c>
      <c r="D2464" s="10">
        <v>34</v>
      </c>
      <c r="E2464" s="8" t="s">
        <v>1081</v>
      </c>
      <c r="F2464" s="8"/>
      <c r="G2464" s="8" t="s">
        <v>67</v>
      </c>
      <c r="H2464" s="8"/>
      <c r="I2464" s="8" t="s">
        <v>1082</v>
      </c>
      <c r="J2464" s="15" t="s">
        <v>1685</v>
      </c>
      <c r="K2464" s="8"/>
      <c r="L2464" s="15" t="s">
        <v>1685</v>
      </c>
      <c r="M2464" s="8" t="s">
        <v>13100</v>
      </c>
      <c r="N2464" s="8"/>
      <c r="O2464" s="8" t="s">
        <v>13101</v>
      </c>
      <c r="P2464" s="11"/>
      <c r="Q2464" s="8" t="s">
        <v>13102</v>
      </c>
      <c r="R2464" s="8" t="s">
        <v>13103</v>
      </c>
      <c r="S2464" s="8" t="s">
        <v>13158</v>
      </c>
    </row>
    <row r="2465" spans="1:19" ht="150" customHeight="1" x14ac:dyDescent="0.25">
      <c r="A2465" s="8" t="s">
        <v>13159</v>
      </c>
      <c r="B2465" s="8" t="s">
        <v>13098</v>
      </c>
      <c r="C2465" s="8" t="s">
        <v>67</v>
      </c>
      <c r="D2465" s="10">
        <v>35</v>
      </c>
      <c r="E2465" s="8" t="s">
        <v>1127</v>
      </c>
      <c r="F2465" s="8"/>
      <c r="G2465" s="8" t="s">
        <v>67</v>
      </c>
      <c r="H2465" s="8"/>
      <c r="I2465" s="8" t="s">
        <v>1128</v>
      </c>
      <c r="J2465" s="15" t="s">
        <v>1685</v>
      </c>
      <c r="K2465" s="8"/>
      <c r="L2465" s="15" t="s">
        <v>1685</v>
      </c>
      <c r="M2465" s="8" t="s">
        <v>13100</v>
      </c>
      <c r="N2465" s="8"/>
      <c r="O2465" s="8" t="s">
        <v>13101</v>
      </c>
      <c r="P2465" s="11"/>
      <c r="Q2465" s="8" t="s">
        <v>13102</v>
      </c>
      <c r="R2465" s="8" t="s">
        <v>13103</v>
      </c>
      <c r="S2465" s="8" t="s">
        <v>13160</v>
      </c>
    </row>
    <row r="2466" spans="1:19" ht="150" customHeight="1" x14ac:dyDescent="0.25">
      <c r="A2466" s="8" t="s">
        <v>13161</v>
      </c>
      <c r="B2466" s="8" t="s">
        <v>13098</v>
      </c>
      <c r="C2466" s="8" t="s">
        <v>67</v>
      </c>
      <c r="D2466" s="10">
        <v>36</v>
      </c>
      <c r="E2466" s="8" t="s">
        <v>1049</v>
      </c>
      <c r="F2466" s="8"/>
      <c r="G2466" s="8" t="s">
        <v>67</v>
      </c>
      <c r="H2466" s="8"/>
      <c r="I2466" s="8" t="s">
        <v>1050</v>
      </c>
      <c r="J2466" s="15" t="s">
        <v>1685</v>
      </c>
      <c r="K2466" s="8"/>
      <c r="L2466" s="15" t="s">
        <v>1685</v>
      </c>
      <c r="M2466" s="8" t="s">
        <v>13100</v>
      </c>
      <c r="N2466" s="8"/>
      <c r="O2466" s="8" t="s">
        <v>13101</v>
      </c>
      <c r="P2466" s="11"/>
      <c r="Q2466" s="8" t="s">
        <v>13102</v>
      </c>
      <c r="R2466" s="8" t="s">
        <v>13103</v>
      </c>
      <c r="S2466" s="8" t="s">
        <v>13162</v>
      </c>
    </row>
    <row r="2467" spans="1:19" ht="150" customHeight="1" x14ac:dyDescent="0.25">
      <c r="A2467" s="8" t="s">
        <v>13163</v>
      </c>
      <c r="B2467" s="8" t="s">
        <v>13098</v>
      </c>
      <c r="C2467" s="8" t="s">
        <v>67</v>
      </c>
      <c r="D2467" s="10">
        <v>37</v>
      </c>
      <c r="E2467" s="8" t="s">
        <v>1183</v>
      </c>
      <c r="F2467" s="8"/>
      <c r="G2467" s="8" t="s">
        <v>67</v>
      </c>
      <c r="H2467" s="8"/>
      <c r="I2467" s="8" t="s">
        <v>1184</v>
      </c>
      <c r="J2467" s="15" t="s">
        <v>1685</v>
      </c>
      <c r="K2467" s="8"/>
      <c r="L2467" s="15" t="s">
        <v>1685</v>
      </c>
      <c r="M2467" s="8" t="s">
        <v>13100</v>
      </c>
      <c r="N2467" s="8"/>
      <c r="O2467" s="8" t="s">
        <v>13101</v>
      </c>
      <c r="P2467" s="11"/>
      <c r="Q2467" s="8" t="s">
        <v>13102</v>
      </c>
      <c r="R2467" s="8" t="s">
        <v>13103</v>
      </c>
      <c r="S2467" s="8" t="s">
        <v>13164</v>
      </c>
    </row>
    <row r="2468" spans="1:19" ht="150" customHeight="1" x14ac:dyDescent="0.25">
      <c r="A2468" s="8" t="s">
        <v>13165</v>
      </c>
      <c r="B2468" s="8" t="s">
        <v>13098</v>
      </c>
      <c r="C2468" s="8" t="s">
        <v>67</v>
      </c>
      <c r="D2468" s="10">
        <v>38</v>
      </c>
      <c r="E2468" s="8" t="s">
        <v>474</v>
      </c>
      <c r="F2468" s="8"/>
      <c r="G2468" s="8" t="s">
        <v>67</v>
      </c>
      <c r="H2468" s="8"/>
      <c r="I2468" s="8" t="s">
        <v>475</v>
      </c>
      <c r="J2468" s="15" t="s">
        <v>1685</v>
      </c>
      <c r="K2468" s="8"/>
      <c r="L2468" s="15" t="s">
        <v>1685</v>
      </c>
      <c r="M2468" s="8" t="s">
        <v>13100</v>
      </c>
      <c r="N2468" s="8"/>
      <c r="O2468" s="8" t="s">
        <v>13101</v>
      </c>
      <c r="P2468" s="11"/>
      <c r="Q2468" s="8" t="s">
        <v>13102</v>
      </c>
      <c r="R2468" s="8" t="s">
        <v>13103</v>
      </c>
      <c r="S2468" s="8" t="s">
        <v>13166</v>
      </c>
    </row>
    <row r="2469" spans="1:19" ht="150" customHeight="1" x14ac:dyDescent="0.25">
      <c r="A2469" s="8" t="s">
        <v>13167</v>
      </c>
      <c r="B2469" s="8" t="s">
        <v>13098</v>
      </c>
      <c r="C2469" s="8" t="s">
        <v>67</v>
      </c>
      <c r="D2469" s="10">
        <v>39</v>
      </c>
      <c r="E2469" s="8" t="s">
        <v>1205</v>
      </c>
      <c r="F2469" s="8"/>
      <c r="G2469" s="8" t="s">
        <v>67</v>
      </c>
      <c r="H2469" s="8"/>
      <c r="I2469" s="8" t="s">
        <v>1206</v>
      </c>
      <c r="J2469" s="15" t="s">
        <v>1685</v>
      </c>
      <c r="K2469" s="8"/>
      <c r="L2469" s="15" t="s">
        <v>1685</v>
      </c>
      <c r="M2469" s="8" t="s">
        <v>13100</v>
      </c>
      <c r="N2469" s="8"/>
      <c r="O2469" s="8" t="s">
        <v>13101</v>
      </c>
      <c r="P2469" s="11"/>
      <c r="Q2469" s="8" t="s">
        <v>13102</v>
      </c>
      <c r="R2469" s="8" t="s">
        <v>13103</v>
      </c>
      <c r="S2469" s="8" t="s">
        <v>13168</v>
      </c>
    </row>
    <row r="2470" spans="1:19" ht="150" customHeight="1" x14ac:dyDescent="0.25">
      <c r="A2470" s="8" t="s">
        <v>13169</v>
      </c>
      <c r="B2470" s="8" t="s">
        <v>13098</v>
      </c>
      <c r="C2470" s="8" t="s">
        <v>67</v>
      </c>
      <c r="D2470" s="10">
        <v>40</v>
      </c>
      <c r="E2470" s="8" t="s">
        <v>1137</v>
      </c>
      <c r="F2470" s="8"/>
      <c r="G2470" s="8" t="s">
        <v>67</v>
      </c>
      <c r="H2470" s="8"/>
      <c r="I2470" s="8" t="s">
        <v>1138</v>
      </c>
      <c r="J2470" s="15" t="s">
        <v>1685</v>
      </c>
      <c r="K2470" s="8"/>
      <c r="L2470" s="15" t="s">
        <v>1685</v>
      </c>
      <c r="M2470" s="8" t="s">
        <v>13100</v>
      </c>
      <c r="N2470" s="8"/>
      <c r="O2470" s="8" t="s">
        <v>13101</v>
      </c>
      <c r="P2470" s="11"/>
      <c r="Q2470" s="8" t="s">
        <v>13102</v>
      </c>
      <c r="R2470" s="8" t="s">
        <v>13103</v>
      </c>
      <c r="S2470" s="8" t="s">
        <v>13170</v>
      </c>
    </row>
    <row r="2471" spans="1:19" ht="150" customHeight="1" x14ac:dyDescent="0.25">
      <c r="A2471" s="8" t="s">
        <v>13171</v>
      </c>
      <c r="B2471" s="8" t="s">
        <v>13098</v>
      </c>
      <c r="C2471" s="8" t="s">
        <v>67</v>
      </c>
      <c r="D2471" s="10">
        <v>41</v>
      </c>
      <c r="E2471" s="8" t="s">
        <v>1156</v>
      </c>
      <c r="F2471" s="8"/>
      <c r="G2471" s="8" t="s">
        <v>67</v>
      </c>
      <c r="H2471" s="8"/>
      <c r="I2471" s="8" t="s">
        <v>1157</v>
      </c>
      <c r="J2471" s="15" t="s">
        <v>1685</v>
      </c>
      <c r="K2471" s="8"/>
      <c r="L2471" s="15" t="s">
        <v>1685</v>
      </c>
      <c r="M2471" s="8" t="s">
        <v>13100</v>
      </c>
      <c r="N2471" s="8"/>
      <c r="O2471" s="8" t="s">
        <v>13101</v>
      </c>
      <c r="P2471" s="11"/>
      <c r="Q2471" s="8" t="s">
        <v>13102</v>
      </c>
      <c r="R2471" s="8" t="s">
        <v>13103</v>
      </c>
      <c r="S2471" s="8" t="s">
        <v>13172</v>
      </c>
    </row>
    <row r="2472" spans="1:19" ht="150" customHeight="1" x14ac:dyDescent="0.25">
      <c r="A2472" s="8" t="s">
        <v>13173</v>
      </c>
      <c r="B2472" s="8" t="s">
        <v>13098</v>
      </c>
      <c r="C2472" s="8" t="s">
        <v>67</v>
      </c>
      <c r="D2472" s="10">
        <v>43</v>
      </c>
      <c r="E2472" s="8" t="s">
        <v>1104</v>
      </c>
      <c r="F2472" s="8"/>
      <c r="G2472" s="8" t="s">
        <v>67</v>
      </c>
      <c r="H2472" s="8"/>
      <c r="I2472" s="8" t="s">
        <v>1105</v>
      </c>
      <c r="J2472" s="15" t="s">
        <v>1685</v>
      </c>
      <c r="K2472" s="8"/>
      <c r="L2472" s="15" t="s">
        <v>1685</v>
      </c>
      <c r="M2472" s="8" t="s">
        <v>13100</v>
      </c>
      <c r="N2472" s="8"/>
      <c r="O2472" s="8" t="s">
        <v>13101</v>
      </c>
      <c r="P2472" s="11"/>
      <c r="Q2472" s="8" t="s">
        <v>13102</v>
      </c>
      <c r="R2472" s="8" t="s">
        <v>13103</v>
      </c>
      <c r="S2472" s="8" t="s">
        <v>13174</v>
      </c>
    </row>
    <row r="2473" spans="1:19" ht="150" customHeight="1" x14ac:dyDescent="0.25">
      <c r="A2473" s="8" t="s">
        <v>13175</v>
      </c>
      <c r="B2473" s="8" t="s">
        <v>13098</v>
      </c>
      <c r="C2473" s="8" t="s">
        <v>67</v>
      </c>
      <c r="D2473" s="10">
        <v>44</v>
      </c>
      <c r="E2473" s="8" t="s">
        <v>1113</v>
      </c>
      <c r="F2473" s="8"/>
      <c r="G2473" s="8" t="s">
        <v>67</v>
      </c>
      <c r="H2473" s="8"/>
      <c r="I2473" s="8" t="s">
        <v>1114</v>
      </c>
      <c r="J2473" s="15" t="s">
        <v>1685</v>
      </c>
      <c r="K2473" s="8"/>
      <c r="L2473" s="15" t="s">
        <v>1685</v>
      </c>
      <c r="M2473" s="8" t="s">
        <v>13100</v>
      </c>
      <c r="N2473" s="8"/>
      <c r="O2473" s="8" t="s">
        <v>13101</v>
      </c>
      <c r="P2473" s="11"/>
      <c r="Q2473" s="8" t="s">
        <v>13102</v>
      </c>
      <c r="R2473" s="8" t="s">
        <v>13103</v>
      </c>
      <c r="S2473" s="8" t="s">
        <v>13176</v>
      </c>
    </row>
    <row r="2474" spans="1:19" ht="150" customHeight="1" x14ac:dyDescent="0.25">
      <c r="A2474" s="8" t="s">
        <v>13177</v>
      </c>
      <c r="B2474" s="8" t="s">
        <v>13098</v>
      </c>
      <c r="C2474" s="8" t="s">
        <v>67</v>
      </c>
      <c r="D2474" s="10">
        <v>45</v>
      </c>
      <c r="E2474" s="8" t="s">
        <v>1209</v>
      </c>
      <c r="F2474" s="8"/>
      <c r="G2474" s="8" t="s">
        <v>67</v>
      </c>
      <c r="H2474" s="8"/>
      <c r="I2474" s="8" t="s">
        <v>1210</v>
      </c>
      <c r="J2474" s="15" t="s">
        <v>1685</v>
      </c>
      <c r="K2474" s="8"/>
      <c r="L2474" s="15" t="s">
        <v>1685</v>
      </c>
      <c r="M2474" s="8" t="s">
        <v>13100</v>
      </c>
      <c r="N2474" s="8"/>
      <c r="O2474" s="8" t="s">
        <v>13101</v>
      </c>
      <c r="P2474" s="11"/>
      <c r="Q2474" s="8" t="s">
        <v>13102</v>
      </c>
      <c r="R2474" s="8" t="s">
        <v>13103</v>
      </c>
      <c r="S2474" s="8" t="s">
        <v>13178</v>
      </c>
    </row>
    <row r="2475" spans="1:19" ht="149.1" customHeight="1" x14ac:dyDescent="0.25">
      <c r="A2475" s="8" t="s">
        <v>13179</v>
      </c>
      <c r="B2475" s="8" t="s">
        <v>13098</v>
      </c>
      <c r="C2475" s="8" t="s">
        <v>67</v>
      </c>
      <c r="D2475" s="10">
        <v>47</v>
      </c>
      <c r="E2475" s="8" t="s">
        <v>586</v>
      </c>
      <c r="F2475" s="8"/>
      <c r="G2475" s="8" t="s">
        <v>67</v>
      </c>
      <c r="H2475" s="8"/>
      <c r="I2475" s="8" t="s">
        <v>587</v>
      </c>
      <c r="J2475" s="15" t="s">
        <v>1685</v>
      </c>
      <c r="K2475" s="8"/>
      <c r="L2475" s="15" t="s">
        <v>1685</v>
      </c>
      <c r="M2475" s="8" t="s">
        <v>13100</v>
      </c>
      <c r="N2475" s="8"/>
      <c r="O2475" s="8" t="s">
        <v>13101</v>
      </c>
      <c r="P2475" s="11"/>
      <c r="Q2475" s="8" t="s">
        <v>13102</v>
      </c>
      <c r="R2475" s="8" t="s">
        <v>13103</v>
      </c>
      <c r="S2475" s="8" t="s">
        <v>13180</v>
      </c>
    </row>
    <row r="2476" spans="1:19" ht="150" customHeight="1" x14ac:dyDescent="0.25">
      <c r="A2476" s="8" t="s">
        <v>13181</v>
      </c>
      <c r="B2476" s="8" t="s">
        <v>13098</v>
      </c>
      <c r="C2476" s="8" t="s">
        <v>67</v>
      </c>
      <c r="D2476" s="10">
        <v>48</v>
      </c>
      <c r="E2476" s="8" t="s">
        <v>846</v>
      </c>
      <c r="F2476" s="8"/>
      <c r="G2476" s="8" t="s">
        <v>67</v>
      </c>
      <c r="H2476" s="8"/>
      <c r="I2476" s="8" t="s">
        <v>847</v>
      </c>
      <c r="J2476" s="15" t="s">
        <v>1685</v>
      </c>
      <c r="K2476" s="8"/>
      <c r="L2476" s="15" t="s">
        <v>1685</v>
      </c>
      <c r="M2476" s="8" t="s">
        <v>13100</v>
      </c>
      <c r="N2476" s="8"/>
      <c r="O2476" s="8" t="s">
        <v>13101</v>
      </c>
      <c r="P2476" s="11"/>
      <c r="Q2476" s="8" t="s">
        <v>13102</v>
      </c>
      <c r="R2476" s="8" t="s">
        <v>13103</v>
      </c>
      <c r="S2476" s="8" t="s">
        <v>13182</v>
      </c>
    </row>
    <row r="2477" spans="1:19" ht="150" customHeight="1" x14ac:dyDescent="0.25">
      <c r="A2477" s="8" t="s">
        <v>13183</v>
      </c>
      <c r="B2477" s="8" t="s">
        <v>13098</v>
      </c>
      <c r="C2477" s="8" t="s">
        <v>67</v>
      </c>
      <c r="D2477" s="10">
        <v>50</v>
      </c>
      <c r="E2477" s="8" t="s">
        <v>1179</v>
      </c>
      <c r="F2477" s="8"/>
      <c r="G2477" s="8" t="s">
        <v>67</v>
      </c>
      <c r="H2477" s="8"/>
      <c r="I2477" s="8" t="s">
        <v>1180</v>
      </c>
      <c r="J2477" s="15" t="s">
        <v>1685</v>
      </c>
      <c r="K2477" s="8"/>
      <c r="L2477" s="15" t="s">
        <v>1685</v>
      </c>
      <c r="M2477" s="8" t="s">
        <v>13100</v>
      </c>
      <c r="N2477" s="8"/>
      <c r="O2477" s="8" t="s">
        <v>13101</v>
      </c>
      <c r="P2477" s="11"/>
      <c r="Q2477" s="8" t="s">
        <v>13102</v>
      </c>
      <c r="R2477" s="8" t="s">
        <v>13103</v>
      </c>
      <c r="S2477" s="8" t="s">
        <v>13184</v>
      </c>
    </row>
    <row r="2478" spans="1:19" ht="150" customHeight="1" x14ac:dyDescent="0.25">
      <c r="A2478" s="8" t="s">
        <v>13185</v>
      </c>
      <c r="B2478" s="8" t="s">
        <v>13098</v>
      </c>
      <c r="C2478" s="8" t="s">
        <v>67</v>
      </c>
      <c r="D2478" s="10">
        <v>51</v>
      </c>
      <c r="E2478" s="8" t="s">
        <v>1100</v>
      </c>
      <c r="F2478" s="8"/>
      <c r="G2478" s="8" t="s">
        <v>67</v>
      </c>
      <c r="H2478" s="8"/>
      <c r="I2478" s="8" t="s">
        <v>1101</v>
      </c>
      <c r="J2478" s="15" t="s">
        <v>1685</v>
      </c>
      <c r="K2478" s="8"/>
      <c r="L2478" s="15" t="s">
        <v>1685</v>
      </c>
      <c r="M2478" s="8" t="s">
        <v>13100</v>
      </c>
      <c r="N2478" s="8"/>
      <c r="O2478" s="8" t="s">
        <v>13101</v>
      </c>
      <c r="P2478" s="11"/>
      <c r="Q2478" s="8" t="s">
        <v>13102</v>
      </c>
      <c r="R2478" s="8" t="s">
        <v>13103</v>
      </c>
      <c r="S2478" s="8" t="s">
        <v>13186</v>
      </c>
    </row>
    <row r="2479" spans="1:19" ht="150" customHeight="1" x14ac:dyDescent="0.25">
      <c r="A2479" s="8" t="s">
        <v>13187</v>
      </c>
      <c r="B2479" s="8" t="s">
        <v>13098</v>
      </c>
      <c r="C2479" s="8" t="s">
        <v>67</v>
      </c>
      <c r="D2479" s="10">
        <v>52</v>
      </c>
      <c r="E2479" s="8" t="s">
        <v>501</v>
      </c>
      <c r="F2479" s="8"/>
      <c r="G2479" s="8" t="s">
        <v>67</v>
      </c>
      <c r="H2479" s="8"/>
      <c r="I2479" s="8" t="s">
        <v>502</v>
      </c>
      <c r="J2479" s="15" t="s">
        <v>1685</v>
      </c>
      <c r="K2479" s="8"/>
      <c r="L2479" s="15" t="s">
        <v>1685</v>
      </c>
      <c r="M2479" s="8" t="s">
        <v>13100</v>
      </c>
      <c r="N2479" s="8"/>
      <c r="O2479" s="8" t="s">
        <v>13101</v>
      </c>
      <c r="P2479" s="11"/>
      <c r="Q2479" s="8" t="s">
        <v>13102</v>
      </c>
      <c r="R2479" s="8" t="s">
        <v>13103</v>
      </c>
      <c r="S2479" s="8" t="s">
        <v>13188</v>
      </c>
    </row>
    <row r="2480" spans="1:19" ht="150" customHeight="1" x14ac:dyDescent="0.25">
      <c r="A2480" s="8" t="s">
        <v>13189</v>
      </c>
      <c r="B2480" s="8" t="s">
        <v>13098</v>
      </c>
      <c r="C2480" s="8" t="s">
        <v>67</v>
      </c>
      <c r="D2480" s="10">
        <v>53</v>
      </c>
      <c r="E2480" s="8" t="s">
        <v>1141</v>
      </c>
      <c r="F2480" s="8"/>
      <c r="G2480" s="8" t="s">
        <v>67</v>
      </c>
      <c r="H2480" s="8"/>
      <c r="I2480" s="8" t="s">
        <v>1142</v>
      </c>
      <c r="J2480" s="15" t="s">
        <v>1685</v>
      </c>
      <c r="K2480" s="8"/>
      <c r="L2480" s="15" t="s">
        <v>1685</v>
      </c>
      <c r="M2480" s="8" t="s">
        <v>13100</v>
      </c>
      <c r="N2480" s="8"/>
      <c r="O2480" s="8" t="s">
        <v>13101</v>
      </c>
      <c r="P2480" s="11"/>
      <c r="Q2480" s="8" t="s">
        <v>13102</v>
      </c>
      <c r="R2480" s="8" t="s">
        <v>13103</v>
      </c>
      <c r="S2480" s="8" t="s">
        <v>13190</v>
      </c>
    </row>
    <row r="2481" spans="1:19" ht="150" customHeight="1" x14ac:dyDescent="0.25">
      <c r="A2481" s="8" t="s">
        <v>13191</v>
      </c>
      <c r="B2481" s="8" t="s">
        <v>13098</v>
      </c>
      <c r="C2481" s="8" t="s">
        <v>67</v>
      </c>
      <c r="D2481" s="10">
        <v>54</v>
      </c>
      <c r="E2481" s="8" t="s">
        <v>1228</v>
      </c>
      <c r="F2481" s="8"/>
      <c r="G2481" s="8" t="s">
        <v>67</v>
      </c>
      <c r="H2481" s="8"/>
      <c r="I2481" s="8" t="s">
        <v>1229</v>
      </c>
      <c r="J2481" s="15" t="s">
        <v>1685</v>
      </c>
      <c r="K2481" s="8"/>
      <c r="L2481" s="15" t="s">
        <v>1685</v>
      </c>
      <c r="M2481" s="8" t="s">
        <v>13100</v>
      </c>
      <c r="N2481" s="8"/>
      <c r="O2481" s="8" t="s">
        <v>13101</v>
      </c>
      <c r="P2481" s="11"/>
      <c r="Q2481" s="8" t="s">
        <v>13102</v>
      </c>
      <c r="R2481" s="8" t="s">
        <v>13103</v>
      </c>
      <c r="S2481" s="8" t="s">
        <v>13192</v>
      </c>
    </row>
    <row r="2482" spans="1:19" ht="150" customHeight="1" x14ac:dyDescent="0.25">
      <c r="A2482" s="8" t="s">
        <v>13193</v>
      </c>
      <c r="B2482" s="8" t="s">
        <v>13098</v>
      </c>
      <c r="C2482" s="8" t="s">
        <v>67</v>
      </c>
      <c r="D2482" s="10">
        <v>55</v>
      </c>
      <c r="E2482" s="8" t="s">
        <v>1057</v>
      </c>
      <c r="F2482" s="8"/>
      <c r="G2482" s="8" t="s">
        <v>67</v>
      </c>
      <c r="H2482" s="8"/>
      <c r="I2482" s="8" t="s">
        <v>1058</v>
      </c>
      <c r="J2482" s="15" t="s">
        <v>1685</v>
      </c>
      <c r="K2482" s="8"/>
      <c r="L2482" s="15" t="s">
        <v>1685</v>
      </c>
      <c r="M2482" s="8" t="s">
        <v>13100</v>
      </c>
      <c r="N2482" s="8"/>
      <c r="O2482" s="8" t="s">
        <v>13101</v>
      </c>
      <c r="P2482" s="11"/>
      <c r="Q2482" s="8" t="s">
        <v>13102</v>
      </c>
      <c r="R2482" s="8" t="s">
        <v>13103</v>
      </c>
      <c r="S2482" s="8" t="s">
        <v>13194</v>
      </c>
    </row>
    <row r="2483" spans="1:19" ht="150" customHeight="1" x14ac:dyDescent="0.25">
      <c r="A2483" s="8" t="s">
        <v>13195</v>
      </c>
      <c r="B2483" s="8" t="s">
        <v>13098</v>
      </c>
      <c r="C2483" s="8" t="s">
        <v>67</v>
      </c>
      <c r="D2483" s="10">
        <v>56</v>
      </c>
      <c r="E2483" s="8" t="s">
        <v>598</v>
      </c>
      <c r="F2483" s="8"/>
      <c r="G2483" s="8" t="s">
        <v>67</v>
      </c>
      <c r="H2483" s="8"/>
      <c r="I2483" s="8" t="s">
        <v>599</v>
      </c>
      <c r="J2483" s="15" t="s">
        <v>1685</v>
      </c>
      <c r="K2483" s="8"/>
      <c r="L2483" s="15" t="s">
        <v>1685</v>
      </c>
      <c r="M2483" s="8" t="s">
        <v>13100</v>
      </c>
      <c r="N2483" s="8"/>
      <c r="O2483" s="8" t="s">
        <v>13101</v>
      </c>
      <c r="P2483" s="11"/>
      <c r="Q2483" s="8" t="s">
        <v>13102</v>
      </c>
      <c r="R2483" s="8" t="s">
        <v>13103</v>
      </c>
      <c r="S2483" s="8" t="s">
        <v>13196</v>
      </c>
    </row>
    <row r="2484" spans="1:19" ht="150" customHeight="1" x14ac:dyDescent="0.25">
      <c r="A2484" s="8" t="s">
        <v>13197</v>
      </c>
      <c r="B2484" s="8" t="s">
        <v>13098</v>
      </c>
      <c r="C2484" s="8" t="s">
        <v>67</v>
      </c>
      <c r="D2484" s="10">
        <v>57</v>
      </c>
      <c r="E2484" s="8" t="s">
        <v>1223</v>
      </c>
      <c r="F2484" s="8"/>
      <c r="G2484" s="8" t="s">
        <v>67</v>
      </c>
      <c r="H2484" s="8"/>
      <c r="I2484" s="8" t="s">
        <v>1224</v>
      </c>
      <c r="J2484" s="15" t="s">
        <v>1685</v>
      </c>
      <c r="K2484" s="8"/>
      <c r="L2484" s="15" t="s">
        <v>1685</v>
      </c>
      <c r="M2484" s="8" t="s">
        <v>13100</v>
      </c>
      <c r="N2484" s="8"/>
      <c r="O2484" s="8" t="s">
        <v>13101</v>
      </c>
      <c r="P2484" s="11"/>
      <c r="Q2484" s="8" t="s">
        <v>13102</v>
      </c>
      <c r="R2484" s="8" t="s">
        <v>13103</v>
      </c>
      <c r="S2484" s="8" t="s">
        <v>13198</v>
      </c>
    </row>
    <row r="2485" spans="1:19" ht="150" customHeight="1" x14ac:dyDescent="0.25">
      <c r="A2485" s="8" t="s">
        <v>13199</v>
      </c>
      <c r="B2485" s="8" t="s">
        <v>13098</v>
      </c>
      <c r="C2485" s="8" t="s">
        <v>67</v>
      </c>
      <c r="D2485" s="10">
        <v>58</v>
      </c>
      <c r="E2485" s="8" t="s">
        <v>1085</v>
      </c>
      <c r="F2485" s="8"/>
      <c r="G2485" s="8" t="s">
        <v>67</v>
      </c>
      <c r="H2485" s="8"/>
      <c r="I2485" s="8" t="s">
        <v>1086</v>
      </c>
      <c r="J2485" s="15" t="s">
        <v>1685</v>
      </c>
      <c r="K2485" s="8"/>
      <c r="L2485" s="15" t="s">
        <v>1685</v>
      </c>
      <c r="M2485" s="8" t="s">
        <v>13100</v>
      </c>
      <c r="N2485" s="8"/>
      <c r="O2485" s="8" t="s">
        <v>13101</v>
      </c>
      <c r="P2485" s="11"/>
      <c r="Q2485" s="8" t="s">
        <v>13102</v>
      </c>
      <c r="R2485" s="8" t="s">
        <v>13103</v>
      </c>
      <c r="S2485" s="8" t="s">
        <v>13200</v>
      </c>
    </row>
    <row r="2486" spans="1:19" ht="150" customHeight="1" x14ac:dyDescent="0.25">
      <c r="A2486" s="8" t="s">
        <v>13201</v>
      </c>
      <c r="B2486" s="8" t="s">
        <v>13098</v>
      </c>
      <c r="C2486" s="8" t="s">
        <v>67</v>
      </c>
      <c r="D2486" s="10">
        <v>60</v>
      </c>
      <c r="E2486" s="8" t="s">
        <v>510</v>
      </c>
      <c r="F2486" s="8"/>
      <c r="G2486" s="8" t="s">
        <v>67</v>
      </c>
      <c r="H2486" s="8"/>
      <c r="I2486" s="8" t="s">
        <v>511</v>
      </c>
      <c r="J2486" s="15" t="s">
        <v>1685</v>
      </c>
      <c r="K2486" s="8"/>
      <c r="L2486" s="15" t="s">
        <v>1685</v>
      </c>
      <c r="M2486" s="8" t="s">
        <v>13100</v>
      </c>
      <c r="N2486" s="8"/>
      <c r="O2486" s="8" t="s">
        <v>13101</v>
      </c>
      <c r="P2486" s="11"/>
      <c r="Q2486" s="8" t="s">
        <v>13102</v>
      </c>
      <c r="R2486" s="8" t="s">
        <v>13103</v>
      </c>
      <c r="S2486" s="8" t="s">
        <v>13202</v>
      </c>
    </row>
    <row r="2487" spans="1:19" ht="150" customHeight="1" x14ac:dyDescent="0.25">
      <c r="A2487" s="8" t="s">
        <v>13203</v>
      </c>
      <c r="B2487" s="8" t="s">
        <v>13098</v>
      </c>
      <c r="C2487" s="8" t="s">
        <v>67</v>
      </c>
      <c r="D2487" s="10">
        <v>62</v>
      </c>
      <c r="E2487" s="8" t="s">
        <v>1161</v>
      </c>
      <c r="F2487" s="8"/>
      <c r="G2487" s="8" t="s">
        <v>67</v>
      </c>
      <c r="H2487" s="8"/>
      <c r="I2487" s="8" t="s">
        <v>1162</v>
      </c>
      <c r="J2487" s="15" t="s">
        <v>1685</v>
      </c>
      <c r="K2487" s="8"/>
      <c r="L2487" s="15" t="s">
        <v>1685</v>
      </c>
      <c r="M2487" s="8" t="s">
        <v>13100</v>
      </c>
      <c r="N2487" s="8"/>
      <c r="O2487" s="8" t="s">
        <v>13101</v>
      </c>
      <c r="P2487" s="11"/>
      <c r="Q2487" s="8" t="s">
        <v>13102</v>
      </c>
      <c r="R2487" s="8" t="s">
        <v>13103</v>
      </c>
      <c r="S2487" s="8" t="s">
        <v>13204</v>
      </c>
    </row>
    <row r="2488" spans="1:19" ht="150" customHeight="1" x14ac:dyDescent="0.25">
      <c r="A2488" s="8" t="s">
        <v>13205</v>
      </c>
      <c r="B2488" s="8" t="s">
        <v>13098</v>
      </c>
      <c r="C2488" s="8" t="s">
        <v>67</v>
      </c>
      <c r="D2488" s="10">
        <v>64</v>
      </c>
      <c r="E2488" s="8" t="s">
        <v>1095</v>
      </c>
      <c r="F2488" s="8"/>
      <c r="G2488" s="8" t="s">
        <v>67</v>
      </c>
      <c r="H2488" s="8"/>
      <c r="I2488" s="8" t="s">
        <v>1096</v>
      </c>
      <c r="J2488" s="15" t="s">
        <v>1685</v>
      </c>
      <c r="K2488" s="8"/>
      <c r="L2488" s="15" t="s">
        <v>1685</v>
      </c>
      <c r="M2488" s="8" t="s">
        <v>13100</v>
      </c>
      <c r="N2488" s="8"/>
      <c r="O2488" s="8" t="s">
        <v>13101</v>
      </c>
      <c r="P2488" s="11"/>
      <c r="Q2488" s="8" t="s">
        <v>13102</v>
      </c>
      <c r="R2488" s="8" t="s">
        <v>13103</v>
      </c>
      <c r="S2488" s="8" t="s">
        <v>13206</v>
      </c>
    </row>
    <row r="2489" spans="1:19" ht="150" customHeight="1" x14ac:dyDescent="0.25">
      <c r="A2489" s="8" t="s">
        <v>13207</v>
      </c>
      <c r="B2489" s="8" t="s">
        <v>13098</v>
      </c>
      <c r="C2489" s="8" t="s">
        <v>67</v>
      </c>
      <c r="D2489" s="10">
        <v>66</v>
      </c>
      <c r="E2489" s="8" t="s">
        <v>1218</v>
      </c>
      <c r="F2489" s="8"/>
      <c r="G2489" s="8" t="s">
        <v>67</v>
      </c>
      <c r="H2489" s="8"/>
      <c r="I2489" s="8" t="s">
        <v>1219</v>
      </c>
      <c r="J2489" s="15" t="s">
        <v>1685</v>
      </c>
      <c r="K2489" s="8"/>
      <c r="L2489" s="15" t="s">
        <v>1685</v>
      </c>
      <c r="M2489" s="8" t="s">
        <v>13100</v>
      </c>
      <c r="N2489" s="8"/>
      <c r="O2489" s="8" t="s">
        <v>13101</v>
      </c>
      <c r="P2489" s="11"/>
      <c r="Q2489" s="8" t="s">
        <v>13102</v>
      </c>
      <c r="R2489" s="8" t="s">
        <v>13103</v>
      </c>
      <c r="S2489" s="8" t="s">
        <v>13208</v>
      </c>
    </row>
    <row r="2490" spans="1:19" ht="150" customHeight="1" x14ac:dyDescent="0.25">
      <c r="A2490" s="8" t="s">
        <v>13209</v>
      </c>
      <c r="B2490" s="8" t="s">
        <v>13098</v>
      </c>
      <c r="C2490" s="8" t="s">
        <v>67</v>
      </c>
      <c r="D2490" s="10">
        <v>67</v>
      </c>
      <c r="E2490" s="8" t="s">
        <v>1067</v>
      </c>
      <c r="F2490" s="8"/>
      <c r="G2490" s="8" t="s">
        <v>67</v>
      </c>
      <c r="H2490" s="8"/>
      <c r="I2490" s="8" t="s">
        <v>1068</v>
      </c>
      <c r="J2490" s="15" t="s">
        <v>1685</v>
      </c>
      <c r="K2490" s="8"/>
      <c r="L2490" s="15" t="s">
        <v>1685</v>
      </c>
      <c r="M2490" s="8" t="s">
        <v>13100</v>
      </c>
      <c r="N2490" s="8"/>
      <c r="O2490" s="8" t="s">
        <v>13101</v>
      </c>
      <c r="P2490" s="11"/>
      <c r="Q2490" s="8" t="s">
        <v>13102</v>
      </c>
      <c r="R2490" s="8" t="s">
        <v>13103</v>
      </c>
      <c r="S2490" s="8" t="s">
        <v>13210</v>
      </c>
    </row>
    <row r="2491" spans="1:19" ht="149.1" customHeight="1" x14ac:dyDescent="0.25">
      <c r="A2491" s="8" t="s">
        <v>13211</v>
      </c>
      <c r="B2491" s="8" t="s">
        <v>13098</v>
      </c>
      <c r="C2491" s="8" t="s">
        <v>67</v>
      </c>
      <c r="D2491" s="10">
        <v>69</v>
      </c>
      <c r="E2491" s="8" t="s">
        <v>706</v>
      </c>
      <c r="F2491" s="8"/>
      <c r="G2491" s="8" t="s">
        <v>67</v>
      </c>
      <c r="H2491" s="8"/>
      <c r="I2491" s="8" t="s">
        <v>707</v>
      </c>
      <c r="J2491" s="15" t="s">
        <v>1685</v>
      </c>
      <c r="K2491" s="8"/>
      <c r="L2491" s="15" t="s">
        <v>1685</v>
      </c>
      <c r="M2491" s="8" t="s">
        <v>13100</v>
      </c>
      <c r="N2491" s="8"/>
      <c r="O2491" s="8" t="s">
        <v>13101</v>
      </c>
      <c r="P2491" s="11"/>
      <c r="Q2491" s="8" t="s">
        <v>13102</v>
      </c>
      <c r="R2491" s="8" t="s">
        <v>13103</v>
      </c>
      <c r="S2491" s="8" t="s">
        <v>13212</v>
      </c>
    </row>
    <row r="2492" spans="1:19" ht="150" customHeight="1" x14ac:dyDescent="0.25">
      <c r="A2492" s="8" t="s">
        <v>13213</v>
      </c>
      <c r="B2492" s="8" t="s">
        <v>13098</v>
      </c>
      <c r="C2492" s="8" t="s">
        <v>67</v>
      </c>
      <c r="D2492" s="10">
        <v>70</v>
      </c>
      <c r="E2492" s="8" t="s">
        <v>719</v>
      </c>
      <c r="F2492" s="8"/>
      <c r="G2492" s="8" t="s">
        <v>67</v>
      </c>
      <c r="H2492" s="8"/>
      <c r="I2492" s="8" t="s">
        <v>720</v>
      </c>
      <c r="J2492" s="15" t="s">
        <v>1685</v>
      </c>
      <c r="K2492" s="8"/>
      <c r="L2492" s="15" t="s">
        <v>1685</v>
      </c>
      <c r="M2492" s="8" t="s">
        <v>13100</v>
      </c>
      <c r="N2492" s="8"/>
      <c r="O2492" s="8" t="s">
        <v>13101</v>
      </c>
      <c r="P2492" s="11"/>
      <c r="Q2492" s="8" t="s">
        <v>13102</v>
      </c>
      <c r="R2492" s="8" t="s">
        <v>13103</v>
      </c>
      <c r="S2492" s="8" t="s">
        <v>13214</v>
      </c>
    </row>
    <row r="2493" spans="1:19" ht="150" customHeight="1" x14ac:dyDescent="0.25">
      <c r="A2493" s="8" t="s">
        <v>13215</v>
      </c>
      <c r="B2493" s="8" t="s">
        <v>13098</v>
      </c>
      <c r="C2493" s="8" t="s">
        <v>67</v>
      </c>
      <c r="D2493" s="10">
        <v>73</v>
      </c>
      <c r="E2493" s="8" t="s">
        <v>1192</v>
      </c>
      <c r="F2493" s="8"/>
      <c r="G2493" s="8" t="s">
        <v>67</v>
      </c>
      <c r="H2493" s="8"/>
      <c r="I2493" s="8" t="s">
        <v>1193</v>
      </c>
      <c r="J2493" s="15" t="s">
        <v>1685</v>
      </c>
      <c r="K2493" s="8"/>
      <c r="L2493" s="15" t="s">
        <v>1685</v>
      </c>
      <c r="M2493" s="8" t="s">
        <v>13100</v>
      </c>
      <c r="N2493" s="8"/>
      <c r="O2493" s="8" t="s">
        <v>13101</v>
      </c>
      <c r="P2493" s="11"/>
      <c r="Q2493" s="8" t="s">
        <v>13102</v>
      </c>
      <c r="R2493" s="8" t="s">
        <v>13103</v>
      </c>
      <c r="S2493" s="8" t="s">
        <v>13216</v>
      </c>
    </row>
    <row r="2494" spans="1:19" ht="150" customHeight="1" x14ac:dyDescent="0.25">
      <c r="A2494" s="8" t="s">
        <v>13217</v>
      </c>
      <c r="B2494" s="8" t="s">
        <v>13098</v>
      </c>
      <c r="C2494" s="8" t="s">
        <v>67</v>
      </c>
      <c r="D2494" s="10">
        <v>76</v>
      </c>
      <c r="E2494" s="8" t="s">
        <v>550</v>
      </c>
      <c r="F2494" s="8"/>
      <c r="G2494" s="8" t="s">
        <v>67</v>
      </c>
      <c r="H2494" s="8"/>
      <c r="I2494" s="8" t="s">
        <v>551</v>
      </c>
      <c r="J2494" s="15" t="s">
        <v>1685</v>
      </c>
      <c r="K2494" s="8"/>
      <c r="L2494" s="15" t="s">
        <v>1685</v>
      </c>
      <c r="M2494" s="8" t="s">
        <v>13100</v>
      </c>
      <c r="N2494" s="8"/>
      <c r="O2494" s="8" t="s">
        <v>13101</v>
      </c>
      <c r="P2494" s="11"/>
      <c r="Q2494" s="8" t="s">
        <v>13102</v>
      </c>
      <c r="R2494" s="8" t="s">
        <v>13103</v>
      </c>
      <c r="S2494" s="8" t="s">
        <v>13218</v>
      </c>
    </row>
    <row r="2495" spans="1:19" ht="149.1" customHeight="1" x14ac:dyDescent="0.25">
      <c r="A2495" s="8" t="s">
        <v>13219</v>
      </c>
      <c r="B2495" s="8" t="s">
        <v>13098</v>
      </c>
      <c r="C2495" s="8" t="s">
        <v>67</v>
      </c>
      <c r="D2495" s="10">
        <v>84</v>
      </c>
      <c r="E2495" s="8" t="s">
        <v>397</v>
      </c>
      <c r="F2495" s="8"/>
      <c r="G2495" s="8" t="s">
        <v>67</v>
      </c>
      <c r="H2495" s="8"/>
      <c r="I2495" s="8" t="s">
        <v>398</v>
      </c>
      <c r="J2495" s="15" t="s">
        <v>1685</v>
      </c>
      <c r="K2495" s="8"/>
      <c r="L2495" s="15" t="s">
        <v>1685</v>
      </c>
      <c r="M2495" s="8" t="s">
        <v>13100</v>
      </c>
      <c r="N2495" s="8"/>
      <c r="O2495" s="8" t="s">
        <v>13101</v>
      </c>
      <c r="P2495" s="11"/>
      <c r="Q2495" s="8" t="s">
        <v>13102</v>
      </c>
      <c r="R2495" s="8" t="s">
        <v>13103</v>
      </c>
      <c r="S2495" s="8" t="s">
        <v>13220</v>
      </c>
    </row>
    <row r="2496" spans="1:19" ht="150" customHeight="1" x14ac:dyDescent="0.25">
      <c r="A2496" s="8" t="s">
        <v>13221</v>
      </c>
      <c r="B2496" s="8" t="s">
        <v>13098</v>
      </c>
      <c r="C2496" s="8" t="s">
        <v>67</v>
      </c>
      <c r="D2496" s="10">
        <v>98</v>
      </c>
      <c r="E2496" s="8" t="s">
        <v>1062</v>
      </c>
      <c r="F2496" s="8"/>
      <c r="G2496" s="8" t="s">
        <v>67</v>
      </c>
      <c r="H2496" s="8"/>
      <c r="I2496" s="8" t="s">
        <v>1063</v>
      </c>
      <c r="J2496" s="15" t="s">
        <v>1685</v>
      </c>
      <c r="K2496" s="8"/>
      <c r="L2496" s="15" t="s">
        <v>1685</v>
      </c>
      <c r="M2496" s="8" t="s">
        <v>13100</v>
      </c>
      <c r="N2496" s="8"/>
      <c r="O2496" s="8" t="s">
        <v>13101</v>
      </c>
      <c r="P2496" s="11"/>
      <c r="Q2496" s="8" t="s">
        <v>13102</v>
      </c>
      <c r="R2496" s="8" t="s">
        <v>13103</v>
      </c>
      <c r="S2496" s="8" t="s">
        <v>13222</v>
      </c>
    </row>
    <row r="2497" spans="1:19" ht="150" customHeight="1" x14ac:dyDescent="0.25">
      <c r="A2497" s="8" t="s">
        <v>13223</v>
      </c>
      <c r="B2497" s="8" t="s">
        <v>13098</v>
      </c>
      <c r="C2497" s="8" t="s">
        <v>67</v>
      </c>
      <c r="D2497" s="10">
        <v>99</v>
      </c>
      <c r="E2497" s="8" t="s">
        <v>1214</v>
      </c>
      <c r="F2497" s="8"/>
      <c r="G2497" s="8" t="s">
        <v>67</v>
      </c>
      <c r="H2497" s="8"/>
      <c r="I2497" s="8" t="s">
        <v>1215</v>
      </c>
      <c r="J2497" s="15" t="s">
        <v>1685</v>
      </c>
      <c r="K2497" s="8"/>
      <c r="L2497" s="15" t="s">
        <v>1685</v>
      </c>
      <c r="M2497" s="8" t="s">
        <v>13100</v>
      </c>
      <c r="N2497" s="8"/>
      <c r="O2497" s="8" t="s">
        <v>13101</v>
      </c>
      <c r="P2497" s="11"/>
      <c r="Q2497" s="8" t="s">
        <v>13102</v>
      </c>
      <c r="R2497" s="8" t="s">
        <v>13103</v>
      </c>
      <c r="S2497" s="8" t="s">
        <v>13224</v>
      </c>
    </row>
    <row r="2498" spans="1:19" ht="150" customHeight="1" x14ac:dyDescent="0.25">
      <c r="A2498" s="8" t="s">
        <v>13225</v>
      </c>
      <c r="B2498" s="8" t="s">
        <v>13098</v>
      </c>
      <c r="C2498" s="8" t="s">
        <v>67</v>
      </c>
      <c r="D2498" s="10">
        <v>100</v>
      </c>
      <c r="E2498" s="8" t="s">
        <v>1146</v>
      </c>
      <c r="F2498" s="8"/>
      <c r="G2498" s="8" t="s">
        <v>67</v>
      </c>
      <c r="H2498" s="8"/>
      <c r="I2498" s="8" t="s">
        <v>1147</v>
      </c>
      <c r="J2498" s="15" t="s">
        <v>1685</v>
      </c>
      <c r="K2498" s="8"/>
      <c r="L2498" s="15" t="s">
        <v>1685</v>
      </c>
      <c r="M2498" s="8" t="s">
        <v>13100</v>
      </c>
      <c r="N2498" s="8"/>
      <c r="O2498" s="8" t="s">
        <v>13101</v>
      </c>
      <c r="P2498" s="11"/>
      <c r="Q2498" s="8" t="s">
        <v>13102</v>
      </c>
      <c r="R2498" s="8" t="s">
        <v>13103</v>
      </c>
      <c r="S2498" s="8" t="s">
        <v>13226</v>
      </c>
    </row>
    <row r="2499" spans="1:19" ht="150" customHeight="1" x14ac:dyDescent="0.25">
      <c r="A2499" s="8" t="s">
        <v>13227</v>
      </c>
      <c r="B2499" s="8" t="s">
        <v>13098</v>
      </c>
      <c r="C2499" s="8" t="s">
        <v>67</v>
      </c>
      <c r="D2499" s="10">
        <v>101</v>
      </c>
      <c r="E2499" s="8" t="s">
        <v>1238</v>
      </c>
      <c r="F2499" s="8"/>
      <c r="G2499" s="8" t="s">
        <v>67</v>
      </c>
      <c r="H2499" s="8"/>
      <c r="I2499" s="8" t="s">
        <v>1239</v>
      </c>
      <c r="J2499" s="15" t="s">
        <v>1685</v>
      </c>
      <c r="K2499" s="8"/>
      <c r="L2499" s="15" t="s">
        <v>1685</v>
      </c>
      <c r="M2499" s="8" t="s">
        <v>13100</v>
      </c>
      <c r="N2499" s="8"/>
      <c r="O2499" s="8" t="s">
        <v>13101</v>
      </c>
      <c r="P2499" s="11"/>
      <c r="Q2499" s="8" t="s">
        <v>13102</v>
      </c>
      <c r="R2499" s="8" t="s">
        <v>13103</v>
      </c>
      <c r="S2499" s="8" t="s">
        <v>13228</v>
      </c>
    </row>
    <row r="2500" spans="1:19" ht="150" customHeight="1" x14ac:dyDescent="0.25">
      <c r="A2500" s="8" t="s">
        <v>13229</v>
      </c>
      <c r="B2500" s="8" t="s">
        <v>13098</v>
      </c>
      <c r="C2500" s="8" t="s">
        <v>67</v>
      </c>
      <c r="D2500" s="10">
        <v>103</v>
      </c>
      <c r="E2500" s="8" t="s">
        <v>777</v>
      </c>
      <c r="F2500" s="8"/>
      <c r="G2500" s="8" t="s">
        <v>67</v>
      </c>
      <c r="H2500" s="8"/>
      <c r="I2500" s="8" t="s">
        <v>778</v>
      </c>
      <c r="J2500" s="15" t="s">
        <v>1685</v>
      </c>
      <c r="K2500" s="8"/>
      <c r="L2500" s="15" t="s">
        <v>1685</v>
      </c>
      <c r="M2500" s="8" t="s">
        <v>13100</v>
      </c>
      <c r="N2500" s="8"/>
      <c r="O2500" s="8" t="s">
        <v>13101</v>
      </c>
      <c r="P2500" s="11"/>
      <c r="Q2500" s="8" t="s">
        <v>13102</v>
      </c>
      <c r="R2500" s="8" t="s">
        <v>13103</v>
      </c>
      <c r="S2500" s="8" t="s">
        <v>13230</v>
      </c>
    </row>
    <row r="2501" spans="1:19" ht="150" customHeight="1" x14ac:dyDescent="0.25">
      <c r="A2501" s="8" t="s">
        <v>13231</v>
      </c>
      <c r="B2501" s="8" t="s">
        <v>13098</v>
      </c>
      <c r="C2501" s="8" t="s">
        <v>67</v>
      </c>
      <c r="D2501" s="10">
        <v>106</v>
      </c>
      <c r="E2501" s="8" t="s">
        <v>1197</v>
      </c>
      <c r="F2501" s="8"/>
      <c r="G2501" s="8" t="s">
        <v>67</v>
      </c>
      <c r="H2501" s="8"/>
      <c r="I2501" s="8" t="s">
        <v>1198</v>
      </c>
      <c r="J2501" s="15" t="s">
        <v>1685</v>
      </c>
      <c r="K2501" s="8"/>
      <c r="L2501" s="15" t="s">
        <v>1685</v>
      </c>
      <c r="M2501" s="8" t="s">
        <v>13100</v>
      </c>
      <c r="N2501" s="8"/>
      <c r="O2501" s="8" t="s">
        <v>13101</v>
      </c>
      <c r="P2501" s="11"/>
      <c r="Q2501" s="8" t="s">
        <v>13102</v>
      </c>
      <c r="R2501" s="8" t="s">
        <v>13103</v>
      </c>
      <c r="S2501" s="8" t="s">
        <v>13232</v>
      </c>
    </row>
    <row r="2502" spans="1:19" ht="150" customHeight="1" x14ac:dyDescent="0.25">
      <c r="A2502" s="8" t="s">
        <v>13233</v>
      </c>
      <c r="B2502" s="8" t="s">
        <v>13098</v>
      </c>
      <c r="C2502" s="8" t="s">
        <v>67</v>
      </c>
      <c r="D2502" s="10">
        <v>107</v>
      </c>
      <c r="E2502" s="8" t="s">
        <v>1077</v>
      </c>
      <c r="F2502" s="8"/>
      <c r="G2502" s="8" t="s">
        <v>67</v>
      </c>
      <c r="H2502" s="8"/>
      <c r="I2502" s="8" t="s">
        <v>1078</v>
      </c>
      <c r="J2502" s="15" t="s">
        <v>1685</v>
      </c>
      <c r="K2502" s="8"/>
      <c r="L2502" s="15" t="s">
        <v>1685</v>
      </c>
      <c r="M2502" s="8" t="s">
        <v>13100</v>
      </c>
      <c r="N2502" s="8"/>
      <c r="O2502" s="8" t="s">
        <v>13101</v>
      </c>
      <c r="P2502" s="11"/>
      <c r="Q2502" s="8" t="s">
        <v>13102</v>
      </c>
      <c r="R2502" s="8" t="s">
        <v>13103</v>
      </c>
      <c r="S2502" s="8" t="s">
        <v>13234</v>
      </c>
    </row>
    <row r="2503" spans="1:19" ht="150" customHeight="1" x14ac:dyDescent="0.25">
      <c r="A2503" s="8" t="s">
        <v>13235</v>
      </c>
      <c r="B2503" s="8" t="s">
        <v>13098</v>
      </c>
      <c r="C2503" s="8" t="s">
        <v>67</v>
      </c>
      <c r="D2503" s="10">
        <v>109</v>
      </c>
      <c r="E2503" s="8" t="s">
        <v>1330</v>
      </c>
      <c r="F2503" s="8"/>
      <c r="G2503" s="8" t="s">
        <v>67</v>
      </c>
      <c r="H2503" s="8"/>
      <c r="I2503" s="8" t="s">
        <v>1331</v>
      </c>
      <c r="J2503" s="15" t="s">
        <v>1685</v>
      </c>
      <c r="K2503" s="8"/>
      <c r="L2503" s="15" t="s">
        <v>1685</v>
      </c>
      <c r="M2503" s="8" t="s">
        <v>13100</v>
      </c>
      <c r="N2503" s="8"/>
      <c r="O2503" s="8" t="s">
        <v>13101</v>
      </c>
      <c r="P2503" s="11"/>
      <c r="Q2503" s="8" t="s">
        <v>13102</v>
      </c>
      <c r="R2503" s="8" t="s">
        <v>13103</v>
      </c>
      <c r="S2503" s="8" t="s">
        <v>13236</v>
      </c>
    </row>
    <row r="2504" spans="1:19" ht="150" customHeight="1" x14ac:dyDescent="0.25">
      <c r="A2504" s="8" t="s">
        <v>13237</v>
      </c>
      <c r="B2504" s="8" t="s">
        <v>13098</v>
      </c>
      <c r="C2504" s="8" t="s">
        <v>67</v>
      </c>
      <c r="D2504" s="10">
        <v>110</v>
      </c>
      <c r="E2504" s="8" t="s">
        <v>1252</v>
      </c>
      <c r="F2504" s="8"/>
      <c r="G2504" s="8" t="s">
        <v>67</v>
      </c>
      <c r="H2504" s="8"/>
      <c r="I2504" s="8" t="s">
        <v>1253</v>
      </c>
      <c r="J2504" s="15" t="s">
        <v>1685</v>
      </c>
      <c r="K2504" s="8"/>
      <c r="L2504" s="15" t="s">
        <v>1685</v>
      </c>
      <c r="M2504" s="8" t="s">
        <v>13100</v>
      </c>
      <c r="N2504" s="8"/>
      <c r="O2504" s="8" t="s">
        <v>13101</v>
      </c>
      <c r="P2504" s="11"/>
      <c r="Q2504" s="8" t="s">
        <v>13102</v>
      </c>
      <c r="R2504" s="8" t="s">
        <v>13103</v>
      </c>
      <c r="S2504" s="8" t="s">
        <v>13238</v>
      </c>
    </row>
    <row r="2505" spans="1:19" ht="150" customHeight="1" x14ac:dyDescent="0.25">
      <c r="A2505" s="8" t="s">
        <v>13239</v>
      </c>
      <c r="B2505" s="8" t="s">
        <v>13098</v>
      </c>
      <c r="C2505" s="8" t="s">
        <v>67</v>
      </c>
      <c r="D2505" s="10">
        <v>111</v>
      </c>
      <c r="E2505" s="8" t="s">
        <v>1464</v>
      </c>
      <c r="F2505" s="8"/>
      <c r="G2505" s="8" t="s">
        <v>67</v>
      </c>
      <c r="H2505" s="8"/>
      <c r="I2505" s="8" t="s">
        <v>1465</v>
      </c>
      <c r="J2505" s="15" t="s">
        <v>1685</v>
      </c>
      <c r="K2505" s="8"/>
      <c r="L2505" s="15" t="s">
        <v>1685</v>
      </c>
      <c r="M2505" s="8" t="s">
        <v>13100</v>
      </c>
      <c r="N2505" s="8"/>
      <c r="O2505" s="8" t="s">
        <v>13101</v>
      </c>
      <c r="P2505" s="11"/>
      <c r="Q2505" s="8" t="s">
        <v>13102</v>
      </c>
      <c r="R2505" s="8" t="s">
        <v>13103</v>
      </c>
      <c r="S2505" s="8" t="s">
        <v>13240</v>
      </c>
    </row>
    <row r="2506" spans="1:19" ht="150" customHeight="1" x14ac:dyDescent="0.25">
      <c r="A2506" s="8" t="s">
        <v>13241</v>
      </c>
      <c r="B2506" s="8" t="s">
        <v>13098</v>
      </c>
      <c r="C2506" s="8" t="s">
        <v>67</v>
      </c>
      <c r="D2506" s="10">
        <v>112</v>
      </c>
      <c r="E2506" s="8" t="s">
        <v>1473</v>
      </c>
      <c r="F2506" s="8"/>
      <c r="G2506" s="8" t="s">
        <v>67</v>
      </c>
      <c r="H2506" s="8"/>
      <c r="I2506" s="8" t="s">
        <v>1474</v>
      </c>
      <c r="J2506" s="15" t="s">
        <v>1685</v>
      </c>
      <c r="K2506" s="8"/>
      <c r="L2506" s="15" t="s">
        <v>1685</v>
      </c>
      <c r="M2506" s="8" t="s">
        <v>13100</v>
      </c>
      <c r="N2506" s="8"/>
      <c r="O2506" s="8" t="s">
        <v>13101</v>
      </c>
      <c r="P2506" s="11"/>
      <c r="Q2506" s="8" t="s">
        <v>13102</v>
      </c>
      <c r="R2506" s="8" t="s">
        <v>13103</v>
      </c>
      <c r="S2506" s="8" t="s">
        <v>13242</v>
      </c>
    </row>
    <row r="2507" spans="1:19" ht="150" customHeight="1" x14ac:dyDescent="0.25">
      <c r="A2507" s="8" t="s">
        <v>13243</v>
      </c>
      <c r="B2507" s="8" t="s">
        <v>13098</v>
      </c>
      <c r="C2507" s="8" t="s">
        <v>67</v>
      </c>
      <c r="D2507" s="10">
        <v>113</v>
      </c>
      <c r="E2507" s="8" t="s">
        <v>1247</v>
      </c>
      <c r="F2507" s="8"/>
      <c r="G2507" s="8" t="s">
        <v>67</v>
      </c>
      <c r="H2507" s="8"/>
      <c r="I2507" s="8" t="s">
        <v>1248</v>
      </c>
      <c r="J2507" s="15" t="s">
        <v>1685</v>
      </c>
      <c r="K2507" s="8"/>
      <c r="L2507" s="15" t="s">
        <v>1685</v>
      </c>
      <c r="M2507" s="8" t="s">
        <v>13100</v>
      </c>
      <c r="N2507" s="8"/>
      <c r="O2507" s="8" t="s">
        <v>13101</v>
      </c>
      <c r="P2507" s="11"/>
      <c r="Q2507" s="8" t="s">
        <v>13102</v>
      </c>
      <c r="R2507" s="8" t="s">
        <v>13103</v>
      </c>
      <c r="S2507" s="8" t="s">
        <v>13244</v>
      </c>
    </row>
    <row r="2508" spans="1:19" ht="150" customHeight="1" x14ac:dyDescent="0.25">
      <c r="A2508" s="8" t="s">
        <v>13245</v>
      </c>
      <c r="B2508" s="8" t="s">
        <v>13098</v>
      </c>
      <c r="C2508" s="8" t="s">
        <v>67</v>
      </c>
      <c r="D2508" s="10">
        <v>114</v>
      </c>
      <c r="E2508" s="8" t="s">
        <v>1614</v>
      </c>
      <c r="F2508" s="8"/>
      <c r="G2508" s="8" t="s">
        <v>67</v>
      </c>
      <c r="H2508" s="8"/>
      <c r="I2508" s="8" t="s">
        <v>1615</v>
      </c>
      <c r="J2508" s="15" t="s">
        <v>1685</v>
      </c>
      <c r="K2508" s="8"/>
      <c r="L2508" s="15" t="s">
        <v>1685</v>
      </c>
      <c r="M2508" s="8" t="s">
        <v>13100</v>
      </c>
      <c r="N2508" s="8"/>
      <c r="O2508" s="8" t="s">
        <v>13101</v>
      </c>
      <c r="P2508" s="11"/>
      <c r="Q2508" s="8" t="s">
        <v>13102</v>
      </c>
      <c r="R2508" s="8" t="s">
        <v>13103</v>
      </c>
      <c r="S2508" s="8" t="s">
        <v>13246</v>
      </c>
    </row>
    <row r="2509" spans="1:19" ht="150" customHeight="1" x14ac:dyDescent="0.25">
      <c r="A2509" s="8" t="s">
        <v>13247</v>
      </c>
      <c r="B2509" s="8" t="s">
        <v>13098</v>
      </c>
      <c r="C2509" s="8" t="s">
        <v>67</v>
      </c>
      <c r="D2509" s="10">
        <v>115</v>
      </c>
      <c r="E2509" s="8" t="s">
        <v>1425</v>
      </c>
      <c r="F2509" s="8"/>
      <c r="G2509" s="8" t="s">
        <v>67</v>
      </c>
      <c r="H2509" s="8"/>
      <c r="I2509" s="8" t="s">
        <v>1426</v>
      </c>
      <c r="J2509" s="15" t="s">
        <v>1685</v>
      </c>
      <c r="K2509" s="8"/>
      <c r="L2509" s="15" t="s">
        <v>1685</v>
      </c>
      <c r="M2509" s="8" t="s">
        <v>13100</v>
      </c>
      <c r="N2509" s="8"/>
      <c r="O2509" s="8" t="s">
        <v>13101</v>
      </c>
      <c r="P2509" s="11"/>
      <c r="Q2509" s="8" t="s">
        <v>13102</v>
      </c>
      <c r="R2509" s="8" t="s">
        <v>13103</v>
      </c>
      <c r="S2509" s="8" t="s">
        <v>13248</v>
      </c>
    </row>
    <row r="2510" spans="1:19" ht="150" customHeight="1" x14ac:dyDescent="0.25">
      <c r="A2510" s="8" t="s">
        <v>13249</v>
      </c>
      <c r="B2510" s="8" t="s">
        <v>13098</v>
      </c>
      <c r="C2510" s="8" t="s">
        <v>67</v>
      </c>
      <c r="D2510" s="10">
        <v>116</v>
      </c>
      <c r="E2510" s="8" t="s">
        <v>1661</v>
      </c>
      <c r="F2510" s="8"/>
      <c r="G2510" s="8" t="s">
        <v>67</v>
      </c>
      <c r="H2510" s="8"/>
      <c r="I2510" s="8" t="s">
        <v>1662</v>
      </c>
      <c r="J2510" s="15" t="s">
        <v>1685</v>
      </c>
      <c r="K2510" s="8"/>
      <c r="L2510" s="15" t="s">
        <v>1685</v>
      </c>
      <c r="M2510" s="8" t="s">
        <v>13100</v>
      </c>
      <c r="N2510" s="8"/>
      <c r="O2510" s="8" t="s">
        <v>13101</v>
      </c>
      <c r="P2510" s="11"/>
      <c r="Q2510" s="8" t="s">
        <v>13102</v>
      </c>
      <c r="R2510" s="8" t="s">
        <v>13103</v>
      </c>
      <c r="S2510" s="8" t="s">
        <v>13250</v>
      </c>
    </row>
    <row r="2511" spans="1:19" ht="150" customHeight="1" x14ac:dyDescent="0.25">
      <c r="A2511" s="8" t="s">
        <v>13251</v>
      </c>
      <c r="B2511" s="8" t="s">
        <v>13098</v>
      </c>
      <c r="C2511" s="8" t="s">
        <v>67</v>
      </c>
      <c r="D2511" s="10">
        <v>117</v>
      </c>
      <c r="E2511" s="8" t="s">
        <v>1377</v>
      </c>
      <c r="F2511" s="8"/>
      <c r="G2511" s="8" t="s">
        <v>67</v>
      </c>
      <c r="H2511" s="8"/>
      <c r="I2511" s="8" t="s">
        <v>1378</v>
      </c>
      <c r="J2511" s="15" t="s">
        <v>1685</v>
      </c>
      <c r="K2511" s="8"/>
      <c r="L2511" s="15" t="s">
        <v>1685</v>
      </c>
      <c r="M2511" s="8" t="s">
        <v>13100</v>
      </c>
      <c r="N2511" s="8"/>
      <c r="O2511" s="8" t="s">
        <v>13101</v>
      </c>
      <c r="P2511" s="11"/>
      <c r="Q2511" s="8" t="s">
        <v>13102</v>
      </c>
      <c r="R2511" s="8" t="s">
        <v>13103</v>
      </c>
      <c r="S2511" s="8" t="s">
        <v>13252</v>
      </c>
    </row>
    <row r="2512" spans="1:19" ht="150" customHeight="1" x14ac:dyDescent="0.25">
      <c r="A2512" s="8" t="s">
        <v>13253</v>
      </c>
      <c r="B2512" s="8" t="s">
        <v>13098</v>
      </c>
      <c r="C2512" s="8" t="s">
        <v>67</v>
      </c>
      <c r="D2512" s="10">
        <v>118</v>
      </c>
      <c r="E2512" s="8" t="s">
        <v>1261</v>
      </c>
      <c r="F2512" s="8"/>
      <c r="G2512" s="8" t="s">
        <v>67</v>
      </c>
      <c r="H2512" s="8"/>
      <c r="I2512" s="8" t="s">
        <v>1262</v>
      </c>
      <c r="J2512" s="15" t="s">
        <v>1685</v>
      </c>
      <c r="K2512" s="8"/>
      <c r="L2512" s="15" t="s">
        <v>1685</v>
      </c>
      <c r="M2512" s="8" t="s">
        <v>13100</v>
      </c>
      <c r="N2512" s="8"/>
      <c r="O2512" s="8" t="s">
        <v>13101</v>
      </c>
      <c r="P2512" s="11"/>
      <c r="Q2512" s="8" t="s">
        <v>13102</v>
      </c>
      <c r="R2512" s="8" t="s">
        <v>13103</v>
      </c>
      <c r="S2512" s="8" t="s">
        <v>13254</v>
      </c>
    </row>
    <row r="2513" spans="1:19" ht="150" customHeight="1" x14ac:dyDescent="0.25">
      <c r="A2513" s="8" t="s">
        <v>13255</v>
      </c>
      <c r="B2513" s="8" t="s">
        <v>13098</v>
      </c>
      <c r="C2513" s="8" t="s">
        <v>67</v>
      </c>
      <c r="D2513" s="10">
        <v>119</v>
      </c>
      <c r="E2513" s="8" t="s">
        <v>1543</v>
      </c>
      <c r="F2513" s="8"/>
      <c r="G2513" s="8" t="s">
        <v>67</v>
      </c>
      <c r="H2513" s="8"/>
      <c r="I2513" s="8" t="s">
        <v>1544</v>
      </c>
      <c r="J2513" s="15" t="s">
        <v>1685</v>
      </c>
      <c r="K2513" s="8"/>
      <c r="L2513" s="15" t="s">
        <v>1685</v>
      </c>
      <c r="M2513" s="8" t="s">
        <v>13100</v>
      </c>
      <c r="N2513" s="8"/>
      <c r="O2513" s="8" t="s">
        <v>13101</v>
      </c>
      <c r="P2513" s="11"/>
      <c r="Q2513" s="8" t="s">
        <v>13102</v>
      </c>
      <c r="R2513" s="8" t="s">
        <v>13103</v>
      </c>
      <c r="S2513" s="8" t="s">
        <v>13256</v>
      </c>
    </row>
    <row r="2514" spans="1:19" ht="150" customHeight="1" x14ac:dyDescent="0.25">
      <c r="A2514" s="8" t="s">
        <v>13257</v>
      </c>
      <c r="B2514" s="8" t="s">
        <v>13098</v>
      </c>
      <c r="C2514" s="8" t="s">
        <v>67</v>
      </c>
      <c r="D2514" s="10">
        <v>120</v>
      </c>
      <c r="E2514" s="8" t="s">
        <v>995</v>
      </c>
      <c r="F2514" s="8"/>
      <c r="G2514" s="8" t="s">
        <v>67</v>
      </c>
      <c r="H2514" s="8"/>
      <c r="I2514" s="8" t="s">
        <v>996</v>
      </c>
      <c r="J2514" s="15" t="s">
        <v>1685</v>
      </c>
      <c r="K2514" s="8"/>
      <c r="L2514" s="15" t="s">
        <v>1685</v>
      </c>
      <c r="M2514" s="8" t="s">
        <v>13100</v>
      </c>
      <c r="N2514" s="8"/>
      <c r="O2514" s="8" t="s">
        <v>13101</v>
      </c>
      <c r="P2514" s="11"/>
      <c r="Q2514" s="8" t="s">
        <v>13102</v>
      </c>
      <c r="R2514" s="8" t="s">
        <v>13103</v>
      </c>
      <c r="S2514" s="8" t="s">
        <v>13258</v>
      </c>
    </row>
    <row r="2515" spans="1:19" ht="150" customHeight="1" x14ac:dyDescent="0.25">
      <c r="A2515" s="8" t="s">
        <v>13259</v>
      </c>
      <c r="B2515" s="8" t="s">
        <v>13098</v>
      </c>
      <c r="C2515" s="8" t="s">
        <v>67</v>
      </c>
      <c r="D2515" s="10">
        <v>121</v>
      </c>
      <c r="E2515" s="8" t="s">
        <v>1390</v>
      </c>
      <c r="F2515" s="8"/>
      <c r="G2515" s="8" t="s">
        <v>67</v>
      </c>
      <c r="H2515" s="8"/>
      <c r="I2515" s="8" t="s">
        <v>1391</v>
      </c>
      <c r="J2515" s="15" t="s">
        <v>1685</v>
      </c>
      <c r="K2515" s="8"/>
      <c r="L2515" s="15" t="s">
        <v>1685</v>
      </c>
      <c r="M2515" s="8" t="s">
        <v>13100</v>
      </c>
      <c r="N2515" s="8"/>
      <c r="O2515" s="8" t="s">
        <v>13101</v>
      </c>
      <c r="P2515" s="11"/>
      <c r="Q2515" s="8" t="s">
        <v>13102</v>
      </c>
      <c r="R2515" s="8" t="s">
        <v>13103</v>
      </c>
      <c r="S2515" s="8" t="s">
        <v>13260</v>
      </c>
    </row>
    <row r="2516" spans="1:19" ht="150" customHeight="1" x14ac:dyDescent="0.25">
      <c r="A2516" s="8" t="s">
        <v>13261</v>
      </c>
      <c r="B2516" s="8" t="s">
        <v>13098</v>
      </c>
      <c r="C2516" s="8" t="s">
        <v>67</v>
      </c>
      <c r="D2516" s="10">
        <v>122</v>
      </c>
      <c r="E2516" s="8" t="s">
        <v>975</v>
      </c>
      <c r="F2516" s="8"/>
      <c r="G2516" s="8" t="s">
        <v>67</v>
      </c>
      <c r="H2516" s="8"/>
      <c r="I2516" s="8" t="s">
        <v>976</v>
      </c>
      <c r="J2516" s="15" t="s">
        <v>1685</v>
      </c>
      <c r="K2516" s="8"/>
      <c r="L2516" s="15" t="s">
        <v>1685</v>
      </c>
      <c r="M2516" s="8" t="s">
        <v>13100</v>
      </c>
      <c r="N2516" s="8"/>
      <c r="O2516" s="8" t="s">
        <v>13101</v>
      </c>
      <c r="P2516" s="11"/>
      <c r="Q2516" s="8" t="s">
        <v>13102</v>
      </c>
      <c r="R2516" s="8" t="s">
        <v>13103</v>
      </c>
      <c r="S2516" s="8" t="s">
        <v>13262</v>
      </c>
    </row>
    <row r="2517" spans="1:19" ht="150" customHeight="1" x14ac:dyDescent="0.25">
      <c r="A2517" s="8" t="s">
        <v>13263</v>
      </c>
      <c r="B2517" s="8" t="s">
        <v>13098</v>
      </c>
      <c r="C2517" s="8" t="s">
        <v>67</v>
      </c>
      <c r="D2517" s="10">
        <v>123</v>
      </c>
      <c r="E2517" s="8" t="s">
        <v>1448</v>
      </c>
      <c r="F2517" s="8"/>
      <c r="G2517" s="8" t="s">
        <v>67</v>
      </c>
      <c r="H2517" s="8"/>
      <c r="I2517" s="8" t="s">
        <v>1449</v>
      </c>
      <c r="J2517" s="15" t="s">
        <v>1685</v>
      </c>
      <c r="K2517" s="8"/>
      <c r="L2517" s="15" t="s">
        <v>1685</v>
      </c>
      <c r="M2517" s="8" t="s">
        <v>13100</v>
      </c>
      <c r="N2517" s="8"/>
      <c r="O2517" s="8" t="s">
        <v>13101</v>
      </c>
      <c r="P2517" s="11"/>
      <c r="Q2517" s="8" t="s">
        <v>13102</v>
      </c>
      <c r="R2517" s="8" t="s">
        <v>13103</v>
      </c>
      <c r="S2517" s="8" t="s">
        <v>13264</v>
      </c>
    </row>
    <row r="2518" spans="1:19" ht="150" customHeight="1" x14ac:dyDescent="0.25">
      <c r="A2518" s="8" t="s">
        <v>13265</v>
      </c>
      <c r="B2518" s="8" t="s">
        <v>13098</v>
      </c>
      <c r="C2518" s="8" t="s">
        <v>67</v>
      </c>
      <c r="D2518" s="10">
        <v>124</v>
      </c>
      <c r="E2518" s="8" t="s">
        <v>1287</v>
      </c>
      <c r="F2518" s="8"/>
      <c r="G2518" s="8" t="s">
        <v>67</v>
      </c>
      <c r="H2518" s="8"/>
      <c r="I2518" s="8" t="s">
        <v>1288</v>
      </c>
      <c r="J2518" s="15" t="s">
        <v>1685</v>
      </c>
      <c r="K2518" s="8"/>
      <c r="L2518" s="15" t="s">
        <v>1685</v>
      </c>
      <c r="M2518" s="8" t="s">
        <v>13100</v>
      </c>
      <c r="N2518" s="8"/>
      <c r="O2518" s="8" t="s">
        <v>13101</v>
      </c>
      <c r="P2518" s="11"/>
      <c r="Q2518" s="8" t="s">
        <v>13102</v>
      </c>
      <c r="R2518" s="8" t="s">
        <v>13103</v>
      </c>
      <c r="S2518" s="8" t="s">
        <v>13266</v>
      </c>
    </row>
    <row r="2519" spans="1:19" ht="150" customHeight="1" x14ac:dyDescent="0.25">
      <c r="A2519" s="8" t="s">
        <v>13267</v>
      </c>
      <c r="B2519" s="8" t="s">
        <v>13098</v>
      </c>
      <c r="C2519" s="8" t="s">
        <v>67</v>
      </c>
      <c r="D2519" s="10">
        <v>125</v>
      </c>
      <c r="E2519" s="8" t="s">
        <v>1365</v>
      </c>
      <c r="F2519" s="8"/>
      <c r="G2519" s="8" t="s">
        <v>67</v>
      </c>
      <c r="H2519" s="8"/>
      <c r="I2519" s="8" t="s">
        <v>1366</v>
      </c>
      <c r="J2519" s="15" t="s">
        <v>1685</v>
      </c>
      <c r="K2519" s="8"/>
      <c r="L2519" s="15" t="s">
        <v>1685</v>
      </c>
      <c r="M2519" s="8" t="s">
        <v>13100</v>
      </c>
      <c r="N2519" s="8"/>
      <c r="O2519" s="8" t="s">
        <v>13101</v>
      </c>
      <c r="P2519" s="11"/>
      <c r="Q2519" s="8" t="s">
        <v>13102</v>
      </c>
      <c r="R2519" s="8" t="s">
        <v>13103</v>
      </c>
      <c r="S2519" s="8" t="s">
        <v>13268</v>
      </c>
    </row>
    <row r="2520" spans="1:19" ht="150" customHeight="1" x14ac:dyDescent="0.25">
      <c r="A2520" s="8" t="s">
        <v>13269</v>
      </c>
      <c r="B2520" s="8" t="s">
        <v>13098</v>
      </c>
      <c r="C2520" s="8" t="s">
        <v>67</v>
      </c>
      <c r="D2520" s="10">
        <v>126</v>
      </c>
      <c r="E2520" s="8" t="s">
        <v>1468</v>
      </c>
      <c r="F2520" s="8"/>
      <c r="G2520" s="8" t="s">
        <v>67</v>
      </c>
      <c r="H2520" s="8"/>
      <c r="I2520" s="8" t="s">
        <v>1469</v>
      </c>
      <c r="J2520" s="15" t="s">
        <v>1685</v>
      </c>
      <c r="K2520" s="8"/>
      <c r="L2520" s="15" t="s">
        <v>1685</v>
      </c>
      <c r="M2520" s="8" t="s">
        <v>13100</v>
      </c>
      <c r="N2520" s="8"/>
      <c r="O2520" s="8" t="s">
        <v>13101</v>
      </c>
      <c r="P2520" s="11"/>
      <c r="Q2520" s="8" t="s">
        <v>13102</v>
      </c>
      <c r="R2520" s="8" t="s">
        <v>13103</v>
      </c>
      <c r="S2520" s="8" t="s">
        <v>13270</v>
      </c>
    </row>
    <row r="2521" spans="1:19" ht="150" customHeight="1" x14ac:dyDescent="0.25">
      <c r="A2521" s="8" t="s">
        <v>13271</v>
      </c>
      <c r="B2521" s="8" t="s">
        <v>13098</v>
      </c>
      <c r="C2521" s="8" t="s">
        <v>67</v>
      </c>
      <c r="D2521" s="10">
        <v>127</v>
      </c>
      <c r="E2521" s="8" t="s">
        <v>1381</v>
      </c>
      <c r="F2521" s="8"/>
      <c r="G2521" s="8" t="s">
        <v>67</v>
      </c>
      <c r="H2521" s="8"/>
      <c r="I2521" s="8" t="s">
        <v>1382</v>
      </c>
      <c r="J2521" s="15" t="s">
        <v>1685</v>
      </c>
      <c r="K2521" s="8"/>
      <c r="L2521" s="15" t="s">
        <v>1685</v>
      </c>
      <c r="M2521" s="8" t="s">
        <v>13100</v>
      </c>
      <c r="N2521" s="8"/>
      <c r="O2521" s="8" t="s">
        <v>13101</v>
      </c>
      <c r="P2521" s="11"/>
      <c r="Q2521" s="8" t="s">
        <v>13102</v>
      </c>
      <c r="R2521" s="8" t="s">
        <v>13103</v>
      </c>
      <c r="S2521" s="8" t="s">
        <v>13272</v>
      </c>
    </row>
    <row r="2522" spans="1:19" ht="150" customHeight="1" x14ac:dyDescent="0.25">
      <c r="A2522" s="8" t="s">
        <v>13273</v>
      </c>
      <c r="B2522" s="8" t="s">
        <v>13098</v>
      </c>
      <c r="C2522" s="8" t="s">
        <v>67</v>
      </c>
      <c r="D2522" s="10">
        <v>128</v>
      </c>
      <c r="E2522" s="8" t="s">
        <v>1325</v>
      </c>
      <c r="F2522" s="8"/>
      <c r="G2522" s="8" t="s">
        <v>67</v>
      </c>
      <c r="H2522" s="8"/>
      <c r="I2522" s="8" t="s">
        <v>1326</v>
      </c>
      <c r="J2522" s="15" t="s">
        <v>1685</v>
      </c>
      <c r="K2522" s="8"/>
      <c r="L2522" s="15" t="s">
        <v>1685</v>
      </c>
      <c r="M2522" s="8" t="s">
        <v>13100</v>
      </c>
      <c r="N2522" s="8"/>
      <c r="O2522" s="8" t="s">
        <v>13101</v>
      </c>
      <c r="P2522" s="11"/>
      <c r="Q2522" s="8" t="s">
        <v>13102</v>
      </c>
      <c r="R2522" s="8" t="s">
        <v>13103</v>
      </c>
      <c r="S2522" s="8" t="s">
        <v>13274</v>
      </c>
    </row>
    <row r="2523" spans="1:19" ht="150" customHeight="1" x14ac:dyDescent="0.25">
      <c r="A2523" s="8" t="s">
        <v>13275</v>
      </c>
      <c r="B2523" s="8" t="s">
        <v>13098</v>
      </c>
      <c r="C2523" s="8" t="s">
        <v>67</v>
      </c>
      <c r="D2523" s="10">
        <v>129</v>
      </c>
      <c r="E2523" s="8" t="s">
        <v>1531</v>
      </c>
      <c r="F2523" s="8"/>
      <c r="G2523" s="8" t="s">
        <v>67</v>
      </c>
      <c r="H2523" s="8"/>
      <c r="I2523" s="8" t="s">
        <v>1532</v>
      </c>
      <c r="J2523" s="15" t="s">
        <v>1685</v>
      </c>
      <c r="K2523" s="8"/>
      <c r="L2523" s="15" t="s">
        <v>1685</v>
      </c>
      <c r="M2523" s="8" t="s">
        <v>13100</v>
      </c>
      <c r="N2523" s="8"/>
      <c r="O2523" s="8" t="s">
        <v>13101</v>
      </c>
      <c r="P2523" s="11"/>
      <c r="Q2523" s="8" t="s">
        <v>13102</v>
      </c>
      <c r="R2523" s="8" t="s">
        <v>13103</v>
      </c>
      <c r="S2523" s="8" t="s">
        <v>13276</v>
      </c>
    </row>
    <row r="2524" spans="1:19" ht="150" customHeight="1" x14ac:dyDescent="0.25">
      <c r="A2524" s="8" t="s">
        <v>13277</v>
      </c>
      <c r="B2524" s="8" t="s">
        <v>13098</v>
      </c>
      <c r="C2524" s="8" t="s">
        <v>67</v>
      </c>
      <c r="D2524" s="10">
        <v>130</v>
      </c>
      <c r="E2524" s="8" t="s">
        <v>1580</v>
      </c>
      <c r="F2524" s="8"/>
      <c r="G2524" s="8" t="s">
        <v>67</v>
      </c>
      <c r="H2524" s="8"/>
      <c r="I2524" s="8" t="s">
        <v>1581</v>
      </c>
      <c r="J2524" s="15" t="s">
        <v>1685</v>
      </c>
      <c r="K2524" s="8"/>
      <c r="L2524" s="15" t="s">
        <v>1685</v>
      </c>
      <c r="M2524" s="8" t="s">
        <v>13100</v>
      </c>
      <c r="N2524" s="8"/>
      <c r="O2524" s="8" t="s">
        <v>13101</v>
      </c>
      <c r="P2524" s="11"/>
      <c r="Q2524" s="8" t="s">
        <v>13102</v>
      </c>
      <c r="R2524" s="8" t="s">
        <v>13103</v>
      </c>
      <c r="S2524" s="8" t="s">
        <v>13278</v>
      </c>
    </row>
    <row r="2525" spans="1:19" ht="150" customHeight="1" x14ac:dyDescent="0.25">
      <c r="A2525" s="8" t="s">
        <v>13279</v>
      </c>
      <c r="B2525" s="8" t="s">
        <v>13098</v>
      </c>
      <c r="C2525" s="8" t="s">
        <v>67</v>
      </c>
      <c r="D2525" s="10">
        <v>131</v>
      </c>
      <c r="E2525" s="8" t="s">
        <v>1610</v>
      </c>
      <c r="F2525" s="8"/>
      <c r="G2525" s="8" t="s">
        <v>67</v>
      </c>
      <c r="H2525" s="8"/>
      <c r="I2525" s="8" t="s">
        <v>1611</v>
      </c>
      <c r="J2525" s="15" t="s">
        <v>1685</v>
      </c>
      <c r="K2525" s="8"/>
      <c r="L2525" s="15" t="s">
        <v>1685</v>
      </c>
      <c r="M2525" s="8" t="s">
        <v>13100</v>
      </c>
      <c r="N2525" s="8"/>
      <c r="O2525" s="8" t="s">
        <v>13101</v>
      </c>
      <c r="P2525" s="11"/>
      <c r="Q2525" s="8" t="s">
        <v>13102</v>
      </c>
      <c r="R2525" s="8" t="s">
        <v>13103</v>
      </c>
      <c r="S2525" s="8" t="s">
        <v>13280</v>
      </c>
    </row>
    <row r="2526" spans="1:19" ht="150" customHeight="1" x14ac:dyDescent="0.25">
      <c r="A2526" s="8" t="s">
        <v>13281</v>
      </c>
      <c r="B2526" s="8" t="s">
        <v>13098</v>
      </c>
      <c r="C2526" s="8" t="s">
        <v>67</v>
      </c>
      <c r="D2526" s="10">
        <v>132</v>
      </c>
      <c r="E2526" s="8" t="s">
        <v>1627</v>
      </c>
      <c r="F2526" s="8"/>
      <c r="G2526" s="8" t="s">
        <v>67</v>
      </c>
      <c r="H2526" s="8"/>
      <c r="I2526" s="8" t="s">
        <v>1628</v>
      </c>
      <c r="J2526" s="15" t="s">
        <v>1685</v>
      </c>
      <c r="K2526" s="8"/>
      <c r="L2526" s="15" t="s">
        <v>1685</v>
      </c>
      <c r="M2526" s="8" t="s">
        <v>13100</v>
      </c>
      <c r="N2526" s="8"/>
      <c r="O2526" s="8" t="s">
        <v>13101</v>
      </c>
      <c r="P2526" s="11"/>
      <c r="Q2526" s="8" t="s">
        <v>13102</v>
      </c>
      <c r="R2526" s="8" t="s">
        <v>13103</v>
      </c>
      <c r="S2526" s="8" t="s">
        <v>13282</v>
      </c>
    </row>
    <row r="2527" spans="1:19" ht="150" customHeight="1" x14ac:dyDescent="0.25">
      <c r="A2527" s="8" t="s">
        <v>13283</v>
      </c>
      <c r="B2527" s="8" t="s">
        <v>13098</v>
      </c>
      <c r="C2527" s="8" t="s">
        <v>67</v>
      </c>
      <c r="D2527" s="10">
        <v>133</v>
      </c>
      <c r="E2527" s="8" t="s">
        <v>1257</v>
      </c>
      <c r="F2527" s="8"/>
      <c r="G2527" s="8" t="s">
        <v>67</v>
      </c>
      <c r="H2527" s="8"/>
      <c r="I2527" s="8" t="s">
        <v>1258</v>
      </c>
      <c r="J2527" s="15" t="s">
        <v>1685</v>
      </c>
      <c r="K2527" s="8"/>
      <c r="L2527" s="15" t="s">
        <v>1685</v>
      </c>
      <c r="M2527" s="8" t="s">
        <v>13100</v>
      </c>
      <c r="N2527" s="8"/>
      <c r="O2527" s="8" t="s">
        <v>13101</v>
      </c>
      <c r="P2527" s="11"/>
      <c r="Q2527" s="8" t="s">
        <v>13102</v>
      </c>
      <c r="R2527" s="8" t="s">
        <v>13103</v>
      </c>
      <c r="S2527" s="8" t="s">
        <v>13284</v>
      </c>
    </row>
    <row r="2528" spans="1:19" ht="150" customHeight="1" x14ac:dyDescent="0.25">
      <c r="A2528" s="8" t="s">
        <v>13285</v>
      </c>
      <c r="B2528" s="8" t="s">
        <v>13098</v>
      </c>
      <c r="C2528" s="8" t="s">
        <v>67</v>
      </c>
      <c r="D2528" s="10">
        <v>134</v>
      </c>
      <c r="E2528" s="8" t="s">
        <v>1527</v>
      </c>
      <c r="F2528" s="8"/>
      <c r="G2528" s="8" t="s">
        <v>67</v>
      </c>
      <c r="H2528" s="8"/>
      <c r="I2528" s="8" t="s">
        <v>1528</v>
      </c>
      <c r="J2528" s="15" t="s">
        <v>1685</v>
      </c>
      <c r="K2528" s="8"/>
      <c r="L2528" s="15" t="s">
        <v>1685</v>
      </c>
      <c r="M2528" s="8" t="s">
        <v>13100</v>
      </c>
      <c r="N2528" s="8"/>
      <c r="O2528" s="8" t="s">
        <v>13101</v>
      </c>
      <c r="P2528" s="11"/>
      <c r="Q2528" s="8" t="s">
        <v>13102</v>
      </c>
      <c r="R2528" s="8" t="s">
        <v>13103</v>
      </c>
      <c r="S2528" s="8" t="s">
        <v>13286</v>
      </c>
    </row>
    <row r="2529" spans="1:19" ht="150" customHeight="1" x14ac:dyDescent="0.25">
      <c r="A2529" s="8" t="s">
        <v>13287</v>
      </c>
      <c r="B2529" s="8" t="s">
        <v>13098</v>
      </c>
      <c r="C2529" s="8" t="s">
        <v>67</v>
      </c>
      <c r="D2529" s="10">
        <v>135</v>
      </c>
      <c r="E2529" s="8" t="s">
        <v>1412</v>
      </c>
      <c r="F2529" s="8"/>
      <c r="G2529" s="8" t="s">
        <v>67</v>
      </c>
      <c r="H2529" s="8"/>
      <c r="I2529" s="8" t="s">
        <v>1413</v>
      </c>
      <c r="J2529" s="15" t="s">
        <v>1685</v>
      </c>
      <c r="K2529" s="8"/>
      <c r="L2529" s="15" t="s">
        <v>1685</v>
      </c>
      <c r="M2529" s="8" t="s">
        <v>13100</v>
      </c>
      <c r="N2529" s="8"/>
      <c r="O2529" s="8" t="s">
        <v>13101</v>
      </c>
      <c r="P2529" s="11"/>
      <c r="Q2529" s="8" t="s">
        <v>13102</v>
      </c>
      <c r="R2529" s="8" t="s">
        <v>13103</v>
      </c>
      <c r="S2529" s="8" t="s">
        <v>13288</v>
      </c>
    </row>
    <row r="2530" spans="1:19" ht="150" customHeight="1" x14ac:dyDescent="0.25">
      <c r="A2530" s="8" t="s">
        <v>13289</v>
      </c>
      <c r="B2530" s="8" t="s">
        <v>13098</v>
      </c>
      <c r="C2530" s="8" t="s">
        <v>67</v>
      </c>
      <c r="D2530" s="10">
        <v>136</v>
      </c>
      <c r="E2530" s="8" t="s">
        <v>1311</v>
      </c>
      <c r="F2530" s="8"/>
      <c r="G2530" s="8" t="s">
        <v>67</v>
      </c>
      <c r="H2530" s="8"/>
      <c r="I2530" s="8" t="s">
        <v>1312</v>
      </c>
      <c r="J2530" s="15" t="s">
        <v>1685</v>
      </c>
      <c r="K2530" s="8"/>
      <c r="L2530" s="15" t="s">
        <v>1685</v>
      </c>
      <c r="M2530" s="8" t="s">
        <v>13100</v>
      </c>
      <c r="N2530" s="8"/>
      <c r="O2530" s="8" t="s">
        <v>13101</v>
      </c>
      <c r="P2530" s="11"/>
      <c r="Q2530" s="8" t="s">
        <v>13102</v>
      </c>
      <c r="R2530" s="8" t="s">
        <v>13103</v>
      </c>
      <c r="S2530" s="8" t="s">
        <v>13290</v>
      </c>
    </row>
    <row r="2531" spans="1:19" ht="150" customHeight="1" x14ac:dyDescent="0.25">
      <c r="A2531" s="8" t="s">
        <v>13291</v>
      </c>
      <c r="B2531" s="8" t="s">
        <v>13098</v>
      </c>
      <c r="C2531" s="8" t="s">
        <v>67</v>
      </c>
      <c r="D2531" s="10">
        <v>138</v>
      </c>
      <c r="E2531" s="8" t="s">
        <v>1303</v>
      </c>
      <c r="F2531" s="8"/>
      <c r="G2531" s="8" t="s">
        <v>67</v>
      </c>
      <c r="H2531" s="8"/>
      <c r="I2531" s="8" t="s">
        <v>1304</v>
      </c>
      <c r="J2531" s="15" t="s">
        <v>1685</v>
      </c>
      <c r="K2531" s="8"/>
      <c r="L2531" s="15" t="s">
        <v>1685</v>
      </c>
      <c r="M2531" s="8" t="s">
        <v>13100</v>
      </c>
      <c r="N2531" s="8"/>
      <c r="O2531" s="8" t="s">
        <v>13101</v>
      </c>
      <c r="P2531" s="11"/>
      <c r="Q2531" s="8" t="s">
        <v>13102</v>
      </c>
      <c r="R2531" s="8" t="s">
        <v>13103</v>
      </c>
      <c r="S2531" s="8" t="s">
        <v>13292</v>
      </c>
    </row>
    <row r="2532" spans="1:19" ht="150" customHeight="1" x14ac:dyDescent="0.25">
      <c r="A2532" s="8" t="s">
        <v>13293</v>
      </c>
      <c r="B2532" s="8" t="s">
        <v>13098</v>
      </c>
      <c r="C2532" s="8" t="s">
        <v>67</v>
      </c>
      <c r="D2532" s="10">
        <v>139</v>
      </c>
      <c r="E2532" s="8" t="s">
        <v>1416</v>
      </c>
      <c r="F2532" s="8"/>
      <c r="G2532" s="8" t="s">
        <v>67</v>
      </c>
      <c r="H2532" s="8"/>
      <c r="I2532" s="8" t="s">
        <v>1417</v>
      </c>
      <c r="J2532" s="15" t="s">
        <v>1685</v>
      </c>
      <c r="K2532" s="8"/>
      <c r="L2532" s="15" t="s">
        <v>1685</v>
      </c>
      <c r="M2532" s="8" t="s">
        <v>13100</v>
      </c>
      <c r="N2532" s="8"/>
      <c r="O2532" s="8" t="s">
        <v>13101</v>
      </c>
      <c r="P2532" s="11"/>
      <c r="Q2532" s="8" t="s">
        <v>13102</v>
      </c>
      <c r="R2532" s="8" t="s">
        <v>13103</v>
      </c>
      <c r="S2532" s="8" t="s">
        <v>13294</v>
      </c>
    </row>
    <row r="2533" spans="1:19" ht="150" customHeight="1" x14ac:dyDescent="0.25">
      <c r="A2533" s="8" t="s">
        <v>13295</v>
      </c>
      <c r="B2533" s="8" t="s">
        <v>13098</v>
      </c>
      <c r="C2533" s="8" t="s">
        <v>67</v>
      </c>
      <c r="D2533" s="10">
        <v>140</v>
      </c>
      <c r="E2533" s="8" t="s">
        <v>1618</v>
      </c>
      <c r="F2533" s="8"/>
      <c r="G2533" s="8" t="s">
        <v>67</v>
      </c>
      <c r="H2533" s="8"/>
      <c r="I2533" s="8" t="s">
        <v>1619</v>
      </c>
      <c r="J2533" s="15" t="s">
        <v>1685</v>
      </c>
      <c r="K2533" s="8"/>
      <c r="L2533" s="15" t="s">
        <v>1685</v>
      </c>
      <c r="M2533" s="8" t="s">
        <v>13100</v>
      </c>
      <c r="N2533" s="8"/>
      <c r="O2533" s="8" t="s">
        <v>13101</v>
      </c>
      <c r="P2533" s="11"/>
      <c r="Q2533" s="8" t="s">
        <v>13102</v>
      </c>
      <c r="R2533" s="8" t="s">
        <v>13103</v>
      </c>
      <c r="S2533" s="8" t="s">
        <v>13296</v>
      </c>
    </row>
    <row r="2534" spans="1:19" ht="150" customHeight="1" x14ac:dyDescent="0.25">
      <c r="A2534" s="8" t="s">
        <v>13297</v>
      </c>
      <c r="B2534" s="8" t="s">
        <v>13098</v>
      </c>
      <c r="C2534" s="8" t="s">
        <v>67</v>
      </c>
      <c r="D2534" s="10">
        <v>141</v>
      </c>
      <c r="E2534" s="8" t="s">
        <v>1291</v>
      </c>
      <c r="F2534" s="8"/>
      <c r="G2534" s="8" t="s">
        <v>67</v>
      </c>
      <c r="H2534" s="8"/>
      <c r="I2534" s="8" t="s">
        <v>1292</v>
      </c>
      <c r="J2534" s="15" t="s">
        <v>1685</v>
      </c>
      <c r="K2534" s="8"/>
      <c r="L2534" s="15" t="s">
        <v>1685</v>
      </c>
      <c r="M2534" s="8" t="s">
        <v>13100</v>
      </c>
      <c r="N2534" s="8"/>
      <c r="O2534" s="8" t="s">
        <v>13101</v>
      </c>
      <c r="P2534" s="11"/>
      <c r="Q2534" s="8" t="s">
        <v>13102</v>
      </c>
      <c r="R2534" s="8" t="s">
        <v>13103</v>
      </c>
      <c r="S2534" s="8" t="s">
        <v>13298</v>
      </c>
    </row>
    <row r="2535" spans="1:19" ht="150" customHeight="1" x14ac:dyDescent="0.25">
      <c r="A2535" s="8" t="s">
        <v>13299</v>
      </c>
      <c r="B2535" s="8" t="s">
        <v>13098</v>
      </c>
      <c r="C2535" s="8" t="s">
        <v>67</v>
      </c>
      <c r="D2535" s="10">
        <v>142</v>
      </c>
      <c r="E2535" s="8" t="s">
        <v>1278</v>
      </c>
      <c r="F2535" s="8"/>
      <c r="G2535" s="8" t="s">
        <v>67</v>
      </c>
      <c r="H2535" s="8"/>
      <c r="I2535" s="8" t="s">
        <v>1279</v>
      </c>
      <c r="J2535" s="15" t="s">
        <v>1685</v>
      </c>
      <c r="K2535" s="8"/>
      <c r="L2535" s="15" t="s">
        <v>1685</v>
      </c>
      <c r="M2535" s="8" t="s">
        <v>13100</v>
      </c>
      <c r="N2535" s="8"/>
      <c r="O2535" s="8" t="s">
        <v>13101</v>
      </c>
      <c r="P2535" s="11"/>
      <c r="Q2535" s="8" t="s">
        <v>13102</v>
      </c>
      <c r="R2535" s="8" t="s">
        <v>13103</v>
      </c>
      <c r="S2535" s="8" t="s">
        <v>13300</v>
      </c>
    </row>
    <row r="2536" spans="1:19" ht="150" customHeight="1" x14ac:dyDescent="0.25">
      <c r="A2536" s="8" t="s">
        <v>13301</v>
      </c>
      <c r="B2536" s="8" t="s">
        <v>13098</v>
      </c>
      <c r="C2536" s="8" t="s">
        <v>67</v>
      </c>
      <c r="D2536" s="10">
        <v>143</v>
      </c>
      <c r="E2536" s="8" t="s">
        <v>1556</v>
      </c>
      <c r="F2536" s="8"/>
      <c r="G2536" s="8" t="s">
        <v>67</v>
      </c>
      <c r="H2536" s="8"/>
      <c r="I2536" s="8" t="s">
        <v>1557</v>
      </c>
      <c r="J2536" s="15" t="s">
        <v>1685</v>
      </c>
      <c r="K2536" s="8"/>
      <c r="L2536" s="15" t="s">
        <v>1685</v>
      </c>
      <c r="M2536" s="8" t="s">
        <v>13100</v>
      </c>
      <c r="N2536" s="8"/>
      <c r="O2536" s="8" t="s">
        <v>13101</v>
      </c>
      <c r="P2536" s="11"/>
      <c r="Q2536" s="8" t="s">
        <v>13102</v>
      </c>
      <c r="R2536" s="8" t="s">
        <v>13103</v>
      </c>
      <c r="S2536" s="8" t="s">
        <v>13302</v>
      </c>
    </row>
    <row r="2537" spans="1:19" ht="150" customHeight="1" x14ac:dyDescent="0.25">
      <c r="A2537" s="8" t="s">
        <v>13303</v>
      </c>
      <c r="B2537" s="8" t="s">
        <v>13098</v>
      </c>
      <c r="C2537" s="8" t="s">
        <v>67</v>
      </c>
      <c r="D2537" s="10">
        <v>144</v>
      </c>
      <c r="E2537" s="8" t="s">
        <v>1429</v>
      </c>
      <c r="F2537" s="8"/>
      <c r="G2537" s="8" t="s">
        <v>67</v>
      </c>
      <c r="H2537" s="8"/>
      <c r="I2537" s="8" t="s">
        <v>1430</v>
      </c>
      <c r="J2537" s="15" t="s">
        <v>1685</v>
      </c>
      <c r="K2537" s="8"/>
      <c r="L2537" s="15" t="s">
        <v>1685</v>
      </c>
      <c r="M2537" s="8" t="s">
        <v>13100</v>
      </c>
      <c r="N2537" s="8"/>
      <c r="O2537" s="8" t="s">
        <v>13101</v>
      </c>
      <c r="P2537" s="11"/>
      <c r="Q2537" s="8" t="s">
        <v>13102</v>
      </c>
      <c r="R2537" s="8" t="s">
        <v>13103</v>
      </c>
      <c r="S2537" s="8" t="s">
        <v>13304</v>
      </c>
    </row>
    <row r="2538" spans="1:19" ht="150" customHeight="1" x14ac:dyDescent="0.25">
      <c r="A2538" s="8" t="s">
        <v>13305</v>
      </c>
      <c r="B2538" s="8" t="s">
        <v>13098</v>
      </c>
      <c r="C2538" s="8" t="s">
        <v>67</v>
      </c>
      <c r="D2538" s="10">
        <v>145</v>
      </c>
      <c r="E2538" s="8" t="s">
        <v>1669</v>
      </c>
      <c r="F2538" s="8"/>
      <c r="G2538" s="8" t="s">
        <v>67</v>
      </c>
      <c r="H2538" s="8"/>
      <c r="I2538" s="8" t="s">
        <v>1670</v>
      </c>
      <c r="J2538" s="15" t="s">
        <v>1685</v>
      </c>
      <c r="K2538" s="8"/>
      <c r="L2538" s="15" t="s">
        <v>1685</v>
      </c>
      <c r="M2538" s="8" t="s">
        <v>13100</v>
      </c>
      <c r="N2538" s="8"/>
      <c r="O2538" s="8" t="s">
        <v>13101</v>
      </c>
      <c r="P2538" s="11"/>
      <c r="Q2538" s="8" t="s">
        <v>13102</v>
      </c>
      <c r="R2538" s="8" t="s">
        <v>13103</v>
      </c>
      <c r="S2538" s="8" t="s">
        <v>13306</v>
      </c>
    </row>
    <row r="2539" spans="1:19" ht="150" customHeight="1" x14ac:dyDescent="0.25">
      <c r="A2539" s="8" t="s">
        <v>13307</v>
      </c>
      <c r="B2539" s="8" t="s">
        <v>13098</v>
      </c>
      <c r="C2539" s="8" t="s">
        <v>67</v>
      </c>
      <c r="D2539" s="10">
        <v>146</v>
      </c>
      <c r="E2539" s="8" t="s">
        <v>1653</v>
      </c>
      <c r="F2539" s="8"/>
      <c r="G2539" s="8" t="s">
        <v>67</v>
      </c>
      <c r="H2539" s="8"/>
      <c r="I2539" s="8" t="s">
        <v>1654</v>
      </c>
      <c r="J2539" s="15" t="s">
        <v>1685</v>
      </c>
      <c r="K2539" s="8"/>
      <c r="L2539" s="15" t="s">
        <v>1685</v>
      </c>
      <c r="M2539" s="8" t="s">
        <v>13100</v>
      </c>
      <c r="N2539" s="8"/>
      <c r="O2539" s="8" t="s">
        <v>13101</v>
      </c>
      <c r="P2539" s="11"/>
      <c r="Q2539" s="8" t="s">
        <v>13102</v>
      </c>
      <c r="R2539" s="8" t="s">
        <v>13103</v>
      </c>
      <c r="S2539" s="8" t="s">
        <v>13308</v>
      </c>
    </row>
    <row r="2540" spans="1:19" ht="150" customHeight="1" x14ac:dyDescent="0.25">
      <c r="A2540" s="8" t="s">
        <v>13309</v>
      </c>
      <c r="B2540" s="8" t="s">
        <v>13098</v>
      </c>
      <c r="C2540" s="8" t="s">
        <v>67</v>
      </c>
      <c r="D2540" s="10">
        <v>147</v>
      </c>
      <c r="E2540" s="8" t="s">
        <v>1299</v>
      </c>
      <c r="F2540" s="8"/>
      <c r="G2540" s="8" t="s">
        <v>67</v>
      </c>
      <c r="H2540" s="8"/>
      <c r="I2540" s="8" t="s">
        <v>1300</v>
      </c>
      <c r="J2540" s="15" t="s">
        <v>1685</v>
      </c>
      <c r="K2540" s="8"/>
      <c r="L2540" s="15" t="s">
        <v>1685</v>
      </c>
      <c r="M2540" s="8" t="s">
        <v>13100</v>
      </c>
      <c r="N2540" s="8"/>
      <c r="O2540" s="8" t="s">
        <v>13101</v>
      </c>
      <c r="P2540" s="11"/>
      <c r="Q2540" s="8" t="s">
        <v>13102</v>
      </c>
      <c r="R2540" s="8" t="s">
        <v>13103</v>
      </c>
      <c r="S2540" s="8" t="s">
        <v>13310</v>
      </c>
    </row>
    <row r="2541" spans="1:19" ht="150" customHeight="1" x14ac:dyDescent="0.25">
      <c r="A2541" s="8" t="s">
        <v>13311</v>
      </c>
      <c r="B2541" s="8" t="s">
        <v>13098</v>
      </c>
      <c r="C2541" s="8" t="s">
        <v>67</v>
      </c>
      <c r="D2541" s="10">
        <v>148</v>
      </c>
      <c r="E2541" s="8" t="s">
        <v>1456</v>
      </c>
      <c r="F2541" s="8"/>
      <c r="G2541" s="8" t="s">
        <v>67</v>
      </c>
      <c r="H2541" s="8"/>
      <c r="I2541" s="8" t="s">
        <v>1457</v>
      </c>
      <c r="J2541" s="15" t="s">
        <v>1685</v>
      </c>
      <c r="K2541" s="8"/>
      <c r="L2541" s="15" t="s">
        <v>1685</v>
      </c>
      <c r="M2541" s="8" t="s">
        <v>13100</v>
      </c>
      <c r="N2541" s="8"/>
      <c r="O2541" s="8" t="s">
        <v>13101</v>
      </c>
      <c r="P2541" s="11"/>
      <c r="Q2541" s="8" t="s">
        <v>13102</v>
      </c>
      <c r="R2541" s="8" t="s">
        <v>13103</v>
      </c>
      <c r="S2541" s="8" t="s">
        <v>13312</v>
      </c>
    </row>
    <row r="2542" spans="1:19" ht="150" customHeight="1" x14ac:dyDescent="0.25">
      <c r="A2542" s="8" t="s">
        <v>13313</v>
      </c>
      <c r="B2542" s="8" t="s">
        <v>13098</v>
      </c>
      <c r="C2542" s="8" t="s">
        <v>67</v>
      </c>
      <c r="D2542" s="10">
        <v>150</v>
      </c>
      <c r="E2542" s="8" t="s">
        <v>1399</v>
      </c>
      <c r="F2542" s="8"/>
      <c r="G2542" s="8" t="s">
        <v>67</v>
      </c>
      <c r="H2542" s="8"/>
      <c r="I2542" s="8" t="s">
        <v>1400</v>
      </c>
      <c r="J2542" s="15" t="s">
        <v>1685</v>
      </c>
      <c r="K2542" s="8"/>
      <c r="L2542" s="15" t="s">
        <v>1685</v>
      </c>
      <c r="M2542" s="8" t="s">
        <v>13100</v>
      </c>
      <c r="N2542" s="8"/>
      <c r="O2542" s="8" t="s">
        <v>13101</v>
      </c>
      <c r="P2542" s="11"/>
      <c r="Q2542" s="8" t="s">
        <v>13102</v>
      </c>
      <c r="R2542" s="8" t="s">
        <v>13103</v>
      </c>
      <c r="S2542" s="8" t="s">
        <v>13314</v>
      </c>
    </row>
    <row r="2543" spans="1:19" ht="150" customHeight="1" x14ac:dyDescent="0.25">
      <c r="A2543" s="8" t="s">
        <v>13315</v>
      </c>
      <c r="B2543" s="8" t="s">
        <v>13098</v>
      </c>
      <c r="C2543" s="8" t="s">
        <v>67</v>
      </c>
      <c r="D2543" s="10">
        <v>151</v>
      </c>
      <c r="E2543" s="8" t="s">
        <v>1514</v>
      </c>
      <c r="F2543" s="8"/>
      <c r="G2543" s="8" t="s">
        <v>67</v>
      </c>
      <c r="H2543" s="8"/>
      <c r="I2543" s="8" t="s">
        <v>1515</v>
      </c>
      <c r="J2543" s="15" t="s">
        <v>1685</v>
      </c>
      <c r="K2543" s="8"/>
      <c r="L2543" s="15" t="s">
        <v>1685</v>
      </c>
      <c r="M2543" s="8" t="s">
        <v>13100</v>
      </c>
      <c r="N2543" s="8"/>
      <c r="O2543" s="8" t="s">
        <v>13101</v>
      </c>
      <c r="P2543" s="11"/>
      <c r="Q2543" s="8" t="s">
        <v>13102</v>
      </c>
      <c r="R2543" s="8" t="s">
        <v>13103</v>
      </c>
      <c r="S2543" s="8" t="s">
        <v>13316</v>
      </c>
    </row>
    <row r="2544" spans="1:19" ht="150" customHeight="1" x14ac:dyDescent="0.25">
      <c r="A2544" s="8" t="s">
        <v>13317</v>
      </c>
      <c r="B2544" s="8" t="s">
        <v>13098</v>
      </c>
      <c r="C2544" s="8" t="s">
        <v>67</v>
      </c>
      <c r="D2544" s="10">
        <v>152</v>
      </c>
      <c r="E2544" s="8" t="s">
        <v>1373</v>
      </c>
      <c r="F2544" s="8"/>
      <c r="G2544" s="8" t="s">
        <v>67</v>
      </c>
      <c r="H2544" s="8"/>
      <c r="I2544" s="8" t="s">
        <v>1374</v>
      </c>
      <c r="J2544" s="15" t="s">
        <v>1685</v>
      </c>
      <c r="K2544" s="8"/>
      <c r="L2544" s="15" t="s">
        <v>1685</v>
      </c>
      <c r="M2544" s="8" t="s">
        <v>13100</v>
      </c>
      <c r="N2544" s="8"/>
      <c r="O2544" s="8" t="s">
        <v>13101</v>
      </c>
      <c r="P2544" s="11"/>
      <c r="Q2544" s="8" t="s">
        <v>13102</v>
      </c>
      <c r="R2544" s="8" t="s">
        <v>13103</v>
      </c>
      <c r="S2544" s="8" t="s">
        <v>13318</v>
      </c>
    </row>
    <row r="2545" spans="1:19" ht="150" customHeight="1" x14ac:dyDescent="0.25">
      <c r="A2545" s="8" t="s">
        <v>13319</v>
      </c>
      <c r="B2545" s="8" t="s">
        <v>13098</v>
      </c>
      <c r="C2545" s="8" t="s">
        <v>67</v>
      </c>
      <c r="D2545" s="10">
        <v>153</v>
      </c>
      <c r="E2545" s="8" t="s">
        <v>1539</v>
      </c>
      <c r="F2545" s="8"/>
      <c r="G2545" s="8" t="s">
        <v>67</v>
      </c>
      <c r="H2545" s="8"/>
      <c r="I2545" s="8" t="s">
        <v>1540</v>
      </c>
      <c r="J2545" s="15" t="s">
        <v>1685</v>
      </c>
      <c r="K2545" s="8"/>
      <c r="L2545" s="15" t="s">
        <v>1685</v>
      </c>
      <c r="M2545" s="8" t="s">
        <v>13100</v>
      </c>
      <c r="N2545" s="8"/>
      <c r="O2545" s="8" t="s">
        <v>13101</v>
      </c>
      <c r="P2545" s="11"/>
      <c r="Q2545" s="8" t="s">
        <v>13102</v>
      </c>
      <c r="R2545" s="8" t="s">
        <v>13103</v>
      </c>
      <c r="S2545" s="8" t="s">
        <v>13320</v>
      </c>
    </row>
    <row r="2546" spans="1:19" ht="150" customHeight="1" x14ac:dyDescent="0.25">
      <c r="A2546" s="8" t="s">
        <v>13321</v>
      </c>
      <c r="B2546" s="8" t="s">
        <v>13098</v>
      </c>
      <c r="C2546" s="8" t="s">
        <v>67</v>
      </c>
      <c r="D2546" s="10">
        <v>154</v>
      </c>
      <c r="E2546" s="8" t="s">
        <v>1242</v>
      </c>
      <c r="F2546" s="8"/>
      <c r="G2546" s="8" t="s">
        <v>67</v>
      </c>
      <c r="H2546" s="8"/>
      <c r="I2546" s="8" t="s">
        <v>1243</v>
      </c>
      <c r="J2546" s="15" t="s">
        <v>1685</v>
      </c>
      <c r="K2546" s="8"/>
      <c r="L2546" s="15" t="s">
        <v>1685</v>
      </c>
      <c r="M2546" s="8" t="s">
        <v>13100</v>
      </c>
      <c r="N2546" s="8"/>
      <c r="O2546" s="8" t="s">
        <v>13101</v>
      </c>
      <c r="P2546" s="11"/>
      <c r="Q2546" s="8" t="s">
        <v>13102</v>
      </c>
      <c r="R2546" s="8" t="s">
        <v>13103</v>
      </c>
      <c r="S2546" s="8" t="s">
        <v>13322</v>
      </c>
    </row>
    <row r="2547" spans="1:19" ht="150" customHeight="1" x14ac:dyDescent="0.25">
      <c r="A2547" s="8" t="s">
        <v>13323</v>
      </c>
      <c r="B2547" s="8" t="s">
        <v>13098</v>
      </c>
      <c r="C2547" s="8" t="s">
        <v>67</v>
      </c>
      <c r="D2547" s="10">
        <v>155</v>
      </c>
      <c r="E2547" s="8" t="s">
        <v>1485</v>
      </c>
      <c r="F2547" s="8"/>
      <c r="G2547" s="8" t="s">
        <v>67</v>
      </c>
      <c r="H2547" s="8"/>
      <c r="I2547" s="8" t="s">
        <v>1486</v>
      </c>
      <c r="J2547" s="15" t="s">
        <v>1685</v>
      </c>
      <c r="K2547" s="8"/>
      <c r="L2547" s="15" t="s">
        <v>1685</v>
      </c>
      <c r="M2547" s="8" t="s">
        <v>13100</v>
      </c>
      <c r="N2547" s="8"/>
      <c r="O2547" s="8" t="s">
        <v>13101</v>
      </c>
      <c r="P2547" s="11"/>
      <c r="Q2547" s="8" t="s">
        <v>13102</v>
      </c>
      <c r="R2547" s="8" t="s">
        <v>13103</v>
      </c>
      <c r="S2547" s="8" t="s">
        <v>13324</v>
      </c>
    </row>
    <row r="2548" spans="1:19" ht="150" customHeight="1" x14ac:dyDescent="0.25">
      <c r="A2548" s="8" t="s">
        <v>13325</v>
      </c>
      <c r="B2548" s="8" t="s">
        <v>13098</v>
      </c>
      <c r="C2548" s="8" t="s">
        <v>67</v>
      </c>
      <c r="D2548" s="10">
        <v>156</v>
      </c>
      <c r="E2548" s="8" t="s">
        <v>1369</v>
      </c>
      <c r="F2548" s="8"/>
      <c r="G2548" s="8" t="s">
        <v>67</v>
      </c>
      <c r="H2548" s="8"/>
      <c r="I2548" s="8" t="s">
        <v>1370</v>
      </c>
      <c r="J2548" s="15" t="s">
        <v>1685</v>
      </c>
      <c r="K2548" s="8"/>
      <c r="L2548" s="15" t="s">
        <v>1685</v>
      </c>
      <c r="M2548" s="8" t="s">
        <v>13100</v>
      </c>
      <c r="N2548" s="8"/>
      <c r="O2548" s="8" t="s">
        <v>13101</v>
      </c>
      <c r="P2548" s="11"/>
      <c r="Q2548" s="8" t="s">
        <v>13102</v>
      </c>
      <c r="R2548" s="8" t="s">
        <v>13103</v>
      </c>
      <c r="S2548" s="8" t="s">
        <v>13326</v>
      </c>
    </row>
    <row r="2549" spans="1:19" ht="150" customHeight="1" x14ac:dyDescent="0.25">
      <c r="A2549" s="8" t="s">
        <v>13327</v>
      </c>
      <c r="B2549" s="8" t="s">
        <v>13098</v>
      </c>
      <c r="C2549" s="8" t="s">
        <v>67</v>
      </c>
      <c r="D2549" s="10">
        <v>157</v>
      </c>
      <c r="E2549" s="8" t="s">
        <v>1274</v>
      </c>
      <c r="F2549" s="8"/>
      <c r="G2549" s="8" t="s">
        <v>67</v>
      </c>
      <c r="H2549" s="8"/>
      <c r="I2549" s="8" t="s">
        <v>1275</v>
      </c>
      <c r="J2549" s="15" t="s">
        <v>1685</v>
      </c>
      <c r="K2549" s="8"/>
      <c r="L2549" s="15" t="s">
        <v>1685</v>
      </c>
      <c r="M2549" s="8" t="s">
        <v>13100</v>
      </c>
      <c r="N2549" s="8"/>
      <c r="O2549" s="8" t="s">
        <v>13101</v>
      </c>
      <c r="P2549" s="11"/>
      <c r="Q2549" s="8" t="s">
        <v>13102</v>
      </c>
      <c r="R2549" s="8" t="s">
        <v>13103</v>
      </c>
      <c r="S2549" s="8" t="s">
        <v>13328</v>
      </c>
    </row>
    <row r="2550" spans="1:19" ht="150" customHeight="1" x14ac:dyDescent="0.25">
      <c r="A2550" s="8" t="s">
        <v>13329</v>
      </c>
      <c r="B2550" s="8" t="s">
        <v>13098</v>
      </c>
      <c r="C2550" s="8" t="s">
        <v>67</v>
      </c>
      <c r="D2550" s="10">
        <v>159</v>
      </c>
      <c r="E2550" s="8" t="s">
        <v>1357</v>
      </c>
      <c r="F2550" s="8"/>
      <c r="G2550" s="8" t="s">
        <v>67</v>
      </c>
      <c r="H2550" s="8"/>
      <c r="I2550" s="8" t="s">
        <v>1358</v>
      </c>
      <c r="J2550" s="15" t="s">
        <v>1685</v>
      </c>
      <c r="K2550" s="8"/>
      <c r="L2550" s="15" t="s">
        <v>1685</v>
      </c>
      <c r="M2550" s="8" t="s">
        <v>13100</v>
      </c>
      <c r="N2550" s="8"/>
      <c r="O2550" s="8" t="s">
        <v>13101</v>
      </c>
      <c r="P2550" s="11"/>
      <c r="Q2550" s="8" t="s">
        <v>13102</v>
      </c>
      <c r="R2550" s="8" t="s">
        <v>13103</v>
      </c>
      <c r="S2550" s="8" t="s">
        <v>13330</v>
      </c>
    </row>
    <row r="2551" spans="1:19" ht="150" customHeight="1" x14ac:dyDescent="0.25">
      <c r="A2551" s="8" t="s">
        <v>13331</v>
      </c>
      <c r="B2551" s="8" t="s">
        <v>13098</v>
      </c>
      <c r="C2551" s="8" t="s">
        <v>67</v>
      </c>
      <c r="D2551" s="10">
        <v>160</v>
      </c>
      <c r="E2551" s="8" t="s">
        <v>1588</v>
      </c>
      <c r="F2551" s="8"/>
      <c r="G2551" s="8" t="s">
        <v>67</v>
      </c>
      <c r="H2551" s="8"/>
      <c r="I2551" s="8" t="s">
        <v>1589</v>
      </c>
      <c r="J2551" s="15" t="s">
        <v>1685</v>
      </c>
      <c r="K2551" s="8"/>
      <c r="L2551" s="15" t="s">
        <v>1685</v>
      </c>
      <c r="M2551" s="8" t="s">
        <v>13100</v>
      </c>
      <c r="N2551" s="8"/>
      <c r="O2551" s="8" t="s">
        <v>13101</v>
      </c>
      <c r="P2551" s="11"/>
      <c r="Q2551" s="8" t="s">
        <v>13102</v>
      </c>
      <c r="R2551" s="8" t="s">
        <v>13103</v>
      </c>
      <c r="S2551" s="8" t="s">
        <v>13332</v>
      </c>
    </row>
    <row r="2552" spans="1:19" ht="150" customHeight="1" x14ac:dyDescent="0.25">
      <c r="A2552" s="8" t="s">
        <v>13333</v>
      </c>
      <c r="B2552" s="8" t="s">
        <v>13098</v>
      </c>
      <c r="C2552" s="8" t="s">
        <v>67</v>
      </c>
      <c r="D2552" s="10">
        <v>161</v>
      </c>
      <c r="E2552" s="8" t="s">
        <v>1352</v>
      </c>
      <c r="F2552" s="8"/>
      <c r="G2552" s="8" t="s">
        <v>67</v>
      </c>
      <c r="H2552" s="8"/>
      <c r="I2552" s="8" t="s">
        <v>1353</v>
      </c>
      <c r="J2552" s="15" t="s">
        <v>1685</v>
      </c>
      <c r="K2552" s="8"/>
      <c r="L2552" s="15" t="s">
        <v>1685</v>
      </c>
      <c r="M2552" s="8" t="s">
        <v>13100</v>
      </c>
      <c r="N2552" s="8"/>
      <c r="O2552" s="8" t="s">
        <v>13101</v>
      </c>
      <c r="P2552" s="11"/>
      <c r="Q2552" s="8" t="s">
        <v>13102</v>
      </c>
      <c r="R2552" s="8" t="s">
        <v>13103</v>
      </c>
      <c r="S2552" s="8" t="s">
        <v>13334</v>
      </c>
    </row>
    <row r="2553" spans="1:19" ht="150" customHeight="1" x14ac:dyDescent="0.25">
      <c r="A2553" s="8" t="s">
        <v>13335</v>
      </c>
      <c r="B2553" s="8" t="s">
        <v>13098</v>
      </c>
      <c r="C2553" s="8" t="s">
        <v>67</v>
      </c>
      <c r="D2553" s="10">
        <v>162</v>
      </c>
      <c r="E2553" s="8" t="s">
        <v>1518</v>
      </c>
      <c r="F2553" s="8"/>
      <c r="G2553" s="8" t="s">
        <v>67</v>
      </c>
      <c r="H2553" s="8"/>
      <c r="I2553" s="8" t="s">
        <v>1519</v>
      </c>
      <c r="J2553" s="15" t="s">
        <v>1685</v>
      </c>
      <c r="K2553" s="8"/>
      <c r="L2553" s="15" t="s">
        <v>1685</v>
      </c>
      <c r="M2553" s="8" t="s">
        <v>13100</v>
      </c>
      <c r="N2553" s="8"/>
      <c r="O2553" s="8" t="s">
        <v>13101</v>
      </c>
      <c r="P2553" s="11"/>
      <c r="Q2553" s="8" t="s">
        <v>13102</v>
      </c>
      <c r="R2553" s="8" t="s">
        <v>13103</v>
      </c>
      <c r="S2553" s="8" t="s">
        <v>13336</v>
      </c>
    </row>
    <row r="2554" spans="1:19" ht="150" customHeight="1" x14ac:dyDescent="0.25">
      <c r="A2554" s="8" t="s">
        <v>13337</v>
      </c>
      <c r="B2554" s="8" t="s">
        <v>13098</v>
      </c>
      <c r="C2554" s="8" t="s">
        <v>67</v>
      </c>
      <c r="D2554" s="10">
        <v>163</v>
      </c>
      <c r="E2554" s="8" t="s">
        <v>948</v>
      </c>
      <c r="F2554" s="8"/>
      <c r="G2554" s="8" t="s">
        <v>67</v>
      </c>
      <c r="H2554" s="8"/>
      <c r="I2554" s="8" t="s">
        <v>949</v>
      </c>
      <c r="J2554" s="15" t="s">
        <v>1685</v>
      </c>
      <c r="K2554" s="8"/>
      <c r="L2554" s="15" t="s">
        <v>1685</v>
      </c>
      <c r="M2554" s="8" t="s">
        <v>13100</v>
      </c>
      <c r="N2554" s="8"/>
      <c r="O2554" s="8" t="s">
        <v>13101</v>
      </c>
      <c r="P2554" s="11"/>
      <c r="Q2554" s="8" t="s">
        <v>13102</v>
      </c>
      <c r="R2554" s="8" t="s">
        <v>13103</v>
      </c>
      <c r="S2554" s="8" t="s">
        <v>13338</v>
      </c>
    </row>
    <row r="2555" spans="1:19" ht="150" customHeight="1" x14ac:dyDescent="0.25">
      <c r="A2555" s="8" t="s">
        <v>13339</v>
      </c>
      <c r="B2555" s="8" t="s">
        <v>13098</v>
      </c>
      <c r="C2555" s="8" t="s">
        <v>67</v>
      </c>
      <c r="D2555" s="10">
        <v>164</v>
      </c>
      <c r="E2555" s="8" t="s">
        <v>1641</v>
      </c>
      <c r="F2555" s="8"/>
      <c r="G2555" s="8" t="s">
        <v>67</v>
      </c>
      <c r="H2555" s="8"/>
      <c r="I2555" s="8" t="s">
        <v>1642</v>
      </c>
      <c r="J2555" s="15" t="s">
        <v>1685</v>
      </c>
      <c r="K2555" s="8"/>
      <c r="L2555" s="15" t="s">
        <v>1685</v>
      </c>
      <c r="M2555" s="8" t="s">
        <v>13100</v>
      </c>
      <c r="N2555" s="8"/>
      <c r="O2555" s="8" t="s">
        <v>13101</v>
      </c>
      <c r="P2555" s="11"/>
      <c r="Q2555" s="8" t="s">
        <v>13102</v>
      </c>
      <c r="R2555" s="8" t="s">
        <v>13103</v>
      </c>
      <c r="S2555" s="8" t="s">
        <v>13340</v>
      </c>
    </row>
    <row r="2556" spans="1:19" ht="150" customHeight="1" x14ac:dyDescent="0.25">
      <c r="A2556" s="8" t="s">
        <v>13341</v>
      </c>
      <c r="B2556" s="8" t="s">
        <v>13098</v>
      </c>
      <c r="C2556" s="8" t="s">
        <v>67</v>
      </c>
      <c r="D2556" s="10">
        <v>165</v>
      </c>
      <c r="E2556" s="8" t="s">
        <v>1385</v>
      </c>
      <c r="F2556" s="8"/>
      <c r="G2556" s="8" t="s">
        <v>67</v>
      </c>
      <c r="H2556" s="8"/>
      <c r="I2556" s="8" t="s">
        <v>1386</v>
      </c>
      <c r="J2556" s="15" t="s">
        <v>1685</v>
      </c>
      <c r="K2556" s="8"/>
      <c r="L2556" s="15" t="s">
        <v>1685</v>
      </c>
      <c r="M2556" s="8" t="s">
        <v>13100</v>
      </c>
      <c r="N2556" s="8"/>
      <c r="O2556" s="8" t="s">
        <v>13101</v>
      </c>
      <c r="P2556" s="11"/>
      <c r="Q2556" s="8" t="s">
        <v>13102</v>
      </c>
      <c r="R2556" s="8" t="s">
        <v>13103</v>
      </c>
      <c r="S2556" s="8" t="s">
        <v>13342</v>
      </c>
    </row>
    <row r="2557" spans="1:19" ht="150" customHeight="1" x14ac:dyDescent="0.25">
      <c r="A2557" s="8" t="s">
        <v>13343</v>
      </c>
      <c r="B2557" s="8" t="s">
        <v>13098</v>
      </c>
      <c r="C2557" s="8" t="s">
        <v>67</v>
      </c>
      <c r="D2557" s="10">
        <v>166</v>
      </c>
      <c r="E2557" s="8" t="s">
        <v>1265</v>
      </c>
      <c r="F2557" s="8"/>
      <c r="G2557" s="8" t="s">
        <v>67</v>
      </c>
      <c r="H2557" s="8"/>
      <c r="I2557" s="8" t="s">
        <v>1266</v>
      </c>
      <c r="J2557" s="15" t="s">
        <v>1685</v>
      </c>
      <c r="K2557" s="8"/>
      <c r="L2557" s="15" t="s">
        <v>1685</v>
      </c>
      <c r="M2557" s="8" t="s">
        <v>13100</v>
      </c>
      <c r="N2557" s="8"/>
      <c r="O2557" s="8" t="s">
        <v>13101</v>
      </c>
      <c r="P2557" s="11"/>
      <c r="Q2557" s="8" t="s">
        <v>13102</v>
      </c>
      <c r="R2557" s="8" t="s">
        <v>13103</v>
      </c>
      <c r="S2557" s="8" t="s">
        <v>13344</v>
      </c>
    </row>
    <row r="2558" spans="1:19" ht="150" customHeight="1" x14ac:dyDescent="0.25">
      <c r="A2558" s="8" t="s">
        <v>13345</v>
      </c>
      <c r="B2558" s="8" t="s">
        <v>13098</v>
      </c>
      <c r="C2558" s="8" t="s">
        <v>67</v>
      </c>
      <c r="D2558" s="10">
        <v>167</v>
      </c>
      <c r="E2558" s="8" t="s">
        <v>1481</v>
      </c>
      <c r="F2558" s="8"/>
      <c r="G2558" s="8" t="s">
        <v>67</v>
      </c>
      <c r="H2558" s="8"/>
      <c r="I2558" s="8" t="s">
        <v>1482</v>
      </c>
      <c r="J2558" s="15" t="s">
        <v>1685</v>
      </c>
      <c r="K2558" s="8"/>
      <c r="L2558" s="15" t="s">
        <v>1685</v>
      </c>
      <c r="M2558" s="8" t="s">
        <v>13100</v>
      </c>
      <c r="N2558" s="8"/>
      <c r="O2558" s="8" t="s">
        <v>13101</v>
      </c>
      <c r="P2558" s="11"/>
      <c r="Q2558" s="8" t="s">
        <v>13102</v>
      </c>
      <c r="R2558" s="8" t="s">
        <v>13103</v>
      </c>
      <c r="S2558" s="8" t="s">
        <v>13346</v>
      </c>
    </row>
    <row r="2559" spans="1:19" ht="150" customHeight="1" x14ac:dyDescent="0.25">
      <c r="A2559" s="8" t="s">
        <v>13347</v>
      </c>
      <c r="B2559" s="8" t="s">
        <v>13098</v>
      </c>
      <c r="C2559" s="8" t="s">
        <v>67</v>
      </c>
      <c r="D2559" s="10">
        <v>168</v>
      </c>
      <c r="E2559" s="8" t="s">
        <v>1665</v>
      </c>
      <c r="F2559" s="8"/>
      <c r="G2559" s="8" t="s">
        <v>67</v>
      </c>
      <c r="H2559" s="8"/>
      <c r="I2559" s="8" t="s">
        <v>1666</v>
      </c>
      <c r="J2559" s="15" t="s">
        <v>1685</v>
      </c>
      <c r="K2559" s="8"/>
      <c r="L2559" s="15" t="s">
        <v>1685</v>
      </c>
      <c r="M2559" s="8" t="s">
        <v>13100</v>
      </c>
      <c r="N2559" s="8"/>
      <c r="O2559" s="8" t="s">
        <v>13101</v>
      </c>
      <c r="P2559" s="11"/>
      <c r="Q2559" s="8" t="s">
        <v>13102</v>
      </c>
      <c r="R2559" s="8" t="s">
        <v>13103</v>
      </c>
      <c r="S2559" s="8" t="s">
        <v>13348</v>
      </c>
    </row>
    <row r="2560" spans="1:19" ht="150" customHeight="1" x14ac:dyDescent="0.25">
      <c r="A2560" s="8" t="s">
        <v>13349</v>
      </c>
      <c r="B2560" s="8" t="s">
        <v>13098</v>
      </c>
      <c r="C2560" s="8" t="s">
        <v>67</v>
      </c>
      <c r="D2560" s="10">
        <v>169</v>
      </c>
      <c r="E2560" s="8" t="s">
        <v>1576</v>
      </c>
      <c r="F2560" s="8"/>
      <c r="G2560" s="8" t="s">
        <v>67</v>
      </c>
      <c r="H2560" s="8"/>
      <c r="I2560" s="8" t="s">
        <v>1577</v>
      </c>
      <c r="J2560" s="15" t="s">
        <v>1685</v>
      </c>
      <c r="K2560" s="8"/>
      <c r="L2560" s="15" t="s">
        <v>1685</v>
      </c>
      <c r="M2560" s="8" t="s">
        <v>13100</v>
      </c>
      <c r="N2560" s="8"/>
      <c r="O2560" s="8" t="s">
        <v>13101</v>
      </c>
      <c r="P2560" s="11"/>
      <c r="Q2560" s="8" t="s">
        <v>13102</v>
      </c>
      <c r="R2560" s="8" t="s">
        <v>13103</v>
      </c>
      <c r="S2560" s="8" t="s">
        <v>13350</v>
      </c>
    </row>
    <row r="2561" spans="1:19" ht="150" customHeight="1" x14ac:dyDescent="0.25">
      <c r="A2561" s="8" t="s">
        <v>13351</v>
      </c>
      <c r="B2561" s="8" t="s">
        <v>13098</v>
      </c>
      <c r="C2561" s="8" t="s">
        <v>67</v>
      </c>
      <c r="D2561" s="10">
        <v>170</v>
      </c>
      <c r="E2561" s="8" t="s">
        <v>1334</v>
      </c>
      <c r="F2561" s="8"/>
      <c r="G2561" s="8" t="s">
        <v>67</v>
      </c>
      <c r="H2561" s="8"/>
      <c r="I2561" s="8" t="s">
        <v>1335</v>
      </c>
      <c r="J2561" s="15" t="s">
        <v>1685</v>
      </c>
      <c r="K2561" s="8"/>
      <c r="L2561" s="15" t="s">
        <v>1685</v>
      </c>
      <c r="M2561" s="8" t="s">
        <v>13100</v>
      </c>
      <c r="N2561" s="8"/>
      <c r="O2561" s="8" t="s">
        <v>13101</v>
      </c>
      <c r="P2561" s="11"/>
      <c r="Q2561" s="8" t="s">
        <v>13102</v>
      </c>
      <c r="R2561" s="8" t="s">
        <v>13103</v>
      </c>
      <c r="S2561" s="8" t="s">
        <v>13352</v>
      </c>
    </row>
    <row r="2562" spans="1:19" ht="150" customHeight="1" x14ac:dyDescent="0.25">
      <c r="A2562" s="8" t="s">
        <v>13353</v>
      </c>
      <c r="B2562" s="8" t="s">
        <v>13098</v>
      </c>
      <c r="C2562" s="8" t="s">
        <v>67</v>
      </c>
      <c r="D2562" s="10">
        <v>171</v>
      </c>
      <c r="E2562" s="8" t="s">
        <v>1407</v>
      </c>
      <c r="F2562" s="8"/>
      <c r="G2562" s="8" t="s">
        <v>67</v>
      </c>
      <c r="H2562" s="8"/>
      <c r="I2562" s="8" t="s">
        <v>1408</v>
      </c>
      <c r="J2562" s="15" t="s">
        <v>1685</v>
      </c>
      <c r="K2562" s="8"/>
      <c r="L2562" s="15" t="s">
        <v>1685</v>
      </c>
      <c r="M2562" s="8" t="s">
        <v>13100</v>
      </c>
      <c r="N2562" s="8"/>
      <c r="O2562" s="8" t="s">
        <v>13101</v>
      </c>
      <c r="P2562" s="11"/>
      <c r="Q2562" s="8" t="s">
        <v>13102</v>
      </c>
      <c r="R2562" s="8" t="s">
        <v>13103</v>
      </c>
      <c r="S2562" s="8" t="s">
        <v>13354</v>
      </c>
    </row>
    <row r="2563" spans="1:19" ht="150" customHeight="1" x14ac:dyDescent="0.25">
      <c r="A2563" s="8" t="s">
        <v>13355</v>
      </c>
      <c r="B2563" s="8" t="s">
        <v>13098</v>
      </c>
      <c r="C2563" s="8" t="s">
        <v>67</v>
      </c>
      <c r="D2563" s="10">
        <v>172</v>
      </c>
      <c r="E2563" s="8" t="s">
        <v>1493</v>
      </c>
      <c r="F2563" s="8"/>
      <c r="G2563" s="8" t="s">
        <v>67</v>
      </c>
      <c r="H2563" s="8"/>
      <c r="I2563" s="8" t="s">
        <v>1494</v>
      </c>
      <c r="J2563" s="15" t="s">
        <v>1685</v>
      </c>
      <c r="K2563" s="8"/>
      <c r="L2563" s="15" t="s">
        <v>1685</v>
      </c>
      <c r="M2563" s="8" t="s">
        <v>13100</v>
      </c>
      <c r="N2563" s="8"/>
      <c r="O2563" s="8" t="s">
        <v>13101</v>
      </c>
      <c r="P2563" s="11"/>
      <c r="Q2563" s="8" t="s">
        <v>13102</v>
      </c>
      <c r="R2563" s="8" t="s">
        <v>13103</v>
      </c>
      <c r="S2563" s="8" t="s">
        <v>13356</v>
      </c>
    </row>
    <row r="2564" spans="1:19" ht="150" customHeight="1" x14ac:dyDescent="0.25">
      <c r="A2564" s="8" t="s">
        <v>13357</v>
      </c>
      <c r="B2564" s="8" t="s">
        <v>13098</v>
      </c>
      <c r="C2564" s="8" t="s">
        <v>67</v>
      </c>
      <c r="D2564" s="10">
        <v>173</v>
      </c>
      <c r="E2564" s="8" t="s">
        <v>1535</v>
      </c>
      <c r="F2564" s="8"/>
      <c r="G2564" s="8" t="s">
        <v>67</v>
      </c>
      <c r="H2564" s="8"/>
      <c r="I2564" s="8" t="s">
        <v>1536</v>
      </c>
      <c r="J2564" s="15" t="s">
        <v>1685</v>
      </c>
      <c r="K2564" s="8"/>
      <c r="L2564" s="15" t="s">
        <v>1685</v>
      </c>
      <c r="M2564" s="8" t="s">
        <v>13100</v>
      </c>
      <c r="N2564" s="8"/>
      <c r="O2564" s="8" t="s">
        <v>13101</v>
      </c>
      <c r="P2564" s="11"/>
      <c r="Q2564" s="8" t="s">
        <v>13102</v>
      </c>
      <c r="R2564" s="8" t="s">
        <v>13103</v>
      </c>
      <c r="S2564" s="8" t="s">
        <v>13358</v>
      </c>
    </row>
    <row r="2565" spans="1:19" ht="150" customHeight="1" x14ac:dyDescent="0.25">
      <c r="A2565" s="8" t="s">
        <v>13359</v>
      </c>
      <c r="B2565" s="8" t="s">
        <v>13098</v>
      </c>
      <c r="C2565" s="8" t="s">
        <v>67</v>
      </c>
      <c r="D2565" s="10">
        <v>174</v>
      </c>
      <c r="E2565" s="8" t="s">
        <v>1320</v>
      </c>
      <c r="F2565" s="8"/>
      <c r="G2565" s="8" t="s">
        <v>67</v>
      </c>
      <c r="H2565" s="8"/>
      <c r="I2565" s="8" t="s">
        <v>1321</v>
      </c>
      <c r="J2565" s="15" t="s">
        <v>1685</v>
      </c>
      <c r="K2565" s="8"/>
      <c r="L2565" s="15" t="s">
        <v>1685</v>
      </c>
      <c r="M2565" s="8" t="s">
        <v>13100</v>
      </c>
      <c r="N2565" s="8"/>
      <c r="O2565" s="8" t="s">
        <v>13101</v>
      </c>
      <c r="P2565" s="11"/>
      <c r="Q2565" s="8" t="s">
        <v>13102</v>
      </c>
      <c r="R2565" s="8" t="s">
        <v>13103</v>
      </c>
      <c r="S2565" s="8" t="s">
        <v>13360</v>
      </c>
    </row>
    <row r="2566" spans="1:19" ht="150" customHeight="1" x14ac:dyDescent="0.25">
      <c r="A2566" s="8" t="s">
        <v>13361</v>
      </c>
      <c r="B2566" s="8" t="s">
        <v>13098</v>
      </c>
      <c r="C2566" s="8" t="s">
        <v>67</v>
      </c>
      <c r="D2566" s="10">
        <v>175</v>
      </c>
      <c r="E2566" s="8" t="s">
        <v>1316</v>
      </c>
      <c r="F2566" s="8"/>
      <c r="G2566" s="8" t="s">
        <v>67</v>
      </c>
      <c r="H2566" s="8"/>
      <c r="I2566" s="8" t="s">
        <v>1317</v>
      </c>
      <c r="J2566" s="15" t="s">
        <v>1685</v>
      </c>
      <c r="K2566" s="8"/>
      <c r="L2566" s="15" t="s">
        <v>1685</v>
      </c>
      <c r="M2566" s="8" t="s">
        <v>13100</v>
      </c>
      <c r="N2566" s="8"/>
      <c r="O2566" s="8" t="s">
        <v>13101</v>
      </c>
      <c r="P2566" s="11"/>
      <c r="Q2566" s="8" t="s">
        <v>13102</v>
      </c>
      <c r="R2566" s="8" t="s">
        <v>13103</v>
      </c>
      <c r="S2566" s="8" t="s">
        <v>13362</v>
      </c>
    </row>
    <row r="2567" spans="1:19" ht="150" customHeight="1" x14ac:dyDescent="0.25">
      <c r="A2567" s="8" t="s">
        <v>13363</v>
      </c>
      <c r="B2567" s="8" t="s">
        <v>13098</v>
      </c>
      <c r="C2567" s="8" t="s">
        <v>67</v>
      </c>
      <c r="D2567" s="10">
        <v>176</v>
      </c>
      <c r="E2567" s="8" t="s">
        <v>1270</v>
      </c>
      <c r="F2567" s="8"/>
      <c r="G2567" s="8" t="s">
        <v>67</v>
      </c>
      <c r="H2567" s="8"/>
      <c r="I2567" s="8" t="s">
        <v>1271</v>
      </c>
      <c r="J2567" s="15" t="s">
        <v>1685</v>
      </c>
      <c r="K2567" s="8"/>
      <c r="L2567" s="15" t="s">
        <v>1685</v>
      </c>
      <c r="M2567" s="8" t="s">
        <v>13100</v>
      </c>
      <c r="N2567" s="8"/>
      <c r="O2567" s="8" t="s">
        <v>13101</v>
      </c>
      <c r="P2567" s="11"/>
      <c r="Q2567" s="8" t="s">
        <v>13102</v>
      </c>
      <c r="R2567" s="8" t="s">
        <v>13103</v>
      </c>
      <c r="S2567" s="8" t="s">
        <v>13364</v>
      </c>
    </row>
    <row r="2568" spans="1:19" ht="150" customHeight="1" x14ac:dyDescent="0.25">
      <c r="A2568" s="8" t="s">
        <v>13365</v>
      </c>
      <c r="B2568" s="8" t="s">
        <v>13098</v>
      </c>
      <c r="C2568" s="8" t="s">
        <v>67</v>
      </c>
      <c r="D2568" s="10">
        <v>177</v>
      </c>
      <c r="E2568" s="8" t="s">
        <v>1501</v>
      </c>
      <c r="F2568" s="8"/>
      <c r="G2568" s="8" t="s">
        <v>67</v>
      </c>
      <c r="H2568" s="8"/>
      <c r="I2568" s="8" t="s">
        <v>1502</v>
      </c>
      <c r="J2568" s="15" t="s">
        <v>1685</v>
      </c>
      <c r="K2568" s="8"/>
      <c r="L2568" s="15" t="s">
        <v>1685</v>
      </c>
      <c r="M2568" s="8" t="s">
        <v>13100</v>
      </c>
      <c r="N2568" s="8"/>
      <c r="O2568" s="8" t="s">
        <v>13101</v>
      </c>
      <c r="P2568" s="11"/>
      <c r="Q2568" s="8" t="s">
        <v>13102</v>
      </c>
      <c r="R2568" s="8" t="s">
        <v>13103</v>
      </c>
      <c r="S2568" s="8" t="s">
        <v>13366</v>
      </c>
    </row>
    <row r="2569" spans="1:19" ht="150" customHeight="1" x14ac:dyDescent="0.25">
      <c r="A2569" s="8" t="s">
        <v>13367</v>
      </c>
      <c r="B2569" s="8" t="s">
        <v>13098</v>
      </c>
      <c r="C2569" s="8" t="s">
        <v>67</v>
      </c>
      <c r="D2569" s="10">
        <v>178</v>
      </c>
      <c r="E2569" s="8" t="s">
        <v>1460</v>
      </c>
      <c r="F2569" s="8"/>
      <c r="G2569" s="8" t="s">
        <v>67</v>
      </c>
      <c r="H2569" s="8"/>
      <c r="I2569" s="8" t="s">
        <v>1461</v>
      </c>
      <c r="J2569" s="15" t="s">
        <v>1685</v>
      </c>
      <c r="K2569" s="8"/>
      <c r="L2569" s="15" t="s">
        <v>1685</v>
      </c>
      <c r="M2569" s="8" t="s">
        <v>13100</v>
      </c>
      <c r="N2569" s="8"/>
      <c r="O2569" s="8" t="s">
        <v>13101</v>
      </c>
      <c r="P2569" s="11"/>
      <c r="Q2569" s="8" t="s">
        <v>13102</v>
      </c>
      <c r="R2569" s="8" t="s">
        <v>13103</v>
      </c>
      <c r="S2569" s="8" t="s">
        <v>13368</v>
      </c>
    </row>
    <row r="2570" spans="1:19" ht="150" customHeight="1" x14ac:dyDescent="0.25">
      <c r="A2570" s="8" t="s">
        <v>13369</v>
      </c>
      <c r="B2570" s="8" t="s">
        <v>13098</v>
      </c>
      <c r="C2570" s="8" t="s">
        <v>67</v>
      </c>
      <c r="D2570" s="10">
        <v>180</v>
      </c>
      <c r="E2570" s="8" t="s">
        <v>1338</v>
      </c>
      <c r="F2570" s="8"/>
      <c r="G2570" s="8" t="s">
        <v>67</v>
      </c>
      <c r="H2570" s="8"/>
      <c r="I2570" s="8" t="s">
        <v>1339</v>
      </c>
      <c r="J2570" s="15" t="s">
        <v>1685</v>
      </c>
      <c r="K2570" s="8"/>
      <c r="L2570" s="15" t="s">
        <v>1685</v>
      </c>
      <c r="M2570" s="8" t="s">
        <v>13100</v>
      </c>
      <c r="N2570" s="8"/>
      <c r="O2570" s="8" t="s">
        <v>13101</v>
      </c>
      <c r="P2570" s="11"/>
      <c r="Q2570" s="8" t="s">
        <v>13102</v>
      </c>
      <c r="R2570" s="8" t="s">
        <v>13103</v>
      </c>
      <c r="S2570" s="8" t="s">
        <v>13370</v>
      </c>
    </row>
    <row r="2571" spans="1:19" ht="150" customHeight="1" x14ac:dyDescent="0.25">
      <c r="A2571" s="8" t="s">
        <v>13371</v>
      </c>
      <c r="B2571" s="8" t="s">
        <v>13098</v>
      </c>
      <c r="C2571" s="8" t="s">
        <v>67</v>
      </c>
      <c r="D2571" s="10">
        <v>181</v>
      </c>
      <c r="E2571" s="8" t="s">
        <v>1489</v>
      </c>
      <c r="F2571" s="8"/>
      <c r="G2571" s="8" t="s">
        <v>67</v>
      </c>
      <c r="H2571" s="8"/>
      <c r="I2571" s="8" t="s">
        <v>1490</v>
      </c>
      <c r="J2571" s="15" t="s">
        <v>1685</v>
      </c>
      <c r="K2571" s="8"/>
      <c r="L2571" s="15" t="s">
        <v>1685</v>
      </c>
      <c r="M2571" s="8" t="s">
        <v>13100</v>
      </c>
      <c r="N2571" s="8"/>
      <c r="O2571" s="8" t="s">
        <v>13101</v>
      </c>
      <c r="P2571" s="11"/>
      <c r="Q2571" s="8" t="s">
        <v>13102</v>
      </c>
      <c r="R2571" s="8" t="s">
        <v>13103</v>
      </c>
      <c r="S2571" s="8" t="s">
        <v>13372</v>
      </c>
    </row>
    <row r="2572" spans="1:19" ht="150" customHeight="1" x14ac:dyDescent="0.25">
      <c r="A2572" s="8" t="s">
        <v>13373</v>
      </c>
      <c r="B2572" s="8" t="s">
        <v>13098</v>
      </c>
      <c r="C2572" s="8" t="s">
        <v>67</v>
      </c>
      <c r="D2572" s="10">
        <v>182</v>
      </c>
      <c r="E2572" s="8" t="s">
        <v>1342</v>
      </c>
      <c r="F2572" s="8"/>
      <c r="G2572" s="8" t="s">
        <v>67</v>
      </c>
      <c r="H2572" s="8"/>
      <c r="I2572" s="8" t="s">
        <v>1343</v>
      </c>
      <c r="J2572" s="15" t="s">
        <v>1685</v>
      </c>
      <c r="K2572" s="8"/>
      <c r="L2572" s="15" t="s">
        <v>1685</v>
      </c>
      <c r="M2572" s="8" t="s">
        <v>13100</v>
      </c>
      <c r="N2572" s="8"/>
      <c r="O2572" s="8" t="s">
        <v>13101</v>
      </c>
      <c r="P2572" s="11"/>
      <c r="Q2572" s="8" t="s">
        <v>13102</v>
      </c>
      <c r="R2572" s="8" t="s">
        <v>13103</v>
      </c>
      <c r="S2572" s="8" t="s">
        <v>13374</v>
      </c>
    </row>
    <row r="2573" spans="1:19" ht="150" customHeight="1" x14ac:dyDescent="0.25">
      <c r="A2573" s="8" t="s">
        <v>13375</v>
      </c>
      <c r="B2573" s="8" t="s">
        <v>13098</v>
      </c>
      <c r="C2573" s="8" t="s">
        <v>67</v>
      </c>
      <c r="D2573" s="10">
        <v>183</v>
      </c>
      <c r="E2573" s="8" t="s">
        <v>1510</v>
      </c>
      <c r="F2573" s="8"/>
      <c r="G2573" s="8" t="s">
        <v>67</v>
      </c>
      <c r="H2573" s="8"/>
      <c r="I2573" s="8" t="s">
        <v>1511</v>
      </c>
      <c r="J2573" s="15" t="s">
        <v>1685</v>
      </c>
      <c r="K2573" s="8"/>
      <c r="L2573" s="15" t="s">
        <v>1685</v>
      </c>
      <c r="M2573" s="8" t="s">
        <v>13100</v>
      </c>
      <c r="N2573" s="8"/>
      <c r="O2573" s="8" t="s">
        <v>13101</v>
      </c>
      <c r="P2573" s="11"/>
      <c r="Q2573" s="8" t="s">
        <v>13102</v>
      </c>
      <c r="R2573" s="8" t="s">
        <v>13103</v>
      </c>
      <c r="S2573" s="8" t="s">
        <v>13376</v>
      </c>
    </row>
    <row r="2574" spans="1:19" ht="150" customHeight="1" x14ac:dyDescent="0.25">
      <c r="A2574" s="8" t="s">
        <v>13377</v>
      </c>
      <c r="B2574" s="8" t="s">
        <v>13098</v>
      </c>
      <c r="C2574" s="8" t="s">
        <v>67</v>
      </c>
      <c r="D2574" s="10">
        <v>184</v>
      </c>
      <c r="E2574" s="8" t="s">
        <v>1564</v>
      </c>
      <c r="F2574" s="8"/>
      <c r="G2574" s="8" t="s">
        <v>67</v>
      </c>
      <c r="H2574" s="8"/>
      <c r="I2574" s="8" t="s">
        <v>1565</v>
      </c>
      <c r="J2574" s="15" t="s">
        <v>1685</v>
      </c>
      <c r="K2574" s="8"/>
      <c r="L2574" s="15" t="s">
        <v>1685</v>
      </c>
      <c r="M2574" s="8" t="s">
        <v>13100</v>
      </c>
      <c r="N2574" s="8"/>
      <c r="O2574" s="8" t="s">
        <v>13101</v>
      </c>
      <c r="P2574" s="11"/>
      <c r="Q2574" s="8" t="s">
        <v>13102</v>
      </c>
      <c r="R2574" s="8" t="s">
        <v>13103</v>
      </c>
      <c r="S2574" s="8" t="s">
        <v>13378</v>
      </c>
    </row>
    <row r="2575" spans="1:19" ht="150" customHeight="1" x14ac:dyDescent="0.25">
      <c r="A2575" s="8" t="s">
        <v>13379</v>
      </c>
      <c r="B2575" s="8" t="s">
        <v>13098</v>
      </c>
      <c r="C2575" s="8" t="s">
        <v>67</v>
      </c>
      <c r="D2575" s="10">
        <v>185</v>
      </c>
      <c r="E2575" s="8" t="s">
        <v>1622</v>
      </c>
      <c r="F2575" s="8"/>
      <c r="G2575" s="8" t="s">
        <v>67</v>
      </c>
      <c r="H2575" s="8"/>
      <c r="I2575" s="8" t="s">
        <v>1623</v>
      </c>
      <c r="J2575" s="15" t="s">
        <v>1685</v>
      </c>
      <c r="K2575" s="8"/>
      <c r="L2575" s="15" t="s">
        <v>1685</v>
      </c>
      <c r="M2575" s="8" t="s">
        <v>13100</v>
      </c>
      <c r="N2575" s="8"/>
      <c r="O2575" s="8" t="s">
        <v>13101</v>
      </c>
      <c r="P2575" s="11"/>
      <c r="Q2575" s="8" t="s">
        <v>13102</v>
      </c>
      <c r="R2575" s="8" t="s">
        <v>13103</v>
      </c>
      <c r="S2575" s="8" t="s">
        <v>13380</v>
      </c>
    </row>
    <row r="2576" spans="1:19" ht="150" customHeight="1" x14ac:dyDescent="0.25">
      <c r="A2576" s="8" t="s">
        <v>13381</v>
      </c>
      <c r="B2576" s="8" t="s">
        <v>13098</v>
      </c>
      <c r="C2576" s="8" t="s">
        <v>67</v>
      </c>
      <c r="D2576" s="10">
        <v>186</v>
      </c>
      <c r="E2576" s="8" t="s">
        <v>1632</v>
      </c>
      <c r="F2576" s="8"/>
      <c r="G2576" s="8" t="s">
        <v>67</v>
      </c>
      <c r="H2576" s="8"/>
      <c r="I2576" s="8" t="s">
        <v>1633</v>
      </c>
      <c r="J2576" s="15" t="s">
        <v>1685</v>
      </c>
      <c r="K2576" s="8"/>
      <c r="L2576" s="15" t="s">
        <v>1685</v>
      </c>
      <c r="M2576" s="8" t="s">
        <v>13100</v>
      </c>
      <c r="N2576" s="8"/>
      <c r="O2576" s="8" t="s">
        <v>13101</v>
      </c>
      <c r="P2576" s="11"/>
      <c r="Q2576" s="8" t="s">
        <v>13102</v>
      </c>
      <c r="R2576" s="8" t="s">
        <v>13103</v>
      </c>
      <c r="S2576" s="8" t="s">
        <v>13382</v>
      </c>
    </row>
    <row r="2577" spans="1:19" ht="150" customHeight="1" x14ac:dyDescent="0.25">
      <c r="A2577" s="8" t="s">
        <v>13383</v>
      </c>
      <c r="B2577" s="8" t="s">
        <v>13098</v>
      </c>
      <c r="C2577" s="8" t="s">
        <v>67</v>
      </c>
      <c r="D2577" s="10">
        <v>187</v>
      </c>
      <c r="E2577" s="8" t="s">
        <v>1505</v>
      </c>
      <c r="F2577" s="8"/>
      <c r="G2577" s="8" t="s">
        <v>67</v>
      </c>
      <c r="H2577" s="8"/>
      <c r="I2577" s="8" t="s">
        <v>1506</v>
      </c>
      <c r="J2577" s="15" t="s">
        <v>1685</v>
      </c>
      <c r="K2577" s="8"/>
      <c r="L2577" s="15" t="s">
        <v>1685</v>
      </c>
      <c r="M2577" s="8" t="s">
        <v>13100</v>
      </c>
      <c r="N2577" s="8"/>
      <c r="O2577" s="8" t="s">
        <v>13101</v>
      </c>
      <c r="P2577" s="11"/>
      <c r="Q2577" s="8" t="s">
        <v>13102</v>
      </c>
      <c r="R2577" s="8" t="s">
        <v>13103</v>
      </c>
      <c r="S2577" s="8" t="s">
        <v>13384</v>
      </c>
    </row>
    <row r="2578" spans="1:19" ht="150" customHeight="1" x14ac:dyDescent="0.25">
      <c r="A2578" s="8" t="s">
        <v>13385</v>
      </c>
      <c r="B2578" s="8" t="s">
        <v>13098</v>
      </c>
      <c r="C2578" s="8" t="s">
        <v>67</v>
      </c>
      <c r="D2578" s="10">
        <v>188</v>
      </c>
      <c r="E2578" s="8" t="s">
        <v>1572</v>
      </c>
      <c r="F2578" s="8"/>
      <c r="G2578" s="8" t="s">
        <v>67</v>
      </c>
      <c r="H2578" s="8"/>
      <c r="I2578" s="8" t="s">
        <v>1573</v>
      </c>
      <c r="J2578" s="15" t="s">
        <v>1685</v>
      </c>
      <c r="K2578" s="8"/>
      <c r="L2578" s="15" t="s">
        <v>1685</v>
      </c>
      <c r="M2578" s="8" t="s">
        <v>13100</v>
      </c>
      <c r="N2578" s="8"/>
      <c r="O2578" s="8" t="s">
        <v>13101</v>
      </c>
      <c r="P2578" s="11"/>
      <c r="Q2578" s="8" t="s">
        <v>13102</v>
      </c>
      <c r="R2578" s="8" t="s">
        <v>13103</v>
      </c>
      <c r="S2578" s="8" t="s">
        <v>13386</v>
      </c>
    </row>
    <row r="2579" spans="1:19" ht="150" customHeight="1" x14ac:dyDescent="0.25">
      <c r="A2579" s="8" t="s">
        <v>13387</v>
      </c>
      <c r="B2579" s="8" t="s">
        <v>13098</v>
      </c>
      <c r="C2579" s="8" t="s">
        <v>67</v>
      </c>
      <c r="D2579" s="10">
        <v>189</v>
      </c>
      <c r="E2579" s="8" t="s">
        <v>1282</v>
      </c>
      <c r="F2579" s="8"/>
      <c r="G2579" s="8" t="s">
        <v>67</v>
      </c>
      <c r="H2579" s="8"/>
      <c r="I2579" s="8" t="s">
        <v>1283</v>
      </c>
      <c r="J2579" s="15" t="s">
        <v>1685</v>
      </c>
      <c r="K2579" s="8"/>
      <c r="L2579" s="15" t="s">
        <v>1685</v>
      </c>
      <c r="M2579" s="8" t="s">
        <v>13100</v>
      </c>
      <c r="N2579" s="8"/>
      <c r="O2579" s="8" t="s">
        <v>13101</v>
      </c>
      <c r="P2579" s="11"/>
      <c r="Q2579" s="8" t="s">
        <v>13102</v>
      </c>
      <c r="R2579" s="8" t="s">
        <v>13103</v>
      </c>
      <c r="S2579" s="8" t="s">
        <v>13388</v>
      </c>
    </row>
    <row r="2580" spans="1:19" ht="150" customHeight="1" x14ac:dyDescent="0.25">
      <c r="A2580" s="8" t="s">
        <v>13389</v>
      </c>
      <c r="B2580" s="8" t="s">
        <v>13098</v>
      </c>
      <c r="C2580" s="8" t="s">
        <v>67</v>
      </c>
      <c r="D2580" s="10">
        <v>190</v>
      </c>
      <c r="E2580" s="8" t="s">
        <v>1307</v>
      </c>
      <c r="F2580" s="8"/>
      <c r="G2580" s="8" t="s">
        <v>67</v>
      </c>
      <c r="H2580" s="8"/>
      <c r="I2580" s="8" t="s">
        <v>1308</v>
      </c>
      <c r="J2580" s="15" t="s">
        <v>1685</v>
      </c>
      <c r="K2580" s="8"/>
      <c r="L2580" s="15" t="s">
        <v>1685</v>
      </c>
      <c r="M2580" s="8" t="s">
        <v>13100</v>
      </c>
      <c r="N2580" s="8"/>
      <c r="O2580" s="8" t="s">
        <v>13101</v>
      </c>
      <c r="P2580" s="11"/>
      <c r="Q2580" s="8" t="s">
        <v>13102</v>
      </c>
      <c r="R2580" s="8" t="s">
        <v>13103</v>
      </c>
      <c r="S2580" s="8" t="s">
        <v>13390</v>
      </c>
    </row>
    <row r="2581" spans="1:19" ht="150" customHeight="1" x14ac:dyDescent="0.25">
      <c r="A2581" s="8" t="s">
        <v>13391</v>
      </c>
      <c r="B2581" s="8" t="s">
        <v>13098</v>
      </c>
      <c r="C2581" s="8" t="s">
        <v>67</v>
      </c>
      <c r="D2581" s="10">
        <v>191</v>
      </c>
      <c r="E2581" s="8" t="s">
        <v>1497</v>
      </c>
      <c r="F2581" s="8"/>
      <c r="G2581" s="8" t="s">
        <v>67</v>
      </c>
      <c r="H2581" s="8"/>
      <c r="I2581" s="8" t="s">
        <v>1498</v>
      </c>
      <c r="J2581" s="15" t="s">
        <v>1685</v>
      </c>
      <c r="K2581" s="8"/>
      <c r="L2581" s="15" t="s">
        <v>1685</v>
      </c>
      <c r="M2581" s="8" t="s">
        <v>13100</v>
      </c>
      <c r="N2581" s="8"/>
      <c r="O2581" s="8" t="s">
        <v>13101</v>
      </c>
      <c r="P2581" s="11"/>
      <c r="Q2581" s="8" t="s">
        <v>13102</v>
      </c>
      <c r="R2581" s="8" t="s">
        <v>13103</v>
      </c>
      <c r="S2581" s="8" t="s">
        <v>13392</v>
      </c>
    </row>
    <row r="2582" spans="1:19" ht="150" customHeight="1" x14ac:dyDescent="0.25">
      <c r="A2582" s="8" t="s">
        <v>13393</v>
      </c>
      <c r="B2582" s="8" t="s">
        <v>13098</v>
      </c>
      <c r="C2582" s="8" t="s">
        <v>67</v>
      </c>
      <c r="D2582" s="10">
        <v>192</v>
      </c>
      <c r="E2582" s="8" t="s">
        <v>1395</v>
      </c>
      <c r="F2582" s="8"/>
      <c r="G2582" s="8" t="s">
        <v>67</v>
      </c>
      <c r="H2582" s="8"/>
      <c r="I2582" s="8" t="s">
        <v>1396</v>
      </c>
      <c r="J2582" s="15" t="s">
        <v>1685</v>
      </c>
      <c r="K2582" s="8"/>
      <c r="L2582" s="15" t="s">
        <v>1685</v>
      </c>
      <c r="M2582" s="8" t="s">
        <v>13100</v>
      </c>
      <c r="N2582" s="8"/>
      <c r="O2582" s="8" t="s">
        <v>13101</v>
      </c>
      <c r="P2582" s="11"/>
      <c r="Q2582" s="8" t="s">
        <v>13102</v>
      </c>
      <c r="R2582" s="8" t="s">
        <v>13103</v>
      </c>
      <c r="S2582" s="8" t="s">
        <v>13394</v>
      </c>
    </row>
    <row r="2583" spans="1:19" ht="150" customHeight="1" x14ac:dyDescent="0.25">
      <c r="A2583" s="8" t="s">
        <v>13395</v>
      </c>
      <c r="B2583" s="8" t="s">
        <v>13098</v>
      </c>
      <c r="C2583" s="8" t="s">
        <v>67</v>
      </c>
      <c r="D2583" s="10">
        <v>193</v>
      </c>
      <c r="E2583" s="8" t="s">
        <v>1010</v>
      </c>
      <c r="F2583" s="8"/>
      <c r="G2583" s="8" t="s">
        <v>67</v>
      </c>
      <c r="H2583" s="8"/>
      <c r="I2583" s="8" t="s">
        <v>1011</v>
      </c>
      <c r="J2583" s="15" t="s">
        <v>1685</v>
      </c>
      <c r="K2583" s="8"/>
      <c r="L2583" s="15" t="s">
        <v>1685</v>
      </c>
      <c r="M2583" s="8" t="s">
        <v>13100</v>
      </c>
      <c r="N2583" s="8"/>
      <c r="O2583" s="8" t="s">
        <v>13101</v>
      </c>
      <c r="P2583" s="11"/>
      <c r="Q2583" s="8" t="s">
        <v>13102</v>
      </c>
      <c r="R2583" s="8" t="s">
        <v>13103</v>
      </c>
      <c r="S2583" s="8" t="s">
        <v>13396</v>
      </c>
    </row>
    <row r="2584" spans="1:19" ht="150" customHeight="1" x14ac:dyDescent="0.25">
      <c r="A2584" s="8" t="s">
        <v>13397</v>
      </c>
      <c r="B2584" s="8" t="s">
        <v>13098</v>
      </c>
      <c r="C2584" s="8" t="s">
        <v>67</v>
      </c>
      <c r="D2584" s="10">
        <v>194</v>
      </c>
      <c r="E2584" s="8" t="s">
        <v>1602</v>
      </c>
      <c r="F2584" s="8"/>
      <c r="G2584" s="8" t="s">
        <v>67</v>
      </c>
      <c r="H2584" s="8"/>
      <c r="I2584" s="8" t="s">
        <v>1603</v>
      </c>
      <c r="J2584" s="15" t="s">
        <v>1685</v>
      </c>
      <c r="K2584" s="8"/>
      <c r="L2584" s="15" t="s">
        <v>1685</v>
      </c>
      <c r="M2584" s="8" t="s">
        <v>13100</v>
      </c>
      <c r="N2584" s="8"/>
      <c r="O2584" s="8" t="s">
        <v>13101</v>
      </c>
      <c r="P2584" s="11"/>
      <c r="Q2584" s="8" t="s">
        <v>13102</v>
      </c>
      <c r="R2584" s="8" t="s">
        <v>13103</v>
      </c>
      <c r="S2584" s="8" t="s">
        <v>13398</v>
      </c>
    </row>
    <row r="2585" spans="1:19" ht="150" customHeight="1" x14ac:dyDescent="0.25">
      <c r="A2585" s="8" t="s">
        <v>13399</v>
      </c>
      <c r="B2585" s="8" t="s">
        <v>13098</v>
      </c>
      <c r="C2585" s="8" t="s">
        <v>67</v>
      </c>
      <c r="D2585" s="10">
        <v>195</v>
      </c>
      <c r="E2585" s="8" t="s">
        <v>1547</v>
      </c>
      <c r="F2585" s="8"/>
      <c r="G2585" s="8" t="s">
        <v>67</v>
      </c>
      <c r="H2585" s="8"/>
      <c r="I2585" s="8" t="s">
        <v>1548</v>
      </c>
      <c r="J2585" s="15" t="s">
        <v>1685</v>
      </c>
      <c r="K2585" s="8"/>
      <c r="L2585" s="15" t="s">
        <v>1685</v>
      </c>
      <c r="M2585" s="8" t="s">
        <v>13100</v>
      </c>
      <c r="N2585" s="8"/>
      <c r="O2585" s="8" t="s">
        <v>13101</v>
      </c>
      <c r="P2585" s="11"/>
      <c r="Q2585" s="8" t="s">
        <v>13102</v>
      </c>
      <c r="R2585" s="8" t="s">
        <v>13103</v>
      </c>
      <c r="S2585" s="8" t="s">
        <v>13400</v>
      </c>
    </row>
    <row r="2586" spans="1:19" ht="150" customHeight="1" x14ac:dyDescent="0.25">
      <c r="A2586" s="8" t="s">
        <v>13401</v>
      </c>
      <c r="B2586" s="8" t="s">
        <v>13098</v>
      </c>
      <c r="C2586" s="8" t="s">
        <v>67</v>
      </c>
      <c r="D2586" s="10">
        <v>196</v>
      </c>
      <c r="E2586" s="8" t="s">
        <v>1560</v>
      </c>
      <c r="F2586" s="8"/>
      <c r="G2586" s="8" t="s">
        <v>67</v>
      </c>
      <c r="H2586" s="8"/>
      <c r="I2586" s="8" t="s">
        <v>1561</v>
      </c>
      <c r="J2586" s="15" t="s">
        <v>1685</v>
      </c>
      <c r="K2586" s="8"/>
      <c r="L2586" s="15" t="s">
        <v>1685</v>
      </c>
      <c r="M2586" s="8" t="s">
        <v>13100</v>
      </c>
      <c r="N2586" s="8"/>
      <c r="O2586" s="8" t="s">
        <v>13101</v>
      </c>
      <c r="P2586" s="11"/>
      <c r="Q2586" s="8" t="s">
        <v>13102</v>
      </c>
      <c r="R2586" s="8" t="s">
        <v>13103</v>
      </c>
      <c r="S2586" s="8" t="s">
        <v>13402</v>
      </c>
    </row>
    <row r="2587" spans="1:19" ht="150" customHeight="1" x14ac:dyDescent="0.25">
      <c r="A2587" s="8" t="s">
        <v>13403</v>
      </c>
      <c r="B2587" s="8" t="s">
        <v>13098</v>
      </c>
      <c r="C2587" s="8" t="s">
        <v>67</v>
      </c>
      <c r="D2587" s="10">
        <v>197</v>
      </c>
      <c r="E2587" s="8" t="s">
        <v>1443</v>
      </c>
      <c r="F2587" s="8"/>
      <c r="G2587" s="8" t="s">
        <v>67</v>
      </c>
      <c r="H2587" s="8"/>
      <c r="I2587" s="8" t="s">
        <v>1444</v>
      </c>
      <c r="J2587" s="15" t="s">
        <v>1685</v>
      </c>
      <c r="K2587" s="8"/>
      <c r="L2587" s="15" t="s">
        <v>1685</v>
      </c>
      <c r="M2587" s="8" t="s">
        <v>13100</v>
      </c>
      <c r="N2587" s="8"/>
      <c r="O2587" s="8" t="s">
        <v>13101</v>
      </c>
      <c r="P2587" s="11"/>
      <c r="Q2587" s="8" t="s">
        <v>13102</v>
      </c>
      <c r="R2587" s="8" t="s">
        <v>13103</v>
      </c>
      <c r="S2587" s="8" t="s">
        <v>13404</v>
      </c>
    </row>
    <row r="2588" spans="1:19" ht="150" customHeight="1" x14ac:dyDescent="0.25">
      <c r="A2588" s="8" t="s">
        <v>13405</v>
      </c>
      <c r="B2588" s="8" t="s">
        <v>13098</v>
      </c>
      <c r="C2588" s="8" t="s">
        <v>67</v>
      </c>
      <c r="D2588" s="10">
        <v>198</v>
      </c>
      <c r="E2588" s="8" t="s">
        <v>1434</v>
      </c>
      <c r="F2588" s="8"/>
      <c r="G2588" s="8" t="s">
        <v>67</v>
      </c>
      <c r="H2588" s="8"/>
      <c r="I2588" s="8" t="s">
        <v>1435</v>
      </c>
      <c r="J2588" s="15" t="s">
        <v>1685</v>
      </c>
      <c r="K2588" s="8"/>
      <c r="L2588" s="15" t="s">
        <v>1685</v>
      </c>
      <c r="M2588" s="8" t="s">
        <v>13100</v>
      </c>
      <c r="N2588" s="8"/>
      <c r="O2588" s="8" t="s">
        <v>13101</v>
      </c>
      <c r="P2588" s="11"/>
      <c r="Q2588" s="8" t="s">
        <v>13102</v>
      </c>
      <c r="R2588" s="8" t="s">
        <v>13103</v>
      </c>
      <c r="S2588" s="8" t="s">
        <v>13406</v>
      </c>
    </row>
    <row r="2589" spans="1:19" ht="150" customHeight="1" x14ac:dyDescent="0.25">
      <c r="A2589" s="8" t="s">
        <v>13407</v>
      </c>
      <c r="B2589" s="8" t="s">
        <v>13098</v>
      </c>
      <c r="C2589" s="8" t="s">
        <v>67</v>
      </c>
      <c r="D2589" s="10">
        <v>199</v>
      </c>
      <c r="E2589" s="8" t="s">
        <v>1347</v>
      </c>
      <c r="F2589" s="8"/>
      <c r="G2589" s="8" t="s">
        <v>67</v>
      </c>
      <c r="H2589" s="8"/>
      <c r="I2589" s="8" t="s">
        <v>1348</v>
      </c>
      <c r="J2589" s="15" t="s">
        <v>1685</v>
      </c>
      <c r="K2589" s="8"/>
      <c r="L2589" s="15" t="s">
        <v>1685</v>
      </c>
      <c r="M2589" s="8" t="s">
        <v>13100</v>
      </c>
      <c r="N2589" s="8"/>
      <c r="O2589" s="8" t="s">
        <v>13101</v>
      </c>
      <c r="P2589" s="11"/>
      <c r="Q2589" s="8" t="s">
        <v>13102</v>
      </c>
      <c r="R2589" s="8" t="s">
        <v>13103</v>
      </c>
      <c r="S2589" s="8" t="s">
        <v>13408</v>
      </c>
    </row>
    <row r="2590" spans="1:19" ht="150" customHeight="1" x14ac:dyDescent="0.25">
      <c r="A2590" s="8" t="s">
        <v>13409</v>
      </c>
      <c r="B2590" s="8" t="s">
        <v>13098</v>
      </c>
      <c r="C2590" s="8" t="s">
        <v>67</v>
      </c>
      <c r="D2590" s="10">
        <v>200</v>
      </c>
      <c r="E2590" s="8" t="s">
        <v>1361</v>
      </c>
      <c r="F2590" s="8"/>
      <c r="G2590" s="8" t="s">
        <v>67</v>
      </c>
      <c r="H2590" s="8"/>
      <c r="I2590" s="8" t="s">
        <v>1362</v>
      </c>
      <c r="J2590" s="15" t="s">
        <v>1685</v>
      </c>
      <c r="K2590" s="8"/>
      <c r="L2590" s="15" t="s">
        <v>1685</v>
      </c>
      <c r="M2590" s="8" t="s">
        <v>13100</v>
      </c>
      <c r="N2590" s="8"/>
      <c r="O2590" s="8" t="s">
        <v>13101</v>
      </c>
      <c r="P2590" s="11"/>
      <c r="Q2590" s="8" t="s">
        <v>13102</v>
      </c>
      <c r="R2590" s="8" t="s">
        <v>13103</v>
      </c>
      <c r="S2590" s="8" t="s">
        <v>13410</v>
      </c>
    </row>
    <row r="2591" spans="1:19" ht="150" customHeight="1" x14ac:dyDescent="0.25">
      <c r="A2591" s="8" t="s">
        <v>13411</v>
      </c>
      <c r="B2591" s="8" t="s">
        <v>13098</v>
      </c>
      <c r="C2591" s="8" t="s">
        <v>67</v>
      </c>
      <c r="D2591" s="10">
        <v>201</v>
      </c>
      <c r="E2591" s="8" t="s">
        <v>1552</v>
      </c>
      <c r="F2591" s="8"/>
      <c r="G2591" s="8" t="s">
        <v>67</v>
      </c>
      <c r="H2591" s="8"/>
      <c r="I2591" s="8" t="s">
        <v>1553</v>
      </c>
      <c r="J2591" s="15" t="s">
        <v>1685</v>
      </c>
      <c r="K2591" s="8"/>
      <c r="L2591" s="15" t="s">
        <v>1685</v>
      </c>
      <c r="M2591" s="8" t="s">
        <v>13100</v>
      </c>
      <c r="N2591" s="8"/>
      <c r="O2591" s="8" t="s">
        <v>13101</v>
      </c>
      <c r="P2591" s="11"/>
      <c r="Q2591" s="8" t="s">
        <v>13102</v>
      </c>
      <c r="R2591" s="8" t="s">
        <v>13103</v>
      </c>
      <c r="S2591" s="8" t="s">
        <v>13412</v>
      </c>
    </row>
    <row r="2592" spans="1:19" ht="150" customHeight="1" x14ac:dyDescent="0.25">
      <c r="A2592" s="8" t="s">
        <v>13413</v>
      </c>
      <c r="B2592" s="8" t="s">
        <v>13098</v>
      </c>
      <c r="C2592" s="8" t="s">
        <v>67</v>
      </c>
      <c r="D2592" s="10">
        <v>202</v>
      </c>
      <c r="E2592" s="8" t="s">
        <v>1522</v>
      </c>
      <c r="F2592" s="8"/>
      <c r="G2592" s="8" t="s">
        <v>67</v>
      </c>
      <c r="H2592" s="8"/>
      <c r="I2592" s="8" t="s">
        <v>1523</v>
      </c>
      <c r="J2592" s="15" t="s">
        <v>1685</v>
      </c>
      <c r="K2592" s="8"/>
      <c r="L2592" s="15" t="s">
        <v>1685</v>
      </c>
      <c r="M2592" s="8" t="s">
        <v>13100</v>
      </c>
      <c r="N2592" s="8"/>
      <c r="O2592" s="8" t="s">
        <v>13101</v>
      </c>
      <c r="P2592" s="11"/>
      <c r="Q2592" s="8" t="s">
        <v>13102</v>
      </c>
      <c r="R2592" s="8" t="s">
        <v>13103</v>
      </c>
      <c r="S2592" s="8" t="s">
        <v>13414</v>
      </c>
    </row>
    <row r="2593" spans="1:19" ht="150" customHeight="1" x14ac:dyDescent="0.25">
      <c r="A2593" s="8" t="s">
        <v>13415</v>
      </c>
      <c r="B2593" s="8" t="s">
        <v>13098</v>
      </c>
      <c r="C2593" s="8" t="s">
        <v>67</v>
      </c>
      <c r="D2593" s="10">
        <v>203</v>
      </c>
      <c r="E2593" s="8" t="s">
        <v>1403</v>
      </c>
      <c r="F2593" s="8"/>
      <c r="G2593" s="8" t="s">
        <v>67</v>
      </c>
      <c r="H2593" s="8"/>
      <c r="I2593" s="8" t="s">
        <v>1404</v>
      </c>
      <c r="J2593" s="15" t="s">
        <v>1685</v>
      </c>
      <c r="K2593" s="8"/>
      <c r="L2593" s="15" t="s">
        <v>1685</v>
      </c>
      <c r="M2593" s="8" t="s">
        <v>13100</v>
      </c>
      <c r="N2593" s="8"/>
      <c r="O2593" s="8" t="s">
        <v>13101</v>
      </c>
      <c r="P2593" s="11"/>
      <c r="Q2593" s="8" t="s">
        <v>13102</v>
      </c>
      <c r="R2593" s="8" t="s">
        <v>13103</v>
      </c>
      <c r="S2593" s="8" t="s">
        <v>13416</v>
      </c>
    </row>
    <row r="2594" spans="1:19" ht="150" customHeight="1" x14ac:dyDescent="0.25">
      <c r="A2594" s="8" t="s">
        <v>13417</v>
      </c>
      <c r="B2594" s="8" t="s">
        <v>13098</v>
      </c>
      <c r="C2594" s="8" t="s">
        <v>67</v>
      </c>
      <c r="D2594" s="10">
        <v>204</v>
      </c>
      <c r="E2594" s="8" t="s">
        <v>1597</v>
      </c>
      <c r="F2594" s="8"/>
      <c r="G2594" s="8" t="s">
        <v>67</v>
      </c>
      <c r="H2594" s="8"/>
      <c r="I2594" s="8" t="s">
        <v>1598</v>
      </c>
      <c r="J2594" s="15" t="s">
        <v>1685</v>
      </c>
      <c r="K2594" s="8"/>
      <c r="L2594" s="15" t="s">
        <v>1685</v>
      </c>
      <c r="M2594" s="8" t="s">
        <v>13100</v>
      </c>
      <c r="N2594" s="8"/>
      <c r="O2594" s="8" t="s">
        <v>13101</v>
      </c>
      <c r="P2594" s="11"/>
      <c r="Q2594" s="8" t="s">
        <v>13102</v>
      </c>
      <c r="R2594" s="8" t="s">
        <v>13103</v>
      </c>
      <c r="S2594" s="8" t="s">
        <v>13418</v>
      </c>
    </row>
    <row r="2595" spans="1:19" ht="150" customHeight="1" x14ac:dyDescent="0.25">
      <c r="A2595" s="8" t="s">
        <v>13419</v>
      </c>
      <c r="B2595" s="8" t="s">
        <v>13098</v>
      </c>
      <c r="C2595" s="8" t="s">
        <v>67</v>
      </c>
      <c r="D2595" s="10">
        <v>205</v>
      </c>
      <c r="E2595" s="8" t="s">
        <v>1438</v>
      </c>
      <c r="F2595" s="8"/>
      <c r="G2595" s="8" t="s">
        <v>67</v>
      </c>
      <c r="H2595" s="8"/>
      <c r="I2595" s="8" t="s">
        <v>1439</v>
      </c>
      <c r="J2595" s="15" t="s">
        <v>1685</v>
      </c>
      <c r="K2595" s="8"/>
      <c r="L2595" s="15" t="s">
        <v>1685</v>
      </c>
      <c r="M2595" s="8" t="s">
        <v>13100</v>
      </c>
      <c r="N2595" s="8"/>
      <c r="O2595" s="8" t="s">
        <v>13101</v>
      </c>
      <c r="P2595" s="11"/>
      <c r="Q2595" s="8" t="s">
        <v>13102</v>
      </c>
      <c r="R2595" s="8" t="s">
        <v>13103</v>
      </c>
      <c r="S2595" s="8" t="s">
        <v>13420</v>
      </c>
    </row>
    <row r="2596" spans="1:19" ht="150" customHeight="1" x14ac:dyDescent="0.25">
      <c r="A2596" s="8" t="s">
        <v>13421</v>
      </c>
      <c r="B2596" s="8" t="s">
        <v>13098</v>
      </c>
      <c r="C2596" s="8" t="s">
        <v>67</v>
      </c>
      <c r="D2596" s="10">
        <v>206</v>
      </c>
      <c r="E2596" s="8" t="s">
        <v>1649</v>
      </c>
      <c r="F2596" s="8"/>
      <c r="G2596" s="8" t="s">
        <v>67</v>
      </c>
      <c r="H2596" s="8"/>
      <c r="I2596" s="8" t="s">
        <v>1650</v>
      </c>
      <c r="J2596" s="15" t="s">
        <v>1685</v>
      </c>
      <c r="K2596" s="8"/>
      <c r="L2596" s="15" t="s">
        <v>1685</v>
      </c>
      <c r="M2596" s="8" t="s">
        <v>13100</v>
      </c>
      <c r="N2596" s="8"/>
      <c r="O2596" s="8" t="s">
        <v>13101</v>
      </c>
      <c r="P2596" s="11"/>
      <c r="Q2596" s="8" t="s">
        <v>13102</v>
      </c>
      <c r="R2596" s="8" t="s">
        <v>13103</v>
      </c>
      <c r="S2596" s="8" t="s">
        <v>13422</v>
      </c>
    </row>
    <row r="2597" spans="1:19" ht="150" customHeight="1" x14ac:dyDescent="0.25">
      <c r="A2597" s="8" t="s">
        <v>13423</v>
      </c>
      <c r="B2597" s="8" t="s">
        <v>13098</v>
      </c>
      <c r="C2597" s="8" t="s">
        <v>67</v>
      </c>
      <c r="D2597" s="10">
        <v>207</v>
      </c>
      <c r="E2597" s="8" t="s">
        <v>1593</v>
      </c>
      <c r="F2597" s="8"/>
      <c r="G2597" s="8" t="s">
        <v>67</v>
      </c>
      <c r="H2597" s="8"/>
      <c r="I2597" s="8" t="s">
        <v>1594</v>
      </c>
      <c r="J2597" s="15" t="s">
        <v>1685</v>
      </c>
      <c r="K2597" s="8"/>
      <c r="L2597" s="15" t="s">
        <v>1685</v>
      </c>
      <c r="M2597" s="8" t="s">
        <v>13100</v>
      </c>
      <c r="N2597" s="8"/>
      <c r="O2597" s="8" t="s">
        <v>13101</v>
      </c>
      <c r="P2597" s="11"/>
      <c r="Q2597" s="8" t="s">
        <v>13102</v>
      </c>
      <c r="R2597" s="8" t="s">
        <v>13103</v>
      </c>
      <c r="S2597" s="8" t="s">
        <v>13424</v>
      </c>
    </row>
    <row r="2598" spans="1:19" ht="150" customHeight="1" x14ac:dyDescent="0.25">
      <c r="A2598" s="8" t="s">
        <v>13425</v>
      </c>
      <c r="B2598" s="8" t="s">
        <v>13098</v>
      </c>
      <c r="C2598" s="8" t="s">
        <v>67</v>
      </c>
      <c r="D2598" s="10">
        <v>208</v>
      </c>
      <c r="E2598" s="8" t="s">
        <v>1477</v>
      </c>
      <c r="F2598" s="8"/>
      <c r="G2598" s="8" t="s">
        <v>67</v>
      </c>
      <c r="H2598" s="8"/>
      <c r="I2598" s="8" t="s">
        <v>1478</v>
      </c>
      <c r="J2598" s="15" t="s">
        <v>1685</v>
      </c>
      <c r="K2598" s="8"/>
      <c r="L2598" s="15" t="s">
        <v>1685</v>
      </c>
      <c r="M2598" s="8" t="s">
        <v>13100</v>
      </c>
      <c r="N2598" s="8"/>
      <c r="O2598" s="8" t="s">
        <v>13101</v>
      </c>
      <c r="P2598" s="11"/>
      <c r="Q2598" s="8" t="s">
        <v>13102</v>
      </c>
      <c r="R2598" s="8" t="s">
        <v>13103</v>
      </c>
      <c r="S2598" s="8" t="s">
        <v>13426</v>
      </c>
    </row>
    <row r="2599" spans="1:19" ht="150" customHeight="1" x14ac:dyDescent="0.25">
      <c r="A2599" s="8" t="s">
        <v>13427</v>
      </c>
      <c r="B2599" s="8" t="s">
        <v>13098</v>
      </c>
      <c r="C2599" s="8" t="s">
        <v>67</v>
      </c>
      <c r="D2599" s="10">
        <v>209</v>
      </c>
      <c r="E2599" s="8" t="s">
        <v>1606</v>
      </c>
      <c r="F2599" s="8"/>
      <c r="G2599" s="8" t="s">
        <v>67</v>
      </c>
      <c r="H2599" s="8"/>
      <c r="I2599" s="8" t="s">
        <v>1607</v>
      </c>
      <c r="J2599" s="15" t="s">
        <v>1685</v>
      </c>
      <c r="K2599" s="8"/>
      <c r="L2599" s="15" t="s">
        <v>1685</v>
      </c>
      <c r="M2599" s="8" t="s">
        <v>13100</v>
      </c>
      <c r="N2599" s="8"/>
      <c r="O2599" s="8" t="s">
        <v>13101</v>
      </c>
      <c r="P2599" s="11"/>
      <c r="Q2599" s="8" t="s">
        <v>13102</v>
      </c>
      <c r="R2599" s="8" t="s">
        <v>13103</v>
      </c>
      <c r="S2599" s="8" t="s">
        <v>13428</v>
      </c>
    </row>
    <row r="2600" spans="1:19" ht="150" customHeight="1" x14ac:dyDescent="0.25">
      <c r="A2600" s="8" t="s">
        <v>13429</v>
      </c>
      <c r="B2600" s="8" t="s">
        <v>13098</v>
      </c>
      <c r="C2600" s="8" t="s">
        <v>67</v>
      </c>
      <c r="D2600" s="10">
        <v>210</v>
      </c>
      <c r="E2600" s="8" t="s">
        <v>1295</v>
      </c>
      <c r="F2600" s="8"/>
      <c r="G2600" s="8" t="s">
        <v>67</v>
      </c>
      <c r="H2600" s="8"/>
      <c r="I2600" s="8" t="s">
        <v>1296</v>
      </c>
      <c r="J2600" s="15" t="s">
        <v>1685</v>
      </c>
      <c r="K2600" s="8"/>
      <c r="L2600" s="15" t="s">
        <v>1685</v>
      </c>
      <c r="M2600" s="8" t="s">
        <v>13100</v>
      </c>
      <c r="N2600" s="8"/>
      <c r="O2600" s="8" t="s">
        <v>13101</v>
      </c>
      <c r="P2600" s="11"/>
      <c r="Q2600" s="8" t="s">
        <v>13102</v>
      </c>
      <c r="R2600" s="8" t="s">
        <v>13103</v>
      </c>
      <c r="S2600" s="8" t="s">
        <v>13430</v>
      </c>
    </row>
    <row r="2601" spans="1:19" ht="150" customHeight="1" x14ac:dyDescent="0.25">
      <c r="A2601" s="8" t="s">
        <v>13431</v>
      </c>
      <c r="B2601" s="8" t="s">
        <v>13098</v>
      </c>
      <c r="C2601" s="8" t="s">
        <v>67</v>
      </c>
      <c r="D2601" s="10">
        <v>211</v>
      </c>
      <c r="E2601" s="8" t="s">
        <v>1421</v>
      </c>
      <c r="F2601" s="8"/>
      <c r="G2601" s="8" t="s">
        <v>67</v>
      </c>
      <c r="H2601" s="8"/>
      <c r="I2601" s="8" t="s">
        <v>1422</v>
      </c>
      <c r="J2601" s="15" t="s">
        <v>1685</v>
      </c>
      <c r="K2601" s="8"/>
      <c r="L2601" s="15" t="s">
        <v>1685</v>
      </c>
      <c r="M2601" s="8" t="s">
        <v>13100</v>
      </c>
      <c r="N2601" s="8"/>
      <c r="O2601" s="8" t="s">
        <v>13101</v>
      </c>
      <c r="P2601" s="11"/>
      <c r="Q2601" s="8" t="s">
        <v>13102</v>
      </c>
      <c r="R2601" s="8" t="s">
        <v>13103</v>
      </c>
      <c r="S2601" s="8" t="s">
        <v>13432</v>
      </c>
    </row>
    <row r="2602" spans="1:19" ht="150" customHeight="1" x14ac:dyDescent="0.25">
      <c r="A2602" s="8" t="s">
        <v>13433</v>
      </c>
      <c r="B2602" s="8" t="s">
        <v>13098</v>
      </c>
      <c r="C2602" s="8" t="s">
        <v>67</v>
      </c>
      <c r="D2602" s="10">
        <v>212</v>
      </c>
      <c r="E2602" s="8" t="s">
        <v>1657</v>
      </c>
      <c r="F2602" s="8"/>
      <c r="G2602" s="8" t="s">
        <v>67</v>
      </c>
      <c r="H2602" s="8"/>
      <c r="I2602" s="8" t="s">
        <v>1658</v>
      </c>
      <c r="J2602" s="15" t="s">
        <v>1685</v>
      </c>
      <c r="K2602" s="8"/>
      <c r="L2602" s="15" t="s">
        <v>1685</v>
      </c>
      <c r="M2602" s="8" t="s">
        <v>13100</v>
      </c>
      <c r="N2602" s="8"/>
      <c r="O2602" s="8" t="s">
        <v>13101</v>
      </c>
      <c r="P2602" s="11"/>
      <c r="Q2602" s="8" t="s">
        <v>13102</v>
      </c>
      <c r="R2602" s="8" t="s">
        <v>13103</v>
      </c>
      <c r="S2602" s="8" t="s">
        <v>13434</v>
      </c>
    </row>
    <row r="2603" spans="1:19" ht="150" customHeight="1" x14ac:dyDescent="0.25">
      <c r="A2603" s="8" t="s">
        <v>13435</v>
      </c>
      <c r="B2603" s="8" t="s">
        <v>13098</v>
      </c>
      <c r="C2603" s="8" t="s">
        <v>67</v>
      </c>
      <c r="D2603" s="10">
        <v>213</v>
      </c>
      <c r="E2603" s="8" t="s">
        <v>1452</v>
      </c>
      <c r="F2603" s="8"/>
      <c r="G2603" s="8" t="s">
        <v>67</v>
      </c>
      <c r="H2603" s="8"/>
      <c r="I2603" s="8" t="s">
        <v>1453</v>
      </c>
      <c r="J2603" s="15" t="s">
        <v>1685</v>
      </c>
      <c r="K2603" s="8"/>
      <c r="L2603" s="15" t="s">
        <v>1685</v>
      </c>
      <c r="M2603" s="8" t="s">
        <v>13100</v>
      </c>
      <c r="N2603" s="8"/>
      <c r="O2603" s="8" t="s">
        <v>13101</v>
      </c>
      <c r="P2603" s="11"/>
      <c r="Q2603" s="8" t="s">
        <v>13102</v>
      </c>
      <c r="R2603" s="8" t="s">
        <v>13103</v>
      </c>
      <c r="S2603" s="8" t="s">
        <v>13436</v>
      </c>
    </row>
    <row r="2604" spans="1:19" ht="150" customHeight="1" x14ac:dyDescent="0.25">
      <c r="A2604" s="8" t="s">
        <v>13437</v>
      </c>
      <c r="B2604" s="8" t="s">
        <v>13098</v>
      </c>
      <c r="C2604" s="8" t="s">
        <v>67</v>
      </c>
      <c r="D2604" s="10">
        <v>214</v>
      </c>
      <c r="E2604" s="8" t="s">
        <v>1637</v>
      </c>
      <c r="F2604" s="8"/>
      <c r="G2604" s="8" t="s">
        <v>67</v>
      </c>
      <c r="H2604" s="8"/>
      <c r="I2604" s="8" t="s">
        <v>1638</v>
      </c>
      <c r="J2604" s="15" t="s">
        <v>1685</v>
      </c>
      <c r="K2604" s="8"/>
      <c r="L2604" s="15" t="s">
        <v>1685</v>
      </c>
      <c r="M2604" s="8" t="s">
        <v>13100</v>
      </c>
      <c r="N2604" s="8"/>
      <c r="O2604" s="8" t="s">
        <v>13101</v>
      </c>
      <c r="P2604" s="11"/>
      <c r="Q2604" s="8" t="s">
        <v>13102</v>
      </c>
      <c r="R2604" s="8" t="s">
        <v>13103</v>
      </c>
      <c r="S2604" s="8" t="s">
        <v>13438</v>
      </c>
    </row>
    <row r="2605" spans="1:19" ht="150" customHeight="1" x14ac:dyDescent="0.25">
      <c r="A2605" s="8" t="s">
        <v>13439</v>
      </c>
      <c r="B2605" s="8" t="s">
        <v>13098</v>
      </c>
      <c r="C2605" s="8" t="s">
        <v>67</v>
      </c>
      <c r="D2605" s="10">
        <v>215</v>
      </c>
      <c r="E2605" s="8" t="s">
        <v>1645</v>
      </c>
      <c r="F2605" s="8"/>
      <c r="G2605" s="8" t="s">
        <v>67</v>
      </c>
      <c r="H2605" s="8"/>
      <c r="I2605" s="8" t="s">
        <v>1646</v>
      </c>
      <c r="J2605" s="15" t="s">
        <v>1685</v>
      </c>
      <c r="K2605" s="8"/>
      <c r="L2605" s="15" t="s">
        <v>1685</v>
      </c>
      <c r="M2605" s="8" t="s">
        <v>13100</v>
      </c>
      <c r="N2605" s="8"/>
      <c r="O2605" s="8" t="s">
        <v>13101</v>
      </c>
      <c r="P2605" s="11"/>
      <c r="Q2605" s="8" t="s">
        <v>13102</v>
      </c>
      <c r="R2605" s="8" t="s">
        <v>13103</v>
      </c>
      <c r="S2605" s="8" t="s">
        <v>13440</v>
      </c>
    </row>
    <row r="2606" spans="1:19" ht="150" customHeight="1" x14ac:dyDescent="0.25">
      <c r="A2606" s="8" t="s">
        <v>13441</v>
      </c>
      <c r="B2606" s="8" t="s">
        <v>13098</v>
      </c>
      <c r="C2606" s="8" t="s">
        <v>67</v>
      </c>
      <c r="D2606" s="10">
        <v>216</v>
      </c>
      <c r="E2606" s="8" t="s">
        <v>1568</v>
      </c>
      <c r="F2606" s="8"/>
      <c r="G2606" s="8" t="s">
        <v>67</v>
      </c>
      <c r="H2606" s="8"/>
      <c r="I2606" s="8" t="s">
        <v>1569</v>
      </c>
      <c r="J2606" s="15" t="s">
        <v>1685</v>
      </c>
      <c r="K2606" s="8"/>
      <c r="L2606" s="15" t="s">
        <v>1685</v>
      </c>
      <c r="M2606" s="8" t="s">
        <v>13100</v>
      </c>
      <c r="N2606" s="8"/>
      <c r="O2606" s="8" t="s">
        <v>13101</v>
      </c>
      <c r="P2606" s="11"/>
      <c r="Q2606" s="8" t="s">
        <v>13102</v>
      </c>
      <c r="R2606" s="8" t="s">
        <v>13103</v>
      </c>
      <c r="S2606" s="8" t="s">
        <v>13442</v>
      </c>
    </row>
    <row r="2607" spans="1:19" ht="150" customHeight="1" x14ac:dyDescent="0.25">
      <c r="A2607" s="8" t="s">
        <v>13443</v>
      </c>
      <c r="B2607" s="8" t="s">
        <v>13098</v>
      </c>
      <c r="C2607" s="8" t="s">
        <v>67</v>
      </c>
      <c r="D2607" s="10">
        <v>217</v>
      </c>
      <c r="E2607" s="8" t="s">
        <v>1584</v>
      </c>
      <c r="F2607" s="8"/>
      <c r="G2607" s="8" t="s">
        <v>67</v>
      </c>
      <c r="H2607" s="8"/>
      <c r="I2607" s="8" t="s">
        <v>1585</v>
      </c>
      <c r="J2607" s="15" t="s">
        <v>1685</v>
      </c>
      <c r="K2607" s="8"/>
      <c r="L2607" s="15" t="s">
        <v>1685</v>
      </c>
      <c r="M2607" s="8" t="s">
        <v>13100</v>
      </c>
      <c r="N2607" s="8"/>
      <c r="O2607" s="8" t="s">
        <v>13101</v>
      </c>
      <c r="P2607" s="11"/>
      <c r="Q2607" s="8" t="s">
        <v>13102</v>
      </c>
      <c r="R2607" s="8" t="s">
        <v>13103</v>
      </c>
      <c r="S2607" s="8" t="s">
        <v>13444</v>
      </c>
    </row>
    <row r="2608" spans="1:19" ht="149.1" customHeight="1" x14ac:dyDescent="0.25">
      <c r="A2608" s="8" t="s">
        <v>13445</v>
      </c>
      <c r="B2608" s="8" t="s">
        <v>13098</v>
      </c>
      <c r="C2608" s="8" t="s">
        <v>67</v>
      </c>
      <c r="D2608" s="10">
        <v>224</v>
      </c>
      <c r="E2608" s="8" t="s">
        <v>956</v>
      </c>
      <c r="F2608" s="8"/>
      <c r="G2608" s="8" t="s">
        <v>67</v>
      </c>
      <c r="H2608" s="8"/>
      <c r="I2608" s="8" t="s">
        <v>957</v>
      </c>
      <c r="J2608" s="15" t="s">
        <v>1685</v>
      </c>
      <c r="K2608" s="8"/>
      <c r="L2608" s="15" t="s">
        <v>1685</v>
      </c>
      <c r="M2608" s="8" t="s">
        <v>13100</v>
      </c>
      <c r="N2608" s="8"/>
      <c r="O2608" s="8" t="s">
        <v>13101</v>
      </c>
      <c r="P2608" s="11"/>
      <c r="Q2608" s="8" t="s">
        <v>13102</v>
      </c>
      <c r="R2608" s="8" t="s">
        <v>13103</v>
      </c>
      <c r="S2608" s="8" t="s">
        <v>13446</v>
      </c>
    </row>
    <row r="2609" spans="1:19" ht="149.1" customHeight="1" x14ac:dyDescent="0.25">
      <c r="A2609" s="8" t="s">
        <v>13447</v>
      </c>
      <c r="B2609" s="8" t="s">
        <v>13098</v>
      </c>
      <c r="C2609" s="8" t="s">
        <v>67</v>
      </c>
      <c r="D2609" s="10">
        <v>229</v>
      </c>
      <c r="E2609" s="8" t="s">
        <v>880</v>
      </c>
      <c r="F2609" s="8"/>
      <c r="G2609" s="8" t="s">
        <v>67</v>
      </c>
      <c r="H2609" s="8"/>
      <c r="I2609" s="8" t="s">
        <v>881</v>
      </c>
      <c r="J2609" s="15" t="s">
        <v>1685</v>
      </c>
      <c r="K2609" s="8"/>
      <c r="L2609" s="15" t="s">
        <v>1685</v>
      </c>
      <c r="M2609" s="8" t="s">
        <v>13100</v>
      </c>
      <c r="N2609" s="8"/>
      <c r="O2609" s="8" t="s">
        <v>13101</v>
      </c>
      <c r="P2609" s="11"/>
      <c r="Q2609" s="8" t="s">
        <v>13102</v>
      </c>
      <c r="R2609" s="8" t="s">
        <v>13103</v>
      </c>
      <c r="S2609" s="8" t="s">
        <v>13448</v>
      </c>
    </row>
    <row r="2610" spans="1:19" ht="149.1" customHeight="1" x14ac:dyDescent="0.25">
      <c r="A2610" s="8" t="s">
        <v>13449</v>
      </c>
      <c r="B2610" s="8" t="s">
        <v>13098</v>
      </c>
      <c r="C2610" s="8" t="s">
        <v>67</v>
      </c>
      <c r="D2610" s="10">
        <v>230</v>
      </c>
      <c r="E2610" s="8" t="s">
        <v>897</v>
      </c>
      <c r="F2610" s="8"/>
      <c r="G2610" s="8" t="s">
        <v>67</v>
      </c>
      <c r="H2610" s="8"/>
      <c r="I2610" s="8" t="s">
        <v>898</v>
      </c>
      <c r="J2610" s="15" t="s">
        <v>1685</v>
      </c>
      <c r="K2610" s="8"/>
      <c r="L2610" s="15" t="s">
        <v>1685</v>
      </c>
      <c r="M2610" s="8" t="s">
        <v>13100</v>
      </c>
      <c r="N2610" s="8"/>
      <c r="O2610" s="8" t="s">
        <v>13101</v>
      </c>
      <c r="P2610" s="11"/>
      <c r="Q2610" s="8" t="s">
        <v>13102</v>
      </c>
      <c r="R2610" s="8" t="s">
        <v>13103</v>
      </c>
      <c r="S2610" s="8" t="s">
        <v>13450</v>
      </c>
    </row>
    <row r="2611" spans="1:19" ht="149.1" customHeight="1" x14ac:dyDescent="0.25">
      <c r="A2611" s="8" t="s">
        <v>13451</v>
      </c>
      <c r="B2611" s="8" t="s">
        <v>13098</v>
      </c>
      <c r="C2611" s="8" t="s">
        <v>67</v>
      </c>
      <c r="D2611" s="10">
        <v>235</v>
      </c>
      <c r="E2611" s="8" t="s">
        <v>357</v>
      </c>
      <c r="F2611" s="8"/>
      <c r="G2611" s="8" t="s">
        <v>67</v>
      </c>
      <c r="H2611" s="8"/>
      <c r="I2611" s="8" t="s">
        <v>358</v>
      </c>
      <c r="J2611" s="15" t="s">
        <v>1685</v>
      </c>
      <c r="K2611" s="8"/>
      <c r="L2611" s="15" t="s">
        <v>1685</v>
      </c>
      <c r="M2611" s="8" t="s">
        <v>13100</v>
      </c>
      <c r="N2611" s="8"/>
      <c r="O2611" s="8" t="s">
        <v>13101</v>
      </c>
      <c r="P2611" s="11"/>
      <c r="Q2611" s="8" t="s">
        <v>13102</v>
      </c>
      <c r="R2611" s="8" t="s">
        <v>13103</v>
      </c>
      <c r="S2611" s="8" t="s">
        <v>13452</v>
      </c>
    </row>
    <row r="2612" spans="1:19" ht="150" customHeight="1" x14ac:dyDescent="0.25">
      <c r="A2612" s="8" t="s">
        <v>13453</v>
      </c>
      <c r="B2612" s="8" t="s">
        <v>13098</v>
      </c>
      <c r="C2612" s="8" t="s">
        <v>67</v>
      </c>
      <c r="D2612" s="10">
        <v>238</v>
      </c>
      <c r="E2612" s="8" t="s">
        <v>888</v>
      </c>
      <c r="F2612" s="8"/>
      <c r="G2612" s="8" t="s">
        <v>67</v>
      </c>
      <c r="H2612" s="8"/>
      <c r="I2612" s="8" t="s">
        <v>889</v>
      </c>
      <c r="J2612" s="15" t="s">
        <v>1685</v>
      </c>
      <c r="K2612" s="8"/>
      <c r="L2612" s="15" t="s">
        <v>1685</v>
      </c>
      <c r="M2612" s="8" t="s">
        <v>13100</v>
      </c>
      <c r="N2612" s="8"/>
      <c r="O2612" s="8" t="s">
        <v>13101</v>
      </c>
      <c r="P2612" s="11"/>
      <c r="Q2612" s="8" t="s">
        <v>13102</v>
      </c>
      <c r="R2612" s="8" t="s">
        <v>13103</v>
      </c>
      <c r="S2612" s="8" t="s">
        <v>13454</v>
      </c>
    </row>
    <row r="2613" spans="1:19" ht="150" customHeight="1" x14ac:dyDescent="0.25">
      <c r="A2613" s="8" t="s">
        <v>13455</v>
      </c>
      <c r="B2613" s="8" t="s">
        <v>13098</v>
      </c>
      <c r="C2613" s="8" t="s">
        <v>104</v>
      </c>
      <c r="D2613" s="10">
        <v>21</v>
      </c>
      <c r="E2613" s="8" t="s">
        <v>2329</v>
      </c>
      <c r="F2613" s="8"/>
      <c r="G2613" s="8" t="s">
        <v>104</v>
      </c>
      <c r="H2613" s="8"/>
      <c r="I2613" s="8" t="s">
        <v>949</v>
      </c>
      <c r="J2613" s="15" t="s">
        <v>1685</v>
      </c>
      <c r="K2613" s="8"/>
      <c r="L2613" s="15" t="s">
        <v>1685</v>
      </c>
      <c r="M2613" s="8" t="s">
        <v>13100</v>
      </c>
      <c r="N2613" s="8"/>
      <c r="O2613" s="8" t="s">
        <v>13101</v>
      </c>
      <c r="P2613" s="11"/>
      <c r="Q2613" s="8" t="s">
        <v>13102</v>
      </c>
      <c r="R2613" s="8" t="s">
        <v>13103</v>
      </c>
      <c r="S2613" s="8" t="s">
        <v>13456</v>
      </c>
    </row>
    <row r="2614" spans="1:19" ht="150" customHeight="1" x14ac:dyDescent="0.25">
      <c r="A2614" s="8" t="s">
        <v>13457</v>
      </c>
      <c r="B2614" s="8" t="s">
        <v>13098</v>
      </c>
      <c r="C2614" s="8" t="s">
        <v>104</v>
      </c>
      <c r="D2614" s="10">
        <v>23</v>
      </c>
      <c r="E2614" s="8" t="s">
        <v>2339</v>
      </c>
      <c r="F2614" s="8"/>
      <c r="G2614" s="8" t="s">
        <v>104</v>
      </c>
      <c r="H2614" s="8"/>
      <c r="I2614" s="8" t="s">
        <v>847</v>
      </c>
      <c r="J2614" s="15" t="s">
        <v>1685</v>
      </c>
      <c r="K2614" s="8"/>
      <c r="L2614" s="15" t="s">
        <v>1685</v>
      </c>
      <c r="M2614" s="8" t="s">
        <v>13100</v>
      </c>
      <c r="N2614" s="8"/>
      <c r="O2614" s="8" t="s">
        <v>13101</v>
      </c>
      <c r="P2614" s="11"/>
      <c r="Q2614" s="8" t="s">
        <v>13102</v>
      </c>
      <c r="R2614" s="8" t="s">
        <v>13103</v>
      </c>
      <c r="S2614" s="8" t="s">
        <v>13458</v>
      </c>
    </row>
    <row r="2615" spans="1:19" ht="149.1" customHeight="1" x14ac:dyDescent="0.25">
      <c r="A2615" s="8" t="s">
        <v>13459</v>
      </c>
      <c r="B2615" s="8" t="s">
        <v>13098</v>
      </c>
      <c r="C2615" s="8" t="s">
        <v>104</v>
      </c>
      <c r="D2615" s="10">
        <v>60</v>
      </c>
      <c r="E2615" s="8" t="s">
        <v>2577</v>
      </c>
      <c r="F2615" s="8"/>
      <c r="G2615" s="8" t="s">
        <v>104</v>
      </c>
      <c r="H2615" s="8"/>
      <c r="I2615" s="8" t="s">
        <v>881</v>
      </c>
      <c r="J2615" s="15" t="s">
        <v>1685</v>
      </c>
      <c r="K2615" s="8"/>
      <c r="L2615" s="15" t="s">
        <v>1685</v>
      </c>
      <c r="M2615" s="8" t="s">
        <v>13100</v>
      </c>
      <c r="N2615" s="8"/>
      <c r="O2615" s="8" t="s">
        <v>13101</v>
      </c>
      <c r="P2615" s="11"/>
      <c r="Q2615" s="8" t="s">
        <v>13102</v>
      </c>
      <c r="R2615" s="8" t="s">
        <v>13103</v>
      </c>
      <c r="S2615" s="8" t="s">
        <v>13460</v>
      </c>
    </row>
    <row r="2616" spans="1:19" ht="135" customHeight="1" x14ac:dyDescent="0.25">
      <c r="A2616" s="8" t="s">
        <v>13461</v>
      </c>
      <c r="B2616" s="8" t="s">
        <v>13098</v>
      </c>
      <c r="C2616" s="8" t="s">
        <v>110</v>
      </c>
      <c r="D2616" s="10">
        <v>21</v>
      </c>
      <c r="E2616" s="8" t="s">
        <v>2651</v>
      </c>
      <c r="F2616" s="8"/>
      <c r="G2616" s="8" t="s">
        <v>110</v>
      </c>
      <c r="H2616" s="8"/>
      <c r="I2616" s="8" t="s">
        <v>949</v>
      </c>
      <c r="J2616" s="15" t="s">
        <v>1685</v>
      </c>
      <c r="K2616" s="8"/>
      <c r="L2616" s="15" t="s">
        <v>1685</v>
      </c>
      <c r="M2616" s="8" t="s">
        <v>13100</v>
      </c>
      <c r="N2616" s="8"/>
      <c r="O2616" s="8" t="s">
        <v>13101</v>
      </c>
      <c r="P2616" s="11"/>
      <c r="Q2616" s="8" t="s">
        <v>13102</v>
      </c>
      <c r="R2616" s="8" t="s">
        <v>13103</v>
      </c>
      <c r="S2616" s="8" t="s">
        <v>13462</v>
      </c>
    </row>
    <row r="2617" spans="1:19" ht="135" customHeight="1" x14ac:dyDescent="0.25">
      <c r="A2617" s="8" t="s">
        <v>13463</v>
      </c>
      <c r="B2617" s="8" t="s">
        <v>13098</v>
      </c>
      <c r="C2617" s="8" t="s">
        <v>110</v>
      </c>
      <c r="D2617" s="10">
        <v>23</v>
      </c>
      <c r="E2617" s="8" t="s">
        <v>2653</v>
      </c>
      <c r="F2617" s="8"/>
      <c r="G2617" s="8" t="s">
        <v>110</v>
      </c>
      <c r="H2617" s="8"/>
      <c r="I2617" s="8" t="s">
        <v>847</v>
      </c>
      <c r="J2617" s="15" t="s">
        <v>1685</v>
      </c>
      <c r="K2617" s="8"/>
      <c r="L2617" s="15" t="s">
        <v>1685</v>
      </c>
      <c r="M2617" s="8" t="s">
        <v>13100</v>
      </c>
      <c r="N2617" s="8"/>
      <c r="O2617" s="8" t="s">
        <v>13101</v>
      </c>
      <c r="P2617" s="11"/>
      <c r="Q2617" s="8" t="s">
        <v>13102</v>
      </c>
      <c r="R2617" s="8" t="s">
        <v>13103</v>
      </c>
      <c r="S2617" s="8" t="s">
        <v>13464</v>
      </c>
    </row>
    <row r="2618" spans="1:19" ht="135" customHeight="1" x14ac:dyDescent="0.25">
      <c r="A2618" s="8" t="s">
        <v>13465</v>
      </c>
      <c r="B2618" s="8" t="s">
        <v>13098</v>
      </c>
      <c r="C2618" s="8" t="s">
        <v>4551</v>
      </c>
      <c r="D2618" s="10">
        <v>79</v>
      </c>
      <c r="E2618" s="8" t="s">
        <v>949</v>
      </c>
      <c r="F2618" s="8" t="s">
        <v>2940</v>
      </c>
      <c r="G2618" s="8" t="s">
        <v>4551</v>
      </c>
      <c r="H2618" s="8"/>
      <c r="I2618" s="8" t="s">
        <v>949</v>
      </c>
      <c r="J2618" s="15" t="s">
        <v>1685</v>
      </c>
      <c r="K2618" s="8"/>
      <c r="L2618" s="15" t="s">
        <v>1685</v>
      </c>
      <c r="M2618" s="8" t="s">
        <v>13100</v>
      </c>
      <c r="N2618" s="8"/>
      <c r="O2618" s="8" t="s">
        <v>13101</v>
      </c>
      <c r="P2618" s="11"/>
      <c r="Q2618" s="8" t="s">
        <v>13102</v>
      </c>
      <c r="R2618" s="8" t="s">
        <v>13103</v>
      </c>
      <c r="S2618" s="8" t="s">
        <v>13466</v>
      </c>
    </row>
    <row r="2619" spans="1:19" ht="120.95" customHeight="1" x14ac:dyDescent="0.25">
      <c r="A2619" s="8" t="s">
        <v>13467</v>
      </c>
      <c r="B2619" s="8" t="s">
        <v>13098</v>
      </c>
      <c r="C2619" s="8" t="s">
        <v>4551</v>
      </c>
      <c r="D2619" s="10">
        <v>249</v>
      </c>
      <c r="E2619" s="8" t="s">
        <v>881</v>
      </c>
      <c r="F2619" s="8" t="s">
        <v>885</v>
      </c>
      <c r="G2619" s="8" t="s">
        <v>4551</v>
      </c>
      <c r="H2619" s="8"/>
      <c r="I2619" s="8" t="s">
        <v>881</v>
      </c>
      <c r="J2619" s="15" t="s">
        <v>1685</v>
      </c>
      <c r="K2619" s="8"/>
      <c r="L2619" s="15" t="s">
        <v>1685</v>
      </c>
      <c r="M2619" s="8" t="s">
        <v>13100</v>
      </c>
      <c r="N2619" s="8"/>
      <c r="O2619" s="8" t="s">
        <v>13101</v>
      </c>
      <c r="P2619" s="11"/>
      <c r="Q2619" s="8" t="s">
        <v>13102</v>
      </c>
      <c r="R2619" s="8" t="s">
        <v>13103</v>
      </c>
      <c r="S2619" s="8" t="s">
        <v>13468</v>
      </c>
    </row>
    <row r="2620" spans="1:19" ht="150" customHeight="1" x14ac:dyDescent="0.25">
      <c r="A2620" s="8" t="s">
        <v>13469</v>
      </c>
      <c r="B2620" s="8" t="s">
        <v>13098</v>
      </c>
      <c r="C2620" s="8" t="s">
        <v>4542</v>
      </c>
      <c r="D2620" s="10">
        <v>2</v>
      </c>
      <c r="E2620" s="8" t="s">
        <v>1793</v>
      </c>
      <c r="F2620" s="8" t="s">
        <v>1790</v>
      </c>
      <c r="G2620" s="8" t="s">
        <v>4542</v>
      </c>
      <c r="H2620" s="8"/>
      <c r="I2620" s="8"/>
      <c r="J2620" s="15" t="s">
        <v>1685</v>
      </c>
      <c r="K2620" s="8"/>
      <c r="L2620" s="15" t="s">
        <v>1685</v>
      </c>
      <c r="M2620" s="8" t="s">
        <v>13100</v>
      </c>
      <c r="N2620" s="8"/>
      <c r="O2620" s="8" t="s">
        <v>13101</v>
      </c>
      <c r="P2620" s="11" t="s">
        <v>3268</v>
      </c>
      <c r="Q2620" s="8" t="s">
        <v>13102</v>
      </c>
      <c r="R2620" s="8" t="s">
        <v>13103</v>
      </c>
      <c r="S2620" s="8" t="s">
        <v>13470</v>
      </c>
    </row>
    <row r="2621" spans="1:19" ht="150" customHeight="1" x14ac:dyDescent="0.25">
      <c r="A2621" s="8" t="s">
        <v>13471</v>
      </c>
      <c r="B2621" s="8" t="s">
        <v>13098</v>
      </c>
      <c r="C2621" s="8" t="s">
        <v>4542</v>
      </c>
      <c r="D2621" s="10">
        <v>3</v>
      </c>
      <c r="E2621" s="8" t="s">
        <v>1885</v>
      </c>
      <c r="F2621" s="8" t="s">
        <v>1884</v>
      </c>
      <c r="G2621" s="8" t="s">
        <v>4542</v>
      </c>
      <c r="H2621" s="8"/>
      <c r="I2621" s="8"/>
      <c r="J2621" s="15" t="s">
        <v>1685</v>
      </c>
      <c r="K2621" s="8"/>
      <c r="L2621" s="15" t="s">
        <v>1685</v>
      </c>
      <c r="M2621" s="8" t="s">
        <v>13100</v>
      </c>
      <c r="N2621" s="8"/>
      <c r="O2621" s="8" t="s">
        <v>13101</v>
      </c>
      <c r="P2621" s="11" t="s">
        <v>3278</v>
      </c>
      <c r="Q2621" s="8" t="s">
        <v>13102</v>
      </c>
      <c r="R2621" s="8" t="s">
        <v>13103</v>
      </c>
      <c r="S2621" s="8" t="s">
        <v>13472</v>
      </c>
    </row>
    <row r="2622" spans="1:19" ht="150" customHeight="1" x14ac:dyDescent="0.25">
      <c r="A2622" s="8" t="s">
        <v>13473</v>
      </c>
      <c r="B2622" s="8" t="s">
        <v>13098</v>
      </c>
      <c r="C2622" s="8" t="s">
        <v>4542</v>
      </c>
      <c r="D2622" s="10">
        <v>4</v>
      </c>
      <c r="E2622" s="8" t="s">
        <v>1823</v>
      </c>
      <c r="F2622" s="8" t="s">
        <v>1818</v>
      </c>
      <c r="G2622" s="8" t="s">
        <v>4542</v>
      </c>
      <c r="H2622" s="8"/>
      <c r="I2622" s="8"/>
      <c r="J2622" s="15" t="s">
        <v>1685</v>
      </c>
      <c r="K2622" s="8"/>
      <c r="L2622" s="15" t="s">
        <v>1685</v>
      </c>
      <c r="M2622" s="8" t="s">
        <v>13100</v>
      </c>
      <c r="N2622" s="8"/>
      <c r="O2622" s="8" t="s">
        <v>13101</v>
      </c>
      <c r="P2622" s="11" t="s">
        <v>3282</v>
      </c>
      <c r="Q2622" s="8" t="s">
        <v>13102</v>
      </c>
      <c r="R2622" s="8" t="s">
        <v>13103</v>
      </c>
      <c r="S2622" s="8" t="s">
        <v>13474</v>
      </c>
    </row>
    <row r="2623" spans="1:19" ht="150" customHeight="1" x14ac:dyDescent="0.25">
      <c r="A2623" s="8" t="s">
        <v>13475</v>
      </c>
      <c r="B2623" s="8" t="s">
        <v>13098</v>
      </c>
      <c r="C2623" s="8" t="s">
        <v>4542</v>
      </c>
      <c r="D2623" s="10">
        <v>5</v>
      </c>
      <c r="E2623" s="8" t="s">
        <v>1941</v>
      </c>
      <c r="F2623" s="8" t="s">
        <v>1938</v>
      </c>
      <c r="G2623" s="8" t="s">
        <v>4542</v>
      </c>
      <c r="H2623" s="8"/>
      <c r="I2623" s="8"/>
      <c r="J2623" s="15" t="s">
        <v>1685</v>
      </c>
      <c r="K2623" s="8"/>
      <c r="L2623" s="15" t="s">
        <v>1685</v>
      </c>
      <c r="M2623" s="8" t="s">
        <v>13100</v>
      </c>
      <c r="N2623" s="8"/>
      <c r="O2623" s="8" t="s">
        <v>13101</v>
      </c>
      <c r="P2623" s="11" t="s">
        <v>3284</v>
      </c>
      <c r="Q2623" s="8" t="s">
        <v>13102</v>
      </c>
      <c r="R2623" s="8" t="s">
        <v>13103</v>
      </c>
      <c r="S2623" s="8" t="s">
        <v>13476</v>
      </c>
    </row>
    <row r="2624" spans="1:19" ht="150" customHeight="1" x14ac:dyDescent="0.25">
      <c r="A2624" s="8" t="s">
        <v>13477</v>
      </c>
      <c r="B2624" s="8" t="s">
        <v>13098</v>
      </c>
      <c r="C2624" s="8" t="s">
        <v>4542</v>
      </c>
      <c r="D2624" s="10">
        <v>6</v>
      </c>
      <c r="E2624" s="8" t="s">
        <v>1949</v>
      </c>
      <c r="F2624" s="8" t="s">
        <v>1945</v>
      </c>
      <c r="G2624" s="8" t="s">
        <v>4542</v>
      </c>
      <c r="H2624" s="8"/>
      <c r="I2624" s="8"/>
      <c r="J2624" s="15" t="s">
        <v>1685</v>
      </c>
      <c r="K2624" s="8"/>
      <c r="L2624" s="15" t="s">
        <v>1685</v>
      </c>
      <c r="M2624" s="8" t="s">
        <v>13100</v>
      </c>
      <c r="N2624" s="8"/>
      <c r="O2624" s="8" t="s">
        <v>13101</v>
      </c>
      <c r="P2624" s="11" t="s">
        <v>3286</v>
      </c>
      <c r="Q2624" s="8" t="s">
        <v>13102</v>
      </c>
      <c r="R2624" s="8" t="s">
        <v>13103</v>
      </c>
      <c r="S2624" s="8" t="s">
        <v>13478</v>
      </c>
    </row>
    <row r="2625" spans="1:19" ht="150" customHeight="1" x14ac:dyDescent="0.25">
      <c r="A2625" s="8" t="s">
        <v>13479</v>
      </c>
      <c r="B2625" s="8" t="s">
        <v>13098</v>
      </c>
      <c r="C2625" s="8" t="s">
        <v>4542</v>
      </c>
      <c r="D2625" s="10">
        <v>7</v>
      </c>
      <c r="E2625" s="8" t="s">
        <v>2038</v>
      </c>
      <c r="F2625" s="8" t="s">
        <v>2036</v>
      </c>
      <c r="G2625" s="8" t="s">
        <v>4542</v>
      </c>
      <c r="H2625" s="8"/>
      <c r="I2625" s="8"/>
      <c r="J2625" s="15" t="s">
        <v>1685</v>
      </c>
      <c r="K2625" s="8"/>
      <c r="L2625" s="15" t="s">
        <v>1685</v>
      </c>
      <c r="M2625" s="8" t="s">
        <v>13100</v>
      </c>
      <c r="N2625" s="8"/>
      <c r="O2625" s="8" t="s">
        <v>13101</v>
      </c>
      <c r="P2625" s="11" t="s">
        <v>3288</v>
      </c>
      <c r="Q2625" s="8" t="s">
        <v>13102</v>
      </c>
      <c r="R2625" s="8" t="s">
        <v>13103</v>
      </c>
      <c r="S2625" s="8" t="s">
        <v>13480</v>
      </c>
    </row>
    <row r="2626" spans="1:19" ht="150" customHeight="1" x14ac:dyDescent="0.25">
      <c r="A2626" s="8" t="s">
        <v>13481</v>
      </c>
      <c r="B2626" s="8" t="s">
        <v>13098</v>
      </c>
      <c r="C2626" s="8" t="s">
        <v>4542</v>
      </c>
      <c r="D2626" s="10">
        <v>8</v>
      </c>
      <c r="E2626" s="8" t="s">
        <v>2089</v>
      </c>
      <c r="F2626" s="8" t="s">
        <v>2086</v>
      </c>
      <c r="G2626" s="8" t="s">
        <v>4542</v>
      </c>
      <c r="H2626" s="8"/>
      <c r="I2626" s="8"/>
      <c r="J2626" s="15" t="s">
        <v>1685</v>
      </c>
      <c r="K2626" s="8"/>
      <c r="L2626" s="15" t="s">
        <v>1685</v>
      </c>
      <c r="M2626" s="8" t="s">
        <v>13100</v>
      </c>
      <c r="N2626" s="8"/>
      <c r="O2626" s="8" t="s">
        <v>13101</v>
      </c>
      <c r="P2626" s="11" t="s">
        <v>3289</v>
      </c>
      <c r="Q2626" s="8" t="s">
        <v>13102</v>
      </c>
      <c r="R2626" s="8" t="s">
        <v>13103</v>
      </c>
      <c r="S2626" s="8" t="s">
        <v>13482</v>
      </c>
    </row>
    <row r="2627" spans="1:19" ht="150" customHeight="1" x14ac:dyDescent="0.25">
      <c r="A2627" s="8" t="s">
        <v>13483</v>
      </c>
      <c r="B2627" s="8" t="s">
        <v>13098</v>
      </c>
      <c r="C2627" s="8" t="s">
        <v>4542</v>
      </c>
      <c r="D2627" s="10">
        <v>9</v>
      </c>
      <c r="E2627" s="8" t="s">
        <v>1876</v>
      </c>
      <c r="F2627" s="8" t="s">
        <v>1873</v>
      </c>
      <c r="G2627" s="8" t="s">
        <v>4542</v>
      </c>
      <c r="H2627" s="8"/>
      <c r="I2627" s="8"/>
      <c r="J2627" s="15" t="s">
        <v>1685</v>
      </c>
      <c r="K2627" s="8"/>
      <c r="L2627" s="15" t="s">
        <v>1685</v>
      </c>
      <c r="M2627" s="8" t="s">
        <v>13100</v>
      </c>
      <c r="N2627" s="8"/>
      <c r="O2627" s="8" t="s">
        <v>13101</v>
      </c>
      <c r="P2627" s="11" t="s">
        <v>3291</v>
      </c>
      <c r="Q2627" s="8" t="s">
        <v>13102</v>
      </c>
      <c r="R2627" s="8" t="s">
        <v>13103</v>
      </c>
      <c r="S2627" s="8" t="s">
        <v>13484</v>
      </c>
    </row>
    <row r="2628" spans="1:19" ht="150" customHeight="1" x14ac:dyDescent="0.25">
      <c r="A2628" s="8" t="s">
        <v>13485</v>
      </c>
      <c r="B2628" s="8" t="s">
        <v>13098</v>
      </c>
      <c r="C2628" s="8" t="s">
        <v>4542</v>
      </c>
      <c r="D2628" s="10">
        <v>10</v>
      </c>
      <c r="E2628" s="8" t="s">
        <v>569</v>
      </c>
      <c r="F2628" s="8" t="s">
        <v>3293</v>
      </c>
      <c r="G2628" s="8" t="s">
        <v>4542</v>
      </c>
      <c r="H2628" s="8"/>
      <c r="I2628" s="8"/>
      <c r="J2628" s="15" t="s">
        <v>1685</v>
      </c>
      <c r="K2628" s="8"/>
      <c r="L2628" s="15" t="s">
        <v>1685</v>
      </c>
      <c r="M2628" s="8" t="s">
        <v>13100</v>
      </c>
      <c r="N2628" s="8"/>
      <c r="O2628" s="8" t="s">
        <v>13101</v>
      </c>
      <c r="P2628" s="11" t="s">
        <v>3294</v>
      </c>
      <c r="Q2628" s="8" t="s">
        <v>13102</v>
      </c>
      <c r="R2628" s="8" t="s">
        <v>13103</v>
      </c>
      <c r="S2628" s="8" t="s">
        <v>13486</v>
      </c>
    </row>
    <row r="2629" spans="1:19" ht="149.1" customHeight="1" x14ac:dyDescent="0.25">
      <c r="A2629" s="8" t="s">
        <v>13487</v>
      </c>
      <c r="B2629" s="8" t="s">
        <v>13098</v>
      </c>
      <c r="C2629" s="8" t="s">
        <v>4542</v>
      </c>
      <c r="D2629" s="10">
        <v>11</v>
      </c>
      <c r="E2629" s="8" t="s">
        <v>448</v>
      </c>
      <c r="F2629" s="8" t="s">
        <v>3298</v>
      </c>
      <c r="G2629" s="8" t="s">
        <v>4542</v>
      </c>
      <c r="H2629" s="8"/>
      <c r="I2629" s="8"/>
      <c r="J2629" s="15" t="s">
        <v>1685</v>
      </c>
      <c r="K2629" s="8"/>
      <c r="L2629" s="15" t="s">
        <v>1685</v>
      </c>
      <c r="M2629" s="8" t="s">
        <v>13100</v>
      </c>
      <c r="N2629" s="8"/>
      <c r="O2629" s="8" t="s">
        <v>13101</v>
      </c>
      <c r="P2629" s="11" t="s">
        <v>3299</v>
      </c>
      <c r="Q2629" s="8" t="s">
        <v>13102</v>
      </c>
      <c r="R2629" s="8" t="s">
        <v>13103</v>
      </c>
      <c r="S2629" s="8" t="s">
        <v>13488</v>
      </c>
    </row>
    <row r="2630" spans="1:19" ht="150" customHeight="1" x14ac:dyDescent="0.25">
      <c r="A2630" s="8" t="s">
        <v>13489</v>
      </c>
      <c r="B2630" s="8" t="s">
        <v>13098</v>
      </c>
      <c r="C2630" s="8" t="s">
        <v>4542</v>
      </c>
      <c r="D2630" s="10">
        <v>12</v>
      </c>
      <c r="E2630" s="8" t="s">
        <v>850</v>
      </c>
      <c r="F2630" s="8" t="s">
        <v>3301</v>
      </c>
      <c r="G2630" s="8" t="s">
        <v>4542</v>
      </c>
      <c r="H2630" s="8"/>
      <c r="I2630" s="8"/>
      <c r="J2630" s="15" t="s">
        <v>1685</v>
      </c>
      <c r="K2630" s="8"/>
      <c r="L2630" s="15" t="s">
        <v>1685</v>
      </c>
      <c r="M2630" s="8" t="s">
        <v>13100</v>
      </c>
      <c r="N2630" s="8"/>
      <c r="O2630" s="8" t="s">
        <v>13101</v>
      </c>
      <c r="P2630" s="11" t="s">
        <v>3303</v>
      </c>
      <c r="Q2630" s="8" t="s">
        <v>13102</v>
      </c>
      <c r="R2630" s="8" t="s">
        <v>13103</v>
      </c>
      <c r="S2630" s="8" t="s">
        <v>13490</v>
      </c>
    </row>
    <row r="2631" spans="1:19" ht="150" customHeight="1" x14ac:dyDescent="0.25">
      <c r="A2631" s="8" t="s">
        <v>13491</v>
      </c>
      <c r="B2631" s="8" t="s">
        <v>13098</v>
      </c>
      <c r="C2631" s="8" t="s">
        <v>4542</v>
      </c>
      <c r="D2631" s="10">
        <v>13</v>
      </c>
      <c r="E2631" s="8" t="s">
        <v>591</v>
      </c>
      <c r="F2631" s="8" t="s">
        <v>3307</v>
      </c>
      <c r="G2631" s="8" t="s">
        <v>4542</v>
      </c>
      <c r="H2631" s="8"/>
      <c r="I2631" s="8"/>
      <c r="J2631" s="15" t="s">
        <v>1685</v>
      </c>
      <c r="K2631" s="8"/>
      <c r="L2631" s="15" t="s">
        <v>1685</v>
      </c>
      <c r="M2631" s="8" t="s">
        <v>13100</v>
      </c>
      <c r="N2631" s="8"/>
      <c r="O2631" s="8" t="s">
        <v>13101</v>
      </c>
      <c r="P2631" s="11" t="s">
        <v>13492</v>
      </c>
      <c r="Q2631" s="8" t="s">
        <v>13102</v>
      </c>
      <c r="R2631" s="8" t="s">
        <v>13103</v>
      </c>
      <c r="S2631" s="8" t="s">
        <v>13493</v>
      </c>
    </row>
    <row r="2632" spans="1:19" ht="150" customHeight="1" x14ac:dyDescent="0.25">
      <c r="A2632" s="8" t="s">
        <v>13494</v>
      </c>
      <c r="B2632" s="8" t="s">
        <v>13098</v>
      </c>
      <c r="C2632" s="8" t="s">
        <v>4542</v>
      </c>
      <c r="D2632" s="10">
        <v>14</v>
      </c>
      <c r="E2632" s="8" t="s">
        <v>403</v>
      </c>
      <c r="F2632" s="8" t="s">
        <v>3314</v>
      </c>
      <c r="G2632" s="8" t="s">
        <v>4542</v>
      </c>
      <c r="H2632" s="8"/>
      <c r="I2632" s="8"/>
      <c r="J2632" s="15" t="s">
        <v>1685</v>
      </c>
      <c r="K2632" s="8"/>
      <c r="L2632" s="15" t="s">
        <v>1685</v>
      </c>
      <c r="M2632" s="8" t="s">
        <v>13100</v>
      </c>
      <c r="N2632" s="8"/>
      <c r="O2632" s="8" t="s">
        <v>13101</v>
      </c>
      <c r="P2632" s="11" t="s">
        <v>3315</v>
      </c>
      <c r="Q2632" s="8" t="s">
        <v>13102</v>
      </c>
      <c r="R2632" s="8" t="s">
        <v>13103</v>
      </c>
      <c r="S2632" s="8" t="s">
        <v>13495</v>
      </c>
    </row>
    <row r="2633" spans="1:19" ht="150" customHeight="1" x14ac:dyDescent="0.25">
      <c r="A2633" s="8" t="s">
        <v>13496</v>
      </c>
      <c r="B2633" s="8" t="s">
        <v>13098</v>
      </c>
      <c r="C2633" s="8" t="s">
        <v>4542</v>
      </c>
      <c r="D2633" s="10">
        <v>15</v>
      </c>
      <c r="E2633" s="8" t="s">
        <v>480</v>
      </c>
      <c r="F2633" s="8" t="s">
        <v>3318</v>
      </c>
      <c r="G2633" s="8" t="s">
        <v>4542</v>
      </c>
      <c r="H2633" s="8"/>
      <c r="I2633" s="8"/>
      <c r="J2633" s="15" t="s">
        <v>1685</v>
      </c>
      <c r="K2633" s="8"/>
      <c r="L2633" s="15" t="s">
        <v>1685</v>
      </c>
      <c r="M2633" s="8" t="s">
        <v>13100</v>
      </c>
      <c r="N2633" s="8"/>
      <c r="O2633" s="8" t="s">
        <v>13101</v>
      </c>
      <c r="P2633" s="11" t="s">
        <v>3319</v>
      </c>
      <c r="Q2633" s="8" t="s">
        <v>13102</v>
      </c>
      <c r="R2633" s="8" t="s">
        <v>13103</v>
      </c>
      <c r="S2633" s="8" t="s">
        <v>13497</v>
      </c>
    </row>
    <row r="2634" spans="1:19" ht="149.1" customHeight="1" x14ac:dyDescent="0.25">
      <c r="A2634" s="8" t="s">
        <v>13498</v>
      </c>
      <c r="B2634" s="8" t="s">
        <v>13098</v>
      </c>
      <c r="C2634" s="8" t="s">
        <v>4542</v>
      </c>
      <c r="D2634" s="10">
        <v>16</v>
      </c>
      <c r="E2634" s="8" t="s">
        <v>2217</v>
      </c>
      <c r="F2634" s="8" t="s">
        <v>3322</v>
      </c>
      <c r="G2634" s="8" t="s">
        <v>4542</v>
      </c>
      <c r="H2634" s="8"/>
      <c r="I2634" s="8"/>
      <c r="J2634" s="15" t="s">
        <v>1685</v>
      </c>
      <c r="K2634" s="8"/>
      <c r="L2634" s="15" t="s">
        <v>1685</v>
      </c>
      <c r="M2634" s="8" t="s">
        <v>13100</v>
      </c>
      <c r="N2634" s="8"/>
      <c r="O2634" s="8" t="s">
        <v>13101</v>
      </c>
      <c r="P2634" s="11" t="s">
        <v>3324</v>
      </c>
      <c r="Q2634" s="8" t="s">
        <v>13102</v>
      </c>
      <c r="R2634" s="8" t="s">
        <v>13103</v>
      </c>
      <c r="S2634" s="8" t="s">
        <v>13499</v>
      </c>
    </row>
    <row r="2635" spans="1:19" ht="150" customHeight="1" x14ac:dyDescent="0.25">
      <c r="A2635" s="8" t="s">
        <v>13500</v>
      </c>
      <c r="B2635" s="8" t="s">
        <v>13098</v>
      </c>
      <c r="C2635" s="8" t="s">
        <v>4542</v>
      </c>
      <c r="D2635" s="10">
        <v>17</v>
      </c>
      <c r="E2635" s="8" t="s">
        <v>2237</v>
      </c>
      <c r="F2635" s="8" t="s">
        <v>3327</v>
      </c>
      <c r="G2635" s="8" t="s">
        <v>4542</v>
      </c>
      <c r="H2635" s="8"/>
      <c r="I2635" s="8"/>
      <c r="J2635" s="15" t="s">
        <v>1685</v>
      </c>
      <c r="K2635" s="8"/>
      <c r="L2635" s="15" t="s">
        <v>1685</v>
      </c>
      <c r="M2635" s="8" t="s">
        <v>13100</v>
      </c>
      <c r="N2635" s="8"/>
      <c r="O2635" s="8" t="s">
        <v>13101</v>
      </c>
      <c r="P2635" s="11" t="s">
        <v>3329</v>
      </c>
      <c r="Q2635" s="8" t="s">
        <v>13102</v>
      </c>
      <c r="R2635" s="8" t="s">
        <v>13103</v>
      </c>
      <c r="S2635" s="8" t="s">
        <v>13501</v>
      </c>
    </row>
    <row r="2636" spans="1:19" ht="150" customHeight="1" x14ac:dyDescent="0.25">
      <c r="A2636" s="8" t="s">
        <v>13502</v>
      </c>
      <c r="B2636" s="8" t="s">
        <v>13098</v>
      </c>
      <c r="C2636" s="8" t="s">
        <v>4542</v>
      </c>
      <c r="D2636" s="10">
        <v>18</v>
      </c>
      <c r="E2636" s="8" t="s">
        <v>1040</v>
      </c>
      <c r="F2636" s="8" t="s">
        <v>3331</v>
      </c>
      <c r="G2636" s="8" t="s">
        <v>4542</v>
      </c>
      <c r="H2636" s="8"/>
      <c r="I2636" s="8"/>
      <c r="J2636" s="15" t="s">
        <v>1685</v>
      </c>
      <c r="K2636" s="8"/>
      <c r="L2636" s="15" t="s">
        <v>1685</v>
      </c>
      <c r="M2636" s="8" t="s">
        <v>13100</v>
      </c>
      <c r="N2636" s="8"/>
      <c r="O2636" s="8" t="s">
        <v>13101</v>
      </c>
      <c r="P2636" s="11" t="s">
        <v>3332</v>
      </c>
      <c r="Q2636" s="8" t="s">
        <v>13102</v>
      </c>
      <c r="R2636" s="8" t="s">
        <v>13103</v>
      </c>
      <c r="S2636" s="8" t="s">
        <v>13503</v>
      </c>
    </row>
    <row r="2637" spans="1:19" ht="150" customHeight="1" x14ac:dyDescent="0.25">
      <c r="A2637" s="8" t="s">
        <v>13504</v>
      </c>
      <c r="B2637" s="8" t="s">
        <v>13098</v>
      </c>
      <c r="C2637" s="8" t="s">
        <v>4542</v>
      </c>
      <c r="D2637" s="10">
        <v>19</v>
      </c>
      <c r="E2637" s="8" t="s">
        <v>3336</v>
      </c>
      <c r="F2637" s="8" t="s">
        <v>3337</v>
      </c>
      <c r="G2637" s="8" t="s">
        <v>4542</v>
      </c>
      <c r="H2637" s="8"/>
      <c r="I2637" s="8"/>
      <c r="J2637" s="15" t="s">
        <v>1685</v>
      </c>
      <c r="K2637" s="8"/>
      <c r="L2637" s="15" t="s">
        <v>1685</v>
      </c>
      <c r="M2637" s="8" t="s">
        <v>13100</v>
      </c>
      <c r="N2637" s="8"/>
      <c r="O2637" s="8" t="s">
        <v>13101</v>
      </c>
      <c r="P2637" s="11" t="s">
        <v>3338</v>
      </c>
      <c r="Q2637" s="8" t="s">
        <v>13102</v>
      </c>
      <c r="R2637" s="8" t="s">
        <v>13103</v>
      </c>
      <c r="S2637" s="8" t="s">
        <v>13505</v>
      </c>
    </row>
    <row r="2638" spans="1:19" ht="150" customHeight="1" x14ac:dyDescent="0.25">
      <c r="A2638" s="8" t="s">
        <v>13506</v>
      </c>
      <c r="B2638" s="8" t="s">
        <v>13098</v>
      </c>
      <c r="C2638" s="8" t="s">
        <v>4542</v>
      </c>
      <c r="D2638" s="10">
        <v>20</v>
      </c>
      <c r="E2638" s="8" t="s">
        <v>2558</v>
      </c>
      <c r="F2638" s="8" t="s">
        <v>3082</v>
      </c>
      <c r="G2638" s="8" t="s">
        <v>4542</v>
      </c>
      <c r="H2638" s="8"/>
      <c r="I2638" s="8"/>
      <c r="J2638" s="15" t="s">
        <v>1685</v>
      </c>
      <c r="K2638" s="8"/>
      <c r="L2638" s="15" t="s">
        <v>1685</v>
      </c>
      <c r="M2638" s="8" t="s">
        <v>13100</v>
      </c>
      <c r="N2638" s="8"/>
      <c r="O2638" s="8" t="s">
        <v>13101</v>
      </c>
      <c r="P2638" s="11" t="s">
        <v>3084</v>
      </c>
      <c r="Q2638" s="8" t="s">
        <v>13102</v>
      </c>
      <c r="R2638" s="8" t="s">
        <v>13103</v>
      </c>
      <c r="S2638" s="8" t="s">
        <v>13507</v>
      </c>
    </row>
    <row r="2639" spans="1:19" ht="150" customHeight="1" x14ac:dyDescent="0.25">
      <c r="A2639" s="8" t="s">
        <v>13508</v>
      </c>
      <c r="B2639" s="8" t="s">
        <v>13098</v>
      </c>
      <c r="C2639" s="8" t="s">
        <v>4542</v>
      </c>
      <c r="D2639" s="10">
        <v>21</v>
      </c>
      <c r="E2639" s="8" t="s">
        <v>3343</v>
      </c>
      <c r="F2639" s="8" t="s">
        <v>3344</v>
      </c>
      <c r="G2639" s="8" t="s">
        <v>4542</v>
      </c>
      <c r="H2639" s="8"/>
      <c r="I2639" s="8"/>
      <c r="J2639" s="15" t="s">
        <v>1685</v>
      </c>
      <c r="K2639" s="8"/>
      <c r="L2639" s="15" t="s">
        <v>1685</v>
      </c>
      <c r="M2639" s="8" t="s">
        <v>13100</v>
      </c>
      <c r="N2639" s="8"/>
      <c r="O2639" s="8" t="s">
        <v>13101</v>
      </c>
      <c r="P2639" s="11" t="s">
        <v>3346</v>
      </c>
      <c r="Q2639" s="8" t="s">
        <v>13102</v>
      </c>
      <c r="R2639" s="8" t="s">
        <v>13103</v>
      </c>
      <c r="S2639" s="8" t="s">
        <v>13509</v>
      </c>
    </row>
    <row r="2640" spans="1:19" ht="150" customHeight="1" x14ac:dyDescent="0.25">
      <c r="A2640" s="8" t="s">
        <v>13510</v>
      </c>
      <c r="B2640" s="8" t="s">
        <v>13098</v>
      </c>
      <c r="C2640" s="8" t="s">
        <v>4542</v>
      </c>
      <c r="D2640" s="10">
        <v>22</v>
      </c>
      <c r="E2640" s="8" t="s">
        <v>3350</v>
      </c>
      <c r="F2640" s="8" t="s">
        <v>3351</v>
      </c>
      <c r="G2640" s="8" t="s">
        <v>4542</v>
      </c>
      <c r="H2640" s="8"/>
      <c r="I2640" s="8"/>
      <c r="J2640" s="15" t="s">
        <v>1685</v>
      </c>
      <c r="K2640" s="8"/>
      <c r="L2640" s="15" t="s">
        <v>1685</v>
      </c>
      <c r="M2640" s="8" t="s">
        <v>13100</v>
      </c>
      <c r="N2640" s="8"/>
      <c r="O2640" s="8" t="s">
        <v>13101</v>
      </c>
      <c r="P2640" s="11" t="s">
        <v>3352</v>
      </c>
      <c r="Q2640" s="8" t="s">
        <v>13102</v>
      </c>
      <c r="R2640" s="8" t="s">
        <v>13103</v>
      </c>
      <c r="S2640" s="8" t="s">
        <v>13511</v>
      </c>
    </row>
    <row r="2641" spans="1:19" ht="149.1" customHeight="1" x14ac:dyDescent="0.25">
      <c r="A2641" s="8" t="s">
        <v>13512</v>
      </c>
      <c r="B2641" s="8" t="s">
        <v>13098</v>
      </c>
      <c r="C2641" s="8" t="s">
        <v>4542</v>
      </c>
      <c r="D2641" s="10">
        <v>23</v>
      </c>
      <c r="E2641" s="8" t="s">
        <v>1053</v>
      </c>
      <c r="F2641" s="8" t="s">
        <v>3356</v>
      </c>
      <c r="G2641" s="8" t="s">
        <v>4542</v>
      </c>
      <c r="H2641" s="8"/>
      <c r="I2641" s="8"/>
      <c r="J2641" s="15" t="s">
        <v>1685</v>
      </c>
      <c r="K2641" s="8"/>
      <c r="L2641" s="15" t="s">
        <v>1685</v>
      </c>
      <c r="M2641" s="8" t="s">
        <v>13100</v>
      </c>
      <c r="N2641" s="8"/>
      <c r="O2641" s="8" t="s">
        <v>13101</v>
      </c>
      <c r="P2641" s="11"/>
      <c r="Q2641" s="8" t="s">
        <v>13102</v>
      </c>
      <c r="R2641" s="8" t="s">
        <v>13103</v>
      </c>
      <c r="S2641" s="8" t="s">
        <v>13513</v>
      </c>
    </row>
    <row r="2642" spans="1:19" ht="150" customHeight="1" x14ac:dyDescent="0.25">
      <c r="A2642" s="8" t="s">
        <v>13514</v>
      </c>
      <c r="B2642" s="8" t="s">
        <v>13098</v>
      </c>
      <c r="C2642" s="8" t="s">
        <v>4542</v>
      </c>
      <c r="D2642" s="10">
        <v>24</v>
      </c>
      <c r="E2642" s="8" t="s">
        <v>3364</v>
      </c>
      <c r="F2642" s="8" t="s">
        <v>3365</v>
      </c>
      <c r="G2642" s="8" t="s">
        <v>4542</v>
      </c>
      <c r="H2642" s="8"/>
      <c r="I2642" s="8"/>
      <c r="J2642" s="15" t="s">
        <v>1685</v>
      </c>
      <c r="K2642" s="8"/>
      <c r="L2642" s="15" t="s">
        <v>1685</v>
      </c>
      <c r="M2642" s="8" t="s">
        <v>13100</v>
      </c>
      <c r="N2642" s="8"/>
      <c r="O2642" s="8" t="s">
        <v>13101</v>
      </c>
      <c r="P2642" s="11" t="s">
        <v>3367</v>
      </c>
      <c r="Q2642" s="8" t="s">
        <v>13102</v>
      </c>
      <c r="R2642" s="8" t="s">
        <v>13103</v>
      </c>
      <c r="S2642" s="8" t="s">
        <v>13515</v>
      </c>
    </row>
    <row r="2643" spans="1:19" ht="149.1" customHeight="1" x14ac:dyDescent="0.25">
      <c r="A2643" s="8" t="s">
        <v>13516</v>
      </c>
      <c r="B2643" s="8" t="s">
        <v>13098</v>
      </c>
      <c r="C2643" s="8" t="s">
        <v>4542</v>
      </c>
      <c r="D2643" s="10">
        <v>25</v>
      </c>
      <c r="E2643" s="8" t="s">
        <v>1799</v>
      </c>
      <c r="F2643" s="8" t="s">
        <v>1797</v>
      </c>
      <c r="G2643" s="8" t="s">
        <v>4542</v>
      </c>
      <c r="H2643" s="8"/>
      <c r="I2643" s="8"/>
      <c r="J2643" s="15" t="s">
        <v>1685</v>
      </c>
      <c r="K2643" s="8"/>
      <c r="L2643" s="15" t="s">
        <v>1685</v>
      </c>
      <c r="M2643" s="8" t="s">
        <v>13100</v>
      </c>
      <c r="N2643" s="8"/>
      <c r="O2643" s="8" t="s">
        <v>13101</v>
      </c>
      <c r="P2643" s="11" t="s">
        <v>3374</v>
      </c>
      <c r="Q2643" s="8" t="s">
        <v>13102</v>
      </c>
      <c r="R2643" s="8" t="s">
        <v>13103</v>
      </c>
      <c r="S2643" s="8" t="s">
        <v>13517</v>
      </c>
    </row>
    <row r="2644" spans="1:19" ht="149.1" customHeight="1" x14ac:dyDescent="0.25">
      <c r="A2644" s="8" t="s">
        <v>13518</v>
      </c>
      <c r="B2644" s="8" t="s">
        <v>13098</v>
      </c>
      <c r="C2644" s="8" t="s">
        <v>4542</v>
      </c>
      <c r="D2644" s="10">
        <v>26</v>
      </c>
      <c r="E2644" s="8" t="s">
        <v>1809</v>
      </c>
      <c r="F2644" s="8" t="s">
        <v>1803</v>
      </c>
      <c r="G2644" s="8" t="s">
        <v>4542</v>
      </c>
      <c r="H2644" s="8"/>
      <c r="I2644" s="8"/>
      <c r="J2644" s="15" t="s">
        <v>1685</v>
      </c>
      <c r="K2644" s="8"/>
      <c r="L2644" s="15" t="s">
        <v>1685</v>
      </c>
      <c r="M2644" s="8" t="s">
        <v>13100</v>
      </c>
      <c r="N2644" s="8"/>
      <c r="O2644" s="8" t="s">
        <v>13101</v>
      </c>
      <c r="P2644" s="11" t="s">
        <v>3376</v>
      </c>
      <c r="Q2644" s="8" t="s">
        <v>13102</v>
      </c>
      <c r="R2644" s="8" t="s">
        <v>13103</v>
      </c>
      <c r="S2644" s="8" t="s">
        <v>13519</v>
      </c>
    </row>
    <row r="2645" spans="1:19" ht="149.1" customHeight="1" x14ac:dyDescent="0.25">
      <c r="A2645" s="8" t="s">
        <v>13520</v>
      </c>
      <c r="B2645" s="8" t="s">
        <v>13098</v>
      </c>
      <c r="C2645" s="8" t="s">
        <v>4542</v>
      </c>
      <c r="D2645" s="10">
        <v>27</v>
      </c>
      <c r="E2645" s="8" t="s">
        <v>1815</v>
      </c>
      <c r="F2645" s="8" t="s">
        <v>1812</v>
      </c>
      <c r="G2645" s="8" t="s">
        <v>4542</v>
      </c>
      <c r="H2645" s="8"/>
      <c r="I2645" s="8"/>
      <c r="J2645" s="15" t="s">
        <v>1685</v>
      </c>
      <c r="K2645" s="8"/>
      <c r="L2645" s="15" t="s">
        <v>1685</v>
      </c>
      <c r="M2645" s="8" t="s">
        <v>13100</v>
      </c>
      <c r="N2645" s="8"/>
      <c r="O2645" s="8" t="s">
        <v>13101</v>
      </c>
      <c r="P2645" s="11" t="s">
        <v>3377</v>
      </c>
      <c r="Q2645" s="8" t="s">
        <v>13102</v>
      </c>
      <c r="R2645" s="8" t="s">
        <v>13103</v>
      </c>
      <c r="S2645" s="8" t="s">
        <v>13521</v>
      </c>
    </row>
    <row r="2646" spans="1:19" ht="149.1" customHeight="1" x14ac:dyDescent="0.25">
      <c r="A2646" s="8" t="s">
        <v>13522</v>
      </c>
      <c r="B2646" s="8" t="s">
        <v>13098</v>
      </c>
      <c r="C2646" s="8" t="s">
        <v>4542</v>
      </c>
      <c r="D2646" s="10">
        <v>28</v>
      </c>
      <c r="E2646" s="8" t="s">
        <v>1829</v>
      </c>
      <c r="F2646" s="8" t="s">
        <v>1827</v>
      </c>
      <c r="G2646" s="8" t="s">
        <v>4542</v>
      </c>
      <c r="H2646" s="8"/>
      <c r="I2646" s="8"/>
      <c r="J2646" s="15" t="s">
        <v>1685</v>
      </c>
      <c r="K2646" s="8"/>
      <c r="L2646" s="15" t="s">
        <v>1685</v>
      </c>
      <c r="M2646" s="8" t="s">
        <v>13100</v>
      </c>
      <c r="N2646" s="8"/>
      <c r="O2646" s="8" t="s">
        <v>13101</v>
      </c>
      <c r="P2646" s="11" t="s">
        <v>3378</v>
      </c>
      <c r="Q2646" s="8" t="s">
        <v>13102</v>
      </c>
      <c r="R2646" s="8" t="s">
        <v>13103</v>
      </c>
      <c r="S2646" s="8" t="s">
        <v>13523</v>
      </c>
    </row>
    <row r="2647" spans="1:19" ht="149.1" customHeight="1" x14ac:dyDescent="0.25">
      <c r="A2647" s="8" t="s">
        <v>13524</v>
      </c>
      <c r="B2647" s="8" t="s">
        <v>13098</v>
      </c>
      <c r="C2647" s="8" t="s">
        <v>4542</v>
      </c>
      <c r="D2647" s="10">
        <v>29</v>
      </c>
      <c r="E2647" s="8" t="s">
        <v>1836</v>
      </c>
      <c r="F2647" s="8" t="s">
        <v>1832</v>
      </c>
      <c r="G2647" s="8" t="s">
        <v>4542</v>
      </c>
      <c r="H2647" s="8"/>
      <c r="I2647" s="8"/>
      <c r="J2647" s="15" t="s">
        <v>1685</v>
      </c>
      <c r="K2647" s="8"/>
      <c r="L2647" s="15" t="s">
        <v>1685</v>
      </c>
      <c r="M2647" s="8" t="s">
        <v>13100</v>
      </c>
      <c r="N2647" s="8"/>
      <c r="O2647" s="8" t="s">
        <v>13101</v>
      </c>
      <c r="P2647" s="11" t="s">
        <v>3379</v>
      </c>
      <c r="Q2647" s="8" t="s">
        <v>13102</v>
      </c>
      <c r="R2647" s="8" t="s">
        <v>13103</v>
      </c>
      <c r="S2647" s="8" t="s">
        <v>13525</v>
      </c>
    </row>
    <row r="2648" spans="1:19" ht="149.1" customHeight="1" x14ac:dyDescent="0.25">
      <c r="A2648" s="8" t="s">
        <v>13526</v>
      </c>
      <c r="B2648" s="8" t="s">
        <v>13098</v>
      </c>
      <c r="C2648" s="8" t="s">
        <v>4542</v>
      </c>
      <c r="D2648" s="10">
        <v>30</v>
      </c>
      <c r="E2648" s="8" t="s">
        <v>1844</v>
      </c>
      <c r="F2648" s="8" t="s">
        <v>1839</v>
      </c>
      <c r="G2648" s="8" t="s">
        <v>4542</v>
      </c>
      <c r="H2648" s="8"/>
      <c r="I2648" s="8"/>
      <c r="J2648" s="15" t="s">
        <v>1685</v>
      </c>
      <c r="K2648" s="8"/>
      <c r="L2648" s="15" t="s">
        <v>1685</v>
      </c>
      <c r="M2648" s="8" t="s">
        <v>13100</v>
      </c>
      <c r="N2648" s="8"/>
      <c r="O2648" s="8" t="s">
        <v>13101</v>
      </c>
      <c r="P2648" s="11" t="s">
        <v>3380</v>
      </c>
      <c r="Q2648" s="8" t="s">
        <v>13102</v>
      </c>
      <c r="R2648" s="8" t="s">
        <v>13103</v>
      </c>
      <c r="S2648" s="8" t="s">
        <v>13527</v>
      </c>
    </row>
    <row r="2649" spans="1:19" ht="135" customHeight="1" x14ac:dyDescent="0.25">
      <c r="A2649" s="8" t="s">
        <v>13528</v>
      </c>
      <c r="B2649" s="8" t="s">
        <v>13098</v>
      </c>
      <c r="C2649" s="8" t="s">
        <v>4542</v>
      </c>
      <c r="D2649" s="10">
        <v>31</v>
      </c>
      <c r="E2649" s="8" t="s">
        <v>1850</v>
      </c>
      <c r="F2649" s="8" t="s">
        <v>1847</v>
      </c>
      <c r="G2649" s="8" t="s">
        <v>4542</v>
      </c>
      <c r="H2649" s="8"/>
      <c r="I2649" s="8"/>
      <c r="J2649" s="15" t="s">
        <v>1685</v>
      </c>
      <c r="K2649" s="8"/>
      <c r="L2649" s="15" t="s">
        <v>1685</v>
      </c>
      <c r="M2649" s="8" t="s">
        <v>13100</v>
      </c>
      <c r="N2649" s="8"/>
      <c r="O2649" s="8" t="s">
        <v>13101</v>
      </c>
      <c r="P2649" s="11" t="s">
        <v>3381</v>
      </c>
      <c r="Q2649" s="8" t="s">
        <v>13102</v>
      </c>
      <c r="R2649" s="8" t="s">
        <v>13103</v>
      </c>
      <c r="S2649" s="8" t="s">
        <v>13529</v>
      </c>
    </row>
    <row r="2650" spans="1:19" ht="135" customHeight="1" x14ac:dyDescent="0.25">
      <c r="A2650" s="8" t="s">
        <v>13530</v>
      </c>
      <c r="B2650" s="8" t="s">
        <v>13098</v>
      </c>
      <c r="C2650" s="8" t="s">
        <v>4542</v>
      </c>
      <c r="D2650" s="10">
        <v>32</v>
      </c>
      <c r="E2650" s="8" t="s">
        <v>1855</v>
      </c>
      <c r="F2650" s="8" t="s">
        <v>1853</v>
      </c>
      <c r="G2650" s="8" t="s">
        <v>4542</v>
      </c>
      <c r="H2650" s="8"/>
      <c r="I2650" s="8"/>
      <c r="J2650" s="15" t="s">
        <v>1685</v>
      </c>
      <c r="K2650" s="8"/>
      <c r="L2650" s="15" t="s">
        <v>1685</v>
      </c>
      <c r="M2650" s="8" t="s">
        <v>13100</v>
      </c>
      <c r="N2650" s="8"/>
      <c r="O2650" s="8" t="s">
        <v>13101</v>
      </c>
      <c r="P2650" s="11" t="s">
        <v>3382</v>
      </c>
      <c r="Q2650" s="8" t="s">
        <v>13102</v>
      </c>
      <c r="R2650" s="8" t="s">
        <v>13103</v>
      </c>
      <c r="S2650" s="8" t="s">
        <v>13531</v>
      </c>
    </row>
    <row r="2651" spans="1:19" ht="149.1" customHeight="1" x14ac:dyDescent="0.25">
      <c r="A2651" s="8" t="s">
        <v>13532</v>
      </c>
      <c r="B2651" s="8" t="s">
        <v>13098</v>
      </c>
      <c r="C2651" s="8" t="s">
        <v>4542</v>
      </c>
      <c r="D2651" s="10">
        <v>33</v>
      </c>
      <c r="E2651" s="8" t="s">
        <v>1862</v>
      </c>
      <c r="F2651" s="8" t="s">
        <v>1858</v>
      </c>
      <c r="G2651" s="8" t="s">
        <v>4542</v>
      </c>
      <c r="H2651" s="8"/>
      <c r="I2651" s="8"/>
      <c r="J2651" s="15" t="s">
        <v>1685</v>
      </c>
      <c r="K2651" s="8"/>
      <c r="L2651" s="15" t="s">
        <v>1685</v>
      </c>
      <c r="M2651" s="8" t="s">
        <v>13100</v>
      </c>
      <c r="N2651" s="8"/>
      <c r="O2651" s="8" t="s">
        <v>13101</v>
      </c>
      <c r="P2651" s="11" t="s">
        <v>3383</v>
      </c>
      <c r="Q2651" s="8" t="s">
        <v>13102</v>
      </c>
      <c r="R2651" s="8" t="s">
        <v>13103</v>
      </c>
      <c r="S2651" s="8" t="s">
        <v>13533</v>
      </c>
    </row>
    <row r="2652" spans="1:19" ht="149.1" customHeight="1" x14ac:dyDescent="0.25">
      <c r="A2652" s="8" t="s">
        <v>13534</v>
      </c>
      <c r="B2652" s="8" t="s">
        <v>13098</v>
      </c>
      <c r="C2652" s="8" t="s">
        <v>4542</v>
      </c>
      <c r="D2652" s="10">
        <v>34</v>
      </c>
      <c r="E2652" s="8" t="s">
        <v>1869</v>
      </c>
      <c r="F2652" s="8" t="s">
        <v>1865</v>
      </c>
      <c r="G2652" s="8" t="s">
        <v>4542</v>
      </c>
      <c r="H2652" s="8"/>
      <c r="I2652" s="8"/>
      <c r="J2652" s="15" t="s">
        <v>1685</v>
      </c>
      <c r="K2652" s="8"/>
      <c r="L2652" s="15" t="s">
        <v>1685</v>
      </c>
      <c r="M2652" s="8" t="s">
        <v>13100</v>
      </c>
      <c r="N2652" s="8"/>
      <c r="O2652" s="8" t="s">
        <v>13101</v>
      </c>
      <c r="P2652" s="11" t="s">
        <v>3384</v>
      </c>
      <c r="Q2652" s="8" t="s">
        <v>13102</v>
      </c>
      <c r="R2652" s="8" t="s">
        <v>13103</v>
      </c>
      <c r="S2652" s="8" t="s">
        <v>13535</v>
      </c>
    </row>
    <row r="2653" spans="1:19" ht="149.1" customHeight="1" x14ac:dyDescent="0.25">
      <c r="A2653" s="8" t="s">
        <v>13536</v>
      </c>
      <c r="B2653" s="8" t="s">
        <v>13098</v>
      </c>
      <c r="C2653" s="8" t="s">
        <v>4542</v>
      </c>
      <c r="D2653" s="10">
        <v>35</v>
      </c>
      <c r="E2653" s="8" t="s">
        <v>1881</v>
      </c>
      <c r="F2653" s="8" t="s">
        <v>1880</v>
      </c>
      <c r="G2653" s="8" t="s">
        <v>4542</v>
      </c>
      <c r="H2653" s="8"/>
      <c r="I2653" s="8"/>
      <c r="J2653" s="15" t="s">
        <v>1685</v>
      </c>
      <c r="K2653" s="8"/>
      <c r="L2653" s="15" t="s">
        <v>1685</v>
      </c>
      <c r="M2653" s="8" t="s">
        <v>13100</v>
      </c>
      <c r="N2653" s="8"/>
      <c r="O2653" s="8" t="s">
        <v>13101</v>
      </c>
      <c r="P2653" s="11" t="s">
        <v>3387</v>
      </c>
      <c r="Q2653" s="8" t="s">
        <v>13102</v>
      </c>
      <c r="R2653" s="8" t="s">
        <v>13103</v>
      </c>
      <c r="S2653" s="8" t="s">
        <v>13537</v>
      </c>
    </row>
    <row r="2654" spans="1:19" ht="149.1" customHeight="1" x14ac:dyDescent="0.25">
      <c r="A2654" s="8" t="s">
        <v>13538</v>
      </c>
      <c r="B2654" s="8" t="s">
        <v>13098</v>
      </c>
      <c r="C2654" s="8" t="s">
        <v>4542</v>
      </c>
      <c r="D2654" s="10">
        <v>36</v>
      </c>
      <c r="E2654" s="8" t="s">
        <v>1892</v>
      </c>
      <c r="F2654" s="8" t="s">
        <v>1889</v>
      </c>
      <c r="G2654" s="8" t="s">
        <v>4542</v>
      </c>
      <c r="H2654" s="8"/>
      <c r="I2654" s="8"/>
      <c r="J2654" s="15" t="s">
        <v>1685</v>
      </c>
      <c r="K2654" s="8"/>
      <c r="L2654" s="15" t="s">
        <v>1685</v>
      </c>
      <c r="M2654" s="8" t="s">
        <v>13100</v>
      </c>
      <c r="N2654" s="8"/>
      <c r="O2654" s="8" t="s">
        <v>13101</v>
      </c>
      <c r="P2654" s="11" t="s">
        <v>3388</v>
      </c>
      <c r="Q2654" s="8" t="s">
        <v>13102</v>
      </c>
      <c r="R2654" s="8" t="s">
        <v>13103</v>
      </c>
      <c r="S2654" s="8" t="s">
        <v>13539</v>
      </c>
    </row>
    <row r="2655" spans="1:19" ht="149.1" customHeight="1" x14ac:dyDescent="0.25">
      <c r="A2655" s="8" t="s">
        <v>13540</v>
      </c>
      <c r="B2655" s="8" t="s">
        <v>13098</v>
      </c>
      <c r="C2655" s="8" t="s">
        <v>4542</v>
      </c>
      <c r="D2655" s="10">
        <v>37</v>
      </c>
      <c r="E2655" s="8" t="s">
        <v>1899</v>
      </c>
      <c r="F2655" s="8" t="s">
        <v>1895</v>
      </c>
      <c r="G2655" s="8" t="s">
        <v>4542</v>
      </c>
      <c r="H2655" s="8"/>
      <c r="I2655" s="8"/>
      <c r="J2655" s="15" t="s">
        <v>1685</v>
      </c>
      <c r="K2655" s="8"/>
      <c r="L2655" s="15" t="s">
        <v>1685</v>
      </c>
      <c r="M2655" s="8" t="s">
        <v>13100</v>
      </c>
      <c r="N2655" s="8"/>
      <c r="O2655" s="8" t="s">
        <v>13101</v>
      </c>
      <c r="P2655" s="11" t="s">
        <v>3389</v>
      </c>
      <c r="Q2655" s="8" t="s">
        <v>13102</v>
      </c>
      <c r="R2655" s="8" t="s">
        <v>13103</v>
      </c>
      <c r="S2655" s="8" t="s">
        <v>13541</v>
      </c>
    </row>
    <row r="2656" spans="1:19" ht="135" customHeight="1" x14ac:dyDescent="0.25">
      <c r="A2656" s="8" t="s">
        <v>13542</v>
      </c>
      <c r="B2656" s="8" t="s">
        <v>13098</v>
      </c>
      <c r="C2656" s="8" t="s">
        <v>4542</v>
      </c>
      <c r="D2656" s="10">
        <v>38</v>
      </c>
      <c r="E2656" s="8" t="s">
        <v>1906</v>
      </c>
      <c r="F2656" s="8" t="s">
        <v>1903</v>
      </c>
      <c r="G2656" s="8" t="s">
        <v>4542</v>
      </c>
      <c r="H2656" s="8"/>
      <c r="I2656" s="8"/>
      <c r="J2656" s="15" t="s">
        <v>1685</v>
      </c>
      <c r="K2656" s="8"/>
      <c r="L2656" s="15" t="s">
        <v>1685</v>
      </c>
      <c r="M2656" s="8" t="s">
        <v>13100</v>
      </c>
      <c r="N2656" s="8"/>
      <c r="O2656" s="8" t="s">
        <v>13101</v>
      </c>
      <c r="P2656" s="11" t="s">
        <v>3390</v>
      </c>
      <c r="Q2656" s="8" t="s">
        <v>13102</v>
      </c>
      <c r="R2656" s="8" t="s">
        <v>13103</v>
      </c>
      <c r="S2656" s="8" t="s">
        <v>13543</v>
      </c>
    </row>
    <row r="2657" spans="1:19" ht="149.1" customHeight="1" x14ac:dyDescent="0.25">
      <c r="A2657" s="8" t="s">
        <v>13544</v>
      </c>
      <c r="B2657" s="8" t="s">
        <v>13098</v>
      </c>
      <c r="C2657" s="8" t="s">
        <v>4542</v>
      </c>
      <c r="D2657" s="10">
        <v>39</v>
      </c>
      <c r="E2657" s="8" t="s">
        <v>1910</v>
      </c>
      <c r="F2657" s="8" t="s">
        <v>1909</v>
      </c>
      <c r="G2657" s="8" t="s">
        <v>4542</v>
      </c>
      <c r="H2657" s="8"/>
      <c r="I2657" s="8"/>
      <c r="J2657" s="15" t="s">
        <v>1685</v>
      </c>
      <c r="K2657" s="8"/>
      <c r="L2657" s="15" t="s">
        <v>1685</v>
      </c>
      <c r="M2657" s="8" t="s">
        <v>13100</v>
      </c>
      <c r="N2657" s="8"/>
      <c r="O2657" s="8" t="s">
        <v>13101</v>
      </c>
      <c r="P2657" s="11" t="s">
        <v>3391</v>
      </c>
      <c r="Q2657" s="8" t="s">
        <v>13102</v>
      </c>
      <c r="R2657" s="8" t="s">
        <v>13103</v>
      </c>
      <c r="S2657" s="8" t="s">
        <v>13545</v>
      </c>
    </row>
    <row r="2658" spans="1:19" ht="135" customHeight="1" x14ac:dyDescent="0.25">
      <c r="A2658" s="8" t="s">
        <v>13546</v>
      </c>
      <c r="B2658" s="8" t="s">
        <v>13098</v>
      </c>
      <c r="C2658" s="8" t="s">
        <v>4542</v>
      </c>
      <c r="D2658" s="10">
        <v>40</v>
      </c>
      <c r="E2658" s="8" t="s">
        <v>1916</v>
      </c>
      <c r="F2658" s="8" t="s">
        <v>1913</v>
      </c>
      <c r="G2658" s="8" t="s">
        <v>4542</v>
      </c>
      <c r="H2658" s="8"/>
      <c r="I2658" s="8"/>
      <c r="J2658" s="15" t="s">
        <v>1685</v>
      </c>
      <c r="K2658" s="8"/>
      <c r="L2658" s="15" t="s">
        <v>1685</v>
      </c>
      <c r="M2658" s="8" t="s">
        <v>13100</v>
      </c>
      <c r="N2658" s="8"/>
      <c r="O2658" s="8" t="s">
        <v>13101</v>
      </c>
      <c r="P2658" s="11" t="s">
        <v>3392</v>
      </c>
      <c r="Q2658" s="8" t="s">
        <v>13102</v>
      </c>
      <c r="R2658" s="8" t="s">
        <v>13103</v>
      </c>
      <c r="S2658" s="8" t="s">
        <v>13547</v>
      </c>
    </row>
    <row r="2659" spans="1:19" ht="149.1" customHeight="1" x14ac:dyDescent="0.25">
      <c r="A2659" s="8" t="s">
        <v>13548</v>
      </c>
      <c r="B2659" s="8" t="s">
        <v>13098</v>
      </c>
      <c r="C2659" s="8" t="s">
        <v>4542</v>
      </c>
      <c r="D2659" s="10">
        <v>41</v>
      </c>
      <c r="E2659" s="8" t="s">
        <v>1923</v>
      </c>
      <c r="F2659" s="8" t="s">
        <v>1920</v>
      </c>
      <c r="G2659" s="8" t="s">
        <v>4542</v>
      </c>
      <c r="H2659" s="8"/>
      <c r="I2659" s="8"/>
      <c r="J2659" s="15" t="s">
        <v>1685</v>
      </c>
      <c r="K2659" s="8"/>
      <c r="L2659" s="15" t="s">
        <v>1685</v>
      </c>
      <c r="M2659" s="8" t="s">
        <v>13100</v>
      </c>
      <c r="N2659" s="8"/>
      <c r="O2659" s="8" t="s">
        <v>13101</v>
      </c>
      <c r="P2659" s="11" t="s">
        <v>3393</v>
      </c>
      <c r="Q2659" s="8" t="s">
        <v>13102</v>
      </c>
      <c r="R2659" s="8" t="s">
        <v>13103</v>
      </c>
      <c r="S2659" s="8" t="s">
        <v>13549</v>
      </c>
    </row>
    <row r="2660" spans="1:19" ht="149.1" customHeight="1" x14ac:dyDescent="0.25">
      <c r="A2660" s="8" t="s">
        <v>13550</v>
      </c>
      <c r="B2660" s="8" t="s">
        <v>13098</v>
      </c>
      <c r="C2660" s="8" t="s">
        <v>4542</v>
      </c>
      <c r="D2660" s="10">
        <v>42</v>
      </c>
      <c r="E2660" s="8" t="s">
        <v>1929</v>
      </c>
      <c r="F2660" s="8" t="s">
        <v>1926</v>
      </c>
      <c r="G2660" s="8" t="s">
        <v>4542</v>
      </c>
      <c r="H2660" s="8"/>
      <c r="I2660" s="8"/>
      <c r="J2660" s="15" t="s">
        <v>1685</v>
      </c>
      <c r="K2660" s="8"/>
      <c r="L2660" s="15" t="s">
        <v>1685</v>
      </c>
      <c r="M2660" s="8" t="s">
        <v>13100</v>
      </c>
      <c r="N2660" s="8"/>
      <c r="O2660" s="8" t="s">
        <v>13101</v>
      </c>
      <c r="P2660" s="11" t="s">
        <v>3394</v>
      </c>
      <c r="Q2660" s="8" t="s">
        <v>13102</v>
      </c>
      <c r="R2660" s="8" t="s">
        <v>13103</v>
      </c>
      <c r="S2660" s="8" t="s">
        <v>13551</v>
      </c>
    </row>
    <row r="2661" spans="1:19" ht="135" customHeight="1" x14ac:dyDescent="0.25">
      <c r="A2661" s="8" t="s">
        <v>13552</v>
      </c>
      <c r="B2661" s="8" t="s">
        <v>13098</v>
      </c>
      <c r="C2661" s="8" t="s">
        <v>4542</v>
      </c>
      <c r="D2661" s="10">
        <v>43</v>
      </c>
      <c r="E2661" s="8" t="s">
        <v>1935</v>
      </c>
      <c r="F2661" s="8" t="s">
        <v>1932</v>
      </c>
      <c r="G2661" s="8" t="s">
        <v>4542</v>
      </c>
      <c r="H2661" s="8"/>
      <c r="I2661" s="8"/>
      <c r="J2661" s="15" t="s">
        <v>1685</v>
      </c>
      <c r="K2661" s="8"/>
      <c r="L2661" s="15" t="s">
        <v>1685</v>
      </c>
      <c r="M2661" s="8" t="s">
        <v>13100</v>
      </c>
      <c r="N2661" s="8"/>
      <c r="O2661" s="8" t="s">
        <v>13101</v>
      </c>
      <c r="P2661" s="11" t="s">
        <v>3395</v>
      </c>
      <c r="Q2661" s="8" t="s">
        <v>13102</v>
      </c>
      <c r="R2661" s="8" t="s">
        <v>13103</v>
      </c>
      <c r="S2661" s="8" t="s">
        <v>13553</v>
      </c>
    </row>
    <row r="2662" spans="1:19" ht="149.1" customHeight="1" x14ac:dyDescent="0.25">
      <c r="A2662" s="8" t="s">
        <v>13554</v>
      </c>
      <c r="B2662" s="8" t="s">
        <v>13098</v>
      </c>
      <c r="C2662" s="8" t="s">
        <v>4542</v>
      </c>
      <c r="D2662" s="10">
        <v>44</v>
      </c>
      <c r="E2662" s="8" t="s">
        <v>1955</v>
      </c>
      <c r="F2662" s="8" t="s">
        <v>1953</v>
      </c>
      <c r="G2662" s="8" t="s">
        <v>4542</v>
      </c>
      <c r="H2662" s="8"/>
      <c r="I2662" s="8"/>
      <c r="J2662" s="15" t="s">
        <v>1685</v>
      </c>
      <c r="K2662" s="8"/>
      <c r="L2662" s="15" t="s">
        <v>1685</v>
      </c>
      <c r="M2662" s="8" t="s">
        <v>13100</v>
      </c>
      <c r="N2662" s="8"/>
      <c r="O2662" s="8" t="s">
        <v>13101</v>
      </c>
      <c r="P2662" s="11" t="s">
        <v>3396</v>
      </c>
      <c r="Q2662" s="8" t="s">
        <v>13102</v>
      </c>
      <c r="R2662" s="8" t="s">
        <v>13103</v>
      </c>
      <c r="S2662" s="8" t="s">
        <v>13555</v>
      </c>
    </row>
    <row r="2663" spans="1:19" ht="149.1" customHeight="1" x14ac:dyDescent="0.25">
      <c r="A2663" s="8" t="s">
        <v>13556</v>
      </c>
      <c r="B2663" s="8" t="s">
        <v>13098</v>
      </c>
      <c r="C2663" s="8" t="s">
        <v>4542</v>
      </c>
      <c r="D2663" s="10">
        <v>45</v>
      </c>
      <c r="E2663" s="8" t="s">
        <v>1962</v>
      </c>
      <c r="F2663" s="8" t="s">
        <v>1958</v>
      </c>
      <c r="G2663" s="8" t="s">
        <v>4542</v>
      </c>
      <c r="H2663" s="8"/>
      <c r="I2663" s="8"/>
      <c r="J2663" s="15" t="s">
        <v>1685</v>
      </c>
      <c r="K2663" s="8"/>
      <c r="L2663" s="15" t="s">
        <v>1685</v>
      </c>
      <c r="M2663" s="8" t="s">
        <v>13100</v>
      </c>
      <c r="N2663" s="8"/>
      <c r="O2663" s="8" t="s">
        <v>13101</v>
      </c>
      <c r="P2663" s="11" t="s">
        <v>3397</v>
      </c>
      <c r="Q2663" s="8" t="s">
        <v>13102</v>
      </c>
      <c r="R2663" s="8" t="s">
        <v>13103</v>
      </c>
      <c r="S2663" s="8" t="s">
        <v>13557</v>
      </c>
    </row>
    <row r="2664" spans="1:19" ht="149.1" customHeight="1" x14ac:dyDescent="0.25">
      <c r="A2664" s="8" t="s">
        <v>13558</v>
      </c>
      <c r="B2664" s="8" t="s">
        <v>13098</v>
      </c>
      <c r="C2664" s="8" t="s">
        <v>4542</v>
      </c>
      <c r="D2664" s="10">
        <v>46</v>
      </c>
      <c r="E2664" s="8" t="s">
        <v>1969</v>
      </c>
      <c r="F2664" s="8" t="s">
        <v>1966</v>
      </c>
      <c r="G2664" s="8" t="s">
        <v>4542</v>
      </c>
      <c r="H2664" s="8"/>
      <c r="I2664" s="8"/>
      <c r="J2664" s="15" t="s">
        <v>1685</v>
      </c>
      <c r="K2664" s="8"/>
      <c r="L2664" s="15" t="s">
        <v>1685</v>
      </c>
      <c r="M2664" s="8" t="s">
        <v>13100</v>
      </c>
      <c r="N2664" s="8"/>
      <c r="O2664" s="8" t="s">
        <v>13101</v>
      </c>
      <c r="P2664" s="11" t="s">
        <v>3399</v>
      </c>
      <c r="Q2664" s="8" t="s">
        <v>13102</v>
      </c>
      <c r="R2664" s="8" t="s">
        <v>13103</v>
      </c>
      <c r="S2664" s="8" t="s">
        <v>13559</v>
      </c>
    </row>
    <row r="2665" spans="1:19" ht="149.1" customHeight="1" x14ac:dyDescent="0.25">
      <c r="A2665" s="8" t="s">
        <v>13560</v>
      </c>
      <c r="B2665" s="8" t="s">
        <v>13098</v>
      </c>
      <c r="C2665" s="8" t="s">
        <v>4542</v>
      </c>
      <c r="D2665" s="10">
        <v>47</v>
      </c>
      <c r="E2665" s="8" t="s">
        <v>1975</v>
      </c>
      <c r="F2665" s="8" t="s">
        <v>1972</v>
      </c>
      <c r="G2665" s="8" t="s">
        <v>4542</v>
      </c>
      <c r="H2665" s="8"/>
      <c r="I2665" s="8"/>
      <c r="J2665" s="15" t="s">
        <v>1685</v>
      </c>
      <c r="K2665" s="8"/>
      <c r="L2665" s="15" t="s">
        <v>1685</v>
      </c>
      <c r="M2665" s="8" t="s">
        <v>13100</v>
      </c>
      <c r="N2665" s="8"/>
      <c r="O2665" s="8" t="s">
        <v>13101</v>
      </c>
      <c r="P2665" s="11" t="s">
        <v>3400</v>
      </c>
      <c r="Q2665" s="8" t="s">
        <v>13102</v>
      </c>
      <c r="R2665" s="8" t="s">
        <v>13103</v>
      </c>
      <c r="S2665" s="8" t="s">
        <v>13561</v>
      </c>
    </row>
    <row r="2666" spans="1:19" ht="149.1" customHeight="1" x14ac:dyDescent="0.25">
      <c r="A2666" s="8" t="s">
        <v>13562</v>
      </c>
      <c r="B2666" s="8" t="s">
        <v>13098</v>
      </c>
      <c r="C2666" s="8" t="s">
        <v>4542</v>
      </c>
      <c r="D2666" s="10">
        <v>48</v>
      </c>
      <c r="E2666" s="8" t="s">
        <v>1980</v>
      </c>
      <c r="F2666" s="8" t="s">
        <v>1978</v>
      </c>
      <c r="G2666" s="8" t="s">
        <v>4542</v>
      </c>
      <c r="H2666" s="8"/>
      <c r="I2666" s="8"/>
      <c r="J2666" s="15" t="s">
        <v>1685</v>
      </c>
      <c r="K2666" s="8"/>
      <c r="L2666" s="15" t="s">
        <v>1685</v>
      </c>
      <c r="M2666" s="8" t="s">
        <v>13100</v>
      </c>
      <c r="N2666" s="8"/>
      <c r="O2666" s="8" t="s">
        <v>13101</v>
      </c>
      <c r="P2666" s="11" t="s">
        <v>3401</v>
      </c>
      <c r="Q2666" s="8" t="s">
        <v>13102</v>
      </c>
      <c r="R2666" s="8" t="s">
        <v>13103</v>
      </c>
      <c r="S2666" s="8" t="s">
        <v>13563</v>
      </c>
    </row>
    <row r="2667" spans="1:19" ht="149.1" customHeight="1" x14ac:dyDescent="0.25">
      <c r="A2667" s="8" t="s">
        <v>13564</v>
      </c>
      <c r="B2667" s="8" t="s">
        <v>13098</v>
      </c>
      <c r="C2667" s="8" t="s">
        <v>4542</v>
      </c>
      <c r="D2667" s="10">
        <v>49</v>
      </c>
      <c r="E2667" s="8" t="s">
        <v>1985</v>
      </c>
      <c r="F2667" s="8" t="s">
        <v>1983</v>
      </c>
      <c r="G2667" s="8" t="s">
        <v>4542</v>
      </c>
      <c r="H2667" s="8"/>
      <c r="I2667" s="8"/>
      <c r="J2667" s="15" t="s">
        <v>1685</v>
      </c>
      <c r="K2667" s="8"/>
      <c r="L2667" s="15" t="s">
        <v>1685</v>
      </c>
      <c r="M2667" s="8" t="s">
        <v>13100</v>
      </c>
      <c r="N2667" s="8"/>
      <c r="O2667" s="8" t="s">
        <v>13101</v>
      </c>
      <c r="P2667" s="11" t="s">
        <v>3402</v>
      </c>
      <c r="Q2667" s="8" t="s">
        <v>13102</v>
      </c>
      <c r="R2667" s="8" t="s">
        <v>13103</v>
      </c>
      <c r="S2667" s="8" t="s">
        <v>13565</v>
      </c>
    </row>
    <row r="2668" spans="1:19" ht="135" customHeight="1" x14ac:dyDescent="0.25">
      <c r="A2668" s="8" t="s">
        <v>13566</v>
      </c>
      <c r="B2668" s="8" t="s">
        <v>13098</v>
      </c>
      <c r="C2668" s="8" t="s">
        <v>4542</v>
      </c>
      <c r="D2668" s="10">
        <v>50</v>
      </c>
      <c r="E2668" s="8" t="s">
        <v>1993</v>
      </c>
      <c r="F2668" s="8" t="s">
        <v>1989</v>
      </c>
      <c r="G2668" s="8" t="s">
        <v>4542</v>
      </c>
      <c r="H2668" s="8"/>
      <c r="I2668" s="8"/>
      <c r="J2668" s="15" t="s">
        <v>1685</v>
      </c>
      <c r="K2668" s="8"/>
      <c r="L2668" s="15" t="s">
        <v>1685</v>
      </c>
      <c r="M2668" s="8" t="s">
        <v>13100</v>
      </c>
      <c r="N2668" s="8"/>
      <c r="O2668" s="8" t="s">
        <v>13101</v>
      </c>
      <c r="P2668" s="11" t="s">
        <v>3403</v>
      </c>
      <c r="Q2668" s="8" t="s">
        <v>13102</v>
      </c>
      <c r="R2668" s="8" t="s">
        <v>13103</v>
      </c>
      <c r="S2668" s="8" t="s">
        <v>13567</v>
      </c>
    </row>
    <row r="2669" spans="1:19" ht="150" customHeight="1" x14ac:dyDescent="0.25">
      <c r="A2669" s="8" t="s">
        <v>13568</v>
      </c>
      <c r="B2669" s="8" t="s">
        <v>13098</v>
      </c>
      <c r="C2669" s="8" t="s">
        <v>4542</v>
      </c>
      <c r="D2669" s="10">
        <v>51</v>
      </c>
      <c r="E2669" s="8" t="s">
        <v>1998</v>
      </c>
      <c r="F2669" s="8" t="s">
        <v>1996</v>
      </c>
      <c r="G2669" s="8" t="s">
        <v>4542</v>
      </c>
      <c r="H2669" s="8"/>
      <c r="I2669" s="8"/>
      <c r="J2669" s="15" t="s">
        <v>1685</v>
      </c>
      <c r="K2669" s="8"/>
      <c r="L2669" s="15" t="s">
        <v>1685</v>
      </c>
      <c r="M2669" s="8" t="s">
        <v>13100</v>
      </c>
      <c r="N2669" s="8"/>
      <c r="O2669" s="8" t="s">
        <v>13101</v>
      </c>
      <c r="P2669" s="11" t="s">
        <v>3404</v>
      </c>
      <c r="Q2669" s="8" t="s">
        <v>13102</v>
      </c>
      <c r="R2669" s="8" t="s">
        <v>13103</v>
      </c>
      <c r="S2669" s="8" t="s">
        <v>13569</v>
      </c>
    </row>
    <row r="2670" spans="1:19" ht="149.1" customHeight="1" x14ac:dyDescent="0.25">
      <c r="A2670" s="8" t="s">
        <v>13570</v>
      </c>
      <c r="B2670" s="8" t="s">
        <v>13098</v>
      </c>
      <c r="C2670" s="8" t="s">
        <v>4542</v>
      </c>
      <c r="D2670" s="10">
        <v>52</v>
      </c>
      <c r="E2670" s="8" t="s">
        <v>2003</v>
      </c>
      <c r="F2670" s="8" t="s">
        <v>2001</v>
      </c>
      <c r="G2670" s="8" t="s">
        <v>4542</v>
      </c>
      <c r="H2670" s="8"/>
      <c r="I2670" s="8"/>
      <c r="J2670" s="15" t="s">
        <v>1685</v>
      </c>
      <c r="K2670" s="8"/>
      <c r="L2670" s="15" t="s">
        <v>1685</v>
      </c>
      <c r="M2670" s="8" t="s">
        <v>13100</v>
      </c>
      <c r="N2670" s="8"/>
      <c r="O2670" s="8" t="s">
        <v>13101</v>
      </c>
      <c r="P2670" s="11" t="s">
        <v>3405</v>
      </c>
      <c r="Q2670" s="8" t="s">
        <v>13102</v>
      </c>
      <c r="R2670" s="8" t="s">
        <v>13103</v>
      </c>
      <c r="S2670" s="8" t="s">
        <v>13571</v>
      </c>
    </row>
    <row r="2671" spans="1:19" ht="150" customHeight="1" x14ac:dyDescent="0.25">
      <c r="A2671" s="8" t="s">
        <v>13572</v>
      </c>
      <c r="B2671" s="8" t="s">
        <v>13098</v>
      </c>
      <c r="C2671" s="8" t="s">
        <v>4542</v>
      </c>
      <c r="D2671" s="10">
        <v>53</v>
      </c>
      <c r="E2671" s="8" t="s">
        <v>2008</v>
      </c>
      <c r="F2671" s="8" t="s">
        <v>2006</v>
      </c>
      <c r="G2671" s="8" t="s">
        <v>4542</v>
      </c>
      <c r="H2671" s="8"/>
      <c r="I2671" s="8"/>
      <c r="J2671" s="15" t="s">
        <v>1685</v>
      </c>
      <c r="K2671" s="8"/>
      <c r="L2671" s="15" t="s">
        <v>1685</v>
      </c>
      <c r="M2671" s="8" t="s">
        <v>13100</v>
      </c>
      <c r="N2671" s="8"/>
      <c r="O2671" s="8" t="s">
        <v>13101</v>
      </c>
      <c r="P2671" s="11" t="s">
        <v>3406</v>
      </c>
      <c r="Q2671" s="8" t="s">
        <v>13102</v>
      </c>
      <c r="R2671" s="8" t="s">
        <v>13103</v>
      </c>
      <c r="S2671" s="8" t="s">
        <v>13573</v>
      </c>
    </row>
    <row r="2672" spans="1:19" ht="135" customHeight="1" x14ac:dyDescent="0.25">
      <c r="A2672" s="8" t="s">
        <v>13574</v>
      </c>
      <c r="B2672" s="8" t="s">
        <v>13098</v>
      </c>
      <c r="C2672" s="8" t="s">
        <v>4542</v>
      </c>
      <c r="D2672" s="10">
        <v>54</v>
      </c>
      <c r="E2672" s="8" t="s">
        <v>2013</v>
      </c>
      <c r="F2672" s="8" t="s">
        <v>2011</v>
      </c>
      <c r="G2672" s="8" t="s">
        <v>4542</v>
      </c>
      <c r="H2672" s="8"/>
      <c r="I2672" s="8"/>
      <c r="J2672" s="15" t="s">
        <v>1685</v>
      </c>
      <c r="K2672" s="8"/>
      <c r="L2672" s="15" t="s">
        <v>1685</v>
      </c>
      <c r="M2672" s="8" t="s">
        <v>13100</v>
      </c>
      <c r="N2672" s="8"/>
      <c r="O2672" s="8" t="s">
        <v>13101</v>
      </c>
      <c r="P2672" s="11" t="s">
        <v>3407</v>
      </c>
      <c r="Q2672" s="8" t="s">
        <v>13102</v>
      </c>
      <c r="R2672" s="8" t="s">
        <v>13103</v>
      </c>
      <c r="S2672" s="8" t="s">
        <v>13575</v>
      </c>
    </row>
    <row r="2673" spans="1:19" ht="135" customHeight="1" x14ac:dyDescent="0.25">
      <c r="A2673" s="8" t="s">
        <v>13576</v>
      </c>
      <c r="B2673" s="8" t="s">
        <v>13098</v>
      </c>
      <c r="C2673" s="8" t="s">
        <v>4542</v>
      </c>
      <c r="D2673" s="10">
        <v>55</v>
      </c>
      <c r="E2673" s="8" t="s">
        <v>2018</v>
      </c>
      <c r="F2673" s="8" t="s">
        <v>2016</v>
      </c>
      <c r="G2673" s="8" t="s">
        <v>4542</v>
      </c>
      <c r="H2673" s="8"/>
      <c r="I2673" s="8"/>
      <c r="J2673" s="15" t="s">
        <v>1685</v>
      </c>
      <c r="K2673" s="8"/>
      <c r="L2673" s="15" t="s">
        <v>1685</v>
      </c>
      <c r="M2673" s="8" t="s">
        <v>13100</v>
      </c>
      <c r="N2673" s="8"/>
      <c r="O2673" s="8" t="s">
        <v>13101</v>
      </c>
      <c r="P2673" s="11" t="s">
        <v>3408</v>
      </c>
      <c r="Q2673" s="8" t="s">
        <v>13102</v>
      </c>
      <c r="R2673" s="8" t="s">
        <v>13103</v>
      </c>
      <c r="S2673" s="8" t="s">
        <v>13577</v>
      </c>
    </row>
    <row r="2674" spans="1:19" ht="149.1" customHeight="1" x14ac:dyDescent="0.25">
      <c r="A2674" s="8" t="s">
        <v>13578</v>
      </c>
      <c r="B2674" s="8" t="s">
        <v>13098</v>
      </c>
      <c r="C2674" s="8" t="s">
        <v>4542</v>
      </c>
      <c r="D2674" s="10">
        <v>56</v>
      </c>
      <c r="E2674" s="8" t="s">
        <v>2023</v>
      </c>
      <c r="F2674" s="8" t="s">
        <v>2021</v>
      </c>
      <c r="G2674" s="8" t="s">
        <v>4542</v>
      </c>
      <c r="H2674" s="8"/>
      <c r="I2674" s="8"/>
      <c r="J2674" s="15" t="s">
        <v>1685</v>
      </c>
      <c r="K2674" s="8"/>
      <c r="L2674" s="15" t="s">
        <v>1685</v>
      </c>
      <c r="M2674" s="8" t="s">
        <v>13100</v>
      </c>
      <c r="N2674" s="8"/>
      <c r="O2674" s="8" t="s">
        <v>13101</v>
      </c>
      <c r="P2674" s="11" t="s">
        <v>3409</v>
      </c>
      <c r="Q2674" s="8" t="s">
        <v>13102</v>
      </c>
      <c r="R2674" s="8" t="s">
        <v>13103</v>
      </c>
      <c r="S2674" s="8" t="s">
        <v>13579</v>
      </c>
    </row>
    <row r="2675" spans="1:19" ht="135" customHeight="1" x14ac:dyDescent="0.25">
      <c r="A2675" s="8" t="s">
        <v>13580</v>
      </c>
      <c r="B2675" s="8" t="s">
        <v>13098</v>
      </c>
      <c r="C2675" s="8" t="s">
        <v>4542</v>
      </c>
      <c r="D2675" s="10">
        <v>57</v>
      </c>
      <c r="E2675" s="8" t="s">
        <v>2028</v>
      </c>
      <c r="F2675" s="8" t="s">
        <v>2026</v>
      </c>
      <c r="G2675" s="8" t="s">
        <v>4542</v>
      </c>
      <c r="H2675" s="8"/>
      <c r="I2675" s="8"/>
      <c r="J2675" s="15" t="s">
        <v>1685</v>
      </c>
      <c r="K2675" s="8"/>
      <c r="L2675" s="15" t="s">
        <v>1685</v>
      </c>
      <c r="M2675" s="8" t="s">
        <v>13100</v>
      </c>
      <c r="N2675" s="8"/>
      <c r="O2675" s="8" t="s">
        <v>13101</v>
      </c>
      <c r="P2675" s="11" t="s">
        <v>3410</v>
      </c>
      <c r="Q2675" s="8" t="s">
        <v>13102</v>
      </c>
      <c r="R2675" s="8" t="s">
        <v>13103</v>
      </c>
      <c r="S2675" s="8" t="s">
        <v>13581</v>
      </c>
    </row>
    <row r="2676" spans="1:19" ht="149.1" customHeight="1" x14ac:dyDescent="0.25">
      <c r="A2676" s="8" t="s">
        <v>13582</v>
      </c>
      <c r="B2676" s="8" t="s">
        <v>13098</v>
      </c>
      <c r="C2676" s="8" t="s">
        <v>4542</v>
      </c>
      <c r="D2676" s="10">
        <v>58</v>
      </c>
      <c r="E2676" s="8" t="s">
        <v>2033</v>
      </c>
      <c r="F2676" s="8" t="s">
        <v>2031</v>
      </c>
      <c r="G2676" s="8" t="s">
        <v>4542</v>
      </c>
      <c r="H2676" s="8"/>
      <c r="I2676" s="8"/>
      <c r="J2676" s="15" t="s">
        <v>1685</v>
      </c>
      <c r="K2676" s="8"/>
      <c r="L2676" s="15" t="s">
        <v>1685</v>
      </c>
      <c r="M2676" s="8" t="s">
        <v>13100</v>
      </c>
      <c r="N2676" s="8"/>
      <c r="O2676" s="8" t="s">
        <v>13101</v>
      </c>
      <c r="P2676" s="11" t="s">
        <v>3411</v>
      </c>
      <c r="Q2676" s="8" t="s">
        <v>13102</v>
      </c>
      <c r="R2676" s="8" t="s">
        <v>13103</v>
      </c>
      <c r="S2676" s="8" t="s">
        <v>13583</v>
      </c>
    </row>
    <row r="2677" spans="1:19" ht="135" customHeight="1" x14ac:dyDescent="0.25">
      <c r="A2677" s="8" t="s">
        <v>13584</v>
      </c>
      <c r="B2677" s="8" t="s">
        <v>13098</v>
      </c>
      <c r="C2677" s="8" t="s">
        <v>4542</v>
      </c>
      <c r="D2677" s="10">
        <v>59</v>
      </c>
      <c r="E2677" s="8" t="s">
        <v>2044</v>
      </c>
      <c r="F2677" s="8" t="s">
        <v>2042</v>
      </c>
      <c r="G2677" s="8" t="s">
        <v>4542</v>
      </c>
      <c r="H2677" s="8"/>
      <c r="I2677" s="8"/>
      <c r="J2677" s="15" t="s">
        <v>1685</v>
      </c>
      <c r="K2677" s="8"/>
      <c r="L2677" s="15" t="s">
        <v>1685</v>
      </c>
      <c r="M2677" s="8" t="s">
        <v>13100</v>
      </c>
      <c r="N2677" s="8"/>
      <c r="O2677" s="8" t="s">
        <v>13101</v>
      </c>
      <c r="P2677" s="11" t="s">
        <v>3412</v>
      </c>
      <c r="Q2677" s="8" t="s">
        <v>13102</v>
      </c>
      <c r="R2677" s="8" t="s">
        <v>13103</v>
      </c>
      <c r="S2677" s="8" t="s">
        <v>13585</v>
      </c>
    </row>
    <row r="2678" spans="1:19" ht="135" customHeight="1" x14ac:dyDescent="0.25">
      <c r="A2678" s="8" t="s">
        <v>13586</v>
      </c>
      <c r="B2678" s="8" t="s">
        <v>13098</v>
      </c>
      <c r="C2678" s="8" t="s">
        <v>4542</v>
      </c>
      <c r="D2678" s="10">
        <v>60</v>
      </c>
      <c r="E2678" s="8" t="s">
        <v>2049</v>
      </c>
      <c r="F2678" s="8" t="s">
        <v>2047</v>
      </c>
      <c r="G2678" s="8" t="s">
        <v>4542</v>
      </c>
      <c r="H2678" s="8"/>
      <c r="I2678" s="8"/>
      <c r="J2678" s="15" t="s">
        <v>1685</v>
      </c>
      <c r="K2678" s="8"/>
      <c r="L2678" s="15" t="s">
        <v>1685</v>
      </c>
      <c r="M2678" s="8" t="s">
        <v>13100</v>
      </c>
      <c r="N2678" s="8"/>
      <c r="O2678" s="8" t="s">
        <v>13101</v>
      </c>
      <c r="P2678" s="11" t="s">
        <v>3413</v>
      </c>
      <c r="Q2678" s="8" t="s">
        <v>13102</v>
      </c>
      <c r="R2678" s="8" t="s">
        <v>13103</v>
      </c>
      <c r="S2678" s="8" t="s">
        <v>13587</v>
      </c>
    </row>
    <row r="2679" spans="1:19" ht="135" customHeight="1" x14ac:dyDescent="0.25">
      <c r="A2679" s="8" t="s">
        <v>13588</v>
      </c>
      <c r="B2679" s="8" t="s">
        <v>13098</v>
      </c>
      <c r="C2679" s="8" t="s">
        <v>4542</v>
      </c>
      <c r="D2679" s="10">
        <v>61</v>
      </c>
      <c r="E2679" s="8" t="s">
        <v>2054</v>
      </c>
      <c r="F2679" s="8" t="s">
        <v>2052</v>
      </c>
      <c r="G2679" s="8" t="s">
        <v>4542</v>
      </c>
      <c r="H2679" s="8"/>
      <c r="I2679" s="8"/>
      <c r="J2679" s="15" t="s">
        <v>1685</v>
      </c>
      <c r="K2679" s="8"/>
      <c r="L2679" s="15" t="s">
        <v>1685</v>
      </c>
      <c r="M2679" s="8" t="s">
        <v>13100</v>
      </c>
      <c r="N2679" s="8"/>
      <c r="O2679" s="8" t="s">
        <v>13101</v>
      </c>
      <c r="P2679" s="11" t="s">
        <v>3414</v>
      </c>
      <c r="Q2679" s="8" t="s">
        <v>13102</v>
      </c>
      <c r="R2679" s="8" t="s">
        <v>13103</v>
      </c>
      <c r="S2679" s="8" t="s">
        <v>13589</v>
      </c>
    </row>
    <row r="2680" spans="1:19" ht="135" customHeight="1" x14ac:dyDescent="0.25">
      <c r="A2680" s="8" t="s">
        <v>13590</v>
      </c>
      <c r="B2680" s="8" t="s">
        <v>13098</v>
      </c>
      <c r="C2680" s="8" t="s">
        <v>4542</v>
      </c>
      <c r="D2680" s="10">
        <v>62</v>
      </c>
      <c r="E2680" s="8" t="s">
        <v>2059</v>
      </c>
      <c r="F2680" s="8" t="s">
        <v>2057</v>
      </c>
      <c r="G2680" s="8" t="s">
        <v>4542</v>
      </c>
      <c r="H2680" s="8"/>
      <c r="I2680" s="8"/>
      <c r="J2680" s="15" t="s">
        <v>1685</v>
      </c>
      <c r="K2680" s="8"/>
      <c r="L2680" s="15" t="s">
        <v>1685</v>
      </c>
      <c r="M2680" s="8" t="s">
        <v>13100</v>
      </c>
      <c r="N2680" s="8"/>
      <c r="O2680" s="8" t="s">
        <v>13101</v>
      </c>
      <c r="P2680" s="11" t="s">
        <v>3415</v>
      </c>
      <c r="Q2680" s="8" t="s">
        <v>13102</v>
      </c>
      <c r="R2680" s="8" t="s">
        <v>13103</v>
      </c>
      <c r="S2680" s="8" t="s">
        <v>13591</v>
      </c>
    </row>
    <row r="2681" spans="1:19" ht="135" customHeight="1" x14ac:dyDescent="0.25">
      <c r="A2681" s="8" t="s">
        <v>13592</v>
      </c>
      <c r="B2681" s="8" t="s">
        <v>13098</v>
      </c>
      <c r="C2681" s="8" t="s">
        <v>4542</v>
      </c>
      <c r="D2681" s="10">
        <v>63</v>
      </c>
      <c r="E2681" s="8" t="s">
        <v>2064</v>
      </c>
      <c r="F2681" s="8" t="s">
        <v>2062</v>
      </c>
      <c r="G2681" s="8" t="s">
        <v>4542</v>
      </c>
      <c r="H2681" s="8"/>
      <c r="I2681" s="8"/>
      <c r="J2681" s="15" t="s">
        <v>1685</v>
      </c>
      <c r="K2681" s="8"/>
      <c r="L2681" s="15" t="s">
        <v>1685</v>
      </c>
      <c r="M2681" s="8" t="s">
        <v>13100</v>
      </c>
      <c r="N2681" s="8"/>
      <c r="O2681" s="8" t="s">
        <v>13101</v>
      </c>
      <c r="P2681" s="11" t="s">
        <v>3416</v>
      </c>
      <c r="Q2681" s="8" t="s">
        <v>13102</v>
      </c>
      <c r="R2681" s="8" t="s">
        <v>13103</v>
      </c>
      <c r="S2681" s="8" t="s">
        <v>13593</v>
      </c>
    </row>
    <row r="2682" spans="1:19" ht="135" customHeight="1" x14ac:dyDescent="0.25">
      <c r="A2682" s="8" t="s">
        <v>13594</v>
      </c>
      <c r="B2682" s="8" t="s">
        <v>13098</v>
      </c>
      <c r="C2682" s="8" t="s">
        <v>4542</v>
      </c>
      <c r="D2682" s="10">
        <v>64</v>
      </c>
      <c r="E2682" s="8" t="s">
        <v>2069</v>
      </c>
      <c r="F2682" s="8" t="s">
        <v>2067</v>
      </c>
      <c r="G2682" s="8" t="s">
        <v>4542</v>
      </c>
      <c r="H2682" s="8"/>
      <c r="I2682" s="8"/>
      <c r="J2682" s="15" t="s">
        <v>1685</v>
      </c>
      <c r="K2682" s="8"/>
      <c r="L2682" s="15" t="s">
        <v>1685</v>
      </c>
      <c r="M2682" s="8" t="s">
        <v>13100</v>
      </c>
      <c r="N2682" s="8"/>
      <c r="O2682" s="8" t="s">
        <v>13101</v>
      </c>
      <c r="P2682" s="11" t="s">
        <v>3417</v>
      </c>
      <c r="Q2682" s="8" t="s">
        <v>13102</v>
      </c>
      <c r="R2682" s="8" t="s">
        <v>13103</v>
      </c>
      <c r="S2682" s="8" t="s">
        <v>13595</v>
      </c>
    </row>
    <row r="2683" spans="1:19" ht="149.1" customHeight="1" x14ac:dyDescent="0.25">
      <c r="A2683" s="8" t="s">
        <v>13596</v>
      </c>
      <c r="B2683" s="8" t="s">
        <v>13098</v>
      </c>
      <c r="C2683" s="8" t="s">
        <v>4542</v>
      </c>
      <c r="D2683" s="10">
        <v>65</v>
      </c>
      <c r="E2683" s="8" t="s">
        <v>2075</v>
      </c>
      <c r="F2683" s="8" t="s">
        <v>2072</v>
      </c>
      <c r="G2683" s="8" t="s">
        <v>4542</v>
      </c>
      <c r="H2683" s="8"/>
      <c r="I2683" s="8"/>
      <c r="J2683" s="15" t="s">
        <v>1685</v>
      </c>
      <c r="K2683" s="8"/>
      <c r="L2683" s="15" t="s">
        <v>1685</v>
      </c>
      <c r="M2683" s="8" t="s">
        <v>13100</v>
      </c>
      <c r="N2683" s="8"/>
      <c r="O2683" s="8" t="s">
        <v>13101</v>
      </c>
      <c r="P2683" s="11" t="s">
        <v>3418</v>
      </c>
      <c r="Q2683" s="8" t="s">
        <v>13102</v>
      </c>
      <c r="R2683" s="8" t="s">
        <v>13103</v>
      </c>
      <c r="S2683" s="8" t="s">
        <v>13597</v>
      </c>
    </row>
    <row r="2684" spans="1:19" ht="149.1" customHeight="1" x14ac:dyDescent="0.25">
      <c r="A2684" s="8" t="s">
        <v>13598</v>
      </c>
      <c r="B2684" s="8" t="s">
        <v>13098</v>
      </c>
      <c r="C2684" s="8" t="s">
        <v>4542</v>
      </c>
      <c r="D2684" s="10">
        <v>66</v>
      </c>
      <c r="E2684" s="8" t="s">
        <v>3419</v>
      </c>
      <c r="F2684" s="8" t="s">
        <v>3420</v>
      </c>
      <c r="G2684" s="8" t="s">
        <v>4542</v>
      </c>
      <c r="H2684" s="8"/>
      <c r="I2684" s="8"/>
      <c r="J2684" s="15" t="s">
        <v>1685</v>
      </c>
      <c r="K2684" s="8"/>
      <c r="L2684" s="15" t="s">
        <v>1685</v>
      </c>
      <c r="M2684" s="8" t="s">
        <v>13100</v>
      </c>
      <c r="N2684" s="8"/>
      <c r="O2684" s="8" t="s">
        <v>13101</v>
      </c>
      <c r="P2684" s="11" t="s">
        <v>3421</v>
      </c>
      <c r="Q2684" s="8" t="s">
        <v>13102</v>
      </c>
      <c r="R2684" s="8" t="s">
        <v>13103</v>
      </c>
      <c r="S2684" s="8" t="s">
        <v>13599</v>
      </c>
    </row>
    <row r="2685" spans="1:19" ht="149.1" customHeight="1" x14ac:dyDescent="0.25">
      <c r="A2685" s="8" t="s">
        <v>13600</v>
      </c>
      <c r="B2685" s="8" t="s">
        <v>13098</v>
      </c>
      <c r="C2685" s="8" t="s">
        <v>4542</v>
      </c>
      <c r="D2685" s="10">
        <v>67</v>
      </c>
      <c r="E2685" s="8" t="s">
        <v>2082</v>
      </c>
      <c r="F2685" s="8" t="s">
        <v>3422</v>
      </c>
      <c r="G2685" s="8" t="s">
        <v>4542</v>
      </c>
      <c r="H2685" s="8"/>
      <c r="I2685" s="8"/>
      <c r="J2685" s="15" t="s">
        <v>1685</v>
      </c>
      <c r="K2685" s="8"/>
      <c r="L2685" s="15" t="s">
        <v>1685</v>
      </c>
      <c r="M2685" s="8" t="s">
        <v>13100</v>
      </c>
      <c r="N2685" s="8"/>
      <c r="O2685" s="8" t="s">
        <v>13101</v>
      </c>
      <c r="P2685" s="11" t="s">
        <v>3423</v>
      </c>
      <c r="Q2685" s="8" t="s">
        <v>13102</v>
      </c>
      <c r="R2685" s="8" t="s">
        <v>13103</v>
      </c>
      <c r="S2685" s="8" t="s">
        <v>13601</v>
      </c>
    </row>
    <row r="2686" spans="1:19" ht="150" customHeight="1" x14ac:dyDescent="0.25">
      <c r="A2686" s="8" t="s">
        <v>13602</v>
      </c>
      <c r="B2686" s="8" t="s">
        <v>13098</v>
      </c>
      <c r="C2686" s="8" t="s">
        <v>4542</v>
      </c>
      <c r="D2686" s="10">
        <v>68</v>
      </c>
      <c r="E2686" s="8" t="s">
        <v>493</v>
      </c>
      <c r="F2686" s="8" t="s">
        <v>3425</v>
      </c>
      <c r="G2686" s="8" t="s">
        <v>4542</v>
      </c>
      <c r="H2686" s="8"/>
      <c r="I2686" s="8"/>
      <c r="J2686" s="15" t="s">
        <v>1685</v>
      </c>
      <c r="K2686" s="8"/>
      <c r="L2686" s="15" t="s">
        <v>1685</v>
      </c>
      <c r="M2686" s="8" t="s">
        <v>13100</v>
      </c>
      <c r="N2686" s="8"/>
      <c r="O2686" s="8" t="s">
        <v>13101</v>
      </c>
      <c r="P2686" s="11" t="s">
        <v>3426</v>
      </c>
      <c r="Q2686" s="8" t="s">
        <v>13102</v>
      </c>
      <c r="R2686" s="8" t="s">
        <v>13103</v>
      </c>
      <c r="S2686" s="8" t="s">
        <v>13603</v>
      </c>
    </row>
    <row r="2687" spans="1:19" ht="149.1" customHeight="1" x14ac:dyDescent="0.25">
      <c r="A2687" s="8" t="s">
        <v>13604</v>
      </c>
      <c r="B2687" s="8" t="s">
        <v>13098</v>
      </c>
      <c r="C2687" s="8" t="s">
        <v>4542</v>
      </c>
      <c r="D2687" s="10">
        <v>69</v>
      </c>
      <c r="E2687" s="8" t="s">
        <v>837</v>
      </c>
      <c r="F2687" s="8" t="s">
        <v>3428</v>
      </c>
      <c r="G2687" s="8" t="s">
        <v>4542</v>
      </c>
      <c r="H2687" s="8"/>
      <c r="I2687" s="8"/>
      <c r="J2687" s="15" t="s">
        <v>1685</v>
      </c>
      <c r="K2687" s="8"/>
      <c r="L2687" s="15" t="s">
        <v>1685</v>
      </c>
      <c r="M2687" s="8" t="s">
        <v>13100</v>
      </c>
      <c r="N2687" s="8"/>
      <c r="O2687" s="8" t="s">
        <v>13101</v>
      </c>
      <c r="P2687" s="11" t="s">
        <v>3429</v>
      </c>
      <c r="Q2687" s="8" t="s">
        <v>13102</v>
      </c>
      <c r="R2687" s="8" t="s">
        <v>13103</v>
      </c>
      <c r="S2687" s="8" t="s">
        <v>13605</v>
      </c>
    </row>
    <row r="2688" spans="1:19" ht="149.1" customHeight="1" x14ac:dyDescent="0.25">
      <c r="A2688" s="8" t="s">
        <v>13606</v>
      </c>
      <c r="B2688" s="8" t="s">
        <v>13098</v>
      </c>
      <c r="C2688" s="8" t="s">
        <v>4542</v>
      </c>
      <c r="D2688" s="10">
        <v>70</v>
      </c>
      <c r="E2688" s="8" t="s">
        <v>3430</v>
      </c>
      <c r="F2688" s="8" t="s">
        <v>3431</v>
      </c>
      <c r="G2688" s="8" t="s">
        <v>4542</v>
      </c>
      <c r="H2688" s="8"/>
      <c r="I2688" s="8"/>
      <c r="J2688" s="15" t="s">
        <v>1685</v>
      </c>
      <c r="K2688" s="8"/>
      <c r="L2688" s="15" t="s">
        <v>1685</v>
      </c>
      <c r="M2688" s="8" t="s">
        <v>13100</v>
      </c>
      <c r="N2688" s="8"/>
      <c r="O2688" s="8" t="s">
        <v>13101</v>
      </c>
      <c r="P2688" s="11" t="s">
        <v>3432</v>
      </c>
      <c r="Q2688" s="8" t="s">
        <v>13102</v>
      </c>
      <c r="R2688" s="8" t="s">
        <v>13103</v>
      </c>
      <c r="S2688" s="8" t="s">
        <v>13607</v>
      </c>
    </row>
    <row r="2689" spans="1:19" ht="150" customHeight="1" x14ac:dyDescent="0.25">
      <c r="A2689" s="8" t="s">
        <v>13608</v>
      </c>
      <c r="B2689" s="8" t="s">
        <v>13098</v>
      </c>
      <c r="C2689" s="8" t="s">
        <v>4542</v>
      </c>
      <c r="D2689" s="10">
        <v>71</v>
      </c>
      <c r="E2689" s="8" t="s">
        <v>973</v>
      </c>
      <c r="F2689" s="8" t="s">
        <v>3433</v>
      </c>
      <c r="G2689" s="8" t="s">
        <v>4542</v>
      </c>
      <c r="H2689" s="8"/>
      <c r="I2689" s="8"/>
      <c r="J2689" s="15" t="s">
        <v>1685</v>
      </c>
      <c r="K2689" s="8"/>
      <c r="L2689" s="15" t="s">
        <v>1685</v>
      </c>
      <c r="M2689" s="8" t="s">
        <v>13100</v>
      </c>
      <c r="N2689" s="8"/>
      <c r="O2689" s="8" t="s">
        <v>13101</v>
      </c>
      <c r="P2689" s="11" t="s">
        <v>3434</v>
      </c>
      <c r="Q2689" s="8" t="s">
        <v>13102</v>
      </c>
      <c r="R2689" s="8" t="s">
        <v>13103</v>
      </c>
      <c r="S2689" s="8" t="s">
        <v>13609</v>
      </c>
    </row>
    <row r="2690" spans="1:19" ht="150" customHeight="1" x14ac:dyDescent="0.25">
      <c r="A2690" s="8" t="s">
        <v>13610</v>
      </c>
      <c r="B2690" s="8" t="s">
        <v>13098</v>
      </c>
      <c r="C2690" s="8" t="s">
        <v>4542</v>
      </c>
      <c r="D2690" s="10">
        <v>72</v>
      </c>
      <c r="E2690" s="8" t="s">
        <v>818</v>
      </c>
      <c r="F2690" s="8" t="s">
        <v>3435</v>
      </c>
      <c r="G2690" s="8" t="s">
        <v>4542</v>
      </c>
      <c r="H2690" s="8"/>
      <c r="I2690" s="8"/>
      <c r="J2690" s="15" t="s">
        <v>1685</v>
      </c>
      <c r="K2690" s="8"/>
      <c r="L2690" s="15" t="s">
        <v>1685</v>
      </c>
      <c r="M2690" s="8" t="s">
        <v>13100</v>
      </c>
      <c r="N2690" s="8"/>
      <c r="O2690" s="8" t="s">
        <v>13101</v>
      </c>
      <c r="P2690" s="11" t="s">
        <v>3436</v>
      </c>
      <c r="Q2690" s="8" t="s">
        <v>13102</v>
      </c>
      <c r="R2690" s="8" t="s">
        <v>13103</v>
      </c>
      <c r="S2690" s="8" t="s">
        <v>13611</v>
      </c>
    </row>
    <row r="2691" spans="1:19" ht="150" customHeight="1" x14ac:dyDescent="0.25">
      <c r="A2691" s="8" t="s">
        <v>13612</v>
      </c>
      <c r="B2691" s="8" t="s">
        <v>13098</v>
      </c>
      <c r="C2691" s="8" t="s">
        <v>4542</v>
      </c>
      <c r="D2691" s="10">
        <v>73</v>
      </c>
      <c r="E2691" s="8" t="s">
        <v>2257</v>
      </c>
      <c r="F2691" s="8" t="s">
        <v>3437</v>
      </c>
      <c r="G2691" s="8" t="s">
        <v>4542</v>
      </c>
      <c r="H2691" s="8"/>
      <c r="I2691" s="8"/>
      <c r="J2691" s="15" t="s">
        <v>1685</v>
      </c>
      <c r="K2691" s="8"/>
      <c r="L2691" s="15" t="s">
        <v>1685</v>
      </c>
      <c r="M2691" s="8" t="s">
        <v>13100</v>
      </c>
      <c r="N2691" s="8"/>
      <c r="O2691" s="8" t="s">
        <v>13101</v>
      </c>
      <c r="P2691" s="11" t="s">
        <v>3439</v>
      </c>
      <c r="Q2691" s="8" t="s">
        <v>13102</v>
      </c>
      <c r="R2691" s="8" t="s">
        <v>13103</v>
      </c>
      <c r="S2691" s="8" t="s">
        <v>13613</v>
      </c>
    </row>
    <row r="2692" spans="1:19" ht="149.1" customHeight="1" x14ac:dyDescent="0.25">
      <c r="A2692" s="8" t="s">
        <v>13614</v>
      </c>
      <c r="B2692" s="8" t="s">
        <v>13098</v>
      </c>
      <c r="C2692" s="8" t="s">
        <v>4542</v>
      </c>
      <c r="D2692" s="10">
        <v>74</v>
      </c>
      <c r="E2692" s="8" t="s">
        <v>487</v>
      </c>
      <c r="F2692" s="8" t="s">
        <v>3441</v>
      </c>
      <c r="G2692" s="8" t="s">
        <v>4542</v>
      </c>
      <c r="H2692" s="8"/>
      <c r="I2692" s="8"/>
      <c r="J2692" s="15" t="s">
        <v>1685</v>
      </c>
      <c r="K2692" s="8"/>
      <c r="L2692" s="15" t="s">
        <v>1685</v>
      </c>
      <c r="M2692" s="8" t="s">
        <v>13100</v>
      </c>
      <c r="N2692" s="8"/>
      <c r="O2692" s="8" t="s">
        <v>13101</v>
      </c>
      <c r="P2692" s="11" t="s">
        <v>3442</v>
      </c>
      <c r="Q2692" s="8" t="s">
        <v>13102</v>
      </c>
      <c r="R2692" s="8" t="s">
        <v>13103</v>
      </c>
      <c r="S2692" s="8" t="s">
        <v>13615</v>
      </c>
    </row>
    <row r="2693" spans="1:19" ht="149.1" customHeight="1" x14ac:dyDescent="0.25">
      <c r="A2693" s="8" t="s">
        <v>13616</v>
      </c>
      <c r="B2693" s="8" t="s">
        <v>13098</v>
      </c>
      <c r="C2693" s="8" t="s">
        <v>4542</v>
      </c>
      <c r="D2693" s="10">
        <v>75</v>
      </c>
      <c r="E2693" s="8" t="s">
        <v>3443</v>
      </c>
      <c r="F2693" s="8" t="s">
        <v>3444</v>
      </c>
      <c r="G2693" s="8" t="s">
        <v>4542</v>
      </c>
      <c r="H2693" s="8"/>
      <c r="I2693" s="8"/>
      <c r="J2693" s="15" t="s">
        <v>1685</v>
      </c>
      <c r="K2693" s="8"/>
      <c r="L2693" s="15" t="s">
        <v>1685</v>
      </c>
      <c r="M2693" s="8" t="s">
        <v>13100</v>
      </c>
      <c r="N2693" s="8"/>
      <c r="O2693" s="8" t="s">
        <v>13101</v>
      </c>
      <c r="P2693" s="11" t="s">
        <v>3445</v>
      </c>
      <c r="Q2693" s="8" t="s">
        <v>13102</v>
      </c>
      <c r="R2693" s="8" t="s">
        <v>13103</v>
      </c>
      <c r="S2693" s="8" t="s">
        <v>13617</v>
      </c>
    </row>
    <row r="2694" spans="1:19" ht="149.1" customHeight="1" x14ac:dyDescent="0.25">
      <c r="A2694" s="8" t="s">
        <v>13618</v>
      </c>
      <c r="B2694" s="8" t="s">
        <v>13098</v>
      </c>
      <c r="C2694" s="8" t="s">
        <v>4542</v>
      </c>
      <c r="D2694" s="10">
        <v>76</v>
      </c>
      <c r="E2694" s="8" t="s">
        <v>647</v>
      </c>
      <c r="F2694" s="8" t="s">
        <v>3446</v>
      </c>
      <c r="G2694" s="8" t="s">
        <v>4542</v>
      </c>
      <c r="H2694" s="8"/>
      <c r="I2694" s="8"/>
      <c r="J2694" s="15" t="s">
        <v>1685</v>
      </c>
      <c r="K2694" s="8"/>
      <c r="L2694" s="15" t="s">
        <v>1685</v>
      </c>
      <c r="M2694" s="8" t="s">
        <v>13100</v>
      </c>
      <c r="N2694" s="8"/>
      <c r="O2694" s="8" t="s">
        <v>13101</v>
      </c>
      <c r="P2694" s="11" t="s">
        <v>3447</v>
      </c>
      <c r="Q2694" s="8" t="s">
        <v>13102</v>
      </c>
      <c r="R2694" s="8" t="s">
        <v>13103</v>
      </c>
      <c r="S2694" s="8" t="s">
        <v>13619</v>
      </c>
    </row>
    <row r="2695" spans="1:19" ht="150" customHeight="1" x14ac:dyDescent="0.25">
      <c r="A2695" s="8" t="s">
        <v>13620</v>
      </c>
      <c r="B2695" s="8" t="s">
        <v>13098</v>
      </c>
      <c r="C2695" s="8" t="s">
        <v>4542</v>
      </c>
      <c r="D2695" s="10">
        <v>77</v>
      </c>
      <c r="E2695" s="8" t="s">
        <v>411</v>
      </c>
      <c r="F2695" s="8" t="s">
        <v>3448</v>
      </c>
      <c r="G2695" s="8" t="s">
        <v>4542</v>
      </c>
      <c r="H2695" s="8"/>
      <c r="I2695" s="8"/>
      <c r="J2695" s="15" t="s">
        <v>1685</v>
      </c>
      <c r="K2695" s="8"/>
      <c r="L2695" s="15" t="s">
        <v>1685</v>
      </c>
      <c r="M2695" s="8" t="s">
        <v>13100</v>
      </c>
      <c r="N2695" s="8"/>
      <c r="O2695" s="8" t="s">
        <v>13101</v>
      </c>
      <c r="P2695" s="11" t="s">
        <v>3449</v>
      </c>
      <c r="Q2695" s="8" t="s">
        <v>13102</v>
      </c>
      <c r="R2695" s="8" t="s">
        <v>13103</v>
      </c>
      <c r="S2695" s="8" t="s">
        <v>13621</v>
      </c>
    </row>
    <row r="2696" spans="1:19" ht="149.1" customHeight="1" x14ac:dyDescent="0.25">
      <c r="A2696" s="8" t="s">
        <v>13622</v>
      </c>
      <c r="B2696" s="8" t="s">
        <v>13098</v>
      </c>
      <c r="C2696" s="8" t="s">
        <v>4542</v>
      </c>
      <c r="D2696" s="10">
        <v>78</v>
      </c>
      <c r="E2696" s="8" t="s">
        <v>420</v>
      </c>
      <c r="F2696" s="8" t="s">
        <v>3450</v>
      </c>
      <c r="G2696" s="8" t="s">
        <v>4542</v>
      </c>
      <c r="H2696" s="8"/>
      <c r="I2696" s="8"/>
      <c r="J2696" s="15" t="s">
        <v>1685</v>
      </c>
      <c r="K2696" s="8"/>
      <c r="L2696" s="15" t="s">
        <v>1685</v>
      </c>
      <c r="M2696" s="8" t="s">
        <v>13100</v>
      </c>
      <c r="N2696" s="8"/>
      <c r="O2696" s="8" t="s">
        <v>13101</v>
      </c>
      <c r="P2696" s="11" t="s">
        <v>3452</v>
      </c>
      <c r="Q2696" s="8" t="s">
        <v>13102</v>
      </c>
      <c r="R2696" s="8" t="s">
        <v>13103</v>
      </c>
      <c r="S2696" s="8" t="s">
        <v>13623</v>
      </c>
    </row>
    <row r="2697" spans="1:19" ht="149.1" customHeight="1" x14ac:dyDescent="0.25">
      <c r="A2697" s="8" t="s">
        <v>13624</v>
      </c>
      <c r="B2697" s="8" t="s">
        <v>13098</v>
      </c>
      <c r="C2697" s="8" t="s">
        <v>4542</v>
      </c>
      <c r="D2697" s="10">
        <v>79</v>
      </c>
      <c r="E2697" s="8" t="s">
        <v>993</v>
      </c>
      <c r="F2697" s="8" t="s">
        <v>3459</v>
      </c>
      <c r="G2697" s="8" t="s">
        <v>4542</v>
      </c>
      <c r="H2697" s="8"/>
      <c r="I2697" s="8"/>
      <c r="J2697" s="15" t="s">
        <v>1685</v>
      </c>
      <c r="K2697" s="8"/>
      <c r="L2697" s="15" t="s">
        <v>1685</v>
      </c>
      <c r="M2697" s="8" t="s">
        <v>13100</v>
      </c>
      <c r="N2697" s="8"/>
      <c r="O2697" s="8" t="s">
        <v>13101</v>
      </c>
      <c r="P2697" s="11" t="s">
        <v>3460</v>
      </c>
      <c r="Q2697" s="8" t="s">
        <v>13102</v>
      </c>
      <c r="R2697" s="8" t="s">
        <v>13103</v>
      </c>
      <c r="S2697" s="8" t="s">
        <v>13625</v>
      </c>
    </row>
    <row r="2698" spans="1:19" ht="135" customHeight="1" x14ac:dyDescent="0.25">
      <c r="A2698" s="8" t="s">
        <v>13626</v>
      </c>
      <c r="B2698" s="8" t="s">
        <v>13098</v>
      </c>
      <c r="C2698" s="8" t="s">
        <v>4542</v>
      </c>
      <c r="D2698" s="10">
        <v>80</v>
      </c>
      <c r="E2698" s="8" t="s">
        <v>704</v>
      </c>
      <c r="F2698" s="8" t="s">
        <v>3461</v>
      </c>
      <c r="G2698" s="8" t="s">
        <v>4542</v>
      </c>
      <c r="H2698" s="8"/>
      <c r="I2698" s="8"/>
      <c r="J2698" s="15" t="s">
        <v>1685</v>
      </c>
      <c r="K2698" s="8"/>
      <c r="L2698" s="15" t="s">
        <v>1685</v>
      </c>
      <c r="M2698" s="8" t="s">
        <v>13100</v>
      </c>
      <c r="N2698" s="8"/>
      <c r="O2698" s="8" t="s">
        <v>13101</v>
      </c>
      <c r="P2698" s="11" t="s">
        <v>3462</v>
      </c>
      <c r="Q2698" s="8" t="s">
        <v>13102</v>
      </c>
      <c r="R2698" s="8" t="s">
        <v>13103</v>
      </c>
      <c r="S2698" s="8" t="s">
        <v>13627</v>
      </c>
    </row>
    <row r="2699" spans="1:19" ht="150" customHeight="1" x14ac:dyDescent="0.25">
      <c r="A2699" s="8" t="s">
        <v>13628</v>
      </c>
      <c r="B2699" s="8" t="s">
        <v>13098</v>
      </c>
      <c r="C2699" s="8" t="s">
        <v>4542</v>
      </c>
      <c r="D2699" s="10">
        <v>81</v>
      </c>
      <c r="E2699" s="8" t="s">
        <v>472</v>
      </c>
      <c r="F2699" s="8" t="s">
        <v>3463</v>
      </c>
      <c r="G2699" s="8" t="s">
        <v>4542</v>
      </c>
      <c r="H2699" s="8"/>
      <c r="I2699" s="8"/>
      <c r="J2699" s="15" t="s">
        <v>1685</v>
      </c>
      <c r="K2699" s="8"/>
      <c r="L2699" s="15" t="s">
        <v>1685</v>
      </c>
      <c r="M2699" s="8" t="s">
        <v>13100</v>
      </c>
      <c r="N2699" s="8"/>
      <c r="O2699" s="8" t="s">
        <v>13101</v>
      </c>
      <c r="P2699" s="11" t="s">
        <v>3464</v>
      </c>
      <c r="Q2699" s="8" t="s">
        <v>13102</v>
      </c>
      <c r="R2699" s="8" t="s">
        <v>13103</v>
      </c>
      <c r="S2699" s="8" t="s">
        <v>13629</v>
      </c>
    </row>
    <row r="2700" spans="1:19" ht="149.1" customHeight="1" x14ac:dyDescent="0.25">
      <c r="A2700" s="8" t="s">
        <v>13630</v>
      </c>
      <c r="B2700" s="8" t="s">
        <v>13098</v>
      </c>
      <c r="C2700" s="8" t="s">
        <v>4542</v>
      </c>
      <c r="D2700" s="10">
        <v>82</v>
      </c>
      <c r="E2700" s="8" t="s">
        <v>2308</v>
      </c>
      <c r="F2700" s="8" t="s">
        <v>3465</v>
      </c>
      <c r="G2700" s="8" t="s">
        <v>4542</v>
      </c>
      <c r="H2700" s="8"/>
      <c r="I2700" s="8"/>
      <c r="J2700" s="15" t="s">
        <v>1685</v>
      </c>
      <c r="K2700" s="8"/>
      <c r="L2700" s="15" t="s">
        <v>1685</v>
      </c>
      <c r="M2700" s="8" t="s">
        <v>13100</v>
      </c>
      <c r="N2700" s="8"/>
      <c r="O2700" s="8" t="s">
        <v>13101</v>
      </c>
      <c r="P2700" s="11" t="s">
        <v>3466</v>
      </c>
      <c r="Q2700" s="8" t="s">
        <v>13102</v>
      </c>
      <c r="R2700" s="8" t="s">
        <v>13103</v>
      </c>
      <c r="S2700" s="8" t="s">
        <v>13631</v>
      </c>
    </row>
    <row r="2701" spans="1:19" ht="150" customHeight="1" x14ac:dyDescent="0.25">
      <c r="A2701" s="8" t="s">
        <v>13632</v>
      </c>
      <c r="B2701" s="8" t="s">
        <v>13098</v>
      </c>
      <c r="C2701" s="8" t="s">
        <v>4542</v>
      </c>
      <c r="D2701" s="10">
        <v>83</v>
      </c>
      <c r="E2701" s="8" t="s">
        <v>968</v>
      </c>
      <c r="F2701" s="8" t="s">
        <v>3467</v>
      </c>
      <c r="G2701" s="8" t="s">
        <v>4542</v>
      </c>
      <c r="H2701" s="8"/>
      <c r="I2701" s="8"/>
      <c r="J2701" s="15" t="s">
        <v>1685</v>
      </c>
      <c r="K2701" s="8"/>
      <c r="L2701" s="15" t="s">
        <v>1685</v>
      </c>
      <c r="M2701" s="8" t="s">
        <v>13100</v>
      </c>
      <c r="N2701" s="8"/>
      <c r="O2701" s="8" t="s">
        <v>13101</v>
      </c>
      <c r="P2701" s="11" t="s">
        <v>3468</v>
      </c>
      <c r="Q2701" s="8" t="s">
        <v>13102</v>
      </c>
      <c r="R2701" s="8" t="s">
        <v>13103</v>
      </c>
      <c r="S2701" s="8" t="s">
        <v>13633</v>
      </c>
    </row>
    <row r="2702" spans="1:19" ht="150" customHeight="1" x14ac:dyDescent="0.25">
      <c r="A2702" s="8" t="s">
        <v>13634</v>
      </c>
      <c r="B2702" s="8" t="s">
        <v>13098</v>
      </c>
      <c r="C2702" s="8" t="s">
        <v>4542</v>
      </c>
      <c r="D2702" s="10">
        <v>84</v>
      </c>
      <c r="E2702" s="8" t="s">
        <v>427</v>
      </c>
      <c r="F2702" s="8" t="s">
        <v>3469</v>
      </c>
      <c r="G2702" s="8" t="s">
        <v>4542</v>
      </c>
      <c r="H2702" s="8"/>
      <c r="I2702" s="8"/>
      <c r="J2702" s="15" t="s">
        <v>1685</v>
      </c>
      <c r="K2702" s="8"/>
      <c r="L2702" s="15" t="s">
        <v>1685</v>
      </c>
      <c r="M2702" s="8" t="s">
        <v>13100</v>
      </c>
      <c r="N2702" s="8"/>
      <c r="O2702" s="8" t="s">
        <v>13101</v>
      </c>
      <c r="P2702" s="11" t="s">
        <v>3470</v>
      </c>
      <c r="Q2702" s="8" t="s">
        <v>13102</v>
      </c>
      <c r="R2702" s="8" t="s">
        <v>13103</v>
      </c>
      <c r="S2702" s="8" t="s">
        <v>13635</v>
      </c>
    </row>
    <row r="2703" spans="1:19" ht="149.1" customHeight="1" x14ac:dyDescent="0.25">
      <c r="A2703" s="8" t="s">
        <v>13636</v>
      </c>
      <c r="B2703" s="8" t="s">
        <v>13098</v>
      </c>
      <c r="C2703" s="8" t="s">
        <v>4542</v>
      </c>
      <c r="D2703" s="10">
        <v>85</v>
      </c>
      <c r="E2703" s="8" t="s">
        <v>765</v>
      </c>
      <c r="F2703" s="8" t="s">
        <v>3471</v>
      </c>
      <c r="G2703" s="8" t="s">
        <v>4542</v>
      </c>
      <c r="H2703" s="8"/>
      <c r="I2703" s="8"/>
      <c r="J2703" s="15" t="s">
        <v>1685</v>
      </c>
      <c r="K2703" s="8"/>
      <c r="L2703" s="15" t="s">
        <v>1685</v>
      </c>
      <c r="M2703" s="8" t="s">
        <v>13100</v>
      </c>
      <c r="N2703" s="8"/>
      <c r="O2703" s="8" t="s">
        <v>13101</v>
      </c>
      <c r="P2703" s="11" t="s">
        <v>3472</v>
      </c>
      <c r="Q2703" s="8" t="s">
        <v>13102</v>
      </c>
      <c r="R2703" s="8" t="s">
        <v>13103</v>
      </c>
      <c r="S2703" s="8" t="s">
        <v>13637</v>
      </c>
    </row>
    <row r="2704" spans="1:19" ht="149.1" customHeight="1" x14ac:dyDescent="0.25">
      <c r="A2704" s="8" t="s">
        <v>13638</v>
      </c>
      <c r="B2704" s="8" t="s">
        <v>13098</v>
      </c>
      <c r="C2704" s="8" t="s">
        <v>4542</v>
      </c>
      <c r="D2704" s="10">
        <v>86</v>
      </c>
      <c r="E2704" s="8" t="s">
        <v>1034</v>
      </c>
      <c r="F2704" s="8" t="s">
        <v>3473</v>
      </c>
      <c r="G2704" s="8" t="s">
        <v>4542</v>
      </c>
      <c r="H2704" s="8"/>
      <c r="I2704" s="8"/>
      <c r="J2704" s="15" t="s">
        <v>1685</v>
      </c>
      <c r="K2704" s="8"/>
      <c r="L2704" s="15" t="s">
        <v>1685</v>
      </c>
      <c r="M2704" s="8" t="s">
        <v>13100</v>
      </c>
      <c r="N2704" s="8"/>
      <c r="O2704" s="8" t="s">
        <v>13101</v>
      </c>
      <c r="P2704" s="11" t="s">
        <v>3474</v>
      </c>
      <c r="Q2704" s="8" t="s">
        <v>13102</v>
      </c>
      <c r="R2704" s="8" t="s">
        <v>13103</v>
      </c>
      <c r="S2704" s="8" t="s">
        <v>13639</v>
      </c>
    </row>
    <row r="2705" spans="1:19" ht="149.1" customHeight="1" x14ac:dyDescent="0.25">
      <c r="A2705" s="8" t="s">
        <v>13640</v>
      </c>
      <c r="B2705" s="8" t="s">
        <v>13098</v>
      </c>
      <c r="C2705" s="8" t="s">
        <v>4542</v>
      </c>
      <c r="D2705" s="10">
        <v>87</v>
      </c>
      <c r="E2705" s="8" t="s">
        <v>2348</v>
      </c>
      <c r="F2705" s="8" t="s">
        <v>3475</v>
      </c>
      <c r="G2705" s="8" t="s">
        <v>4542</v>
      </c>
      <c r="H2705" s="8"/>
      <c r="I2705" s="8"/>
      <c r="J2705" s="15" t="s">
        <v>1685</v>
      </c>
      <c r="K2705" s="8"/>
      <c r="L2705" s="15" t="s">
        <v>1685</v>
      </c>
      <c r="M2705" s="8" t="s">
        <v>13100</v>
      </c>
      <c r="N2705" s="8"/>
      <c r="O2705" s="8" t="s">
        <v>13101</v>
      </c>
      <c r="P2705" s="11" t="s">
        <v>3476</v>
      </c>
      <c r="Q2705" s="8" t="s">
        <v>13102</v>
      </c>
      <c r="R2705" s="8" t="s">
        <v>13103</v>
      </c>
      <c r="S2705" s="8" t="s">
        <v>13641</v>
      </c>
    </row>
    <row r="2706" spans="1:19" ht="150" customHeight="1" x14ac:dyDescent="0.25">
      <c r="A2706" s="8" t="s">
        <v>13642</v>
      </c>
      <c r="B2706" s="8" t="s">
        <v>13098</v>
      </c>
      <c r="C2706" s="8" t="s">
        <v>4542</v>
      </c>
      <c r="D2706" s="10">
        <v>88</v>
      </c>
      <c r="E2706" s="8" t="s">
        <v>584</v>
      </c>
      <c r="F2706" s="8" t="s">
        <v>3477</v>
      </c>
      <c r="G2706" s="8" t="s">
        <v>4542</v>
      </c>
      <c r="H2706" s="8"/>
      <c r="I2706" s="8"/>
      <c r="J2706" s="15" t="s">
        <v>1685</v>
      </c>
      <c r="K2706" s="8"/>
      <c r="L2706" s="15" t="s">
        <v>1685</v>
      </c>
      <c r="M2706" s="8" t="s">
        <v>13100</v>
      </c>
      <c r="N2706" s="8"/>
      <c r="O2706" s="8" t="s">
        <v>13101</v>
      </c>
      <c r="P2706" s="11" t="s">
        <v>3478</v>
      </c>
      <c r="Q2706" s="8" t="s">
        <v>13102</v>
      </c>
      <c r="R2706" s="8" t="s">
        <v>13103</v>
      </c>
      <c r="S2706" s="8" t="s">
        <v>13643</v>
      </c>
    </row>
    <row r="2707" spans="1:19" ht="150" customHeight="1" x14ac:dyDescent="0.25">
      <c r="A2707" s="8" t="s">
        <v>13644</v>
      </c>
      <c r="B2707" s="8" t="s">
        <v>13098</v>
      </c>
      <c r="C2707" s="8" t="s">
        <v>4542</v>
      </c>
      <c r="D2707" s="10">
        <v>89</v>
      </c>
      <c r="E2707" s="8" t="s">
        <v>2365</v>
      </c>
      <c r="F2707" s="8" t="s">
        <v>3479</v>
      </c>
      <c r="G2707" s="8" t="s">
        <v>4542</v>
      </c>
      <c r="H2707" s="8"/>
      <c r="I2707" s="8"/>
      <c r="J2707" s="15" t="s">
        <v>1685</v>
      </c>
      <c r="K2707" s="8"/>
      <c r="L2707" s="15" t="s">
        <v>1685</v>
      </c>
      <c r="M2707" s="8" t="s">
        <v>13100</v>
      </c>
      <c r="N2707" s="8"/>
      <c r="O2707" s="8" t="s">
        <v>13101</v>
      </c>
      <c r="P2707" s="11" t="s">
        <v>3480</v>
      </c>
      <c r="Q2707" s="8" t="s">
        <v>13102</v>
      </c>
      <c r="R2707" s="8" t="s">
        <v>13103</v>
      </c>
      <c r="S2707" s="8" t="s">
        <v>13645</v>
      </c>
    </row>
    <row r="2708" spans="1:19" ht="135" customHeight="1" x14ac:dyDescent="0.25">
      <c r="A2708" s="8" t="s">
        <v>13646</v>
      </c>
      <c r="B2708" s="8" t="s">
        <v>13098</v>
      </c>
      <c r="C2708" s="8" t="s">
        <v>4542</v>
      </c>
      <c r="D2708" s="10">
        <v>90</v>
      </c>
      <c r="E2708" s="8" t="s">
        <v>2371</v>
      </c>
      <c r="F2708" s="8" t="s">
        <v>3481</v>
      </c>
      <c r="G2708" s="8" t="s">
        <v>4542</v>
      </c>
      <c r="H2708" s="8"/>
      <c r="I2708" s="8"/>
      <c r="J2708" s="15" t="s">
        <v>1685</v>
      </c>
      <c r="K2708" s="8"/>
      <c r="L2708" s="15" t="s">
        <v>1685</v>
      </c>
      <c r="M2708" s="8" t="s">
        <v>13100</v>
      </c>
      <c r="N2708" s="8"/>
      <c r="O2708" s="8" t="s">
        <v>13101</v>
      </c>
      <c r="P2708" s="11" t="s">
        <v>3482</v>
      </c>
      <c r="Q2708" s="8" t="s">
        <v>13102</v>
      </c>
      <c r="R2708" s="8" t="s">
        <v>13103</v>
      </c>
      <c r="S2708" s="8" t="s">
        <v>13647</v>
      </c>
    </row>
    <row r="2709" spans="1:19" ht="149.1" customHeight="1" x14ac:dyDescent="0.25">
      <c r="A2709" s="8" t="s">
        <v>13648</v>
      </c>
      <c r="B2709" s="8" t="s">
        <v>13098</v>
      </c>
      <c r="C2709" s="8" t="s">
        <v>4542</v>
      </c>
      <c r="D2709" s="10">
        <v>91</v>
      </c>
      <c r="E2709" s="8" t="s">
        <v>2377</v>
      </c>
      <c r="F2709" s="8" t="s">
        <v>3483</v>
      </c>
      <c r="G2709" s="8" t="s">
        <v>4542</v>
      </c>
      <c r="H2709" s="8"/>
      <c r="I2709" s="8"/>
      <c r="J2709" s="15" t="s">
        <v>1685</v>
      </c>
      <c r="K2709" s="8"/>
      <c r="L2709" s="15" t="s">
        <v>1685</v>
      </c>
      <c r="M2709" s="8" t="s">
        <v>13100</v>
      </c>
      <c r="N2709" s="8"/>
      <c r="O2709" s="8" t="s">
        <v>13101</v>
      </c>
      <c r="P2709" s="11" t="s">
        <v>3484</v>
      </c>
      <c r="Q2709" s="8" t="s">
        <v>13102</v>
      </c>
      <c r="R2709" s="8" t="s">
        <v>13103</v>
      </c>
      <c r="S2709" s="8" t="s">
        <v>13649</v>
      </c>
    </row>
    <row r="2710" spans="1:19" ht="150" customHeight="1" x14ac:dyDescent="0.25">
      <c r="A2710" s="8" t="s">
        <v>13650</v>
      </c>
      <c r="B2710" s="8" t="s">
        <v>13098</v>
      </c>
      <c r="C2710" s="8" t="s">
        <v>4542</v>
      </c>
      <c r="D2710" s="10">
        <v>92</v>
      </c>
      <c r="E2710" s="8" t="s">
        <v>2384</v>
      </c>
      <c r="F2710" s="8" t="s">
        <v>3485</v>
      </c>
      <c r="G2710" s="8" t="s">
        <v>4542</v>
      </c>
      <c r="H2710" s="8"/>
      <c r="I2710" s="8"/>
      <c r="J2710" s="15" t="s">
        <v>1685</v>
      </c>
      <c r="K2710" s="8"/>
      <c r="L2710" s="15" t="s">
        <v>1685</v>
      </c>
      <c r="M2710" s="8" t="s">
        <v>13100</v>
      </c>
      <c r="N2710" s="8"/>
      <c r="O2710" s="8" t="s">
        <v>13101</v>
      </c>
      <c r="P2710" s="11" t="s">
        <v>3486</v>
      </c>
      <c r="Q2710" s="8" t="s">
        <v>13102</v>
      </c>
      <c r="R2710" s="8" t="s">
        <v>13103</v>
      </c>
      <c r="S2710" s="8" t="s">
        <v>13651</v>
      </c>
    </row>
    <row r="2711" spans="1:19" ht="135" customHeight="1" x14ac:dyDescent="0.25">
      <c r="A2711" s="8" t="s">
        <v>13652</v>
      </c>
      <c r="B2711" s="8" t="s">
        <v>13098</v>
      </c>
      <c r="C2711" s="8" t="s">
        <v>4542</v>
      </c>
      <c r="D2711" s="10">
        <v>93</v>
      </c>
      <c r="E2711" s="8" t="s">
        <v>844</v>
      </c>
      <c r="F2711" s="8" t="s">
        <v>3487</v>
      </c>
      <c r="G2711" s="8" t="s">
        <v>4542</v>
      </c>
      <c r="H2711" s="8"/>
      <c r="I2711" s="8"/>
      <c r="J2711" s="15" t="s">
        <v>1685</v>
      </c>
      <c r="K2711" s="8"/>
      <c r="L2711" s="15" t="s">
        <v>1685</v>
      </c>
      <c r="M2711" s="8" t="s">
        <v>13100</v>
      </c>
      <c r="N2711" s="8"/>
      <c r="O2711" s="8" t="s">
        <v>13101</v>
      </c>
      <c r="P2711" s="11" t="s">
        <v>3488</v>
      </c>
      <c r="Q2711" s="8" t="s">
        <v>13102</v>
      </c>
      <c r="R2711" s="8" t="s">
        <v>13103</v>
      </c>
      <c r="S2711" s="8" t="s">
        <v>13653</v>
      </c>
    </row>
    <row r="2712" spans="1:19" ht="149.1" customHeight="1" x14ac:dyDescent="0.25">
      <c r="A2712" s="8" t="s">
        <v>13654</v>
      </c>
      <c r="B2712" s="8" t="s">
        <v>13098</v>
      </c>
      <c r="C2712" s="8" t="s">
        <v>4542</v>
      </c>
      <c r="D2712" s="10">
        <v>94</v>
      </c>
      <c r="E2712" s="8" t="s">
        <v>988</v>
      </c>
      <c r="F2712" s="8" t="s">
        <v>3489</v>
      </c>
      <c r="G2712" s="8" t="s">
        <v>4542</v>
      </c>
      <c r="H2712" s="8"/>
      <c r="I2712" s="8"/>
      <c r="J2712" s="15" t="s">
        <v>1685</v>
      </c>
      <c r="K2712" s="8"/>
      <c r="L2712" s="15" t="s">
        <v>1685</v>
      </c>
      <c r="M2712" s="8" t="s">
        <v>13100</v>
      </c>
      <c r="N2712" s="8"/>
      <c r="O2712" s="8" t="s">
        <v>13101</v>
      </c>
      <c r="P2712" s="11" t="s">
        <v>3490</v>
      </c>
      <c r="Q2712" s="8" t="s">
        <v>13102</v>
      </c>
      <c r="R2712" s="8" t="s">
        <v>13103</v>
      </c>
      <c r="S2712" s="8" t="s">
        <v>13655</v>
      </c>
    </row>
    <row r="2713" spans="1:19" ht="150" customHeight="1" x14ac:dyDescent="0.25">
      <c r="A2713" s="8" t="s">
        <v>13656</v>
      </c>
      <c r="B2713" s="8" t="s">
        <v>13098</v>
      </c>
      <c r="C2713" s="8" t="s">
        <v>4542</v>
      </c>
      <c r="D2713" s="10">
        <v>95</v>
      </c>
      <c r="E2713" s="8" t="s">
        <v>393</v>
      </c>
      <c r="F2713" s="8" t="s">
        <v>3491</v>
      </c>
      <c r="G2713" s="8" t="s">
        <v>4542</v>
      </c>
      <c r="H2713" s="8"/>
      <c r="I2713" s="8"/>
      <c r="J2713" s="15" t="s">
        <v>1685</v>
      </c>
      <c r="K2713" s="8"/>
      <c r="L2713" s="15" t="s">
        <v>1685</v>
      </c>
      <c r="M2713" s="8" t="s">
        <v>13100</v>
      </c>
      <c r="N2713" s="8"/>
      <c r="O2713" s="8" t="s">
        <v>13101</v>
      </c>
      <c r="P2713" s="11" t="s">
        <v>3492</v>
      </c>
      <c r="Q2713" s="8" t="s">
        <v>13102</v>
      </c>
      <c r="R2713" s="8" t="s">
        <v>13103</v>
      </c>
      <c r="S2713" s="8" t="s">
        <v>13657</v>
      </c>
    </row>
    <row r="2714" spans="1:19" ht="149.1" customHeight="1" x14ac:dyDescent="0.25">
      <c r="A2714" s="8" t="s">
        <v>13658</v>
      </c>
      <c r="B2714" s="8" t="s">
        <v>13098</v>
      </c>
      <c r="C2714" s="8" t="s">
        <v>4542</v>
      </c>
      <c r="D2714" s="10">
        <v>96</v>
      </c>
      <c r="E2714" s="8" t="s">
        <v>962</v>
      </c>
      <c r="F2714" s="8" t="s">
        <v>3493</v>
      </c>
      <c r="G2714" s="8" t="s">
        <v>4542</v>
      </c>
      <c r="H2714" s="8"/>
      <c r="I2714" s="8"/>
      <c r="J2714" s="15" t="s">
        <v>1685</v>
      </c>
      <c r="K2714" s="8"/>
      <c r="L2714" s="15" t="s">
        <v>1685</v>
      </c>
      <c r="M2714" s="8" t="s">
        <v>13100</v>
      </c>
      <c r="N2714" s="8"/>
      <c r="O2714" s="8" t="s">
        <v>13101</v>
      </c>
      <c r="P2714" s="11" t="s">
        <v>3494</v>
      </c>
      <c r="Q2714" s="8" t="s">
        <v>13102</v>
      </c>
      <c r="R2714" s="8" t="s">
        <v>13103</v>
      </c>
      <c r="S2714" s="8" t="s">
        <v>13659</v>
      </c>
    </row>
    <row r="2715" spans="1:19" ht="150" customHeight="1" x14ac:dyDescent="0.25">
      <c r="A2715" s="8" t="s">
        <v>13660</v>
      </c>
      <c r="B2715" s="8" t="s">
        <v>13098</v>
      </c>
      <c r="C2715" s="8" t="s">
        <v>4542</v>
      </c>
      <c r="D2715" s="10">
        <v>97</v>
      </c>
      <c r="E2715" s="8" t="s">
        <v>1028</v>
      </c>
      <c r="F2715" s="8" t="s">
        <v>3495</v>
      </c>
      <c r="G2715" s="8" t="s">
        <v>4542</v>
      </c>
      <c r="H2715" s="8"/>
      <c r="I2715" s="8"/>
      <c r="J2715" s="15" t="s">
        <v>1685</v>
      </c>
      <c r="K2715" s="8"/>
      <c r="L2715" s="15" t="s">
        <v>1685</v>
      </c>
      <c r="M2715" s="8" t="s">
        <v>13100</v>
      </c>
      <c r="N2715" s="8"/>
      <c r="O2715" s="8" t="s">
        <v>13101</v>
      </c>
      <c r="P2715" s="11" t="s">
        <v>3496</v>
      </c>
      <c r="Q2715" s="8" t="s">
        <v>13102</v>
      </c>
      <c r="R2715" s="8" t="s">
        <v>13103</v>
      </c>
      <c r="S2715" s="8" t="s">
        <v>13661</v>
      </c>
    </row>
    <row r="2716" spans="1:19" ht="149.1" customHeight="1" x14ac:dyDescent="0.25">
      <c r="A2716" s="8" t="s">
        <v>13662</v>
      </c>
      <c r="B2716" s="8" t="s">
        <v>13098</v>
      </c>
      <c r="C2716" s="8" t="s">
        <v>4542</v>
      </c>
      <c r="D2716" s="10">
        <v>98</v>
      </c>
      <c r="E2716" s="8" t="s">
        <v>1008</v>
      </c>
      <c r="F2716" s="8" t="s">
        <v>3497</v>
      </c>
      <c r="G2716" s="8" t="s">
        <v>4542</v>
      </c>
      <c r="H2716" s="8"/>
      <c r="I2716" s="8"/>
      <c r="J2716" s="15" t="s">
        <v>1685</v>
      </c>
      <c r="K2716" s="8"/>
      <c r="L2716" s="15" t="s">
        <v>1685</v>
      </c>
      <c r="M2716" s="8" t="s">
        <v>13100</v>
      </c>
      <c r="N2716" s="8"/>
      <c r="O2716" s="8" t="s">
        <v>13101</v>
      </c>
      <c r="P2716" s="11" t="s">
        <v>3498</v>
      </c>
      <c r="Q2716" s="8" t="s">
        <v>13102</v>
      </c>
      <c r="R2716" s="8" t="s">
        <v>13103</v>
      </c>
      <c r="S2716" s="8" t="s">
        <v>13663</v>
      </c>
    </row>
    <row r="2717" spans="1:19" ht="149.1" customHeight="1" x14ac:dyDescent="0.25">
      <c r="A2717" s="8" t="s">
        <v>13664</v>
      </c>
      <c r="B2717" s="8" t="s">
        <v>13098</v>
      </c>
      <c r="C2717" s="8" t="s">
        <v>4542</v>
      </c>
      <c r="D2717" s="10">
        <v>99</v>
      </c>
      <c r="E2717" s="8" t="s">
        <v>1021</v>
      </c>
      <c r="F2717" s="8" t="s">
        <v>3499</v>
      </c>
      <c r="G2717" s="8" t="s">
        <v>4542</v>
      </c>
      <c r="H2717" s="8"/>
      <c r="I2717" s="8"/>
      <c r="J2717" s="15" t="s">
        <v>1685</v>
      </c>
      <c r="K2717" s="8"/>
      <c r="L2717" s="15" t="s">
        <v>1685</v>
      </c>
      <c r="M2717" s="8" t="s">
        <v>13100</v>
      </c>
      <c r="N2717" s="8"/>
      <c r="O2717" s="8" t="s">
        <v>13101</v>
      </c>
      <c r="P2717" s="11" t="s">
        <v>3500</v>
      </c>
      <c r="Q2717" s="8" t="s">
        <v>13102</v>
      </c>
      <c r="R2717" s="8" t="s">
        <v>13103</v>
      </c>
      <c r="S2717" s="8" t="s">
        <v>13665</v>
      </c>
    </row>
    <row r="2718" spans="1:19" ht="150" customHeight="1" x14ac:dyDescent="0.25">
      <c r="A2718" s="8" t="s">
        <v>13666</v>
      </c>
      <c r="B2718" s="8" t="s">
        <v>13098</v>
      </c>
      <c r="C2718" s="8" t="s">
        <v>4542</v>
      </c>
      <c r="D2718" s="10">
        <v>100</v>
      </c>
      <c r="E2718" s="8" t="s">
        <v>616</v>
      </c>
      <c r="F2718" s="8" t="s">
        <v>3501</v>
      </c>
      <c r="G2718" s="8" t="s">
        <v>4542</v>
      </c>
      <c r="H2718" s="8"/>
      <c r="I2718" s="8"/>
      <c r="J2718" s="15" t="s">
        <v>1685</v>
      </c>
      <c r="K2718" s="8"/>
      <c r="L2718" s="15" t="s">
        <v>1685</v>
      </c>
      <c r="M2718" s="8" t="s">
        <v>13100</v>
      </c>
      <c r="N2718" s="8"/>
      <c r="O2718" s="8" t="s">
        <v>13101</v>
      </c>
      <c r="P2718" s="11" t="s">
        <v>3502</v>
      </c>
      <c r="Q2718" s="8" t="s">
        <v>13102</v>
      </c>
      <c r="R2718" s="8" t="s">
        <v>13103</v>
      </c>
      <c r="S2718" s="8" t="s">
        <v>13667</v>
      </c>
    </row>
    <row r="2719" spans="1:19" ht="150" customHeight="1" x14ac:dyDescent="0.25">
      <c r="A2719" s="8" t="s">
        <v>13668</v>
      </c>
      <c r="B2719" s="8" t="s">
        <v>13098</v>
      </c>
      <c r="C2719" s="8" t="s">
        <v>4542</v>
      </c>
      <c r="D2719" s="10">
        <v>101</v>
      </c>
      <c r="E2719" s="8" t="s">
        <v>2433</v>
      </c>
      <c r="F2719" s="8" t="s">
        <v>3503</v>
      </c>
      <c r="G2719" s="8" t="s">
        <v>4542</v>
      </c>
      <c r="H2719" s="8"/>
      <c r="I2719" s="8"/>
      <c r="J2719" s="15" t="s">
        <v>1685</v>
      </c>
      <c r="K2719" s="8"/>
      <c r="L2719" s="15" t="s">
        <v>1685</v>
      </c>
      <c r="M2719" s="8" t="s">
        <v>13100</v>
      </c>
      <c r="N2719" s="8"/>
      <c r="O2719" s="8" t="s">
        <v>13101</v>
      </c>
      <c r="P2719" s="11" t="s">
        <v>3504</v>
      </c>
      <c r="Q2719" s="8" t="s">
        <v>13102</v>
      </c>
      <c r="R2719" s="8" t="s">
        <v>13103</v>
      </c>
      <c r="S2719" s="8" t="s">
        <v>13669</v>
      </c>
    </row>
    <row r="2720" spans="1:19" ht="149.1" customHeight="1" x14ac:dyDescent="0.25">
      <c r="A2720" s="8" t="s">
        <v>13670</v>
      </c>
      <c r="B2720" s="8" t="s">
        <v>13098</v>
      </c>
      <c r="C2720" s="8" t="s">
        <v>4542</v>
      </c>
      <c r="D2720" s="10">
        <v>102</v>
      </c>
      <c r="E2720" s="8" t="s">
        <v>2441</v>
      </c>
      <c r="F2720" s="8" t="s">
        <v>3505</v>
      </c>
      <c r="G2720" s="8" t="s">
        <v>4542</v>
      </c>
      <c r="H2720" s="8"/>
      <c r="I2720" s="8"/>
      <c r="J2720" s="15" t="s">
        <v>1685</v>
      </c>
      <c r="K2720" s="8"/>
      <c r="L2720" s="15" t="s">
        <v>1685</v>
      </c>
      <c r="M2720" s="8" t="s">
        <v>13100</v>
      </c>
      <c r="N2720" s="8"/>
      <c r="O2720" s="8" t="s">
        <v>13101</v>
      </c>
      <c r="P2720" s="11" t="s">
        <v>3506</v>
      </c>
      <c r="Q2720" s="8" t="s">
        <v>13102</v>
      </c>
      <c r="R2720" s="8" t="s">
        <v>13103</v>
      </c>
      <c r="S2720" s="8" t="s">
        <v>13671</v>
      </c>
    </row>
    <row r="2721" spans="1:19" ht="149.1" customHeight="1" x14ac:dyDescent="0.25">
      <c r="A2721" s="8" t="s">
        <v>13672</v>
      </c>
      <c r="B2721" s="8" t="s">
        <v>13098</v>
      </c>
      <c r="C2721" s="8" t="s">
        <v>4542</v>
      </c>
      <c r="D2721" s="10">
        <v>103</v>
      </c>
      <c r="E2721" s="8" t="s">
        <v>2451</v>
      </c>
      <c r="F2721" s="8" t="s">
        <v>3507</v>
      </c>
      <c r="G2721" s="8" t="s">
        <v>4542</v>
      </c>
      <c r="H2721" s="8"/>
      <c r="I2721" s="8"/>
      <c r="J2721" s="15" t="s">
        <v>1685</v>
      </c>
      <c r="K2721" s="8"/>
      <c r="L2721" s="15" t="s">
        <v>1685</v>
      </c>
      <c r="M2721" s="8" t="s">
        <v>13100</v>
      </c>
      <c r="N2721" s="8"/>
      <c r="O2721" s="8" t="s">
        <v>13101</v>
      </c>
      <c r="P2721" s="11" t="s">
        <v>3508</v>
      </c>
      <c r="Q2721" s="8" t="s">
        <v>13102</v>
      </c>
      <c r="R2721" s="8" t="s">
        <v>13103</v>
      </c>
      <c r="S2721" s="8" t="s">
        <v>13673</v>
      </c>
    </row>
    <row r="2722" spans="1:19" ht="150" customHeight="1" x14ac:dyDescent="0.25">
      <c r="A2722" s="8" t="s">
        <v>13674</v>
      </c>
      <c r="B2722" s="8" t="s">
        <v>13098</v>
      </c>
      <c r="C2722" s="8" t="s">
        <v>4542</v>
      </c>
      <c r="D2722" s="10">
        <v>104</v>
      </c>
      <c r="E2722" s="8" t="s">
        <v>2459</v>
      </c>
      <c r="F2722" s="8" t="s">
        <v>3509</v>
      </c>
      <c r="G2722" s="8" t="s">
        <v>4542</v>
      </c>
      <c r="H2722" s="8"/>
      <c r="I2722" s="8"/>
      <c r="J2722" s="15" t="s">
        <v>1685</v>
      </c>
      <c r="K2722" s="8"/>
      <c r="L2722" s="15" t="s">
        <v>1685</v>
      </c>
      <c r="M2722" s="8" t="s">
        <v>13100</v>
      </c>
      <c r="N2722" s="8"/>
      <c r="O2722" s="8" t="s">
        <v>13101</v>
      </c>
      <c r="P2722" s="11" t="s">
        <v>3510</v>
      </c>
      <c r="Q2722" s="8" t="s">
        <v>13102</v>
      </c>
      <c r="R2722" s="8" t="s">
        <v>13103</v>
      </c>
      <c r="S2722" s="8" t="s">
        <v>13675</v>
      </c>
    </row>
    <row r="2723" spans="1:19" ht="149.1" customHeight="1" x14ac:dyDescent="0.25">
      <c r="A2723" s="8" t="s">
        <v>13676</v>
      </c>
      <c r="B2723" s="8" t="s">
        <v>13098</v>
      </c>
      <c r="C2723" s="8" t="s">
        <v>4542</v>
      </c>
      <c r="D2723" s="10">
        <v>105</v>
      </c>
      <c r="E2723" s="8" t="s">
        <v>2467</v>
      </c>
      <c r="F2723" s="8" t="s">
        <v>3511</v>
      </c>
      <c r="G2723" s="8" t="s">
        <v>4542</v>
      </c>
      <c r="H2723" s="8"/>
      <c r="I2723" s="8"/>
      <c r="J2723" s="15" t="s">
        <v>1685</v>
      </c>
      <c r="K2723" s="8"/>
      <c r="L2723" s="15" t="s">
        <v>1685</v>
      </c>
      <c r="M2723" s="8" t="s">
        <v>13100</v>
      </c>
      <c r="N2723" s="8"/>
      <c r="O2723" s="8" t="s">
        <v>13101</v>
      </c>
      <c r="P2723" s="11" t="s">
        <v>3512</v>
      </c>
      <c r="Q2723" s="8" t="s">
        <v>13102</v>
      </c>
      <c r="R2723" s="8" t="s">
        <v>13103</v>
      </c>
      <c r="S2723" s="8" t="s">
        <v>13677</v>
      </c>
    </row>
    <row r="2724" spans="1:19" ht="149.1" customHeight="1" x14ac:dyDescent="0.25">
      <c r="A2724" s="8" t="s">
        <v>13678</v>
      </c>
      <c r="B2724" s="8" t="s">
        <v>13098</v>
      </c>
      <c r="C2724" s="8" t="s">
        <v>4542</v>
      </c>
      <c r="D2724" s="10">
        <v>106</v>
      </c>
      <c r="E2724" s="8" t="s">
        <v>2475</v>
      </c>
      <c r="F2724" s="8" t="s">
        <v>3513</v>
      </c>
      <c r="G2724" s="8" t="s">
        <v>4542</v>
      </c>
      <c r="H2724" s="8"/>
      <c r="I2724" s="8"/>
      <c r="J2724" s="15" t="s">
        <v>1685</v>
      </c>
      <c r="K2724" s="8"/>
      <c r="L2724" s="15" t="s">
        <v>1685</v>
      </c>
      <c r="M2724" s="8" t="s">
        <v>13100</v>
      </c>
      <c r="N2724" s="8"/>
      <c r="O2724" s="8" t="s">
        <v>13101</v>
      </c>
      <c r="P2724" s="11" t="s">
        <v>3514</v>
      </c>
      <c r="Q2724" s="8" t="s">
        <v>13102</v>
      </c>
      <c r="R2724" s="8" t="s">
        <v>13103</v>
      </c>
      <c r="S2724" s="8" t="s">
        <v>13679</v>
      </c>
    </row>
    <row r="2725" spans="1:19" ht="149.1" customHeight="1" x14ac:dyDescent="0.25">
      <c r="A2725" s="8" t="s">
        <v>13680</v>
      </c>
      <c r="B2725" s="8" t="s">
        <v>13098</v>
      </c>
      <c r="C2725" s="8" t="s">
        <v>4542</v>
      </c>
      <c r="D2725" s="10">
        <v>107</v>
      </c>
      <c r="E2725" s="8" t="s">
        <v>2482</v>
      </c>
      <c r="F2725" s="8" t="s">
        <v>3515</v>
      </c>
      <c r="G2725" s="8" t="s">
        <v>4542</v>
      </c>
      <c r="H2725" s="8"/>
      <c r="I2725" s="8"/>
      <c r="J2725" s="15" t="s">
        <v>1685</v>
      </c>
      <c r="K2725" s="8"/>
      <c r="L2725" s="15" t="s">
        <v>1685</v>
      </c>
      <c r="M2725" s="8" t="s">
        <v>13100</v>
      </c>
      <c r="N2725" s="8"/>
      <c r="O2725" s="8" t="s">
        <v>13101</v>
      </c>
      <c r="P2725" s="11" t="s">
        <v>3516</v>
      </c>
      <c r="Q2725" s="8" t="s">
        <v>13102</v>
      </c>
      <c r="R2725" s="8" t="s">
        <v>13103</v>
      </c>
      <c r="S2725" s="8" t="s">
        <v>13681</v>
      </c>
    </row>
    <row r="2726" spans="1:19" ht="149.1" customHeight="1" x14ac:dyDescent="0.25">
      <c r="A2726" s="8" t="s">
        <v>13682</v>
      </c>
      <c r="B2726" s="8" t="s">
        <v>13098</v>
      </c>
      <c r="C2726" s="8" t="s">
        <v>4542</v>
      </c>
      <c r="D2726" s="10">
        <v>108</v>
      </c>
      <c r="E2726" s="8" t="s">
        <v>2516</v>
      </c>
      <c r="F2726" s="8" t="s">
        <v>3517</v>
      </c>
      <c r="G2726" s="8" t="s">
        <v>4542</v>
      </c>
      <c r="H2726" s="8"/>
      <c r="I2726" s="8"/>
      <c r="J2726" s="15" t="s">
        <v>1685</v>
      </c>
      <c r="K2726" s="8"/>
      <c r="L2726" s="15" t="s">
        <v>1685</v>
      </c>
      <c r="M2726" s="8" t="s">
        <v>13100</v>
      </c>
      <c r="N2726" s="8"/>
      <c r="O2726" s="8" t="s">
        <v>13101</v>
      </c>
      <c r="P2726" s="11" t="s">
        <v>3518</v>
      </c>
      <c r="Q2726" s="8" t="s">
        <v>13102</v>
      </c>
      <c r="R2726" s="8" t="s">
        <v>13103</v>
      </c>
      <c r="S2726" s="8" t="s">
        <v>13683</v>
      </c>
    </row>
    <row r="2727" spans="1:19" ht="149.1" customHeight="1" x14ac:dyDescent="0.25">
      <c r="A2727" s="8" t="s">
        <v>13684</v>
      </c>
      <c r="B2727" s="8" t="s">
        <v>13098</v>
      </c>
      <c r="C2727" s="8" t="s">
        <v>4542</v>
      </c>
      <c r="D2727" s="10">
        <v>109</v>
      </c>
      <c r="E2727" s="8" t="s">
        <v>2525</v>
      </c>
      <c r="F2727" s="8" t="s">
        <v>3519</v>
      </c>
      <c r="G2727" s="8" t="s">
        <v>4542</v>
      </c>
      <c r="H2727" s="8"/>
      <c r="I2727" s="8"/>
      <c r="J2727" s="15" t="s">
        <v>1685</v>
      </c>
      <c r="K2727" s="8"/>
      <c r="L2727" s="15" t="s">
        <v>1685</v>
      </c>
      <c r="M2727" s="8" t="s">
        <v>13100</v>
      </c>
      <c r="N2727" s="8"/>
      <c r="O2727" s="8" t="s">
        <v>13101</v>
      </c>
      <c r="P2727" s="11" t="s">
        <v>3520</v>
      </c>
      <c r="Q2727" s="8" t="s">
        <v>13102</v>
      </c>
      <c r="R2727" s="8" t="s">
        <v>13103</v>
      </c>
      <c r="S2727" s="8" t="s">
        <v>13685</v>
      </c>
    </row>
    <row r="2728" spans="1:19" ht="149.1" customHeight="1" x14ac:dyDescent="0.25">
      <c r="A2728" s="8" t="s">
        <v>13686</v>
      </c>
      <c r="B2728" s="8" t="s">
        <v>13098</v>
      </c>
      <c r="C2728" s="8" t="s">
        <v>4542</v>
      </c>
      <c r="D2728" s="10">
        <v>110</v>
      </c>
      <c r="E2728" s="8" t="s">
        <v>2535</v>
      </c>
      <c r="F2728" s="8" t="s">
        <v>3521</v>
      </c>
      <c r="G2728" s="8" t="s">
        <v>4542</v>
      </c>
      <c r="H2728" s="8"/>
      <c r="I2728" s="8"/>
      <c r="J2728" s="15" t="s">
        <v>1685</v>
      </c>
      <c r="K2728" s="8"/>
      <c r="L2728" s="15" t="s">
        <v>1685</v>
      </c>
      <c r="M2728" s="8" t="s">
        <v>13100</v>
      </c>
      <c r="N2728" s="8"/>
      <c r="O2728" s="8" t="s">
        <v>13101</v>
      </c>
      <c r="P2728" s="11" t="s">
        <v>3522</v>
      </c>
      <c r="Q2728" s="8" t="s">
        <v>13102</v>
      </c>
      <c r="R2728" s="8" t="s">
        <v>13103</v>
      </c>
      <c r="S2728" s="8" t="s">
        <v>13687</v>
      </c>
    </row>
    <row r="2729" spans="1:19" ht="150" customHeight="1" x14ac:dyDescent="0.25">
      <c r="A2729" s="8" t="s">
        <v>13688</v>
      </c>
      <c r="B2729" s="8" t="s">
        <v>13098</v>
      </c>
      <c r="C2729" s="8" t="s">
        <v>4542</v>
      </c>
      <c r="D2729" s="10">
        <v>111</v>
      </c>
      <c r="E2729" s="8" t="s">
        <v>2542</v>
      </c>
      <c r="F2729" s="8" t="s">
        <v>3523</v>
      </c>
      <c r="G2729" s="8" t="s">
        <v>4542</v>
      </c>
      <c r="H2729" s="8"/>
      <c r="I2729" s="8"/>
      <c r="J2729" s="15" t="s">
        <v>1685</v>
      </c>
      <c r="K2729" s="8"/>
      <c r="L2729" s="15" t="s">
        <v>1685</v>
      </c>
      <c r="M2729" s="8" t="s">
        <v>13100</v>
      </c>
      <c r="N2729" s="8"/>
      <c r="O2729" s="8" t="s">
        <v>13101</v>
      </c>
      <c r="P2729" s="11" t="s">
        <v>3524</v>
      </c>
      <c r="Q2729" s="8" t="s">
        <v>13102</v>
      </c>
      <c r="R2729" s="8" t="s">
        <v>13103</v>
      </c>
      <c r="S2729" s="8" t="s">
        <v>13689</v>
      </c>
    </row>
    <row r="2730" spans="1:19" ht="149.1" customHeight="1" x14ac:dyDescent="0.25">
      <c r="A2730" s="8" t="s">
        <v>13690</v>
      </c>
      <c r="B2730" s="8" t="s">
        <v>13098</v>
      </c>
      <c r="C2730" s="8" t="s">
        <v>4542</v>
      </c>
      <c r="D2730" s="10">
        <v>112</v>
      </c>
      <c r="E2730" s="8" t="s">
        <v>2550</v>
      </c>
      <c r="F2730" s="8" t="s">
        <v>3526</v>
      </c>
      <c r="G2730" s="8" t="s">
        <v>4542</v>
      </c>
      <c r="H2730" s="8"/>
      <c r="I2730" s="8"/>
      <c r="J2730" s="15" t="s">
        <v>1685</v>
      </c>
      <c r="K2730" s="8"/>
      <c r="L2730" s="15" t="s">
        <v>1685</v>
      </c>
      <c r="M2730" s="8" t="s">
        <v>13100</v>
      </c>
      <c r="N2730" s="8"/>
      <c r="O2730" s="8" t="s">
        <v>13101</v>
      </c>
      <c r="P2730" s="11" t="s">
        <v>3527</v>
      </c>
      <c r="Q2730" s="8" t="s">
        <v>13102</v>
      </c>
      <c r="R2730" s="8" t="s">
        <v>13103</v>
      </c>
      <c r="S2730" s="8" t="s">
        <v>13691</v>
      </c>
    </row>
    <row r="2731" spans="1:19" ht="149.1" customHeight="1" x14ac:dyDescent="0.25">
      <c r="A2731" s="8" t="s">
        <v>13692</v>
      </c>
      <c r="B2731" s="8" t="s">
        <v>13098</v>
      </c>
      <c r="C2731" s="8" t="s">
        <v>4542</v>
      </c>
      <c r="D2731" s="10">
        <v>113</v>
      </c>
      <c r="E2731" s="8" t="s">
        <v>2568</v>
      </c>
      <c r="F2731" s="8" t="s">
        <v>3528</v>
      </c>
      <c r="G2731" s="8" t="s">
        <v>4542</v>
      </c>
      <c r="H2731" s="8"/>
      <c r="I2731" s="8"/>
      <c r="J2731" s="15" t="s">
        <v>1685</v>
      </c>
      <c r="K2731" s="8"/>
      <c r="L2731" s="15" t="s">
        <v>1685</v>
      </c>
      <c r="M2731" s="8" t="s">
        <v>13100</v>
      </c>
      <c r="N2731" s="8"/>
      <c r="O2731" s="8" t="s">
        <v>13101</v>
      </c>
      <c r="P2731" s="11" t="s">
        <v>3529</v>
      </c>
      <c r="Q2731" s="8" t="s">
        <v>13102</v>
      </c>
      <c r="R2731" s="8" t="s">
        <v>13103</v>
      </c>
      <c r="S2731" s="8" t="s">
        <v>13693</v>
      </c>
    </row>
    <row r="2732" spans="1:19" ht="149.1" customHeight="1" x14ac:dyDescent="0.25">
      <c r="A2732" s="8" t="s">
        <v>13694</v>
      </c>
      <c r="B2732" s="8" t="s">
        <v>13098</v>
      </c>
      <c r="C2732" s="8" t="s">
        <v>4542</v>
      </c>
      <c r="D2732" s="10">
        <v>114</v>
      </c>
      <c r="E2732" s="8" t="s">
        <v>531</v>
      </c>
      <c r="F2732" s="8" t="s">
        <v>13695</v>
      </c>
      <c r="G2732" s="8" t="s">
        <v>4542</v>
      </c>
      <c r="H2732" s="8"/>
      <c r="I2732" s="8"/>
      <c r="J2732" s="15" t="s">
        <v>1685</v>
      </c>
      <c r="K2732" s="8"/>
      <c r="L2732" s="15" t="s">
        <v>1685</v>
      </c>
      <c r="M2732" s="8" t="s">
        <v>13100</v>
      </c>
      <c r="N2732" s="8"/>
      <c r="O2732" s="8" t="s">
        <v>13101</v>
      </c>
      <c r="P2732" s="11" t="s">
        <v>3533</v>
      </c>
      <c r="Q2732" s="8" t="s">
        <v>13102</v>
      </c>
      <c r="R2732" s="8" t="s">
        <v>13103</v>
      </c>
      <c r="S2732" s="8" t="s">
        <v>13696</v>
      </c>
    </row>
    <row r="2733" spans="1:19" ht="149.1" customHeight="1" x14ac:dyDescent="0.25">
      <c r="A2733" s="8" t="s">
        <v>13697</v>
      </c>
      <c r="B2733" s="8" t="s">
        <v>13098</v>
      </c>
      <c r="C2733" s="8" t="s">
        <v>4542</v>
      </c>
      <c r="D2733" s="10">
        <v>115</v>
      </c>
      <c r="E2733" s="8" t="s">
        <v>3537</v>
      </c>
      <c r="F2733" s="8" t="s">
        <v>3538</v>
      </c>
      <c r="G2733" s="8" t="s">
        <v>4542</v>
      </c>
      <c r="H2733" s="8"/>
      <c r="I2733" s="8"/>
      <c r="J2733" s="15" t="s">
        <v>1685</v>
      </c>
      <c r="K2733" s="8"/>
      <c r="L2733" s="15" t="s">
        <v>1685</v>
      </c>
      <c r="M2733" s="8" t="s">
        <v>13100</v>
      </c>
      <c r="N2733" s="8"/>
      <c r="O2733" s="8" t="s">
        <v>13101</v>
      </c>
      <c r="P2733" s="11" t="s">
        <v>3539</v>
      </c>
      <c r="Q2733" s="8" t="s">
        <v>13102</v>
      </c>
      <c r="R2733" s="8" t="s">
        <v>13103</v>
      </c>
      <c r="S2733" s="8" t="s">
        <v>13698</v>
      </c>
    </row>
    <row r="2734" spans="1:19" ht="149.1" customHeight="1" x14ac:dyDescent="0.25">
      <c r="A2734" s="8" t="s">
        <v>13699</v>
      </c>
      <c r="B2734" s="8" t="s">
        <v>13098</v>
      </c>
      <c r="C2734" s="8" t="s">
        <v>4542</v>
      </c>
      <c r="D2734" s="10">
        <v>116</v>
      </c>
      <c r="E2734" s="8" t="s">
        <v>375</v>
      </c>
      <c r="F2734" s="8" t="s">
        <v>3540</v>
      </c>
      <c r="G2734" s="8" t="s">
        <v>4542</v>
      </c>
      <c r="H2734" s="8"/>
      <c r="I2734" s="8"/>
      <c r="J2734" s="15" t="s">
        <v>1685</v>
      </c>
      <c r="K2734" s="8"/>
      <c r="L2734" s="15" t="s">
        <v>1685</v>
      </c>
      <c r="M2734" s="8" t="s">
        <v>13100</v>
      </c>
      <c r="N2734" s="8"/>
      <c r="O2734" s="8" t="s">
        <v>13101</v>
      </c>
      <c r="P2734" s="11" t="s">
        <v>3541</v>
      </c>
      <c r="Q2734" s="8" t="s">
        <v>13102</v>
      </c>
      <c r="R2734" s="8" t="s">
        <v>13103</v>
      </c>
      <c r="S2734" s="8" t="s">
        <v>13700</v>
      </c>
    </row>
    <row r="2735" spans="1:19" ht="149.1" customHeight="1" x14ac:dyDescent="0.25">
      <c r="A2735" s="8" t="s">
        <v>13701</v>
      </c>
      <c r="B2735" s="8" t="s">
        <v>13098</v>
      </c>
      <c r="C2735" s="8" t="s">
        <v>4542</v>
      </c>
      <c r="D2735" s="10">
        <v>117</v>
      </c>
      <c r="E2735" s="8" t="s">
        <v>515</v>
      </c>
      <c r="F2735" s="8" t="s">
        <v>3542</v>
      </c>
      <c r="G2735" s="8" t="s">
        <v>4542</v>
      </c>
      <c r="H2735" s="8"/>
      <c r="I2735" s="8"/>
      <c r="J2735" s="15" t="s">
        <v>1685</v>
      </c>
      <c r="K2735" s="8"/>
      <c r="L2735" s="15" t="s">
        <v>1685</v>
      </c>
      <c r="M2735" s="8" t="s">
        <v>13100</v>
      </c>
      <c r="N2735" s="8"/>
      <c r="O2735" s="8" t="s">
        <v>13101</v>
      </c>
      <c r="P2735" s="11" t="s">
        <v>3543</v>
      </c>
      <c r="Q2735" s="8" t="s">
        <v>13102</v>
      </c>
      <c r="R2735" s="8" t="s">
        <v>13103</v>
      </c>
      <c r="S2735" s="8" t="s">
        <v>13702</v>
      </c>
    </row>
    <row r="2736" spans="1:19" ht="149.1" customHeight="1" x14ac:dyDescent="0.25">
      <c r="A2736" s="8" t="s">
        <v>13703</v>
      </c>
      <c r="B2736" s="8" t="s">
        <v>13098</v>
      </c>
      <c r="C2736" s="8" t="s">
        <v>4542</v>
      </c>
      <c r="D2736" s="10">
        <v>118</v>
      </c>
      <c r="E2736" s="8" t="s">
        <v>433</v>
      </c>
      <c r="F2736" s="8" t="s">
        <v>3544</v>
      </c>
      <c r="G2736" s="8" t="s">
        <v>4542</v>
      </c>
      <c r="H2736" s="8"/>
      <c r="I2736" s="8"/>
      <c r="J2736" s="15" t="s">
        <v>1685</v>
      </c>
      <c r="K2736" s="8"/>
      <c r="L2736" s="15" t="s">
        <v>1685</v>
      </c>
      <c r="M2736" s="8" t="s">
        <v>13100</v>
      </c>
      <c r="N2736" s="8"/>
      <c r="O2736" s="8" t="s">
        <v>13101</v>
      </c>
      <c r="P2736" s="11" t="s">
        <v>3545</v>
      </c>
      <c r="Q2736" s="8" t="s">
        <v>13102</v>
      </c>
      <c r="R2736" s="8" t="s">
        <v>13103</v>
      </c>
      <c r="S2736" s="8" t="s">
        <v>13704</v>
      </c>
    </row>
    <row r="2737" spans="1:19" ht="150" customHeight="1" x14ac:dyDescent="0.25">
      <c r="A2737" s="8" t="s">
        <v>13705</v>
      </c>
      <c r="B2737" s="8" t="s">
        <v>13098</v>
      </c>
      <c r="C2737" s="8" t="s">
        <v>4542</v>
      </c>
      <c r="D2737" s="10">
        <v>119</v>
      </c>
      <c r="E2737" s="8" t="s">
        <v>3546</v>
      </c>
      <c r="F2737" s="8" t="s">
        <v>3547</v>
      </c>
      <c r="G2737" s="8" t="s">
        <v>4542</v>
      </c>
      <c r="H2737" s="8"/>
      <c r="I2737" s="8"/>
      <c r="J2737" s="15" t="s">
        <v>1685</v>
      </c>
      <c r="K2737" s="8"/>
      <c r="L2737" s="15" t="s">
        <v>1685</v>
      </c>
      <c r="M2737" s="8" t="s">
        <v>13100</v>
      </c>
      <c r="N2737" s="8"/>
      <c r="O2737" s="8" t="s">
        <v>13101</v>
      </c>
      <c r="P2737" s="11" t="s">
        <v>3548</v>
      </c>
      <c r="Q2737" s="8" t="s">
        <v>13102</v>
      </c>
      <c r="R2737" s="8" t="s">
        <v>13103</v>
      </c>
      <c r="S2737" s="8" t="s">
        <v>13706</v>
      </c>
    </row>
    <row r="2738" spans="1:19" ht="150" customHeight="1" x14ac:dyDescent="0.25">
      <c r="A2738" s="8" t="s">
        <v>13707</v>
      </c>
      <c r="B2738" s="8" t="s">
        <v>13098</v>
      </c>
      <c r="C2738" s="8" t="s">
        <v>4542</v>
      </c>
      <c r="D2738" s="10">
        <v>120</v>
      </c>
      <c r="E2738" s="8" t="s">
        <v>626</v>
      </c>
      <c r="F2738" s="8" t="s">
        <v>3549</v>
      </c>
      <c r="G2738" s="8" t="s">
        <v>4542</v>
      </c>
      <c r="H2738" s="8"/>
      <c r="I2738" s="8"/>
      <c r="J2738" s="15" t="s">
        <v>1685</v>
      </c>
      <c r="K2738" s="8"/>
      <c r="L2738" s="15" t="s">
        <v>1685</v>
      </c>
      <c r="M2738" s="8" t="s">
        <v>13100</v>
      </c>
      <c r="N2738" s="8"/>
      <c r="O2738" s="8" t="s">
        <v>13101</v>
      </c>
      <c r="P2738" s="11" t="s">
        <v>3550</v>
      </c>
      <c r="Q2738" s="8" t="s">
        <v>13102</v>
      </c>
      <c r="R2738" s="8" t="s">
        <v>13103</v>
      </c>
      <c r="S2738" s="8" t="s">
        <v>13708</v>
      </c>
    </row>
    <row r="2739" spans="1:19" ht="149.1" customHeight="1" x14ac:dyDescent="0.25">
      <c r="A2739" s="8" t="s">
        <v>13709</v>
      </c>
      <c r="B2739" s="8" t="s">
        <v>13098</v>
      </c>
      <c r="C2739" s="8" t="s">
        <v>4542</v>
      </c>
      <c r="D2739" s="10">
        <v>121</v>
      </c>
      <c r="E2739" s="8" t="s">
        <v>741</v>
      </c>
      <c r="F2739" s="8" t="s">
        <v>3551</v>
      </c>
      <c r="G2739" s="8" t="s">
        <v>4542</v>
      </c>
      <c r="H2739" s="8"/>
      <c r="I2739" s="8"/>
      <c r="J2739" s="15" t="s">
        <v>1685</v>
      </c>
      <c r="K2739" s="8"/>
      <c r="L2739" s="15" t="s">
        <v>1685</v>
      </c>
      <c r="M2739" s="8" t="s">
        <v>13100</v>
      </c>
      <c r="N2739" s="8"/>
      <c r="O2739" s="8" t="s">
        <v>13101</v>
      </c>
      <c r="P2739" s="11" t="s">
        <v>3552</v>
      </c>
      <c r="Q2739" s="8" t="s">
        <v>13102</v>
      </c>
      <c r="R2739" s="8" t="s">
        <v>13103</v>
      </c>
      <c r="S2739" s="8" t="s">
        <v>13710</v>
      </c>
    </row>
    <row r="2740" spans="1:19" ht="135" customHeight="1" x14ac:dyDescent="0.25">
      <c r="A2740" s="8" t="s">
        <v>13711</v>
      </c>
      <c r="B2740" s="8" t="s">
        <v>13098</v>
      </c>
      <c r="C2740" s="8" t="s">
        <v>4542</v>
      </c>
      <c r="D2740" s="10">
        <v>122</v>
      </c>
      <c r="E2740" s="8" t="s">
        <v>463</v>
      </c>
      <c r="F2740" s="8" t="s">
        <v>3553</v>
      </c>
      <c r="G2740" s="8" t="s">
        <v>4542</v>
      </c>
      <c r="H2740" s="8"/>
      <c r="I2740" s="8"/>
      <c r="J2740" s="15" t="s">
        <v>1685</v>
      </c>
      <c r="K2740" s="8"/>
      <c r="L2740" s="15" t="s">
        <v>1685</v>
      </c>
      <c r="M2740" s="8" t="s">
        <v>13100</v>
      </c>
      <c r="N2740" s="8"/>
      <c r="O2740" s="8" t="s">
        <v>13101</v>
      </c>
      <c r="P2740" s="11" t="s">
        <v>3554</v>
      </c>
      <c r="Q2740" s="8" t="s">
        <v>13102</v>
      </c>
      <c r="R2740" s="8" t="s">
        <v>13103</v>
      </c>
      <c r="S2740" s="8" t="s">
        <v>13712</v>
      </c>
    </row>
    <row r="2741" spans="1:19" ht="135" customHeight="1" x14ac:dyDescent="0.25">
      <c r="A2741" s="8" t="s">
        <v>13713</v>
      </c>
      <c r="B2741" s="8" t="s">
        <v>13098</v>
      </c>
      <c r="C2741" s="8" t="s">
        <v>4542</v>
      </c>
      <c r="D2741" s="10">
        <v>123</v>
      </c>
      <c r="E2741" s="8" t="s">
        <v>499</v>
      </c>
      <c r="F2741" s="8" t="s">
        <v>3555</v>
      </c>
      <c r="G2741" s="8" t="s">
        <v>4542</v>
      </c>
      <c r="H2741" s="8"/>
      <c r="I2741" s="8"/>
      <c r="J2741" s="15" t="s">
        <v>1685</v>
      </c>
      <c r="K2741" s="8"/>
      <c r="L2741" s="15" t="s">
        <v>1685</v>
      </c>
      <c r="M2741" s="8" t="s">
        <v>13100</v>
      </c>
      <c r="N2741" s="8"/>
      <c r="O2741" s="8" t="s">
        <v>13101</v>
      </c>
      <c r="P2741" s="11" t="s">
        <v>3556</v>
      </c>
      <c r="Q2741" s="8" t="s">
        <v>13102</v>
      </c>
      <c r="R2741" s="8" t="s">
        <v>13103</v>
      </c>
      <c r="S2741" s="8" t="s">
        <v>13714</v>
      </c>
    </row>
    <row r="2742" spans="1:19" ht="149.1" customHeight="1" x14ac:dyDescent="0.25">
      <c r="A2742" s="8" t="s">
        <v>13715</v>
      </c>
      <c r="B2742" s="8" t="s">
        <v>13098</v>
      </c>
      <c r="C2742" s="8" t="s">
        <v>4542</v>
      </c>
      <c r="D2742" s="10">
        <v>124</v>
      </c>
      <c r="E2742" s="8" t="s">
        <v>803</v>
      </c>
      <c r="F2742" s="8" t="s">
        <v>3557</v>
      </c>
      <c r="G2742" s="8" t="s">
        <v>4542</v>
      </c>
      <c r="H2742" s="8"/>
      <c r="I2742" s="8"/>
      <c r="J2742" s="15" t="s">
        <v>1685</v>
      </c>
      <c r="K2742" s="8"/>
      <c r="L2742" s="15" t="s">
        <v>1685</v>
      </c>
      <c r="M2742" s="8" t="s">
        <v>13100</v>
      </c>
      <c r="N2742" s="8"/>
      <c r="O2742" s="8" t="s">
        <v>13101</v>
      </c>
      <c r="P2742" s="11" t="s">
        <v>3558</v>
      </c>
      <c r="Q2742" s="8" t="s">
        <v>13102</v>
      </c>
      <c r="R2742" s="8" t="s">
        <v>13103</v>
      </c>
      <c r="S2742" s="8" t="s">
        <v>13716</v>
      </c>
    </row>
    <row r="2743" spans="1:19" ht="150" customHeight="1" x14ac:dyDescent="0.25">
      <c r="A2743" s="8" t="s">
        <v>13717</v>
      </c>
      <c r="B2743" s="8" t="s">
        <v>13098</v>
      </c>
      <c r="C2743" s="8" t="s">
        <v>4542</v>
      </c>
      <c r="D2743" s="10">
        <v>125</v>
      </c>
      <c r="E2743" s="8" t="s">
        <v>455</v>
      </c>
      <c r="F2743" s="8" t="s">
        <v>454</v>
      </c>
      <c r="G2743" s="8" t="s">
        <v>4542</v>
      </c>
      <c r="H2743" s="8"/>
      <c r="I2743" s="8"/>
      <c r="J2743" s="15" t="s">
        <v>1685</v>
      </c>
      <c r="K2743" s="8"/>
      <c r="L2743" s="15" t="s">
        <v>1685</v>
      </c>
      <c r="M2743" s="8" t="s">
        <v>13100</v>
      </c>
      <c r="N2743" s="8"/>
      <c r="O2743" s="8" t="s">
        <v>13101</v>
      </c>
      <c r="P2743" s="11" t="s">
        <v>3559</v>
      </c>
      <c r="Q2743" s="8" t="s">
        <v>13102</v>
      </c>
      <c r="R2743" s="8" t="s">
        <v>13103</v>
      </c>
      <c r="S2743" s="8" t="s">
        <v>13718</v>
      </c>
    </row>
    <row r="2744" spans="1:19" ht="149.1" customHeight="1" x14ac:dyDescent="0.25">
      <c r="A2744" s="8" t="s">
        <v>13719</v>
      </c>
      <c r="B2744" s="8" t="s">
        <v>13098</v>
      </c>
      <c r="C2744" s="8" t="s">
        <v>4542</v>
      </c>
      <c r="D2744" s="10">
        <v>126</v>
      </c>
      <c r="E2744" s="8" t="s">
        <v>771</v>
      </c>
      <c r="F2744" s="8" t="s">
        <v>3562</v>
      </c>
      <c r="G2744" s="8" t="s">
        <v>4542</v>
      </c>
      <c r="H2744" s="8"/>
      <c r="I2744" s="8"/>
      <c r="J2744" s="15" t="s">
        <v>1685</v>
      </c>
      <c r="K2744" s="8"/>
      <c r="L2744" s="15" t="s">
        <v>1685</v>
      </c>
      <c r="M2744" s="8" t="s">
        <v>13100</v>
      </c>
      <c r="N2744" s="8"/>
      <c r="O2744" s="8" t="s">
        <v>13101</v>
      </c>
      <c r="P2744" s="11" t="s">
        <v>3563</v>
      </c>
      <c r="Q2744" s="8" t="s">
        <v>13102</v>
      </c>
      <c r="R2744" s="8" t="s">
        <v>13103</v>
      </c>
      <c r="S2744" s="8" t="s">
        <v>13720</v>
      </c>
    </row>
    <row r="2745" spans="1:19" ht="149.1" customHeight="1" x14ac:dyDescent="0.25">
      <c r="A2745" s="8" t="s">
        <v>13721</v>
      </c>
      <c r="B2745" s="8" t="s">
        <v>13098</v>
      </c>
      <c r="C2745" s="8" t="s">
        <v>4542</v>
      </c>
      <c r="D2745" s="10">
        <v>127</v>
      </c>
      <c r="E2745" s="8" t="s">
        <v>782</v>
      </c>
      <c r="F2745" s="8" t="s">
        <v>3564</v>
      </c>
      <c r="G2745" s="8" t="s">
        <v>4542</v>
      </c>
      <c r="H2745" s="8"/>
      <c r="I2745" s="8"/>
      <c r="J2745" s="15" t="s">
        <v>1685</v>
      </c>
      <c r="K2745" s="8"/>
      <c r="L2745" s="15" t="s">
        <v>1685</v>
      </c>
      <c r="M2745" s="8" t="s">
        <v>13100</v>
      </c>
      <c r="N2745" s="8"/>
      <c r="O2745" s="8" t="s">
        <v>13101</v>
      </c>
      <c r="P2745" s="11" t="s">
        <v>3565</v>
      </c>
      <c r="Q2745" s="8" t="s">
        <v>13102</v>
      </c>
      <c r="R2745" s="8" t="s">
        <v>13103</v>
      </c>
      <c r="S2745" s="8" t="s">
        <v>13722</v>
      </c>
    </row>
    <row r="2746" spans="1:19" ht="149.1" customHeight="1" x14ac:dyDescent="0.25">
      <c r="A2746" s="8" t="s">
        <v>13723</v>
      </c>
      <c r="B2746" s="8" t="s">
        <v>13098</v>
      </c>
      <c r="C2746" s="8" t="s">
        <v>4542</v>
      </c>
      <c r="D2746" s="10">
        <v>128</v>
      </c>
      <c r="E2746" s="8" t="s">
        <v>384</v>
      </c>
      <c r="F2746" s="8" t="s">
        <v>13724</v>
      </c>
      <c r="G2746" s="8" t="s">
        <v>4542</v>
      </c>
      <c r="H2746" s="8"/>
      <c r="I2746" s="8"/>
      <c r="J2746" s="15" t="s">
        <v>1685</v>
      </c>
      <c r="K2746" s="8"/>
      <c r="L2746" s="15" t="s">
        <v>1685</v>
      </c>
      <c r="M2746" s="8" t="s">
        <v>13100</v>
      </c>
      <c r="N2746" s="8"/>
      <c r="O2746" s="8" t="s">
        <v>13101</v>
      </c>
      <c r="P2746" s="11" t="s">
        <v>3567</v>
      </c>
      <c r="Q2746" s="8" t="s">
        <v>13102</v>
      </c>
      <c r="R2746" s="8" t="s">
        <v>13103</v>
      </c>
      <c r="S2746" s="8" t="s">
        <v>13725</v>
      </c>
    </row>
    <row r="2747" spans="1:19" ht="120.95" customHeight="1" x14ac:dyDescent="0.25">
      <c r="A2747" s="8" t="s">
        <v>13726</v>
      </c>
      <c r="B2747" s="8" t="s">
        <v>13098</v>
      </c>
      <c r="C2747" s="8" t="s">
        <v>4542</v>
      </c>
      <c r="D2747" s="10">
        <v>129</v>
      </c>
      <c r="E2747" s="8" t="s">
        <v>3568</v>
      </c>
      <c r="F2747" s="8" t="s">
        <v>1867</v>
      </c>
      <c r="G2747" s="8" t="s">
        <v>4542</v>
      </c>
      <c r="H2747" s="8"/>
      <c r="I2747" s="8"/>
      <c r="J2747" s="15" t="s">
        <v>1685</v>
      </c>
      <c r="K2747" s="8"/>
      <c r="L2747" s="15" t="s">
        <v>1685</v>
      </c>
      <c r="M2747" s="8" t="s">
        <v>13100</v>
      </c>
      <c r="N2747" s="8"/>
      <c r="O2747" s="8" t="s">
        <v>13101</v>
      </c>
      <c r="P2747" s="11" t="s">
        <v>3570</v>
      </c>
      <c r="Q2747" s="8" t="s">
        <v>13102</v>
      </c>
      <c r="R2747" s="8" t="s">
        <v>13103</v>
      </c>
      <c r="S2747" s="8" t="s">
        <v>13727</v>
      </c>
    </row>
    <row r="2748" spans="1:19" ht="120.95" customHeight="1" x14ac:dyDescent="0.25">
      <c r="A2748" s="8" t="s">
        <v>13728</v>
      </c>
      <c r="B2748" s="8" t="s">
        <v>13098</v>
      </c>
      <c r="C2748" s="8" t="s">
        <v>4542</v>
      </c>
      <c r="D2748" s="10">
        <v>130</v>
      </c>
      <c r="E2748" s="8" t="s">
        <v>3573</v>
      </c>
      <c r="F2748" s="8" t="s">
        <v>1867</v>
      </c>
      <c r="G2748" s="8" t="s">
        <v>4542</v>
      </c>
      <c r="H2748" s="8"/>
      <c r="I2748" s="8"/>
      <c r="J2748" s="15" t="s">
        <v>1685</v>
      </c>
      <c r="K2748" s="8"/>
      <c r="L2748" s="15" t="s">
        <v>1685</v>
      </c>
      <c r="M2748" s="8" t="s">
        <v>13100</v>
      </c>
      <c r="N2748" s="8"/>
      <c r="O2748" s="8" t="s">
        <v>13101</v>
      </c>
      <c r="P2748" s="11" t="s">
        <v>3574</v>
      </c>
      <c r="Q2748" s="8" t="s">
        <v>13102</v>
      </c>
      <c r="R2748" s="8" t="s">
        <v>13103</v>
      </c>
      <c r="S2748" s="8" t="s">
        <v>13729</v>
      </c>
    </row>
    <row r="2749" spans="1:19" ht="135" customHeight="1" x14ac:dyDescent="0.25">
      <c r="A2749" s="8" t="s">
        <v>13730</v>
      </c>
      <c r="B2749" s="8" t="s">
        <v>13098</v>
      </c>
      <c r="C2749" s="8" t="s">
        <v>4542</v>
      </c>
      <c r="D2749" s="10">
        <v>131</v>
      </c>
      <c r="E2749" s="8" t="s">
        <v>3576</v>
      </c>
      <c r="F2749" s="8" t="s">
        <v>3577</v>
      </c>
      <c r="G2749" s="8" t="s">
        <v>4542</v>
      </c>
      <c r="H2749" s="8"/>
      <c r="I2749" s="8"/>
      <c r="J2749" s="15" t="s">
        <v>1685</v>
      </c>
      <c r="K2749" s="8"/>
      <c r="L2749" s="15" t="s">
        <v>1685</v>
      </c>
      <c r="M2749" s="8" t="s">
        <v>13100</v>
      </c>
      <c r="N2749" s="8"/>
      <c r="O2749" s="8" t="s">
        <v>13101</v>
      </c>
      <c r="P2749" s="11" t="s">
        <v>3578</v>
      </c>
      <c r="Q2749" s="8" t="s">
        <v>13102</v>
      </c>
      <c r="R2749" s="8" t="s">
        <v>13103</v>
      </c>
      <c r="S2749" s="8" t="s">
        <v>13731</v>
      </c>
    </row>
    <row r="2750" spans="1:19" ht="135" customHeight="1" x14ac:dyDescent="0.25">
      <c r="A2750" s="8" t="s">
        <v>13732</v>
      </c>
      <c r="B2750" s="8" t="s">
        <v>13098</v>
      </c>
      <c r="C2750" s="8" t="s">
        <v>4542</v>
      </c>
      <c r="D2750" s="10">
        <v>132</v>
      </c>
      <c r="E2750" s="8" t="s">
        <v>3581</v>
      </c>
      <c r="F2750" s="8" t="s">
        <v>2839</v>
      </c>
      <c r="G2750" s="8" t="s">
        <v>4542</v>
      </c>
      <c r="H2750" s="8"/>
      <c r="I2750" s="8"/>
      <c r="J2750" s="15" t="s">
        <v>1685</v>
      </c>
      <c r="K2750" s="8"/>
      <c r="L2750" s="15" t="s">
        <v>1685</v>
      </c>
      <c r="M2750" s="8" t="s">
        <v>13100</v>
      </c>
      <c r="N2750" s="8"/>
      <c r="O2750" s="8" t="s">
        <v>13101</v>
      </c>
      <c r="P2750" s="11" t="s">
        <v>3582</v>
      </c>
      <c r="Q2750" s="8" t="s">
        <v>13102</v>
      </c>
      <c r="R2750" s="8" t="s">
        <v>13103</v>
      </c>
      <c r="S2750" s="8" t="s">
        <v>13733</v>
      </c>
    </row>
    <row r="2751" spans="1:19" ht="149.1" customHeight="1" x14ac:dyDescent="0.25">
      <c r="A2751" s="8" t="s">
        <v>13734</v>
      </c>
      <c r="B2751" s="8" t="s">
        <v>13098</v>
      </c>
      <c r="C2751" s="8" t="s">
        <v>4542</v>
      </c>
      <c r="D2751" s="10">
        <v>133</v>
      </c>
      <c r="E2751" s="8" t="s">
        <v>878</v>
      </c>
      <c r="F2751" s="8" t="s">
        <v>3584</v>
      </c>
      <c r="G2751" s="8" t="s">
        <v>4542</v>
      </c>
      <c r="H2751" s="8"/>
      <c r="I2751" s="8"/>
      <c r="J2751" s="15" t="s">
        <v>1685</v>
      </c>
      <c r="K2751" s="8"/>
      <c r="L2751" s="15" t="s">
        <v>1685</v>
      </c>
      <c r="M2751" s="8" t="s">
        <v>13100</v>
      </c>
      <c r="N2751" s="8"/>
      <c r="O2751" s="8" t="s">
        <v>13101</v>
      </c>
      <c r="P2751" s="11" t="s">
        <v>3188</v>
      </c>
      <c r="Q2751" s="8" t="s">
        <v>13102</v>
      </c>
      <c r="R2751" s="8" t="s">
        <v>13103</v>
      </c>
      <c r="S2751" s="8" t="s">
        <v>13735</v>
      </c>
    </row>
    <row r="2752" spans="1:19" ht="150" customHeight="1" x14ac:dyDescent="0.25">
      <c r="A2752" s="8" t="s">
        <v>13736</v>
      </c>
      <c r="B2752" s="8" t="s">
        <v>13098</v>
      </c>
      <c r="C2752" s="8" t="s">
        <v>4542</v>
      </c>
      <c r="D2752" s="10">
        <v>134</v>
      </c>
      <c r="E2752" s="8" t="s">
        <v>3589</v>
      </c>
      <c r="F2752" s="8" t="s">
        <v>3590</v>
      </c>
      <c r="G2752" s="8" t="s">
        <v>4542</v>
      </c>
      <c r="H2752" s="8"/>
      <c r="I2752" s="8"/>
      <c r="J2752" s="15" t="s">
        <v>1685</v>
      </c>
      <c r="K2752" s="8"/>
      <c r="L2752" s="15" t="s">
        <v>1685</v>
      </c>
      <c r="M2752" s="8" t="s">
        <v>13100</v>
      </c>
      <c r="N2752" s="8"/>
      <c r="O2752" s="8" t="s">
        <v>13101</v>
      </c>
      <c r="P2752" s="11" t="s">
        <v>3591</v>
      </c>
      <c r="Q2752" s="8" t="s">
        <v>13102</v>
      </c>
      <c r="R2752" s="8" t="s">
        <v>13103</v>
      </c>
      <c r="S2752" s="8" t="s">
        <v>13737</v>
      </c>
    </row>
    <row r="2753" spans="1:19" ht="149.1" customHeight="1" x14ac:dyDescent="0.25">
      <c r="A2753" s="8" t="s">
        <v>13738</v>
      </c>
      <c r="B2753" s="8" t="s">
        <v>13098</v>
      </c>
      <c r="C2753" s="8" t="s">
        <v>4542</v>
      </c>
      <c r="D2753" s="10">
        <v>135</v>
      </c>
      <c r="E2753" s="8" t="s">
        <v>903</v>
      </c>
      <c r="F2753" s="8" t="s">
        <v>3594</v>
      </c>
      <c r="G2753" s="8" t="s">
        <v>4542</v>
      </c>
      <c r="H2753" s="8"/>
      <c r="I2753" s="8"/>
      <c r="J2753" s="15" t="s">
        <v>1685</v>
      </c>
      <c r="K2753" s="8"/>
      <c r="L2753" s="15" t="s">
        <v>1685</v>
      </c>
      <c r="M2753" s="8" t="s">
        <v>13100</v>
      </c>
      <c r="N2753" s="8"/>
      <c r="O2753" s="8" t="s">
        <v>13101</v>
      </c>
      <c r="P2753" s="11" t="s">
        <v>3195</v>
      </c>
      <c r="Q2753" s="8" t="s">
        <v>13102</v>
      </c>
      <c r="R2753" s="8" t="s">
        <v>13103</v>
      </c>
      <c r="S2753" s="8" t="s">
        <v>13739</v>
      </c>
    </row>
    <row r="2754" spans="1:19" ht="149.1" customHeight="1" x14ac:dyDescent="0.25">
      <c r="A2754" s="8" t="s">
        <v>13740</v>
      </c>
      <c r="B2754" s="8" t="s">
        <v>13098</v>
      </c>
      <c r="C2754" s="8" t="s">
        <v>4542</v>
      </c>
      <c r="D2754" s="10">
        <v>136</v>
      </c>
      <c r="E2754" s="8" t="s">
        <v>872</v>
      </c>
      <c r="F2754" s="8" t="s">
        <v>2149</v>
      </c>
      <c r="G2754" s="8" t="s">
        <v>4542</v>
      </c>
      <c r="H2754" s="8"/>
      <c r="I2754" s="8"/>
      <c r="J2754" s="15" t="s">
        <v>1685</v>
      </c>
      <c r="K2754" s="8"/>
      <c r="L2754" s="15" t="s">
        <v>1685</v>
      </c>
      <c r="M2754" s="8" t="s">
        <v>13100</v>
      </c>
      <c r="N2754" s="8"/>
      <c r="O2754" s="8" t="s">
        <v>13101</v>
      </c>
      <c r="P2754" s="11" t="s">
        <v>3198</v>
      </c>
      <c r="Q2754" s="8" t="s">
        <v>13102</v>
      </c>
      <c r="R2754" s="8" t="s">
        <v>13103</v>
      </c>
      <c r="S2754" s="8" t="s">
        <v>13741</v>
      </c>
    </row>
    <row r="2755" spans="1:19" ht="149.1" customHeight="1" x14ac:dyDescent="0.25">
      <c r="A2755" s="8" t="s">
        <v>13742</v>
      </c>
      <c r="B2755" s="8" t="s">
        <v>13098</v>
      </c>
      <c r="C2755" s="8" t="s">
        <v>4542</v>
      </c>
      <c r="D2755" s="10">
        <v>137</v>
      </c>
      <c r="E2755" s="8" t="s">
        <v>685</v>
      </c>
      <c r="F2755" s="8" t="s">
        <v>3600</v>
      </c>
      <c r="G2755" s="8" t="s">
        <v>4542</v>
      </c>
      <c r="H2755" s="8"/>
      <c r="I2755" s="8"/>
      <c r="J2755" s="15" t="s">
        <v>1685</v>
      </c>
      <c r="K2755" s="8"/>
      <c r="L2755" s="15" t="s">
        <v>1685</v>
      </c>
      <c r="M2755" s="8" t="s">
        <v>13100</v>
      </c>
      <c r="N2755" s="8"/>
      <c r="O2755" s="8" t="s">
        <v>13101</v>
      </c>
      <c r="P2755" s="11" t="s">
        <v>3201</v>
      </c>
      <c r="Q2755" s="8" t="s">
        <v>13102</v>
      </c>
      <c r="R2755" s="8" t="s">
        <v>13103</v>
      </c>
      <c r="S2755" s="8" t="s">
        <v>13743</v>
      </c>
    </row>
    <row r="2756" spans="1:19" ht="150" customHeight="1" x14ac:dyDescent="0.25">
      <c r="A2756" s="8" t="s">
        <v>13744</v>
      </c>
      <c r="B2756" s="8" t="s">
        <v>13098</v>
      </c>
      <c r="C2756" s="8" t="s">
        <v>4542</v>
      </c>
      <c r="D2756" s="10">
        <v>138</v>
      </c>
      <c r="E2756" s="8" t="s">
        <v>441</v>
      </c>
      <c r="F2756" s="8" t="s">
        <v>3604</v>
      </c>
      <c r="G2756" s="8" t="s">
        <v>4542</v>
      </c>
      <c r="H2756" s="8"/>
      <c r="I2756" s="8"/>
      <c r="J2756" s="15" t="s">
        <v>1685</v>
      </c>
      <c r="K2756" s="8"/>
      <c r="L2756" s="15" t="s">
        <v>1685</v>
      </c>
      <c r="M2756" s="8" t="s">
        <v>13100</v>
      </c>
      <c r="N2756" s="8"/>
      <c r="O2756" s="8" t="s">
        <v>13101</v>
      </c>
      <c r="P2756" s="11" t="s">
        <v>3204</v>
      </c>
      <c r="Q2756" s="8" t="s">
        <v>13102</v>
      </c>
      <c r="R2756" s="8" t="s">
        <v>13103</v>
      </c>
      <c r="S2756" s="8" t="s">
        <v>13745</v>
      </c>
    </row>
    <row r="2757" spans="1:19" ht="149.1" customHeight="1" x14ac:dyDescent="0.25">
      <c r="A2757" s="8" t="s">
        <v>13746</v>
      </c>
      <c r="B2757" s="8" t="s">
        <v>13098</v>
      </c>
      <c r="C2757" s="8" t="s">
        <v>4542</v>
      </c>
      <c r="D2757" s="10">
        <v>139</v>
      </c>
      <c r="E2757" s="8" t="s">
        <v>788</v>
      </c>
      <c r="F2757" s="8" t="s">
        <v>787</v>
      </c>
      <c r="G2757" s="8" t="s">
        <v>4542</v>
      </c>
      <c r="H2757" s="8"/>
      <c r="I2757" s="8"/>
      <c r="J2757" s="15" t="s">
        <v>1685</v>
      </c>
      <c r="K2757" s="8"/>
      <c r="L2757" s="15" t="s">
        <v>1685</v>
      </c>
      <c r="M2757" s="8" t="s">
        <v>13100</v>
      </c>
      <c r="N2757" s="8"/>
      <c r="O2757" s="8" t="s">
        <v>13101</v>
      </c>
      <c r="P2757" s="11" t="s">
        <v>3207</v>
      </c>
      <c r="Q2757" s="8" t="s">
        <v>13102</v>
      </c>
      <c r="R2757" s="8" t="s">
        <v>13103</v>
      </c>
      <c r="S2757" s="8" t="s">
        <v>13747</v>
      </c>
    </row>
    <row r="2758" spans="1:19" ht="149.1" customHeight="1" x14ac:dyDescent="0.25">
      <c r="A2758" s="8" t="s">
        <v>13748</v>
      </c>
      <c r="B2758" s="8" t="s">
        <v>13098</v>
      </c>
      <c r="C2758" s="8" t="s">
        <v>4542</v>
      </c>
      <c r="D2758" s="10">
        <v>140</v>
      </c>
      <c r="E2758" s="8" t="s">
        <v>982</v>
      </c>
      <c r="F2758" s="8" t="s">
        <v>3609</v>
      </c>
      <c r="G2758" s="8" t="s">
        <v>4542</v>
      </c>
      <c r="H2758" s="8"/>
      <c r="I2758" s="8"/>
      <c r="J2758" s="15" t="s">
        <v>1685</v>
      </c>
      <c r="K2758" s="8"/>
      <c r="L2758" s="15" t="s">
        <v>1685</v>
      </c>
      <c r="M2758" s="8" t="s">
        <v>13100</v>
      </c>
      <c r="N2758" s="8"/>
      <c r="O2758" s="8" t="s">
        <v>13101</v>
      </c>
      <c r="P2758" s="11" t="s">
        <v>3610</v>
      </c>
      <c r="Q2758" s="8" t="s">
        <v>13102</v>
      </c>
      <c r="R2758" s="8" t="s">
        <v>13103</v>
      </c>
      <c r="S2758" s="8" t="s">
        <v>13749</v>
      </c>
    </row>
    <row r="2759" spans="1:19" ht="135" customHeight="1" x14ac:dyDescent="0.25">
      <c r="A2759" s="8" t="s">
        <v>13750</v>
      </c>
      <c r="B2759" s="8" t="s">
        <v>13098</v>
      </c>
      <c r="C2759" s="8" t="s">
        <v>4542</v>
      </c>
      <c r="D2759" s="10">
        <v>141</v>
      </c>
      <c r="E2759" s="8" t="s">
        <v>660</v>
      </c>
      <c r="F2759" s="8" t="s">
        <v>3613</v>
      </c>
      <c r="G2759" s="8" t="s">
        <v>4542</v>
      </c>
      <c r="H2759" s="8"/>
      <c r="I2759" s="8"/>
      <c r="J2759" s="15" t="s">
        <v>1685</v>
      </c>
      <c r="K2759" s="8"/>
      <c r="L2759" s="15" t="s">
        <v>1685</v>
      </c>
      <c r="M2759" s="8" t="s">
        <v>13100</v>
      </c>
      <c r="N2759" s="8"/>
      <c r="O2759" s="8" t="s">
        <v>13101</v>
      </c>
      <c r="P2759" s="11" t="s">
        <v>3014</v>
      </c>
      <c r="Q2759" s="8" t="s">
        <v>13102</v>
      </c>
      <c r="R2759" s="8" t="s">
        <v>13103</v>
      </c>
      <c r="S2759" s="8" t="s">
        <v>13751</v>
      </c>
    </row>
    <row r="2760" spans="1:19" ht="149.1" customHeight="1" x14ac:dyDescent="0.25">
      <c r="A2760" s="8" t="s">
        <v>13752</v>
      </c>
      <c r="B2760" s="8" t="s">
        <v>13098</v>
      </c>
      <c r="C2760" s="8" t="s">
        <v>4542</v>
      </c>
      <c r="D2760" s="10">
        <v>142</v>
      </c>
      <c r="E2760" s="8" t="s">
        <v>365</v>
      </c>
      <c r="F2760" s="8" t="s">
        <v>3615</v>
      </c>
      <c r="G2760" s="8" t="s">
        <v>4542</v>
      </c>
      <c r="H2760" s="8"/>
      <c r="I2760" s="8"/>
      <c r="J2760" s="15" t="s">
        <v>1685</v>
      </c>
      <c r="K2760" s="8"/>
      <c r="L2760" s="15" t="s">
        <v>1685</v>
      </c>
      <c r="M2760" s="8" t="s">
        <v>13100</v>
      </c>
      <c r="N2760" s="8"/>
      <c r="O2760" s="8" t="s">
        <v>13101</v>
      </c>
      <c r="P2760" s="11" t="s">
        <v>3211</v>
      </c>
      <c r="Q2760" s="8" t="s">
        <v>13102</v>
      </c>
      <c r="R2760" s="8" t="s">
        <v>13103</v>
      </c>
      <c r="S2760" s="8" t="s">
        <v>13753</v>
      </c>
    </row>
    <row r="2761" spans="1:19" ht="149.1" customHeight="1" x14ac:dyDescent="0.25">
      <c r="A2761" s="8" t="s">
        <v>13754</v>
      </c>
      <c r="B2761" s="8" t="s">
        <v>13098</v>
      </c>
      <c r="C2761" s="8" t="s">
        <v>4542</v>
      </c>
      <c r="D2761" s="10">
        <v>143</v>
      </c>
      <c r="E2761" s="8" t="s">
        <v>3617</v>
      </c>
      <c r="F2761" s="8" t="s">
        <v>3618</v>
      </c>
      <c r="G2761" s="8" t="s">
        <v>4542</v>
      </c>
      <c r="H2761" s="8"/>
      <c r="I2761" s="8"/>
      <c r="J2761" s="15" t="s">
        <v>1685</v>
      </c>
      <c r="K2761" s="8"/>
      <c r="L2761" s="15" t="s">
        <v>1685</v>
      </c>
      <c r="M2761" s="8" t="s">
        <v>13100</v>
      </c>
      <c r="N2761" s="8"/>
      <c r="O2761" s="8" t="s">
        <v>13101</v>
      </c>
      <c r="P2761" s="11" t="s">
        <v>3619</v>
      </c>
      <c r="Q2761" s="8" t="s">
        <v>13102</v>
      </c>
      <c r="R2761" s="8" t="s">
        <v>13103</v>
      </c>
      <c r="S2761" s="8" t="s">
        <v>13755</v>
      </c>
    </row>
    <row r="2762" spans="1:19" ht="135" customHeight="1" x14ac:dyDescent="0.25">
      <c r="A2762" s="8" t="s">
        <v>13756</v>
      </c>
      <c r="B2762" s="8" t="s">
        <v>13098</v>
      </c>
      <c r="C2762" s="8" t="s">
        <v>4542</v>
      </c>
      <c r="D2762" s="10">
        <v>144</v>
      </c>
      <c r="E2762" s="8" t="s">
        <v>2268</v>
      </c>
      <c r="F2762" s="8" t="s">
        <v>3622</v>
      </c>
      <c r="G2762" s="8" t="s">
        <v>4542</v>
      </c>
      <c r="H2762" s="8"/>
      <c r="I2762" s="8"/>
      <c r="J2762" s="15" t="s">
        <v>1685</v>
      </c>
      <c r="K2762" s="8"/>
      <c r="L2762" s="15" t="s">
        <v>1685</v>
      </c>
      <c r="M2762" s="8" t="s">
        <v>13100</v>
      </c>
      <c r="N2762" s="8"/>
      <c r="O2762" s="8" t="s">
        <v>13101</v>
      </c>
      <c r="P2762" s="11" t="s">
        <v>2860</v>
      </c>
      <c r="Q2762" s="8" t="s">
        <v>13102</v>
      </c>
      <c r="R2762" s="8" t="s">
        <v>13103</v>
      </c>
      <c r="S2762" s="8" t="s">
        <v>13757</v>
      </c>
    </row>
    <row r="2763" spans="1:19" ht="135" customHeight="1" x14ac:dyDescent="0.25">
      <c r="A2763" s="8" t="s">
        <v>13758</v>
      </c>
      <c r="B2763" s="8" t="s">
        <v>13098</v>
      </c>
      <c r="C2763" s="8" t="s">
        <v>4542</v>
      </c>
      <c r="D2763" s="10">
        <v>145</v>
      </c>
      <c r="E2763" s="8" t="s">
        <v>653</v>
      </c>
      <c r="F2763" s="8" t="s">
        <v>3625</v>
      </c>
      <c r="G2763" s="8" t="s">
        <v>4542</v>
      </c>
      <c r="H2763" s="8"/>
      <c r="I2763" s="8"/>
      <c r="J2763" s="15" t="s">
        <v>1685</v>
      </c>
      <c r="K2763" s="8"/>
      <c r="L2763" s="15" t="s">
        <v>1685</v>
      </c>
      <c r="M2763" s="8" t="s">
        <v>13100</v>
      </c>
      <c r="N2763" s="8"/>
      <c r="O2763" s="8" t="s">
        <v>13101</v>
      </c>
      <c r="P2763" s="11" t="s">
        <v>3214</v>
      </c>
      <c r="Q2763" s="8" t="s">
        <v>13102</v>
      </c>
      <c r="R2763" s="8" t="s">
        <v>13103</v>
      </c>
      <c r="S2763" s="8" t="s">
        <v>13759</v>
      </c>
    </row>
    <row r="2764" spans="1:19" ht="150" customHeight="1" x14ac:dyDescent="0.25">
      <c r="A2764" s="8" t="s">
        <v>13760</v>
      </c>
      <c r="B2764" s="8" t="s">
        <v>13098</v>
      </c>
      <c r="C2764" s="8" t="s">
        <v>4542</v>
      </c>
      <c r="D2764" s="10">
        <v>146</v>
      </c>
      <c r="E2764" s="8" t="s">
        <v>866</v>
      </c>
      <c r="F2764" s="8" t="s">
        <v>3627</v>
      </c>
      <c r="G2764" s="8" t="s">
        <v>4542</v>
      </c>
      <c r="H2764" s="8"/>
      <c r="I2764" s="8"/>
      <c r="J2764" s="15" t="s">
        <v>1685</v>
      </c>
      <c r="K2764" s="8"/>
      <c r="L2764" s="15" t="s">
        <v>1685</v>
      </c>
      <c r="M2764" s="8" t="s">
        <v>13100</v>
      </c>
      <c r="N2764" s="8"/>
      <c r="O2764" s="8" t="s">
        <v>13101</v>
      </c>
      <c r="P2764" s="11" t="s">
        <v>3217</v>
      </c>
      <c r="Q2764" s="8" t="s">
        <v>13102</v>
      </c>
      <c r="R2764" s="8" t="s">
        <v>13103</v>
      </c>
      <c r="S2764" s="8" t="s">
        <v>13761</v>
      </c>
    </row>
    <row r="2765" spans="1:19" ht="150" customHeight="1" x14ac:dyDescent="0.25">
      <c r="A2765" s="8" t="s">
        <v>13762</v>
      </c>
      <c r="B2765" s="8" t="s">
        <v>13098</v>
      </c>
      <c r="C2765" s="8" t="s">
        <v>4542</v>
      </c>
      <c r="D2765" s="10">
        <v>147</v>
      </c>
      <c r="E2765" s="8" t="s">
        <v>894</v>
      </c>
      <c r="F2765" s="8" t="s">
        <v>3630</v>
      </c>
      <c r="G2765" s="8" t="s">
        <v>4542</v>
      </c>
      <c r="H2765" s="8"/>
      <c r="I2765" s="8"/>
      <c r="J2765" s="15" t="s">
        <v>1685</v>
      </c>
      <c r="K2765" s="8"/>
      <c r="L2765" s="15" t="s">
        <v>1685</v>
      </c>
      <c r="M2765" s="8" t="s">
        <v>13100</v>
      </c>
      <c r="N2765" s="8"/>
      <c r="O2765" s="8" t="s">
        <v>13101</v>
      </c>
      <c r="P2765" s="11" t="s">
        <v>3220</v>
      </c>
      <c r="Q2765" s="8" t="s">
        <v>13102</v>
      </c>
      <c r="R2765" s="8" t="s">
        <v>13103</v>
      </c>
      <c r="S2765" s="8" t="s">
        <v>13763</v>
      </c>
    </row>
    <row r="2766" spans="1:19" ht="149.1" customHeight="1" x14ac:dyDescent="0.25">
      <c r="A2766" s="8" t="s">
        <v>13764</v>
      </c>
      <c r="B2766" s="8" t="s">
        <v>13098</v>
      </c>
      <c r="C2766" s="8" t="s">
        <v>4542</v>
      </c>
      <c r="D2766" s="10">
        <v>148</v>
      </c>
      <c r="E2766" s="8" t="s">
        <v>3635</v>
      </c>
      <c r="F2766" s="8" t="s">
        <v>3636</v>
      </c>
      <c r="G2766" s="8" t="s">
        <v>4542</v>
      </c>
      <c r="H2766" s="8"/>
      <c r="I2766" s="8"/>
      <c r="J2766" s="15" t="s">
        <v>1685</v>
      </c>
      <c r="K2766" s="8"/>
      <c r="L2766" s="15" t="s">
        <v>1685</v>
      </c>
      <c r="M2766" s="8" t="s">
        <v>13100</v>
      </c>
      <c r="N2766" s="8"/>
      <c r="O2766" s="8" t="s">
        <v>13101</v>
      </c>
      <c r="P2766" s="11" t="s">
        <v>3237</v>
      </c>
      <c r="Q2766" s="8" t="s">
        <v>13102</v>
      </c>
      <c r="R2766" s="8" t="s">
        <v>13103</v>
      </c>
      <c r="S2766" s="8" t="s">
        <v>13765</v>
      </c>
    </row>
    <row r="2767" spans="1:19" ht="149.1" customHeight="1" x14ac:dyDescent="0.25">
      <c r="A2767" s="8" t="s">
        <v>13766</v>
      </c>
      <c r="B2767" s="8" t="s">
        <v>13098</v>
      </c>
      <c r="C2767" s="8" t="s">
        <v>4542</v>
      </c>
      <c r="D2767" s="10">
        <v>149</v>
      </c>
      <c r="E2767" s="8" t="s">
        <v>2095</v>
      </c>
      <c r="F2767" s="8" t="s">
        <v>2093</v>
      </c>
      <c r="G2767" s="8" t="s">
        <v>4542</v>
      </c>
      <c r="H2767" s="8"/>
      <c r="I2767" s="8"/>
      <c r="J2767" s="15" t="s">
        <v>1685</v>
      </c>
      <c r="K2767" s="8"/>
      <c r="L2767" s="15" t="s">
        <v>1685</v>
      </c>
      <c r="M2767" s="8" t="s">
        <v>13100</v>
      </c>
      <c r="N2767" s="8"/>
      <c r="O2767" s="8" t="s">
        <v>13101</v>
      </c>
      <c r="P2767" s="11" t="s">
        <v>3640</v>
      </c>
      <c r="Q2767" s="8" t="s">
        <v>13102</v>
      </c>
      <c r="R2767" s="8" t="s">
        <v>13103</v>
      </c>
      <c r="S2767" s="8" t="s">
        <v>13767</v>
      </c>
    </row>
    <row r="2768" spans="1:19" ht="149.1" customHeight="1" x14ac:dyDescent="0.25">
      <c r="A2768" s="8" t="s">
        <v>13768</v>
      </c>
      <c r="B2768" s="8" t="s">
        <v>13098</v>
      </c>
      <c r="C2768" s="8" t="s">
        <v>4542</v>
      </c>
      <c r="D2768" s="10">
        <v>150</v>
      </c>
      <c r="E2768" s="8" t="s">
        <v>2109</v>
      </c>
      <c r="F2768" s="8" t="s">
        <v>2106</v>
      </c>
      <c r="G2768" s="8" t="s">
        <v>4542</v>
      </c>
      <c r="H2768" s="8"/>
      <c r="I2768" s="8"/>
      <c r="J2768" s="15" t="s">
        <v>1685</v>
      </c>
      <c r="K2768" s="8"/>
      <c r="L2768" s="15" t="s">
        <v>1685</v>
      </c>
      <c r="M2768" s="8" t="s">
        <v>13100</v>
      </c>
      <c r="N2768" s="8"/>
      <c r="O2768" s="8" t="s">
        <v>13101</v>
      </c>
      <c r="P2768" s="11" t="s">
        <v>3643</v>
      </c>
      <c r="Q2768" s="8" t="s">
        <v>13102</v>
      </c>
      <c r="R2768" s="8" t="s">
        <v>13103</v>
      </c>
      <c r="S2768" s="8" t="s">
        <v>13769</v>
      </c>
    </row>
    <row r="2769" spans="1:19" ht="149.1" customHeight="1" x14ac:dyDescent="0.25">
      <c r="A2769" s="8" t="s">
        <v>13770</v>
      </c>
      <c r="B2769" s="8" t="s">
        <v>13098</v>
      </c>
      <c r="C2769" s="8" t="s">
        <v>4542</v>
      </c>
      <c r="D2769" s="10">
        <v>151</v>
      </c>
      <c r="E2769" s="8" t="s">
        <v>2116</v>
      </c>
      <c r="F2769" s="8" t="s">
        <v>2113</v>
      </c>
      <c r="G2769" s="8" t="s">
        <v>4542</v>
      </c>
      <c r="H2769" s="8"/>
      <c r="I2769" s="8"/>
      <c r="J2769" s="15" t="s">
        <v>1685</v>
      </c>
      <c r="K2769" s="8"/>
      <c r="L2769" s="15" t="s">
        <v>1685</v>
      </c>
      <c r="M2769" s="8" t="s">
        <v>13100</v>
      </c>
      <c r="N2769" s="8"/>
      <c r="O2769" s="8" t="s">
        <v>13101</v>
      </c>
      <c r="P2769" s="11" t="s">
        <v>3645</v>
      </c>
      <c r="Q2769" s="8" t="s">
        <v>13102</v>
      </c>
      <c r="R2769" s="8" t="s">
        <v>13103</v>
      </c>
      <c r="S2769" s="8" t="s">
        <v>13771</v>
      </c>
    </row>
    <row r="2770" spans="1:19" ht="149.1" customHeight="1" x14ac:dyDescent="0.25">
      <c r="A2770" s="8" t="s">
        <v>13772</v>
      </c>
      <c r="B2770" s="8" t="s">
        <v>13098</v>
      </c>
      <c r="C2770" s="8" t="s">
        <v>4542</v>
      </c>
      <c r="D2770" s="10">
        <v>152</v>
      </c>
      <c r="E2770" s="8" t="s">
        <v>2123</v>
      </c>
      <c r="F2770" s="8" t="s">
        <v>2120</v>
      </c>
      <c r="G2770" s="8" t="s">
        <v>4542</v>
      </c>
      <c r="H2770" s="8"/>
      <c r="I2770" s="8"/>
      <c r="J2770" s="15" t="s">
        <v>1685</v>
      </c>
      <c r="K2770" s="8"/>
      <c r="L2770" s="15" t="s">
        <v>1685</v>
      </c>
      <c r="M2770" s="8" t="s">
        <v>13100</v>
      </c>
      <c r="N2770" s="8"/>
      <c r="O2770" s="8" t="s">
        <v>13101</v>
      </c>
      <c r="P2770" s="11" t="s">
        <v>3647</v>
      </c>
      <c r="Q2770" s="8" t="s">
        <v>13102</v>
      </c>
      <c r="R2770" s="8" t="s">
        <v>13103</v>
      </c>
      <c r="S2770" s="8" t="s">
        <v>13773</v>
      </c>
    </row>
    <row r="2771" spans="1:19" ht="135" customHeight="1" x14ac:dyDescent="0.25">
      <c r="A2771" s="8" t="s">
        <v>13774</v>
      </c>
      <c r="B2771" s="8" t="s">
        <v>13098</v>
      </c>
      <c r="C2771" s="8" t="s">
        <v>4542</v>
      </c>
      <c r="D2771" s="10">
        <v>153</v>
      </c>
      <c r="E2771" s="8" t="s">
        <v>2130</v>
      </c>
      <c r="F2771" s="8" t="s">
        <v>2127</v>
      </c>
      <c r="G2771" s="8" t="s">
        <v>4542</v>
      </c>
      <c r="H2771" s="8"/>
      <c r="I2771" s="8"/>
      <c r="J2771" s="15" t="s">
        <v>1685</v>
      </c>
      <c r="K2771" s="8"/>
      <c r="L2771" s="15" t="s">
        <v>1685</v>
      </c>
      <c r="M2771" s="8" t="s">
        <v>13100</v>
      </c>
      <c r="N2771" s="8"/>
      <c r="O2771" s="8" t="s">
        <v>13101</v>
      </c>
      <c r="P2771" s="11" t="s">
        <v>3649</v>
      </c>
      <c r="Q2771" s="8" t="s">
        <v>13102</v>
      </c>
      <c r="R2771" s="8" t="s">
        <v>13103</v>
      </c>
      <c r="S2771" s="8" t="s">
        <v>13775</v>
      </c>
    </row>
    <row r="2772" spans="1:19" ht="150" customHeight="1" x14ac:dyDescent="0.25">
      <c r="A2772" s="8" t="s">
        <v>13776</v>
      </c>
      <c r="B2772" s="8" t="s">
        <v>13098</v>
      </c>
      <c r="C2772" s="8" t="s">
        <v>4542</v>
      </c>
      <c r="D2772" s="10">
        <v>154</v>
      </c>
      <c r="E2772" s="8" t="s">
        <v>2138</v>
      </c>
      <c r="F2772" s="8" t="s">
        <v>3651</v>
      </c>
      <c r="G2772" s="8" t="s">
        <v>4542</v>
      </c>
      <c r="H2772" s="8"/>
      <c r="I2772" s="8"/>
      <c r="J2772" s="15" t="s">
        <v>1685</v>
      </c>
      <c r="K2772" s="8"/>
      <c r="L2772" s="15" t="s">
        <v>1685</v>
      </c>
      <c r="M2772" s="8" t="s">
        <v>13100</v>
      </c>
      <c r="N2772" s="8"/>
      <c r="O2772" s="8" t="s">
        <v>13101</v>
      </c>
      <c r="P2772" s="11" t="s">
        <v>3652</v>
      </c>
      <c r="Q2772" s="8" t="s">
        <v>13102</v>
      </c>
      <c r="R2772" s="8" t="s">
        <v>13103</v>
      </c>
      <c r="S2772" s="8" t="s">
        <v>13777</v>
      </c>
    </row>
    <row r="2773" spans="1:19" ht="149.1" customHeight="1" x14ac:dyDescent="0.25">
      <c r="A2773" s="8" t="s">
        <v>13778</v>
      </c>
      <c r="B2773" s="8" t="s">
        <v>13098</v>
      </c>
      <c r="C2773" s="8" t="s">
        <v>4542</v>
      </c>
      <c r="D2773" s="10">
        <v>155</v>
      </c>
      <c r="E2773" s="8" t="s">
        <v>2145</v>
      </c>
      <c r="F2773" s="8" t="s">
        <v>2142</v>
      </c>
      <c r="G2773" s="8" t="s">
        <v>4542</v>
      </c>
      <c r="H2773" s="8"/>
      <c r="I2773" s="8"/>
      <c r="J2773" s="15" t="s">
        <v>1685</v>
      </c>
      <c r="K2773" s="8"/>
      <c r="L2773" s="15" t="s">
        <v>1685</v>
      </c>
      <c r="M2773" s="8" t="s">
        <v>13100</v>
      </c>
      <c r="N2773" s="8"/>
      <c r="O2773" s="8" t="s">
        <v>13101</v>
      </c>
      <c r="P2773" s="11" t="s">
        <v>3655</v>
      </c>
      <c r="Q2773" s="8" t="s">
        <v>13102</v>
      </c>
      <c r="R2773" s="8" t="s">
        <v>13103</v>
      </c>
      <c r="S2773" s="8" t="s">
        <v>13779</v>
      </c>
    </row>
    <row r="2774" spans="1:19" ht="135" customHeight="1" x14ac:dyDescent="0.25">
      <c r="A2774" s="8" t="s">
        <v>13780</v>
      </c>
      <c r="B2774" s="8" t="s">
        <v>13098</v>
      </c>
      <c r="C2774" s="8" t="s">
        <v>4542</v>
      </c>
      <c r="D2774" s="10">
        <v>156</v>
      </c>
      <c r="E2774" s="8" t="s">
        <v>3658</v>
      </c>
      <c r="F2774" s="8" t="s">
        <v>3659</v>
      </c>
      <c r="G2774" s="8" t="s">
        <v>4542</v>
      </c>
      <c r="H2774" s="8"/>
      <c r="I2774" s="8"/>
      <c r="J2774" s="15" t="s">
        <v>1685</v>
      </c>
      <c r="K2774" s="8"/>
      <c r="L2774" s="15" t="s">
        <v>1685</v>
      </c>
      <c r="M2774" s="8" t="s">
        <v>13100</v>
      </c>
      <c r="N2774" s="8"/>
      <c r="O2774" s="8" t="s">
        <v>13101</v>
      </c>
      <c r="P2774" s="11" t="s">
        <v>3660</v>
      </c>
      <c r="Q2774" s="8" t="s">
        <v>13102</v>
      </c>
      <c r="R2774" s="8" t="s">
        <v>13103</v>
      </c>
      <c r="S2774" s="8" t="s">
        <v>13781</v>
      </c>
    </row>
    <row r="2775" spans="1:19" ht="150" customHeight="1" x14ac:dyDescent="0.25">
      <c r="A2775" s="8" t="s">
        <v>13782</v>
      </c>
      <c r="B2775" s="8" t="s">
        <v>13098</v>
      </c>
      <c r="C2775" s="8" t="s">
        <v>4542</v>
      </c>
      <c r="D2775" s="10">
        <v>157</v>
      </c>
      <c r="E2775" s="8" t="s">
        <v>1683</v>
      </c>
      <c r="F2775" s="8" t="s">
        <v>1679</v>
      </c>
      <c r="G2775" s="8" t="s">
        <v>4542</v>
      </c>
      <c r="H2775" s="8"/>
      <c r="I2775" s="8"/>
      <c r="J2775" s="15" t="s">
        <v>1685</v>
      </c>
      <c r="K2775" s="8"/>
      <c r="L2775" s="15" t="s">
        <v>1685</v>
      </c>
      <c r="M2775" s="8" t="s">
        <v>13100</v>
      </c>
      <c r="N2775" s="8"/>
      <c r="O2775" s="8" t="s">
        <v>13101</v>
      </c>
      <c r="P2775" s="11" t="s">
        <v>3665</v>
      </c>
      <c r="Q2775" s="8" t="s">
        <v>13102</v>
      </c>
      <c r="R2775" s="8" t="s">
        <v>13103</v>
      </c>
      <c r="S2775" s="8" t="s">
        <v>13783</v>
      </c>
    </row>
    <row r="2776" spans="1:19" ht="149.1" customHeight="1" x14ac:dyDescent="0.25">
      <c r="A2776" s="8" t="s">
        <v>13784</v>
      </c>
      <c r="B2776" s="8" t="s">
        <v>13098</v>
      </c>
      <c r="C2776" s="8" t="s">
        <v>4542</v>
      </c>
      <c r="D2776" s="10">
        <v>158</v>
      </c>
      <c r="E2776" s="8" t="s">
        <v>1691</v>
      </c>
      <c r="F2776" s="8" t="s">
        <v>1688</v>
      </c>
      <c r="G2776" s="8" t="s">
        <v>4542</v>
      </c>
      <c r="H2776" s="8"/>
      <c r="I2776" s="8"/>
      <c r="J2776" s="15" t="s">
        <v>1685</v>
      </c>
      <c r="K2776" s="8"/>
      <c r="L2776" s="15" t="s">
        <v>1685</v>
      </c>
      <c r="M2776" s="8" t="s">
        <v>13100</v>
      </c>
      <c r="N2776" s="8"/>
      <c r="O2776" s="8" t="s">
        <v>13101</v>
      </c>
      <c r="P2776" s="11" t="s">
        <v>13022</v>
      </c>
      <c r="Q2776" s="8" t="s">
        <v>13102</v>
      </c>
      <c r="R2776" s="8" t="s">
        <v>13103</v>
      </c>
      <c r="S2776" s="8" t="s">
        <v>13785</v>
      </c>
    </row>
    <row r="2777" spans="1:19" ht="149.1" customHeight="1" x14ac:dyDescent="0.25">
      <c r="A2777" s="8" t="s">
        <v>13786</v>
      </c>
      <c r="B2777" s="8" t="s">
        <v>13098</v>
      </c>
      <c r="C2777" s="8" t="s">
        <v>4542</v>
      </c>
      <c r="D2777" s="10">
        <v>159</v>
      </c>
      <c r="E2777" s="8" t="s">
        <v>1696</v>
      </c>
      <c r="F2777" s="8" t="s">
        <v>1694</v>
      </c>
      <c r="G2777" s="8" t="s">
        <v>4542</v>
      </c>
      <c r="H2777" s="8"/>
      <c r="I2777" s="8"/>
      <c r="J2777" s="15" t="s">
        <v>1685</v>
      </c>
      <c r="K2777" s="8"/>
      <c r="L2777" s="15" t="s">
        <v>1685</v>
      </c>
      <c r="M2777" s="8" t="s">
        <v>13100</v>
      </c>
      <c r="N2777" s="8"/>
      <c r="O2777" s="8" t="s">
        <v>13101</v>
      </c>
      <c r="P2777" s="11" t="s">
        <v>13025</v>
      </c>
      <c r="Q2777" s="8" t="s">
        <v>13102</v>
      </c>
      <c r="R2777" s="8" t="s">
        <v>13103</v>
      </c>
      <c r="S2777" s="8" t="s">
        <v>13787</v>
      </c>
    </row>
    <row r="2778" spans="1:19" ht="150" customHeight="1" x14ac:dyDescent="0.25">
      <c r="A2778" s="8" t="s">
        <v>13788</v>
      </c>
      <c r="B2778" s="8" t="s">
        <v>13098</v>
      </c>
      <c r="C2778" s="8" t="s">
        <v>4542</v>
      </c>
      <c r="D2778" s="10">
        <v>160</v>
      </c>
      <c r="E2778" s="8" t="s">
        <v>1713</v>
      </c>
      <c r="F2778" s="8" t="s">
        <v>1711</v>
      </c>
      <c r="G2778" s="8" t="s">
        <v>4542</v>
      </c>
      <c r="H2778" s="8"/>
      <c r="I2778" s="8"/>
      <c r="J2778" s="15" t="s">
        <v>1685</v>
      </c>
      <c r="K2778" s="8"/>
      <c r="L2778" s="15" t="s">
        <v>1685</v>
      </c>
      <c r="M2778" s="8" t="s">
        <v>13100</v>
      </c>
      <c r="N2778" s="8"/>
      <c r="O2778" s="8" t="s">
        <v>13101</v>
      </c>
      <c r="P2778" s="11" t="s">
        <v>13028</v>
      </c>
      <c r="Q2778" s="8" t="s">
        <v>13102</v>
      </c>
      <c r="R2778" s="8" t="s">
        <v>13103</v>
      </c>
      <c r="S2778" s="8" t="s">
        <v>13789</v>
      </c>
    </row>
    <row r="2779" spans="1:19" ht="150" customHeight="1" x14ac:dyDescent="0.25">
      <c r="A2779" s="8" t="s">
        <v>13790</v>
      </c>
      <c r="B2779" s="8" t="s">
        <v>13098</v>
      </c>
      <c r="C2779" s="8" t="s">
        <v>4542</v>
      </c>
      <c r="D2779" s="10">
        <v>161</v>
      </c>
      <c r="E2779" s="8" t="s">
        <v>1717</v>
      </c>
      <c r="F2779" s="8" t="s">
        <v>1716</v>
      </c>
      <c r="G2779" s="8" t="s">
        <v>4542</v>
      </c>
      <c r="H2779" s="8"/>
      <c r="I2779" s="8"/>
      <c r="J2779" s="15" t="s">
        <v>1685</v>
      </c>
      <c r="K2779" s="8"/>
      <c r="L2779" s="15" t="s">
        <v>1685</v>
      </c>
      <c r="M2779" s="8" t="s">
        <v>13100</v>
      </c>
      <c r="N2779" s="8"/>
      <c r="O2779" s="8" t="s">
        <v>13101</v>
      </c>
      <c r="P2779" s="11" t="s">
        <v>3679</v>
      </c>
      <c r="Q2779" s="8" t="s">
        <v>13102</v>
      </c>
      <c r="R2779" s="8" t="s">
        <v>13103</v>
      </c>
      <c r="S2779" s="8" t="s">
        <v>13791</v>
      </c>
    </row>
    <row r="2780" spans="1:19" ht="150" customHeight="1" x14ac:dyDescent="0.25">
      <c r="A2780" s="8" t="s">
        <v>13792</v>
      </c>
      <c r="B2780" s="8" t="s">
        <v>13098</v>
      </c>
      <c r="C2780" s="8" t="s">
        <v>4542</v>
      </c>
      <c r="D2780" s="10">
        <v>162</v>
      </c>
      <c r="E2780" s="8" t="s">
        <v>1726</v>
      </c>
      <c r="F2780" s="8" t="s">
        <v>1724</v>
      </c>
      <c r="G2780" s="8" t="s">
        <v>4542</v>
      </c>
      <c r="H2780" s="8"/>
      <c r="I2780" s="8"/>
      <c r="J2780" s="15" t="s">
        <v>1685</v>
      </c>
      <c r="K2780" s="8"/>
      <c r="L2780" s="15" t="s">
        <v>1685</v>
      </c>
      <c r="M2780" s="8" t="s">
        <v>13100</v>
      </c>
      <c r="N2780" s="8"/>
      <c r="O2780" s="8" t="s">
        <v>13101</v>
      </c>
      <c r="P2780" s="11" t="s">
        <v>3684</v>
      </c>
      <c r="Q2780" s="8" t="s">
        <v>13102</v>
      </c>
      <c r="R2780" s="8" t="s">
        <v>13103</v>
      </c>
      <c r="S2780" s="8" t="s">
        <v>13793</v>
      </c>
    </row>
    <row r="2781" spans="1:19" ht="150" customHeight="1" x14ac:dyDescent="0.25">
      <c r="A2781" s="8" t="s">
        <v>13794</v>
      </c>
      <c r="B2781" s="8" t="s">
        <v>13098</v>
      </c>
      <c r="C2781" s="8" t="s">
        <v>4542</v>
      </c>
      <c r="D2781" s="10">
        <v>163</v>
      </c>
      <c r="E2781" s="8" t="s">
        <v>1743</v>
      </c>
      <c r="F2781" s="8" t="s">
        <v>1740</v>
      </c>
      <c r="G2781" s="8" t="s">
        <v>4542</v>
      </c>
      <c r="H2781" s="8"/>
      <c r="I2781" s="8"/>
      <c r="J2781" s="15" t="s">
        <v>1685</v>
      </c>
      <c r="K2781" s="8"/>
      <c r="L2781" s="15" t="s">
        <v>1685</v>
      </c>
      <c r="M2781" s="8" t="s">
        <v>13100</v>
      </c>
      <c r="N2781" s="8"/>
      <c r="O2781" s="8" t="s">
        <v>13101</v>
      </c>
      <c r="P2781" s="11" t="s">
        <v>3685</v>
      </c>
      <c r="Q2781" s="8" t="s">
        <v>13102</v>
      </c>
      <c r="R2781" s="8" t="s">
        <v>13103</v>
      </c>
      <c r="S2781" s="8" t="s">
        <v>13795</v>
      </c>
    </row>
    <row r="2782" spans="1:19" ht="149.1" customHeight="1" x14ac:dyDescent="0.25">
      <c r="A2782" s="8" t="s">
        <v>13796</v>
      </c>
      <c r="B2782" s="8" t="s">
        <v>13098</v>
      </c>
      <c r="C2782" s="8" t="s">
        <v>4542</v>
      </c>
      <c r="D2782" s="10">
        <v>164</v>
      </c>
      <c r="E2782" s="8" t="s">
        <v>1732</v>
      </c>
      <c r="F2782" s="8" t="s">
        <v>1729</v>
      </c>
      <c r="G2782" s="8" t="s">
        <v>4542</v>
      </c>
      <c r="H2782" s="8"/>
      <c r="I2782" s="8"/>
      <c r="J2782" s="15" t="s">
        <v>1685</v>
      </c>
      <c r="K2782" s="8"/>
      <c r="L2782" s="15" t="s">
        <v>1685</v>
      </c>
      <c r="M2782" s="8" t="s">
        <v>13100</v>
      </c>
      <c r="N2782" s="8"/>
      <c r="O2782" s="8" t="s">
        <v>13101</v>
      </c>
      <c r="P2782" s="11" t="s">
        <v>3686</v>
      </c>
      <c r="Q2782" s="8" t="s">
        <v>13102</v>
      </c>
      <c r="R2782" s="8" t="s">
        <v>13103</v>
      </c>
      <c r="S2782" s="8" t="s">
        <v>13797</v>
      </c>
    </row>
    <row r="2783" spans="1:19" ht="149.1" customHeight="1" x14ac:dyDescent="0.25">
      <c r="A2783" s="8" t="s">
        <v>13798</v>
      </c>
      <c r="B2783" s="8" t="s">
        <v>13098</v>
      </c>
      <c r="C2783" s="8" t="s">
        <v>4542</v>
      </c>
      <c r="D2783" s="10">
        <v>165</v>
      </c>
      <c r="E2783" s="8" t="s">
        <v>1748</v>
      </c>
      <c r="F2783" s="8" t="s">
        <v>1746</v>
      </c>
      <c r="G2783" s="8" t="s">
        <v>4542</v>
      </c>
      <c r="H2783" s="8"/>
      <c r="I2783" s="8"/>
      <c r="J2783" s="15" t="s">
        <v>1685</v>
      </c>
      <c r="K2783" s="8"/>
      <c r="L2783" s="15" t="s">
        <v>1685</v>
      </c>
      <c r="M2783" s="8" t="s">
        <v>13100</v>
      </c>
      <c r="N2783" s="8"/>
      <c r="O2783" s="8" t="s">
        <v>13101</v>
      </c>
      <c r="P2783" s="11" t="s">
        <v>3687</v>
      </c>
      <c r="Q2783" s="8" t="s">
        <v>13102</v>
      </c>
      <c r="R2783" s="8" t="s">
        <v>13103</v>
      </c>
      <c r="S2783" s="8" t="s">
        <v>13799</v>
      </c>
    </row>
    <row r="2784" spans="1:19" ht="149.1" customHeight="1" x14ac:dyDescent="0.25">
      <c r="A2784" s="8" t="s">
        <v>13800</v>
      </c>
      <c r="B2784" s="8" t="s">
        <v>13098</v>
      </c>
      <c r="C2784" s="8" t="s">
        <v>4542</v>
      </c>
      <c r="D2784" s="10">
        <v>166</v>
      </c>
      <c r="E2784" s="8" t="s">
        <v>1755</v>
      </c>
      <c r="F2784" s="8" t="s">
        <v>1751</v>
      </c>
      <c r="G2784" s="8" t="s">
        <v>4542</v>
      </c>
      <c r="H2784" s="8"/>
      <c r="I2784" s="8"/>
      <c r="J2784" s="15" t="s">
        <v>1685</v>
      </c>
      <c r="K2784" s="8"/>
      <c r="L2784" s="15" t="s">
        <v>1685</v>
      </c>
      <c r="M2784" s="8" t="s">
        <v>13100</v>
      </c>
      <c r="N2784" s="8"/>
      <c r="O2784" s="8" t="s">
        <v>13101</v>
      </c>
      <c r="P2784" s="11" t="s">
        <v>3688</v>
      </c>
      <c r="Q2784" s="8" t="s">
        <v>13102</v>
      </c>
      <c r="R2784" s="8" t="s">
        <v>13103</v>
      </c>
      <c r="S2784" s="8" t="s">
        <v>13801</v>
      </c>
    </row>
    <row r="2785" spans="1:19" ht="149.1" customHeight="1" x14ac:dyDescent="0.25">
      <c r="A2785" s="8" t="s">
        <v>13802</v>
      </c>
      <c r="B2785" s="8" t="s">
        <v>13098</v>
      </c>
      <c r="C2785" s="8" t="s">
        <v>4542</v>
      </c>
      <c r="D2785" s="10">
        <v>167</v>
      </c>
      <c r="E2785" s="8" t="s">
        <v>1737</v>
      </c>
      <c r="F2785" s="8" t="s">
        <v>1735</v>
      </c>
      <c r="G2785" s="8" t="s">
        <v>4542</v>
      </c>
      <c r="H2785" s="8"/>
      <c r="I2785" s="8"/>
      <c r="J2785" s="15" t="s">
        <v>1685</v>
      </c>
      <c r="K2785" s="8"/>
      <c r="L2785" s="15" t="s">
        <v>1685</v>
      </c>
      <c r="M2785" s="8" t="s">
        <v>13100</v>
      </c>
      <c r="N2785" s="8"/>
      <c r="O2785" s="8" t="s">
        <v>13101</v>
      </c>
      <c r="P2785" s="11" t="s">
        <v>3691</v>
      </c>
      <c r="Q2785" s="8" t="s">
        <v>13102</v>
      </c>
      <c r="R2785" s="8" t="s">
        <v>13103</v>
      </c>
      <c r="S2785" s="8" t="s">
        <v>13803</v>
      </c>
    </row>
    <row r="2786" spans="1:19" ht="149.1" customHeight="1" x14ac:dyDescent="0.25">
      <c r="A2786" s="8" t="s">
        <v>13804</v>
      </c>
      <c r="B2786" s="8" t="s">
        <v>13098</v>
      </c>
      <c r="C2786" s="8" t="s">
        <v>4542</v>
      </c>
      <c r="D2786" s="10">
        <v>168</v>
      </c>
      <c r="E2786" s="8" t="s">
        <v>2723</v>
      </c>
      <c r="F2786" s="8" t="s">
        <v>2721</v>
      </c>
      <c r="G2786" s="8" t="s">
        <v>4542</v>
      </c>
      <c r="H2786" s="8"/>
      <c r="I2786" s="8"/>
      <c r="J2786" s="15" t="s">
        <v>1685</v>
      </c>
      <c r="K2786" s="8"/>
      <c r="L2786" s="15" t="s">
        <v>1685</v>
      </c>
      <c r="M2786" s="8" t="s">
        <v>13100</v>
      </c>
      <c r="N2786" s="8"/>
      <c r="O2786" s="8" t="s">
        <v>13101</v>
      </c>
      <c r="P2786" s="11" t="s">
        <v>3692</v>
      </c>
      <c r="Q2786" s="8" t="s">
        <v>13102</v>
      </c>
      <c r="R2786" s="8" t="s">
        <v>13103</v>
      </c>
      <c r="S2786" s="8" t="s">
        <v>13805</v>
      </c>
    </row>
    <row r="2787" spans="1:19" ht="149.1" customHeight="1" x14ac:dyDescent="0.25">
      <c r="A2787" s="8" t="s">
        <v>13806</v>
      </c>
      <c r="B2787" s="8" t="s">
        <v>13098</v>
      </c>
      <c r="C2787" s="8" t="s">
        <v>4542</v>
      </c>
      <c r="D2787" s="10">
        <v>169</v>
      </c>
      <c r="E2787" s="8" t="s">
        <v>2728</v>
      </c>
      <c r="F2787" s="8" t="s">
        <v>2726</v>
      </c>
      <c r="G2787" s="8" t="s">
        <v>4542</v>
      </c>
      <c r="H2787" s="8"/>
      <c r="I2787" s="8"/>
      <c r="J2787" s="15" t="s">
        <v>1685</v>
      </c>
      <c r="K2787" s="8"/>
      <c r="L2787" s="15" t="s">
        <v>1685</v>
      </c>
      <c r="M2787" s="8" t="s">
        <v>13100</v>
      </c>
      <c r="N2787" s="8"/>
      <c r="O2787" s="8" t="s">
        <v>13101</v>
      </c>
      <c r="P2787" s="11" t="s">
        <v>3693</v>
      </c>
      <c r="Q2787" s="8" t="s">
        <v>13102</v>
      </c>
      <c r="R2787" s="8" t="s">
        <v>13103</v>
      </c>
      <c r="S2787" s="8" t="s">
        <v>13807</v>
      </c>
    </row>
    <row r="2788" spans="1:19" ht="149.1" customHeight="1" x14ac:dyDescent="0.25">
      <c r="A2788" s="8" t="s">
        <v>13808</v>
      </c>
      <c r="B2788" s="8" t="s">
        <v>13098</v>
      </c>
      <c r="C2788" s="8" t="s">
        <v>4542</v>
      </c>
      <c r="D2788" s="10">
        <v>170</v>
      </c>
      <c r="E2788" s="8" t="s">
        <v>2733</v>
      </c>
      <c r="F2788" s="8" t="s">
        <v>2731</v>
      </c>
      <c r="G2788" s="8" t="s">
        <v>4542</v>
      </c>
      <c r="H2788" s="8"/>
      <c r="I2788" s="8"/>
      <c r="J2788" s="15" t="s">
        <v>1685</v>
      </c>
      <c r="K2788" s="8"/>
      <c r="L2788" s="15" t="s">
        <v>1685</v>
      </c>
      <c r="M2788" s="8" t="s">
        <v>13100</v>
      </c>
      <c r="N2788" s="8"/>
      <c r="O2788" s="8" t="s">
        <v>13101</v>
      </c>
      <c r="P2788" s="11" t="s">
        <v>3694</v>
      </c>
      <c r="Q2788" s="8" t="s">
        <v>13102</v>
      </c>
      <c r="R2788" s="8" t="s">
        <v>13103</v>
      </c>
      <c r="S2788" s="8" t="s">
        <v>13809</v>
      </c>
    </row>
    <row r="2789" spans="1:19" ht="149.1" customHeight="1" x14ac:dyDescent="0.25">
      <c r="A2789" s="8" t="s">
        <v>13810</v>
      </c>
      <c r="B2789" s="8" t="s">
        <v>13098</v>
      </c>
      <c r="C2789" s="8" t="s">
        <v>4542</v>
      </c>
      <c r="D2789" s="10">
        <v>171</v>
      </c>
      <c r="E2789" s="8" t="s">
        <v>2738</v>
      </c>
      <c r="F2789" s="8" t="s">
        <v>2736</v>
      </c>
      <c r="G2789" s="8" t="s">
        <v>4542</v>
      </c>
      <c r="H2789" s="8"/>
      <c r="I2789" s="8"/>
      <c r="J2789" s="15" t="s">
        <v>1685</v>
      </c>
      <c r="K2789" s="8"/>
      <c r="L2789" s="15" t="s">
        <v>1685</v>
      </c>
      <c r="M2789" s="8" t="s">
        <v>13100</v>
      </c>
      <c r="N2789" s="8"/>
      <c r="O2789" s="8" t="s">
        <v>13101</v>
      </c>
      <c r="P2789" s="11" t="s">
        <v>3695</v>
      </c>
      <c r="Q2789" s="8" t="s">
        <v>13102</v>
      </c>
      <c r="R2789" s="8" t="s">
        <v>13103</v>
      </c>
      <c r="S2789" s="8" t="s">
        <v>13811</v>
      </c>
    </row>
    <row r="2790" spans="1:19" ht="149.1" customHeight="1" x14ac:dyDescent="0.25">
      <c r="A2790" s="8" t="s">
        <v>13812</v>
      </c>
      <c r="B2790" s="8" t="s">
        <v>13098</v>
      </c>
      <c r="C2790" s="8" t="s">
        <v>4542</v>
      </c>
      <c r="D2790" s="10">
        <v>172</v>
      </c>
      <c r="E2790" s="8" t="s">
        <v>2752</v>
      </c>
      <c r="F2790" s="8" t="s">
        <v>2750</v>
      </c>
      <c r="G2790" s="8" t="s">
        <v>4542</v>
      </c>
      <c r="H2790" s="8"/>
      <c r="I2790" s="8"/>
      <c r="J2790" s="15" t="s">
        <v>1685</v>
      </c>
      <c r="K2790" s="8"/>
      <c r="L2790" s="15" t="s">
        <v>1685</v>
      </c>
      <c r="M2790" s="8" t="s">
        <v>13100</v>
      </c>
      <c r="N2790" s="8"/>
      <c r="O2790" s="8" t="s">
        <v>13101</v>
      </c>
      <c r="P2790" s="11" t="s">
        <v>3696</v>
      </c>
      <c r="Q2790" s="8" t="s">
        <v>13102</v>
      </c>
      <c r="R2790" s="8" t="s">
        <v>13103</v>
      </c>
      <c r="S2790" s="8" t="s">
        <v>13813</v>
      </c>
    </row>
    <row r="2791" spans="1:19" ht="149.1" customHeight="1" x14ac:dyDescent="0.25">
      <c r="A2791" s="8" t="s">
        <v>13814</v>
      </c>
      <c r="B2791" s="8" t="s">
        <v>13098</v>
      </c>
      <c r="C2791" s="8" t="s">
        <v>4542</v>
      </c>
      <c r="D2791" s="10">
        <v>173</v>
      </c>
      <c r="E2791" s="8" t="s">
        <v>2756</v>
      </c>
      <c r="F2791" s="8" t="s">
        <v>2755</v>
      </c>
      <c r="G2791" s="8" t="s">
        <v>4542</v>
      </c>
      <c r="H2791" s="8"/>
      <c r="I2791" s="8"/>
      <c r="J2791" s="15" t="s">
        <v>1685</v>
      </c>
      <c r="K2791" s="8"/>
      <c r="L2791" s="15" t="s">
        <v>1685</v>
      </c>
      <c r="M2791" s="8" t="s">
        <v>13100</v>
      </c>
      <c r="N2791" s="8"/>
      <c r="O2791" s="8" t="s">
        <v>13101</v>
      </c>
      <c r="P2791" s="11" t="s">
        <v>3697</v>
      </c>
      <c r="Q2791" s="8" t="s">
        <v>13102</v>
      </c>
      <c r="R2791" s="8" t="s">
        <v>13103</v>
      </c>
      <c r="S2791" s="8" t="s">
        <v>13815</v>
      </c>
    </row>
    <row r="2792" spans="1:19" ht="149.1" customHeight="1" x14ac:dyDescent="0.25">
      <c r="A2792" s="8" t="s">
        <v>13816</v>
      </c>
      <c r="B2792" s="8" t="s">
        <v>13098</v>
      </c>
      <c r="C2792" s="8" t="s">
        <v>4542</v>
      </c>
      <c r="D2792" s="10">
        <v>174</v>
      </c>
      <c r="E2792" s="8" t="s">
        <v>2761</v>
      </c>
      <c r="F2792" s="8" t="s">
        <v>2759</v>
      </c>
      <c r="G2792" s="8" t="s">
        <v>4542</v>
      </c>
      <c r="H2792" s="8"/>
      <c r="I2792" s="8"/>
      <c r="J2792" s="15" t="s">
        <v>1685</v>
      </c>
      <c r="K2792" s="8"/>
      <c r="L2792" s="15" t="s">
        <v>1685</v>
      </c>
      <c r="M2792" s="8" t="s">
        <v>13100</v>
      </c>
      <c r="N2792" s="8"/>
      <c r="O2792" s="8" t="s">
        <v>13101</v>
      </c>
      <c r="P2792" s="11" t="s">
        <v>3698</v>
      </c>
      <c r="Q2792" s="8" t="s">
        <v>13102</v>
      </c>
      <c r="R2792" s="8" t="s">
        <v>13103</v>
      </c>
      <c r="S2792" s="8" t="s">
        <v>13817</v>
      </c>
    </row>
    <row r="2793" spans="1:19" ht="149.1" customHeight="1" x14ac:dyDescent="0.25">
      <c r="A2793" s="8" t="s">
        <v>13818</v>
      </c>
      <c r="B2793" s="8" t="s">
        <v>13098</v>
      </c>
      <c r="C2793" s="8" t="s">
        <v>4542</v>
      </c>
      <c r="D2793" s="10">
        <v>175</v>
      </c>
      <c r="E2793" s="8" t="s">
        <v>2766</v>
      </c>
      <c r="F2793" s="8" t="s">
        <v>2764</v>
      </c>
      <c r="G2793" s="8" t="s">
        <v>4542</v>
      </c>
      <c r="H2793" s="8"/>
      <c r="I2793" s="8"/>
      <c r="J2793" s="15" t="s">
        <v>1685</v>
      </c>
      <c r="K2793" s="8"/>
      <c r="L2793" s="15" t="s">
        <v>1685</v>
      </c>
      <c r="M2793" s="8" t="s">
        <v>13100</v>
      </c>
      <c r="N2793" s="8"/>
      <c r="O2793" s="8" t="s">
        <v>13101</v>
      </c>
      <c r="P2793" s="11" t="s">
        <v>3699</v>
      </c>
      <c r="Q2793" s="8" t="s">
        <v>13102</v>
      </c>
      <c r="R2793" s="8" t="s">
        <v>13103</v>
      </c>
      <c r="S2793" s="8" t="s">
        <v>13819</v>
      </c>
    </row>
    <row r="2794" spans="1:19" ht="149.1" customHeight="1" x14ac:dyDescent="0.25">
      <c r="A2794" s="8" t="s">
        <v>13820</v>
      </c>
      <c r="B2794" s="8" t="s">
        <v>13098</v>
      </c>
      <c r="C2794" s="8" t="s">
        <v>4542</v>
      </c>
      <c r="D2794" s="10">
        <v>176</v>
      </c>
      <c r="E2794" s="8" t="s">
        <v>2771</v>
      </c>
      <c r="F2794" s="8" t="s">
        <v>2769</v>
      </c>
      <c r="G2794" s="8" t="s">
        <v>4542</v>
      </c>
      <c r="H2794" s="8"/>
      <c r="I2794" s="8"/>
      <c r="J2794" s="15" t="s">
        <v>1685</v>
      </c>
      <c r="K2794" s="8"/>
      <c r="L2794" s="15" t="s">
        <v>1685</v>
      </c>
      <c r="M2794" s="8" t="s">
        <v>13100</v>
      </c>
      <c r="N2794" s="8"/>
      <c r="O2794" s="8" t="s">
        <v>13101</v>
      </c>
      <c r="P2794" s="11" t="s">
        <v>3700</v>
      </c>
      <c r="Q2794" s="8" t="s">
        <v>13102</v>
      </c>
      <c r="R2794" s="8" t="s">
        <v>13103</v>
      </c>
      <c r="S2794" s="8" t="s">
        <v>13821</v>
      </c>
    </row>
    <row r="2795" spans="1:19" ht="149.1" customHeight="1" x14ac:dyDescent="0.25">
      <c r="A2795" s="8" t="s">
        <v>13822</v>
      </c>
      <c r="B2795" s="8" t="s">
        <v>13098</v>
      </c>
      <c r="C2795" s="8" t="s">
        <v>4542</v>
      </c>
      <c r="D2795" s="10">
        <v>177</v>
      </c>
      <c r="E2795" s="8" t="s">
        <v>2156</v>
      </c>
      <c r="F2795" s="8" t="s">
        <v>2779</v>
      </c>
      <c r="G2795" s="8" t="s">
        <v>4542</v>
      </c>
      <c r="H2795" s="8"/>
      <c r="I2795" s="8"/>
      <c r="J2795" s="15" t="s">
        <v>1685</v>
      </c>
      <c r="K2795" s="8"/>
      <c r="L2795" s="15" t="s">
        <v>1685</v>
      </c>
      <c r="M2795" s="8" t="s">
        <v>13100</v>
      </c>
      <c r="N2795" s="8"/>
      <c r="O2795" s="8" t="s">
        <v>13101</v>
      </c>
      <c r="P2795" s="11" t="s">
        <v>3702</v>
      </c>
      <c r="Q2795" s="8" t="s">
        <v>13102</v>
      </c>
      <c r="R2795" s="8" t="s">
        <v>13103</v>
      </c>
      <c r="S2795" s="8" t="s">
        <v>13823</v>
      </c>
    </row>
    <row r="2796" spans="1:19" ht="149.1" customHeight="1" x14ac:dyDescent="0.25">
      <c r="A2796" s="8" t="s">
        <v>13824</v>
      </c>
      <c r="B2796" s="8" t="s">
        <v>13098</v>
      </c>
      <c r="C2796" s="8" t="s">
        <v>4542</v>
      </c>
      <c r="D2796" s="10">
        <v>178</v>
      </c>
      <c r="E2796" s="8" t="s">
        <v>2785</v>
      </c>
      <c r="F2796" s="8" t="s">
        <v>2783</v>
      </c>
      <c r="G2796" s="8" t="s">
        <v>4542</v>
      </c>
      <c r="H2796" s="8"/>
      <c r="I2796" s="8"/>
      <c r="J2796" s="15" t="s">
        <v>1685</v>
      </c>
      <c r="K2796" s="8"/>
      <c r="L2796" s="15" t="s">
        <v>1685</v>
      </c>
      <c r="M2796" s="8" t="s">
        <v>13100</v>
      </c>
      <c r="N2796" s="8"/>
      <c r="O2796" s="8" t="s">
        <v>13101</v>
      </c>
      <c r="P2796" s="11" t="s">
        <v>3703</v>
      </c>
      <c r="Q2796" s="8" t="s">
        <v>13102</v>
      </c>
      <c r="R2796" s="8" t="s">
        <v>13103</v>
      </c>
      <c r="S2796" s="8" t="s">
        <v>13825</v>
      </c>
    </row>
    <row r="2797" spans="1:19" ht="149.1" customHeight="1" x14ac:dyDescent="0.25">
      <c r="A2797" s="8" t="s">
        <v>13826</v>
      </c>
      <c r="B2797" s="8" t="s">
        <v>13098</v>
      </c>
      <c r="C2797" s="8" t="s">
        <v>4542</v>
      </c>
      <c r="D2797" s="10">
        <v>179</v>
      </c>
      <c r="E2797" s="8" t="s">
        <v>2790</v>
      </c>
      <c r="F2797" s="8" t="s">
        <v>2788</v>
      </c>
      <c r="G2797" s="8" t="s">
        <v>4542</v>
      </c>
      <c r="H2797" s="8"/>
      <c r="I2797" s="8"/>
      <c r="J2797" s="15" t="s">
        <v>1685</v>
      </c>
      <c r="K2797" s="8"/>
      <c r="L2797" s="15" t="s">
        <v>1685</v>
      </c>
      <c r="M2797" s="8" t="s">
        <v>13100</v>
      </c>
      <c r="N2797" s="8"/>
      <c r="O2797" s="8" t="s">
        <v>13101</v>
      </c>
      <c r="P2797" s="11" t="s">
        <v>3704</v>
      </c>
      <c r="Q2797" s="8" t="s">
        <v>13102</v>
      </c>
      <c r="R2797" s="8" t="s">
        <v>13103</v>
      </c>
      <c r="S2797" s="8" t="s">
        <v>13827</v>
      </c>
    </row>
    <row r="2798" spans="1:19" ht="149.1" customHeight="1" x14ac:dyDescent="0.25">
      <c r="A2798" s="8" t="s">
        <v>13828</v>
      </c>
      <c r="B2798" s="8" t="s">
        <v>13098</v>
      </c>
      <c r="C2798" s="8" t="s">
        <v>4542</v>
      </c>
      <c r="D2798" s="10">
        <v>180</v>
      </c>
      <c r="E2798" s="8" t="s">
        <v>2795</v>
      </c>
      <c r="F2798" s="8" t="s">
        <v>2793</v>
      </c>
      <c r="G2798" s="8" t="s">
        <v>4542</v>
      </c>
      <c r="H2798" s="8"/>
      <c r="I2798" s="8"/>
      <c r="J2798" s="15" t="s">
        <v>1685</v>
      </c>
      <c r="K2798" s="8"/>
      <c r="L2798" s="15" t="s">
        <v>1685</v>
      </c>
      <c r="M2798" s="8" t="s">
        <v>13100</v>
      </c>
      <c r="N2798" s="8"/>
      <c r="O2798" s="8" t="s">
        <v>13101</v>
      </c>
      <c r="P2798" s="11" t="s">
        <v>3705</v>
      </c>
      <c r="Q2798" s="8" t="s">
        <v>13102</v>
      </c>
      <c r="R2798" s="8" t="s">
        <v>13103</v>
      </c>
      <c r="S2798" s="8" t="s">
        <v>13829</v>
      </c>
    </row>
    <row r="2799" spans="1:19" ht="149.1" customHeight="1" x14ac:dyDescent="0.25">
      <c r="A2799" s="8" t="s">
        <v>13830</v>
      </c>
      <c r="B2799" s="8" t="s">
        <v>13098</v>
      </c>
      <c r="C2799" s="8" t="s">
        <v>4542</v>
      </c>
      <c r="D2799" s="10">
        <v>181</v>
      </c>
      <c r="E2799" s="8" t="s">
        <v>2800</v>
      </c>
      <c r="F2799" s="8" t="s">
        <v>2798</v>
      </c>
      <c r="G2799" s="8" t="s">
        <v>4542</v>
      </c>
      <c r="H2799" s="8"/>
      <c r="I2799" s="8"/>
      <c r="J2799" s="15" t="s">
        <v>1685</v>
      </c>
      <c r="K2799" s="8"/>
      <c r="L2799" s="15" t="s">
        <v>1685</v>
      </c>
      <c r="M2799" s="8" t="s">
        <v>13100</v>
      </c>
      <c r="N2799" s="8"/>
      <c r="O2799" s="8" t="s">
        <v>13101</v>
      </c>
      <c r="P2799" s="11" t="s">
        <v>3706</v>
      </c>
      <c r="Q2799" s="8" t="s">
        <v>13102</v>
      </c>
      <c r="R2799" s="8" t="s">
        <v>13103</v>
      </c>
      <c r="S2799" s="8" t="s">
        <v>13831</v>
      </c>
    </row>
    <row r="2800" spans="1:19" ht="135" customHeight="1" x14ac:dyDescent="0.25">
      <c r="A2800" s="8" t="s">
        <v>13832</v>
      </c>
      <c r="B2800" s="8" t="s">
        <v>13098</v>
      </c>
      <c r="C2800" s="8" t="s">
        <v>4542</v>
      </c>
      <c r="D2800" s="10">
        <v>182</v>
      </c>
      <c r="E2800" s="8" t="s">
        <v>2693</v>
      </c>
      <c r="F2800" s="8" t="s">
        <v>2691</v>
      </c>
      <c r="G2800" s="8" t="s">
        <v>4542</v>
      </c>
      <c r="H2800" s="8"/>
      <c r="I2800" s="8"/>
      <c r="J2800" s="15" t="s">
        <v>1685</v>
      </c>
      <c r="K2800" s="8"/>
      <c r="L2800" s="15" t="s">
        <v>1685</v>
      </c>
      <c r="M2800" s="8" t="s">
        <v>13100</v>
      </c>
      <c r="N2800" s="8"/>
      <c r="O2800" s="8" t="s">
        <v>13101</v>
      </c>
      <c r="P2800" s="11" t="s">
        <v>3707</v>
      </c>
      <c r="Q2800" s="8" t="s">
        <v>13102</v>
      </c>
      <c r="R2800" s="8" t="s">
        <v>13103</v>
      </c>
      <c r="S2800" s="8" t="s">
        <v>13833</v>
      </c>
    </row>
    <row r="2801" spans="1:19" ht="135" customHeight="1" x14ac:dyDescent="0.25">
      <c r="A2801" s="8" t="s">
        <v>13834</v>
      </c>
      <c r="B2801" s="8" t="s">
        <v>13098</v>
      </c>
      <c r="C2801" s="8" t="s">
        <v>4542</v>
      </c>
      <c r="D2801" s="10">
        <v>183</v>
      </c>
      <c r="E2801" s="8" t="s">
        <v>2697</v>
      </c>
      <c r="F2801" s="8" t="s">
        <v>2696</v>
      </c>
      <c r="G2801" s="8" t="s">
        <v>4542</v>
      </c>
      <c r="H2801" s="8"/>
      <c r="I2801" s="8"/>
      <c r="J2801" s="15" t="s">
        <v>1685</v>
      </c>
      <c r="K2801" s="8"/>
      <c r="L2801" s="15" t="s">
        <v>1685</v>
      </c>
      <c r="M2801" s="8" t="s">
        <v>13100</v>
      </c>
      <c r="N2801" s="8"/>
      <c r="O2801" s="8" t="s">
        <v>13101</v>
      </c>
      <c r="P2801" s="11" t="s">
        <v>3708</v>
      </c>
      <c r="Q2801" s="8" t="s">
        <v>13102</v>
      </c>
      <c r="R2801" s="8" t="s">
        <v>13103</v>
      </c>
      <c r="S2801" s="8" t="s">
        <v>13835</v>
      </c>
    </row>
    <row r="2802" spans="1:19" ht="135" customHeight="1" x14ac:dyDescent="0.25">
      <c r="A2802" s="8" t="s">
        <v>13836</v>
      </c>
      <c r="B2802" s="8" t="s">
        <v>13098</v>
      </c>
      <c r="C2802" s="8" t="s">
        <v>4542</v>
      </c>
      <c r="D2802" s="10">
        <v>184</v>
      </c>
      <c r="E2802" s="8" t="s">
        <v>2701</v>
      </c>
      <c r="F2802" s="8" t="s">
        <v>2700</v>
      </c>
      <c r="G2802" s="8" t="s">
        <v>4542</v>
      </c>
      <c r="H2802" s="8"/>
      <c r="I2802" s="8"/>
      <c r="J2802" s="15" t="s">
        <v>1685</v>
      </c>
      <c r="K2802" s="8"/>
      <c r="L2802" s="15" t="s">
        <v>1685</v>
      </c>
      <c r="M2802" s="8" t="s">
        <v>13100</v>
      </c>
      <c r="N2802" s="8"/>
      <c r="O2802" s="8" t="s">
        <v>13101</v>
      </c>
      <c r="P2802" s="11" t="s">
        <v>3709</v>
      </c>
      <c r="Q2802" s="8" t="s">
        <v>13102</v>
      </c>
      <c r="R2802" s="8" t="s">
        <v>13103</v>
      </c>
      <c r="S2802" s="8" t="s">
        <v>13837</v>
      </c>
    </row>
    <row r="2803" spans="1:19" ht="135" customHeight="1" x14ac:dyDescent="0.25">
      <c r="A2803" s="8" t="s">
        <v>13838</v>
      </c>
      <c r="B2803" s="8" t="s">
        <v>13098</v>
      </c>
      <c r="C2803" s="8" t="s">
        <v>4542</v>
      </c>
      <c r="D2803" s="10">
        <v>185</v>
      </c>
      <c r="E2803" s="8" t="s">
        <v>2705</v>
      </c>
      <c r="F2803" s="8" t="s">
        <v>2704</v>
      </c>
      <c r="G2803" s="8" t="s">
        <v>4542</v>
      </c>
      <c r="H2803" s="8"/>
      <c r="I2803" s="8"/>
      <c r="J2803" s="15" t="s">
        <v>1685</v>
      </c>
      <c r="K2803" s="8"/>
      <c r="L2803" s="15" t="s">
        <v>1685</v>
      </c>
      <c r="M2803" s="8" t="s">
        <v>13100</v>
      </c>
      <c r="N2803" s="8"/>
      <c r="O2803" s="8" t="s">
        <v>13101</v>
      </c>
      <c r="P2803" s="11" t="s">
        <v>3710</v>
      </c>
      <c r="Q2803" s="8" t="s">
        <v>13102</v>
      </c>
      <c r="R2803" s="8" t="s">
        <v>13103</v>
      </c>
      <c r="S2803" s="8" t="s">
        <v>13839</v>
      </c>
    </row>
    <row r="2804" spans="1:19" ht="135" customHeight="1" x14ac:dyDescent="0.25">
      <c r="A2804" s="8" t="s">
        <v>13840</v>
      </c>
      <c r="B2804" s="8" t="s">
        <v>13098</v>
      </c>
      <c r="C2804" s="8" t="s">
        <v>4542</v>
      </c>
      <c r="D2804" s="10">
        <v>186</v>
      </c>
      <c r="E2804" s="8" t="s">
        <v>2710</v>
      </c>
      <c r="F2804" s="8" t="s">
        <v>2708</v>
      </c>
      <c r="G2804" s="8" t="s">
        <v>4542</v>
      </c>
      <c r="H2804" s="8"/>
      <c r="I2804" s="8"/>
      <c r="J2804" s="15" t="s">
        <v>1685</v>
      </c>
      <c r="K2804" s="8"/>
      <c r="L2804" s="15" t="s">
        <v>1685</v>
      </c>
      <c r="M2804" s="8" t="s">
        <v>13100</v>
      </c>
      <c r="N2804" s="8"/>
      <c r="O2804" s="8" t="s">
        <v>13101</v>
      </c>
      <c r="P2804" s="11" t="s">
        <v>3711</v>
      </c>
      <c r="Q2804" s="8" t="s">
        <v>13102</v>
      </c>
      <c r="R2804" s="8" t="s">
        <v>13103</v>
      </c>
      <c r="S2804" s="8" t="s">
        <v>13841</v>
      </c>
    </row>
    <row r="2805" spans="1:19" ht="149.1" customHeight="1" x14ac:dyDescent="0.25">
      <c r="A2805" s="8" t="s">
        <v>13842</v>
      </c>
      <c r="B2805" s="8" t="s">
        <v>13098</v>
      </c>
      <c r="C2805" s="8" t="s">
        <v>4542</v>
      </c>
      <c r="D2805" s="10">
        <v>187</v>
      </c>
      <c r="E2805" s="8" t="s">
        <v>2714</v>
      </c>
      <c r="F2805" s="8" t="s">
        <v>2713</v>
      </c>
      <c r="G2805" s="8" t="s">
        <v>4542</v>
      </c>
      <c r="H2805" s="8"/>
      <c r="I2805" s="8"/>
      <c r="J2805" s="15" t="s">
        <v>1685</v>
      </c>
      <c r="K2805" s="8"/>
      <c r="L2805" s="15" t="s">
        <v>1685</v>
      </c>
      <c r="M2805" s="8" t="s">
        <v>13100</v>
      </c>
      <c r="N2805" s="8"/>
      <c r="O2805" s="8" t="s">
        <v>13101</v>
      </c>
      <c r="P2805" s="11" t="s">
        <v>3712</v>
      </c>
      <c r="Q2805" s="8" t="s">
        <v>13102</v>
      </c>
      <c r="R2805" s="8" t="s">
        <v>13103</v>
      </c>
      <c r="S2805" s="8" t="s">
        <v>13843</v>
      </c>
    </row>
    <row r="2806" spans="1:19" ht="149.1" customHeight="1" x14ac:dyDescent="0.25">
      <c r="A2806" s="8" t="s">
        <v>13844</v>
      </c>
      <c r="B2806" s="8" t="s">
        <v>13098</v>
      </c>
      <c r="C2806" s="8" t="s">
        <v>4542</v>
      </c>
      <c r="D2806" s="10">
        <v>188</v>
      </c>
      <c r="E2806" s="8" t="s">
        <v>3713</v>
      </c>
      <c r="F2806" s="8" t="s">
        <v>3714</v>
      </c>
      <c r="G2806" s="8" t="s">
        <v>4542</v>
      </c>
      <c r="H2806" s="8"/>
      <c r="I2806" s="8"/>
      <c r="J2806" s="15" t="s">
        <v>1685</v>
      </c>
      <c r="K2806" s="8"/>
      <c r="L2806" s="15" t="s">
        <v>1685</v>
      </c>
      <c r="M2806" s="8" t="s">
        <v>13100</v>
      </c>
      <c r="N2806" s="8"/>
      <c r="O2806" s="8" t="s">
        <v>13101</v>
      </c>
      <c r="P2806" s="11" t="s">
        <v>3716</v>
      </c>
      <c r="Q2806" s="8" t="s">
        <v>13102</v>
      </c>
      <c r="R2806" s="8" t="s">
        <v>13103</v>
      </c>
      <c r="S2806" s="8" t="s">
        <v>13845</v>
      </c>
    </row>
    <row r="2807" spans="1:19" ht="149.1" customHeight="1" x14ac:dyDescent="0.25">
      <c r="A2807" s="8" t="s">
        <v>13846</v>
      </c>
      <c r="B2807" s="8" t="s">
        <v>13098</v>
      </c>
      <c r="C2807" s="8" t="s">
        <v>4542</v>
      </c>
      <c r="D2807" s="10">
        <v>189</v>
      </c>
      <c r="E2807" s="8" t="s">
        <v>3719</v>
      </c>
      <c r="F2807" s="8" t="s">
        <v>3720</v>
      </c>
      <c r="G2807" s="8" t="s">
        <v>4542</v>
      </c>
      <c r="H2807" s="8"/>
      <c r="I2807" s="8"/>
      <c r="J2807" s="15" t="s">
        <v>1685</v>
      </c>
      <c r="K2807" s="8"/>
      <c r="L2807" s="15" t="s">
        <v>1685</v>
      </c>
      <c r="M2807" s="8" t="s">
        <v>13100</v>
      </c>
      <c r="N2807" s="8"/>
      <c r="O2807" s="8" t="s">
        <v>13101</v>
      </c>
      <c r="P2807" s="11" t="s">
        <v>3721</v>
      </c>
      <c r="Q2807" s="8" t="s">
        <v>13102</v>
      </c>
      <c r="R2807" s="8" t="s">
        <v>13103</v>
      </c>
      <c r="S2807" s="8" t="s">
        <v>13847</v>
      </c>
    </row>
    <row r="2808" spans="1:19" ht="149.1" customHeight="1" x14ac:dyDescent="0.25">
      <c r="A2808" s="8" t="s">
        <v>13848</v>
      </c>
      <c r="B2808" s="8" t="s">
        <v>13098</v>
      </c>
      <c r="C2808" s="8" t="s">
        <v>4542</v>
      </c>
      <c r="D2808" s="10">
        <v>190</v>
      </c>
      <c r="E2808" s="8" t="s">
        <v>1760</v>
      </c>
      <c r="F2808" s="8" t="s">
        <v>1758</v>
      </c>
      <c r="G2808" s="8" t="s">
        <v>4542</v>
      </c>
      <c r="H2808" s="8"/>
      <c r="I2808" s="8"/>
      <c r="J2808" s="15" t="s">
        <v>1685</v>
      </c>
      <c r="K2808" s="8"/>
      <c r="L2808" s="15" t="s">
        <v>1685</v>
      </c>
      <c r="M2808" s="8" t="s">
        <v>13100</v>
      </c>
      <c r="N2808" s="8"/>
      <c r="O2808" s="8" t="s">
        <v>13101</v>
      </c>
      <c r="P2808" s="11" t="s">
        <v>3724</v>
      </c>
      <c r="Q2808" s="8" t="s">
        <v>13102</v>
      </c>
      <c r="R2808" s="8" t="s">
        <v>13103</v>
      </c>
      <c r="S2808" s="8" t="s">
        <v>13849</v>
      </c>
    </row>
    <row r="2809" spans="1:19" ht="150" customHeight="1" x14ac:dyDescent="0.25">
      <c r="A2809" s="8" t="s">
        <v>13850</v>
      </c>
      <c r="B2809" s="8" t="s">
        <v>13098</v>
      </c>
      <c r="C2809" s="8" t="s">
        <v>4542</v>
      </c>
      <c r="D2809" s="10">
        <v>191</v>
      </c>
      <c r="E2809" s="8" t="s">
        <v>1765</v>
      </c>
      <c r="F2809" s="8" t="s">
        <v>1763</v>
      </c>
      <c r="G2809" s="8" t="s">
        <v>4542</v>
      </c>
      <c r="H2809" s="8"/>
      <c r="I2809" s="8"/>
      <c r="J2809" s="15" t="s">
        <v>1685</v>
      </c>
      <c r="K2809" s="8"/>
      <c r="L2809" s="15" t="s">
        <v>1685</v>
      </c>
      <c r="M2809" s="8" t="s">
        <v>13100</v>
      </c>
      <c r="N2809" s="8"/>
      <c r="O2809" s="8" t="s">
        <v>13101</v>
      </c>
      <c r="P2809" s="11" t="s">
        <v>3725</v>
      </c>
      <c r="Q2809" s="8" t="s">
        <v>13102</v>
      </c>
      <c r="R2809" s="8" t="s">
        <v>13103</v>
      </c>
      <c r="S2809" s="8" t="s">
        <v>13851</v>
      </c>
    </row>
    <row r="2810" spans="1:19" ht="150" customHeight="1" x14ac:dyDescent="0.25">
      <c r="A2810" s="8" t="s">
        <v>13852</v>
      </c>
      <c r="B2810" s="8" t="s">
        <v>13098</v>
      </c>
      <c r="C2810" s="8" t="s">
        <v>4542</v>
      </c>
      <c r="D2810" s="10">
        <v>192</v>
      </c>
      <c r="E2810" s="8" t="s">
        <v>2743</v>
      </c>
      <c r="F2810" s="8" t="s">
        <v>2741</v>
      </c>
      <c r="G2810" s="8" t="s">
        <v>4542</v>
      </c>
      <c r="H2810" s="8"/>
      <c r="I2810" s="8"/>
      <c r="J2810" s="15" t="s">
        <v>1685</v>
      </c>
      <c r="K2810" s="8"/>
      <c r="L2810" s="15" t="s">
        <v>1685</v>
      </c>
      <c r="M2810" s="8" t="s">
        <v>13100</v>
      </c>
      <c r="N2810" s="8"/>
      <c r="O2810" s="8" t="s">
        <v>13101</v>
      </c>
      <c r="P2810" s="11" t="s">
        <v>3726</v>
      </c>
      <c r="Q2810" s="8" t="s">
        <v>13102</v>
      </c>
      <c r="R2810" s="8" t="s">
        <v>13103</v>
      </c>
      <c r="S2810" s="8" t="s">
        <v>13853</v>
      </c>
    </row>
    <row r="2811" spans="1:19" ht="150" customHeight="1" x14ac:dyDescent="0.25">
      <c r="A2811" s="8" t="s">
        <v>13854</v>
      </c>
      <c r="B2811" s="8" t="s">
        <v>13098</v>
      </c>
      <c r="C2811" s="8" t="s">
        <v>4542</v>
      </c>
      <c r="D2811" s="10">
        <v>193</v>
      </c>
      <c r="E2811" s="8" t="s">
        <v>1770</v>
      </c>
      <c r="F2811" s="8" t="s">
        <v>1768</v>
      </c>
      <c r="G2811" s="8" t="s">
        <v>4542</v>
      </c>
      <c r="H2811" s="8"/>
      <c r="I2811" s="8"/>
      <c r="J2811" s="15" t="s">
        <v>1685</v>
      </c>
      <c r="K2811" s="8"/>
      <c r="L2811" s="15" t="s">
        <v>1685</v>
      </c>
      <c r="M2811" s="8" t="s">
        <v>13100</v>
      </c>
      <c r="N2811" s="8"/>
      <c r="O2811" s="8" t="s">
        <v>13101</v>
      </c>
      <c r="P2811" s="11" t="s">
        <v>3727</v>
      </c>
      <c r="Q2811" s="8" t="s">
        <v>13102</v>
      </c>
      <c r="R2811" s="8" t="s">
        <v>13103</v>
      </c>
      <c r="S2811" s="8" t="s">
        <v>13855</v>
      </c>
    </row>
    <row r="2812" spans="1:19" ht="150" customHeight="1" x14ac:dyDescent="0.25">
      <c r="A2812" s="8" t="s">
        <v>13856</v>
      </c>
      <c r="B2812" s="8" t="s">
        <v>13098</v>
      </c>
      <c r="C2812" s="8" t="s">
        <v>4542</v>
      </c>
      <c r="D2812" s="10">
        <v>194</v>
      </c>
      <c r="E2812" s="8" t="s">
        <v>712</v>
      </c>
      <c r="F2812" s="8" t="s">
        <v>3728</v>
      </c>
      <c r="G2812" s="8" t="s">
        <v>4542</v>
      </c>
      <c r="H2812" s="8"/>
      <c r="I2812" s="8"/>
      <c r="J2812" s="15" t="s">
        <v>1685</v>
      </c>
      <c r="K2812" s="8"/>
      <c r="L2812" s="15" t="s">
        <v>1685</v>
      </c>
      <c r="M2812" s="8" t="s">
        <v>13100</v>
      </c>
      <c r="N2812" s="8"/>
      <c r="O2812" s="8" t="s">
        <v>13101</v>
      </c>
      <c r="P2812" s="11" t="s">
        <v>3729</v>
      </c>
      <c r="Q2812" s="8" t="s">
        <v>13102</v>
      </c>
      <c r="R2812" s="8" t="s">
        <v>13103</v>
      </c>
      <c r="S2812" s="8" t="s">
        <v>13857</v>
      </c>
    </row>
    <row r="2813" spans="1:19" ht="120.95" customHeight="1" x14ac:dyDescent="0.25">
      <c r="A2813" s="8" t="s">
        <v>13858</v>
      </c>
      <c r="B2813" s="8" t="s">
        <v>13098</v>
      </c>
      <c r="C2813" s="8" t="s">
        <v>4756</v>
      </c>
      <c r="D2813" s="10">
        <v>2</v>
      </c>
      <c r="E2813" s="8" t="s">
        <v>13099</v>
      </c>
      <c r="F2813" s="8"/>
      <c r="G2813" s="8" t="s">
        <v>4756</v>
      </c>
      <c r="H2813" s="8"/>
      <c r="I2813" s="8"/>
      <c r="J2813" s="15" t="s">
        <v>1685</v>
      </c>
      <c r="K2813" s="8"/>
      <c r="L2813" s="15" t="s">
        <v>1685</v>
      </c>
      <c r="M2813" s="8" t="s">
        <v>13100</v>
      </c>
      <c r="N2813" s="8"/>
      <c r="O2813" s="8" t="s">
        <v>13101</v>
      </c>
      <c r="P2813" s="11"/>
      <c r="Q2813" s="8" t="s">
        <v>13102</v>
      </c>
      <c r="R2813" s="8" t="s">
        <v>13103</v>
      </c>
      <c r="S2813" s="8" t="s">
        <v>13859</v>
      </c>
    </row>
    <row r="2814" spans="1:19" ht="120.95" customHeight="1" x14ac:dyDescent="0.25">
      <c r="A2814" s="8" t="s">
        <v>13860</v>
      </c>
      <c r="B2814" s="8" t="s">
        <v>13098</v>
      </c>
      <c r="C2814" s="8" t="s">
        <v>4756</v>
      </c>
      <c r="D2814" s="10">
        <v>3</v>
      </c>
      <c r="E2814" s="8" t="s">
        <v>13861</v>
      </c>
      <c r="F2814" s="8"/>
      <c r="G2814" s="8" t="s">
        <v>4756</v>
      </c>
      <c r="H2814" s="8"/>
      <c r="I2814" s="8"/>
      <c r="J2814" s="15" t="s">
        <v>1685</v>
      </c>
      <c r="K2814" s="8"/>
      <c r="L2814" s="15" t="s">
        <v>1685</v>
      </c>
      <c r="M2814" s="8" t="s">
        <v>13100</v>
      </c>
      <c r="N2814" s="8"/>
      <c r="O2814" s="8" t="s">
        <v>13101</v>
      </c>
      <c r="P2814" s="11"/>
      <c r="Q2814" s="8" t="s">
        <v>13102</v>
      </c>
      <c r="R2814" s="8" t="s">
        <v>13103</v>
      </c>
      <c r="S2814" s="8" t="s">
        <v>13862</v>
      </c>
    </row>
    <row r="2815" spans="1:19" ht="120.95" customHeight="1" x14ac:dyDescent="0.25">
      <c r="A2815" s="8" t="s">
        <v>13863</v>
      </c>
      <c r="B2815" s="8" t="s">
        <v>13098</v>
      </c>
      <c r="C2815" s="8" t="s">
        <v>4756</v>
      </c>
      <c r="D2815" s="10">
        <v>4</v>
      </c>
      <c r="E2815" s="8" t="s">
        <v>13864</v>
      </c>
      <c r="F2815" s="8"/>
      <c r="G2815" s="8" t="s">
        <v>4756</v>
      </c>
      <c r="H2815" s="8"/>
      <c r="I2815" s="8"/>
      <c r="J2815" s="15" t="s">
        <v>1685</v>
      </c>
      <c r="K2815" s="8"/>
      <c r="L2815" s="15" t="s">
        <v>1685</v>
      </c>
      <c r="M2815" s="8" t="s">
        <v>13100</v>
      </c>
      <c r="N2815" s="8"/>
      <c r="O2815" s="8" t="s">
        <v>13101</v>
      </c>
      <c r="P2815" s="11"/>
      <c r="Q2815" s="8" t="s">
        <v>13102</v>
      </c>
      <c r="R2815" s="8" t="s">
        <v>13103</v>
      </c>
      <c r="S2815" s="8" t="s">
        <v>13865</v>
      </c>
    </row>
    <row r="2816" spans="1:19" ht="93" customHeight="1" x14ac:dyDescent="0.25">
      <c r="A2816" s="8" t="s">
        <v>13866</v>
      </c>
      <c r="B2816" s="8" t="s">
        <v>13098</v>
      </c>
      <c r="C2816" s="8" t="s">
        <v>4756</v>
      </c>
      <c r="D2816" s="10">
        <v>5</v>
      </c>
      <c r="E2816" s="8" t="s">
        <v>13867</v>
      </c>
      <c r="F2816" s="8"/>
      <c r="G2816" s="8" t="s">
        <v>4756</v>
      </c>
      <c r="H2816" s="8"/>
      <c r="I2816" s="8"/>
      <c r="J2816" s="15" t="s">
        <v>1685</v>
      </c>
      <c r="K2816" s="8"/>
      <c r="L2816" s="15" t="s">
        <v>1685</v>
      </c>
      <c r="M2816" s="8" t="s">
        <v>13100</v>
      </c>
      <c r="N2816" s="8"/>
      <c r="O2816" s="8" t="s">
        <v>13101</v>
      </c>
      <c r="P2816" s="11"/>
      <c r="Q2816" s="8" t="s">
        <v>13102</v>
      </c>
      <c r="R2816" s="8" t="s">
        <v>13103</v>
      </c>
      <c r="S2816" s="8" t="s">
        <v>13868</v>
      </c>
    </row>
    <row r="2817" spans="1:19" ht="135" customHeight="1" x14ac:dyDescent="0.25">
      <c r="A2817" s="8" t="s">
        <v>13869</v>
      </c>
      <c r="B2817" s="8" t="s">
        <v>13098</v>
      </c>
      <c r="C2817" s="8" t="s">
        <v>4756</v>
      </c>
      <c r="D2817" s="10">
        <v>6</v>
      </c>
      <c r="E2817" s="8" t="s">
        <v>13870</v>
      </c>
      <c r="F2817" s="8"/>
      <c r="G2817" s="8" t="s">
        <v>4756</v>
      </c>
      <c r="H2817" s="8"/>
      <c r="I2817" s="8"/>
      <c r="J2817" s="15" t="s">
        <v>1685</v>
      </c>
      <c r="K2817" s="8"/>
      <c r="L2817" s="15" t="s">
        <v>1685</v>
      </c>
      <c r="M2817" s="8" t="s">
        <v>13100</v>
      </c>
      <c r="N2817" s="8"/>
      <c r="O2817" s="8" t="s">
        <v>13101</v>
      </c>
      <c r="P2817" s="11"/>
      <c r="Q2817" s="8" t="s">
        <v>13102</v>
      </c>
      <c r="R2817" s="8" t="s">
        <v>13103</v>
      </c>
      <c r="S2817" s="8" t="s">
        <v>13871</v>
      </c>
    </row>
    <row r="2818" spans="1:19" ht="120.95" customHeight="1" x14ac:dyDescent="0.25">
      <c r="A2818" s="8" t="s">
        <v>13872</v>
      </c>
      <c r="B2818" s="8" t="s">
        <v>13098</v>
      </c>
      <c r="C2818" s="8" t="s">
        <v>4756</v>
      </c>
      <c r="D2818" s="10">
        <v>7</v>
      </c>
      <c r="E2818" s="8" t="s">
        <v>13106</v>
      </c>
      <c r="F2818" s="8"/>
      <c r="G2818" s="8" t="s">
        <v>4756</v>
      </c>
      <c r="H2818" s="8"/>
      <c r="I2818" s="8"/>
      <c r="J2818" s="15" t="s">
        <v>1685</v>
      </c>
      <c r="K2818" s="8"/>
      <c r="L2818" s="15" t="s">
        <v>1685</v>
      </c>
      <c r="M2818" s="8" t="s">
        <v>13100</v>
      </c>
      <c r="N2818" s="8"/>
      <c r="O2818" s="8" t="s">
        <v>13101</v>
      </c>
      <c r="P2818" s="11"/>
      <c r="Q2818" s="8" t="s">
        <v>13102</v>
      </c>
      <c r="R2818" s="8" t="s">
        <v>13103</v>
      </c>
      <c r="S2818" s="8" t="s">
        <v>13873</v>
      </c>
    </row>
    <row r="2819" spans="1:19" ht="120.95" customHeight="1" x14ac:dyDescent="0.25">
      <c r="A2819" s="8" t="s">
        <v>13874</v>
      </c>
      <c r="B2819" s="8" t="s">
        <v>13098</v>
      </c>
      <c r="C2819" s="8" t="s">
        <v>4756</v>
      </c>
      <c r="D2819" s="10">
        <v>8</v>
      </c>
      <c r="E2819" s="8" t="s">
        <v>13109</v>
      </c>
      <c r="F2819" s="8"/>
      <c r="G2819" s="8" t="s">
        <v>4756</v>
      </c>
      <c r="H2819" s="8"/>
      <c r="I2819" s="8"/>
      <c r="J2819" s="15" t="s">
        <v>1685</v>
      </c>
      <c r="K2819" s="8"/>
      <c r="L2819" s="15" t="s">
        <v>1685</v>
      </c>
      <c r="M2819" s="8" t="s">
        <v>13100</v>
      </c>
      <c r="N2819" s="8"/>
      <c r="O2819" s="8" t="s">
        <v>13101</v>
      </c>
      <c r="P2819" s="11"/>
      <c r="Q2819" s="8" t="s">
        <v>13102</v>
      </c>
      <c r="R2819" s="8" t="s">
        <v>13103</v>
      </c>
      <c r="S2819" s="8" t="s">
        <v>13875</v>
      </c>
    </row>
    <row r="2820" spans="1:19" ht="120.95" customHeight="1" x14ac:dyDescent="0.25">
      <c r="A2820" s="8" t="s">
        <v>13876</v>
      </c>
      <c r="B2820" s="8" t="s">
        <v>13098</v>
      </c>
      <c r="C2820" s="8" t="s">
        <v>4756</v>
      </c>
      <c r="D2820" s="10">
        <v>9</v>
      </c>
      <c r="E2820" s="8" t="s">
        <v>13877</v>
      </c>
      <c r="F2820" s="8"/>
      <c r="G2820" s="8" t="s">
        <v>4756</v>
      </c>
      <c r="H2820" s="8"/>
      <c r="I2820" s="8"/>
      <c r="J2820" s="15" t="s">
        <v>1685</v>
      </c>
      <c r="K2820" s="8"/>
      <c r="L2820" s="15" t="s">
        <v>1685</v>
      </c>
      <c r="M2820" s="8" t="s">
        <v>13100</v>
      </c>
      <c r="N2820" s="8"/>
      <c r="O2820" s="8" t="s">
        <v>13101</v>
      </c>
      <c r="P2820" s="11"/>
      <c r="Q2820" s="8" t="s">
        <v>13102</v>
      </c>
      <c r="R2820" s="8" t="s">
        <v>13103</v>
      </c>
      <c r="S2820" s="8" t="s">
        <v>13878</v>
      </c>
    </row>
    <row r="2821" spans="1:19" ht="120.95" customHeight="1" x14ac:dyDescent="0.25">
      <c r="A2821" s="8" t="s">
        <v>13879</v>
      </c>
      <c r="B2821" s="8" t="s">
        <v>13098</v>
      </c>
      <c r="C2821" s="8" t="s">
        <v>4756</v>
      </c>
      <c r="D2821" s="10">
        <v>10</v>
      </c>
      <c r="E2821" s="8" t="s">
        <v>13880</v>
      </c>
      <c r="F2821" s="8"/>
      <c r="G2821" s="8" t="s">
        <v>4756</v>
      </c>
      <c r="H2821" s="8"/>
      <c r="I2821" s="8"/>
      <c r="J2821" s="15" t="s">
        <v>1685</v>
      </c>
      <c r="K2821" s="8"/>
      <c r="L2821" s="15" t="s">
        <v>1685</v>
      </c>
      <c r="M2821" s="8" t="s">
        <v>13100</v>
      </c>
      <c r="N2821" s="8"/>
      <c r="O2821" s="8" t="s">
        <v>13101</v>
      </c>
      <c r="P2821" s="11"/>
      <c r="Q2821" s="8" t="s">
        <v>13102</v>
      </c>
      <c r="R2821" s="8" t="s">
        <v>13103</v>
      </c>
      <c r="S2821" s="8" t="s">
        <v>13881</v>
      </c>
    </row>
    <row r="2822" spans="1:19" ht="120.95" customHeight="1" x14ac:dyDescent="0.25">
      <c r="A2822" s="8" t="s">
        <v>13882</v>
      </c>
      <c r="B2822" s="8" t="s">
        <v>13098</v>
      </c>
      <c r="C2822" s="8" t="s">
        <v>4756</v>
      </c>
      <c r="D2822" s="10">
        <v>11</v>
      </c>
      <c r="E2822" s="8" t="s">
        <v>13883</v>
      </c>
      <c r="F2822" s="8"/>
      <c r="G2822" s="8" t="s">
        <v>4756</v>
      </c>
      <c r="H2822" s="8"/>
      <c r="I2822" s="8"/>
      <c r="J2822" s="15" t="s">
        <v>1685</v>
      </c>
      <c r="K2822" s="8"/>
      <c r="L2822" s="15" t="s">
        <v>1685</v>
      </c>
      <c r="M2822" s="8" t="s">
        <v>13100</v>
      </c>
      <c r="N2822" s="8"/>
      <c r="O2822" s="8" t="s">
        <v>13101</v>
      </c>
      <c r="P2822" s="11"/>
      <c r="Q2822" s="8" t="s">
        <v>13102</v>
      </c>
      <c r="R2822" s="8" t="s">
        <v>13103</v>
      </c>
      <c r="S2822" s="8" t="s">
        <v>13884</v>
      </c>
    </row>
    <row r="2823" spans="1:19" ht="120.95" customHeight="1" x14ac:dyDescent="0.25">
      <c r="A2823" s="8" t="s">
        <v>13885</v>
      </c>
      <c r="B2823" s="8" t="s">
        <v>13098</v>
      </c>
      <c r="C2823" s="8" t="s">
        <v>4756</v>
      </c>
      <c r="D2823" s="10">
        <v>12</v>
      </c>
      <c r="E2823" s="8" t="s">
        <v>13886</v>
      </c>
      <c r="F2823" s="8"/>
      <c r="G2823" s="8" t="s">
        <v>4756</v>
      </c>
      <c r="H2823" s="8"/>
      <c r="I2823" s="8"/>
      <c r="J2823" s="15" t="s">
        <v>1685</v>
      </c>
      <c r="K2823" s="8"/>
      <c r="L2823" s="15" t="s">
        <v>1685</v>
      </c>
      <c r="M2823" s="8" t="s">
        <v>13100</v>
      </c>
      <c r="N2823" s="8"/>
      <c r="O2823" s="8" t="s">
        <v>13101</v>
      </c>
      <c r="P2823" s="11"/>
      <c r="Q2823" s="8" t="s">
        <v>13102</v>
      </c>
      <c r="R2823" s="8" t="s">
        <v>13103</v>
      </c>
      <c r="S2823" s="8" t="s">
        <v>13887</v>
      </c>
    </row>
    <row r="2824" spans="1:19" ht="120.95" customHeight="1" x14ac:dyDescent="0.25">
      <c r="A2824" s="8" t="s">
        <v>13888</v>
      </c>
      <c r="B2824" s="8" t="s">
        <v>13098</v>
      </c>
      <c r="C2824" s="8" t="s">
        <v>4756</v>
      </c>
      <c r="D2824" s="10">
        <v>13</v>
      </c>
      <c r="E2824" s="8" t="s">
        <v>13889</v>
      </c>
      <c r="F2824" s="8"/>
      <c r="G2824" s="8" t="s">
        <v>4756</v>
      </c>
      <c r="H2824" s="8"/>
      <c r="I2824" s="8"/>
      <c r="J2824" s="15" t="s">
        <v>1685</v>
      </c>
      <c r="K2824" s="8"/>
      <c r="L2824" s="15" t="s">
        <v>1685</v>
      </c>
      <c r="M2824" s="8" t="s">
        <v>13100</v>
      </c>
      <c r="N2824" s="8"/>
      <c r="O2824" s="8" t="s">
        <v>13101</v>
      </c>
      <c r="P2824" s="11"/>
      <c r="Q2824" s="8" t="s">
        <v>13102</v>
      </c>
      <c r="R2824" s="8" t="s">
        <v>13103</v>
      </c>
      <c r="S2824" s="8" t="s">
        <v>13890</v>
      </c>
    </row>
    <row r="2825" spans="1:19" ht="120.95" customHeight="1" x14ac:dyDescent="0.25">
      <c r="A2825" s="8" t="s">
        <v>13891</v>
      </c>
      <c r="B2825" s="8" t="s">
        <v>13098</v>
      </c>
      <c r="C2825" s="8" t="s">
        <v>4756</v>
      </c>
      <c r="D2825" s="10">
        <v>14</v>
      </c>
      <c r="E2825" s="8" t="s">
        <v>13892</v>
      </c>
      <c r="F2825" s="8"/>
      <c r="G2825" s="8" t="s">
        <v>4756</v>
      </c>
      <c r="H2825" s="8"/>
      <c r="I2825" s="8"/>
      <c r="J2825" s="15" t="s">
        <v>1685</v>
      </c>
      <c r="K2825" s="8"/>
      <c r="L2825" s="15" t="s">
        <v>1685</v>
      </c>
      <c r="M2825" s="8" t="s">
        <v>13100</v>
      </c>
      <c r="N2825" s="8"/>
      <c r="O2825" s="8" t="s">
        <v>13101</v>
      </c>
      <c r="P2825" s="11"/>
      <c r="Q2825" s="8" t="s">
        <v>13102</v>
      </c>
      <c r="R2825" s="8" t="s">
        <v>13103</v>
      </c>
      <c r="S2825" s="8" t="s">
        <v>13893</v>
      </c>
    </row>
    <row r="2826" spans="1:19" ht="120.95" customHeight="1" x14ac:dyDescent="0.25">
      <c r="A2826" s="8" t="s">
        <v>13894</v>
      </c>
      <c r="B2826" s="8" t="s">
        <v>13098</v>
      </c>
      <c r="C2826" s="8" t="s">
        <v>4756</v>
      </c>
      <c r="D2826" s="10">
        <v>15</v>
      </c>
      <c r="E2826" s="8" t="s">
        <v>13895</v>
      </c>
      <c r="F2826" s="8"/>
      <c r="G2826" s="8" t="s">
        <v>4756</v>
      </c>
      <c r="H2826" s="8"/>
      <c r="I2826" s="8"/>
      <c r="J2826" s="15" t="s">
        <v>1685</v>
      </c>
      <c r="K2826" s="8"/>
      <c r="L2826" s="15" t="s">
        <v>1685</v>
      </c>
      <c r="M2826" s="8" t="s">
        <v>13100</v>
      </c>
      <c r="N2826" s="8"/>
      <c r="O2826" s="8" t="s">
        <v>13101</v>
      </c>
      <c r="P2826" s="11"/>
      <c r="Q2826" s="8" t="s">
        <v>13102</v>
      </c>
      <c r="R2826" s="8" t="s">
        <v>13103</v>
      </c>
      <c r="S2826" s="8" t="s">
        <v>13896</v>
      </c>
    </row>
    <row r="2827" spans="1:19" ht="120.95" customHeight="1" x14ac:dyDescent="0.25">
      <c r="A2827" s="8" t="s">
        <v>13897</v>
      </c>
      <c r="B2827" s="8" t="s">
        <v>13098</v>
      </c>
      <c r="C2827" s="8" t="s">
        <v>4756</v>
      </c>
      <c r="D2827" s="10">
        <v>16</v>
      </c>
      <c r="E2827" s="8" t="s">
        <v>13898</v>
      </c>
      <c r="F2827" s="8"/>
      <c r="G2827" s="8" t="s">
        <v>4756</v>
      </c>
      <c r="H2827" s="8"/>
      <c r="I2827" s="8"/>
      <c r="J2827" s="15" t="s">
        <v>1685</v>
      </c>
      <c r="K2827" s="8"/>
      <c r="L2827" s="15" t="s">
        <v>1685</v>
      </c>
      <c r="M2827" s="8" t="s">
        <v>13100</v>
      </c>
      <c r="N2827" s="8"/>
      <c r="O2827" s="8" t="s">
        <v>13101</v>
      </c>
      <c r="P2827" s="11"/>
      <c r="Q2827" s="8" t="s">
        <v>13102</v>
      </c>
      <c r="R2827" s="8" t="s">
        <v>13103</v>
      </c>
      <c r="S2827" s="8" t="s">
        <v>13899</v>
      </c>
    </row>
    <row r="2828" spans="1:19" ht="120.95" customHeight="1" x14ac:dyDescent="0.25">
      <c r="A2828" s="8" t="s">
        <v>13900</v>
      </c>
      <c r="B2828" s="8" t="s">
        <v>13098</v>
      </c>
      <c r="C2828" s="8" t="s">
        <v>4756</v>
      </c>
      <c r="D2828" s="10">
        <v>17</v>
      </c>
      <c r="E2828" s="8" t="s">
        <v>13901</v>
      </c>
      <c r="F2828" s="8"/>
      <c r="G2828" s="8" t="s">
        <v>4756</v>
      </c>
      <c r="H2828" s="8"/>
      <c r="I2828" s="8"/>
      <c r="J2828" s="15" t="s">
        <v>1685</v>
      </c>
      <c r="K2828" s="8"/>
      <c r="L2828" s="15" t="s">
        <v>1685</v>
      </c>
      <c r="M2828" s="8" t="s">
        <v>13100</v>
      </c>
      <c r="N2828" s="8"/>
      <c r="O2828" s="8" t="s">
        <v>13101</v>
      </c>
      <c r="P2828" s="11"/>
      <c r="Q2828" s="8" t="s">
        <v>13102</v>
      </c>
      <c r="R2828" s="8" t="s">
        <v>13103</v>
      </c>
      <c r="S2828" s="8" t="s">
        <v>13902</v>
      </c>
    </row>
    <row r="2829" spans="1:19" ht="135" customHeight="1" x14ac:dyDescent="0.25">
      <c r="A2829" s="8" t="s">
        <v>13903</v>
      </c>
      <c r="B2829" s="8" t="s">
        <v>13098</v>
      </c>
      <c r="C2829" s="8" t="s">
        <v>4756</v>
      </c>
      <c r="D2829" s="10">
        <v>18</v>
      </c>
      <c r="E2829" s="8" t="s">
        <v>13904</v>
      </c>
      <c r="F2829" s="8"/>
      <c r="G2829" s="8" t="s">
        <v>4756</v>
      </c>
      <c r="H2829" s="8"/>
      <c r="I2829" s="8"/>
      <c r="J2829" s="15" t="s">
        <v>1685</v>
      </c>
      <c r="K2829" s="8"/>
      <c r="L2829" s="15" t="s">
        <v>1685</v>
      </c>
      <c r="M2829" s="8" t="s">
        <v>13100</v>
      </c>
      <c r="N2829" s="8"/>
      <c r="O2829" s="8" t="s">
        <v>13101</v>
      </c>
      <c r="P2829" s="11"/>
      <c r="Q2829" s="8" t="s">
        <v>13102</v>
      </c>
      <c r="R2829" s="8" t="s">
        <v>13103</v>
      </c>
      <c r="S2829" s="8" t="s">
        <v>13905</v>
      </c>
    </row>
    <row r="2830" spans="1:19" ht="135" customHeight="1" x14ac:dyDescent="0.25">
      <c r="A2830" s="8" t="s">
        <v>13906</v>
      </c>
      <c r="B2830" s="8" t="s">
        <v>13098</v>
      </c>
      <c r="C2830" s="8" t="s">
        <v>4756</v>
      </c>
      <c r="D2830" s="10">
        <v>19</v>
      </c>
      <c r="E2830" s="8" t="s">
        <v>13907</v>
      </c>
      <c r="F2830" s="8"/>
      <c r="G2830" s="8" t="s">
        <v>4756</v>
      </c>
      <c r="H2830" s="8"/>
      <c r="I2830" s="8"/>
      <c r="J2830" s="15" t="s">
        <v>1685</v>
      </c>
      <c r="K2830" s="8"/>
      <c r="L2830" s="15" t="s">
        <v>1685</v>
      </c>
      <c r="M2830" s="8" t="s">
        <v>13100</v>
      </c>
      <c r="N2830" s="8"/>
      <c r="O2830" s="8" t="s">
        <v>13101</v>
      </c>
      <c r="P2830" s="11"/>
      <c r="Q2830" s="8" t="s">
        <v>13102</v>
      </c>
      <c r="R2830" s="8" t="s">
        <v>13103</v>
      </c>
      <c r="S2830" s="8" t="s">
        <v>13908</v>
      </c>
    </row>
    <row r="2831" spans="1:19" ht="135" customHeight="1" x14ac:dyDescent="0.25">
      <c r="A2831" s="8" t="s">
        <v>13909</v>
      </c>
      <c r="B2831" s="8" t="s">
        <v>13098</v>
      </c>
      <c r="C2831" s="8" t="s">
        <v>4756</v>
      </c>
      <c r="D2831" s="10">
        <v>20</v>
      </c>
      <c r="E2831" s="8" t="s">
        <v>13910</v>
      </c>
      <c r="F2831" s="8"/>
      <c r="G2831" s="8" t="s">
        <v>4756</v>
      </c>
      <c r="H2831" s="8"/>
      <c r="I2831" s="8"/>
      <c r="J2831" s="15" t="s">
        <v>1685</v>
      </c>
      <c r="K2831" s="8"/>
      <c r="L2831" s="15" t="s">
        <v>1685</v>
      </c>
      <c r="M2831" s="8" t="s">
        <v>13100</v>
      </c>
      <c r="N2831" s="8"/>
      <c r="O2831" s="8" t="s">
        <v>13101</v>
      </c>
      <c r="P2831" s="11"/>
      <c r="Q2831" s="8" t="s">
        <v>13102</v>
      </c>
      <c r="R2831" s="8" t="s">
        <v>13103</v>
      </c>
      <c r="S2831" s="8" t="s">
        <v>13911</v>
      </c>
    </row>
    <row r="2832" spans="1:19" ht="135" customHeight="1" x14ac:dyDescent="0.25">
      <c r="A2832" s="8" t="s">
        <v>13912</v>
      </c>
      <c r="B2832" s="8" t="s">
        <v>13098</v>
      </c>
      <c r="C2832" s="8" t="s">
        <v>4756</v>
      </c>
      <c r="D2832" s="10">
        <v>21</v>
      </c>
      <c r="E2832" s="8" t="s">
        <v>13913</v>
      </c>
      <c r="F2832" s="8"/>
      <c r="G2832" s="8" t="s">
        <v>4756</v>
      </c>
      <c r="H2832" s="8"/>
      <c r="I2832" s="8"/>
      <c r="J2832" s="15" t="s">
        <v>1685</v>
      </c>
      <c r="K2832" s="8"/>
      <c r="L2832" s="15" t="s">
        <v>1685</v>
      </c>
      <c r="M2832" s="8" t="s">
        <v>13100</v>
      </c>
      <c r="N2832" s="8"/>
      <c r="O2832" s="8" t="s">
        <v>13101</v>
      </c>
      <c r="P2832" s="11"/>
      <c r="Q2832" s="8" t="s">
        <v>13102</v>
      </c>
      <c r="R2832" s="8" t="s">
        <v>13103</v>
      </c>
      <c r="S2832" s="8" t="s">
        <v>13914</v>
      </c>
    </row>
    <row r="2833" spans="1:19" ht="135" customHeight="1" x14ac:dyDescent="0.25">
      <c r="A2833" s="8" t="s">
        <v>13915</v>
      </c>
      <c r="B2833" s="8" t="s">
        <v>13098</v>
      </c>
      <c r="C2833" s="8" t="s">
        <v>4756</v>
      </c>
      <c r="D2833" s="10">
        <v>22</v>
      </c>
      <c r="E2833" s="8" t="s">
        <v>13916</v>
      </c>
      <c r="F2833" s="8"/>
      <c r="G2833" s="8" t="s">
        <v>4756</v>
      </c>
      <c r="H2833" s="8"/>
      <c r="I2833" s="8"/>
      <c r="J2833" s="15" t="s">
        <v>1685</v>
      </c>
      <c r="K2833" s="8"/>
      <c r="L2833" s="15" t="s">
        <v>1685</v>
      </c>
      <c r="M2833" s="8" t="s">
        <v>13100</v>
      </c>
      <c r="N2833" s="8"/>
      <c r="O2833" s="8" t="s">
        <v>13101</v>
      </c>
      <c r="P2833" s="11"/>
      <c r="Q2833" s="8" t="s">
        <v>13102</v>
      </c>
      <c r="R2833" s="8" t="s">
        <v>13103</v>
      </c>
      <c r="S2833" s="8" t="s">
        <v>13917</v>
      </c>
    </row>
    <row r="2834" spans="1:19" ht="135" customHeight="1" x14ac:dyDescent="0.25">
      <c r="A2834" s="8" t="s">
        <v>13918</v>
      </c>
      <c r="B2834" s="8" t="s">
        <v>13098</v>
      </c>
      <c r="C2834" s="8" t="s">
        <v>4756</v>
      </c>
      <c r="D2834" s="10">
        <v>23</v>
      </c>
      <c r="E2834" s="8" t="s">
        <v>13919</v>
      </c>
      <c r="F2834" s="8"/>
      <c r="G2834" s="8" t="s">
        <v>4756</v>
      </c>
      <c r="H2834" s="8"/>
      <c r="I2834" s="8"/>
      <c r="J2834" s="15" t="s">
        <v>1685</v>
      </c>
      <c r="K2834" s="8"/>
      <c r="L2834" s="15" t="s">
        <v>1685</v>
      </c>
      <c r="M2834" s="8" t="s">
        <v>13100</v>
      </c>
      <c r="N2834" s="8"/>
      <c r="O2834" s="8" t="s">
        <v>13101</v>
      </c>
      <c r="P2834" s="11"/>
      <c r="Q2834" s="8" t="s">
        <v>13102</v>
      </c>
      <c r="R2834" s="8" t="s">
        <v>13103</v>
      </c>
      <c r="S2834" s="8" t="s">
        <v>13920</v>
      </c>
    </row>
    <row r="2835" spans="1:19" ht="135" customHeight="1" x14ac:dyDescent="0.25">
      <c r="A2835" s="8" t="s">
        <v>13921</v>
      </c>
      <c r="B2835" s="8" t="s">
        <v>13098</v>
      </c>
      <c r="C2835" s="8" t="s">
        <v>4756</v>
      </c>
      <c r="D2835" s="10">
        <v>24</v>
      </c>
      <c r="E2835" s="8" t="s">
        <v>13922</v>
      </c>
      <c r="F2835" s="8"/>
      <c r="G2835" s="8" t="s">
        <v>4756</v>
      </c>
      <c r="H2835" s="8"/>
      <c r="I2835" s="8"/>
      <c r="J2835" s="15" t="s">
        <v>1685</v>
      </c>
      <c r="K2835" s="8"/>
      <c r="L2835" s="15" t="s">
        <v>1685</v>
      </c>
      <c r="M2835" s="8" t="s">
        <v>13100</v>
      </c>
      <c r="N2835" s="8"/>
      <c r="O2835" s="8" t="s">
        <v>13101</v>
      </c>
      <c r="P2835" s="11"/>
      <c r="Q2835" s="8" t="s">
        <v>13102</v>
      </c>
      <c r="R2835" s="8" t="s">
        <v>13103</v>
      </c>
      <c r="S2835" s="8" t="s">
        <v>13923</v>
      </c>
    </row>
    <row r="2836" spans="1:19" ht="135" customHeight="1" x14ac:dyDescent="0.25">
      <c r="A2836" s="8" t="s">
        <v>13924</v>
      </c>
      <c r="B2836" s="8" t="s">
        <v>13098</v>
      </c>
      <c r="C2836" s="8" t="s">
        <v>4756</v>
      </c>
      <c r="D2836" s="10">
        <v>25</v>
      </c>
      <c r="E2836" s="8" t="s">
        <v>13925</v>
      </c>
      <c r="F2836" s="8"/>
      <c r="G2836" s="8" t="s">
        <v>4756</v>
      </c>
      <c r="H2836" s="8"/>
      <c r="I2836" s="8"/>
      <c r="J2836" s="15" t="s">
        <v>1685</v>
      </c>
      <c r="K2836" s="8"/>
      <c r="L2836" s="15" t="s">
        <v>1685</v>
      </c>
      <c r="M2836" s="8" t="s">
        <v>13100</v>
      </c>
      <c r="N2836" s="8"/>
      <c r="O2836" s="8" t="s">
        <v>13101</v>
      </c>
      <c r="P2836" s="11"/>
      <c r="Q2836" s="8" t="s">
        <v>13102</v>
      </c>
      <c r="R2836" s="8" t="s">
        <v>13103</v>
      </c>
      <c r="S2836" s="8" t="s">
        <v>13926</v>
      </c>
    </row>
    <row r="2837" spans="1:19" ht="135" customHeight="1" x14ac:dyDescent="0.25">
      <c r="A2837" s="8" t="s">
        <v>13927</v>
      </c>
      <c r="B2837" s="8" t="s">
        <v>13098</v>
      </c>
      <c r="C2837" s="8" t="s">
        <v>4756</v>
      </c>
      <c r="D2837" s="10">
        <v>26</v>
      </c>
      <c r="E2837" s="8" t="s">
        <v>13928</v>
      </c>
      <c r="F2837" s="8"/>
      <c r="G2837" s="8" t="s">
        <v>4756</v>
      </c>
      <c r="H2837" s="8"/>
      <c r="I2837" s="8"/>
      <c r="J2837" s="15" t="s">
        <v>1685</v>
      </c>
      <c r="K2837" s="8"/>
      <c r="L2837" s="15" t="s">
        <v>1685</v>
      </c>
      <c r="M2837" s="8" t="s">
        <v>13100</v>
      </c>
      <c r="N2837" s="8"/>
      <c r="O2837" s="8" t="s">
        <v>13101</v>
      </c>
      <c r="P2837" s="11"/>
      <c r="Q2837" s="8" t="s">
        <v>13102</v>
      </c>
      <c r="R2837" s="8" t="s">
        <v>13103</v>
      </c>
      <c r="S2837" s="8" t="s">
        <v>13929</v>
      </c>
    </row>
    <row r="2838" spans="1:19" ht="135" customHeight="1" x14ac:dyDescent="0.25">
      <c r="A2838" s="8" t="s">
        <v>13930</v>
      </c>
      <c r="B2838" s="8" t="s">
        <v>13098</v>
      </c>
      <c r="C2838" s="8" t="s">
        <v>4756</v>
      </c>
      <c r="D2838" s="10">
        <v>27</v>
      </c>
      <c r="E2838" s="8" t="s">
        <v>13931</v>
      </c>
      <c r="F2838" s="8"/>
      <c r="G2838" s="8" t="s">
        <v>4756</v>
      </c>
      <c r="H2838" s="8"/>
      <c r="I2838" s="8"/>
      <c r="J2838" s="15" t="s">
        <v>1685</v>
      </c>
      <c r="K2838" s="8"/>
      <c r="L2838" s="15" t="s">
        <v>1685</v>
      </c>
      <c r="M2838" s="8" t="s">
        <v>13100</v>
      </c>
      <c r="N2838" s="8"/>
      <c r="O2838" s="8" t="s">
        <v>13101</v>
      </c>
      <c r="P2838" s="11"/>
      <c r="Q2838" s="8" t="s">
        <v>13102</v>
      </c>
      <c r="R2838" s="8" t="s">
        <v>13103</v>
      </c>
      <c r="S2838" s="8" t="s">
        <v>13932</v>
      </c>
    </row>
    <row r="2839" spans="1:19" ht="135" customHeight="1" x14ac:dyDescent="0.25">
      <c r="A2839" s="8" t="s">
        <v>13933</v>
      </c>
      <c r="B2839" s="8" t="s">
        <v>13098</v>
      </c>
      <c r="C2839" s="8" t="s">
        <v>4756</v>
      </c>
      <c r="D2839" s="10">
        <v>28</v>
      </c>
      <c r="E2839" s="8" t="s">
        <v>13934</v>
      </c>
      <c r="F2839" s="8"/>
      <c r="G2839" s="8" t="s">
        <v>4756</v>
      </c>
      <c r="H2839" s="8"/>
      <c r="I2839" s="8"/>
      <c r="J2839" s="15" t="s">
        <v>1685</v>
      </c>
      <c r="K2839" s="8"/>
      <c r="L2839" s="15" t="s">
        <v>1685</v>
      </c>
      <c r="M2839" s="8" t="s">
        <v>13100</v>
      </c>
      <c r="N2839" s="8"/>
      <c r="O2839" s="8" t="s">
        <v>13101</v>
      </c>
      <c r="P2839" s="11"/>
      <c r="Q2839" s="8" t="s">
        <v>13102</v>
      </c>
      <c r="R2839" s="8" t="s">
        <v>13103</v>
      </c>
      <c r="S2839" s="8" t="s">
        <v>13935</v>
      </c>
    </row>
    <row r="2840" spans="1:19" ht="120.95" customHeight="1" x14ac:dyDescent="0.25">
      <c r="A2840" s="8" t="s">
        <v>13936</v>
      </c>
      <c r="B2840" s="8" t="s">
        <v>13098</v>
      </c>
      <c r="C2840" s="8" t="s">
        <v>4756</v>
      </c>
      <c r="D2840" s="10">
        <v>29</v>
      </c>
      <c r="E2840" s="8" t="s">
        <v>13937</v>
      </c>
      <c r="F2840" s="8"/>
      <c r="G2840" s="8" t="s">
        <v>4756</v>
      </c>
      <c r="H2840" s="8"/>
      <c r="I2840" s="8"/>
      <c r="J2840" s="15" t="s">
        <v>1685</v>
      </c>
      <c r="K2840" s="8"/>
      <c r="L2840" s="15" t="s">
        <v>1685</v>
      </c>
      <c r="M2840" s="8" t="s">
        <v>13100</v>
      </c>
      <c r="N2840" s="8"/>
      <c r="O2840" s="8" t="s">
        <v>13101</v>
      </c>
      <c r="P2840" s="11"/>
      <c r="Q2840" s="8" t="s">
        <v>13102</v>
      </c>
      <c r="R2840" s="8" t="s">
        <v>13103</v>
      </c>
      <c r="S2840" s="8" t="s">
        <v>13938</v>
      </c>
    </row>
    <row r="2841" spans="1:19" ht="120.95" customHeight="1" x14ac:dyDescent="0.25">
      <c r="A2841" s="8" t="s">
        <v>13939</v>
      </c>
      <c r="B2841" s="8" t="s">
        <v>13098</v>
      </c>
      <c r="C2841" s="8" t="s">
        <v>4756</v>
      </c>
      <c r="D2841" s="10">
        <v>30</v>
      </c>
      <c r="E2841" s="8" t="s">
        <v>13940</v>
      </c>
      <c r="F2841" s="8"/>
      <c r="G2841" s="8" t="s">
        <v>4756</v>
      </c>
      <c r="H2841" s="8"/>
      <c r="I2841" s="8"/>
      <c r="J2841" s="15" t="s">
        <v>1685</v>
      </c>
      <c r="K2841" s="8"/>
      <c r="L2841" s="15" t="s">
        <v>1685</v>
      </c>
      <c r="M2841" s="8" t="s">
        <v>13100</v>
      </c>
      <c r="N2841" s="8"/>
      <c r="O2841" s="8" t="s">
        <v>13101</v>
      </c>
      <c r="P2841" s="11"/>
      <c r="Q2841" s="8" t="s">
        <v>13102</v>
      </c>
      <c r="R2841" s="8" t="s">
        <v>13103</v>
      </c>
      <c r="S2841" s="8" t="s">
        <v>13941</v>
      </c>
    </row>
    <row r="2842" spans="1:19" ht="135" customHeight="1" x14ac:dyDescent="0.25">
      <c r="A2842" s="8" t="s">
        <v>13942</v>
      </c>
      <c r="B2842" s="8" t="s">
        <v>13098</v>
      </c>
      <c r="C2842" s="8" t="s">
        <v>4756</v>
      </c>
      <c r="D2842" s="10">
        <v>31</v>
      </c>
      <c r="E2842" s="8" t="s">
        <v>13943</v>
      </c>
      <c r="F2842" s="8"/>
      <c r="G2842" s="8" t="s">
        <v>4756</v>
      </c>
      <c r="H2842" s="8"/>
      <c r="I2842" s="8"/>
      <c r="J2842" s="15" t="s">
        <v>1685</v>
      </c>
      <c r="K2842" s="8"/>
      <c r="L2842" s="15" t="s">
        <v>1685</v>
      </c>
      <c r="M2842" s="8" t="s">
        <v>13100</v>
      </c>
      <c r="N2842" s="8"/>
      <c r="O2842" s="8" t="s">
        <v>13101</v>
      </c>
      <c r="P2842" s="11"/>
      <c r="Q2842" s="8" t="s">
        <v>13102</v>
      </c>
      <c r="R2842" s="8" t="s">
        <v>13103</v>
      </c>
      <c r="S2842" s="8" t="s">
        <v>13944</v>
      </c>
    </row>
    <row r="2843" spans="1:19" ht="135" customHeight="1" x14ac:dyDescent="0.25">
      <c r="A2843" s="8" t="s">
        <v>13945</v>
      </c>
      <c r="B2843" s="8" t="s">
        <v>13098</v>
      </c>
      <c r="C2843" s="8" t="s">
        <v>4756</v>
      </c>
      <c r="D2843" s="10">
        <v>32</v>
      </c>
      <c r="E2843" s="8" t="s">
        <v>13946</v>
      </c>
      <c r="F2843" s="8"/>
      <c r="G2843" s="8" t="s">
        <v>4756</v>
      </c>
      <c r="H2843" s="8"/>
      <c r="I2843" s="8"/>
      <c r="J2843" s="15" t="s">
        <v>1685</v>
      </c>
      <c r="K2843" s="8"/>
      <c r="L2843" s="15" t="s">
        <v>1685</v>
      </c>
      <c r="M2843" s="8" t="s">
        <v>13100</v>
      </c>
      <c r="N2843" s="8"/>
      <c r="O2843" s="8" t="s">
        <v>13101</v>
      </c>
      <c r="P2843" s="11"/>
      <c r="Q2843" s="8" t="s">
        <v>13102</v>
      </c>
      <c r="R2843" s="8" t="s">
        <v>13103</v>
      </c>
      <c r="S2843" s="8" t="s">
        <v>13947</v>
      </c>
    </row>
    <row r="2844" spans="1:19" ht="135" customHeight="1" x14ac:dyDescent="0.25">
      <c r="A2844" s="8" t="s">
        <v>13948</v>
      </c>
      <c r="B2844" s="8" t="s">
        <v>13098</v>
      </c>
      <c r="C2844" s="8" t="s">
        <v>4756</v>
      </c>
      <c r="D2844" s="10">
        <v>33</v>
      </c>
      <c r="E2844" s="8" t="s">
        <v>13949</v>
      </c>
      <c r="F2844" s="8"/>
      <c r="G2844" s="8" t="s">
        <v>4756</v>
      </c>
      <c r="H2844" s="8"/>
      <c r="I2844" s="8"/>
      <c r="J2844" s="15" t="s">
        <v>1685</v>
      </c>
      <c r="K2844" s="8"/>
      <c r="L2844" s="15" t="s">
        <v>1685</v>
      </c>
      <c r="M2844" s="8" t="s">
        <v>13100</v>
      </c>
      <c r="N2844" s="8"/>
      <c r="O2844" s="8" t="s">
        <v>13101</v>
      </c>
      <c r="P2844" s="11"/>
      <c r="Q2844" s="8" t="s">
        <v>13102</v>
      </c>
      <c r="R2844" s="8" t="s">
        <v>13103</v>
      </c>
      <c r="S2844" s="8" t="s">
        <v>13950</v>
      </c>
    </row>
    <row r="2845" spans="1:19" ht="120.95" customHeight="1" x14ac:dyDescent="0.25">
      <c r="A2845" s="8" t="s">
        <v>13951</v>
      </c>
      <c r="B2845" s="8" t="s">
        <v>13098</v>
      </c>
      <c r="C2845" s="8" t="s">
        <v>4756</v>
      </c>
      <c r="D2845" s="10">
        <v>34</v>
      </c>
      <c r="E2845" s="8" t="s">
        <v>13952</v>
      </c>
      <c r="F2845" s="8"/>
      <c r="G2845" s="8" t="s">
        <v>4756</v>
      </c>
      <c r="H2845" s="8"/>
      <c r="I2845" s="8"/>
      <c r="J2845" s="15" t="s">
        <v>1685</v>
      </c>
      <c r="K2845" s="8"/>
      <c r="L2845" s="15" t="s">
        <v>1685</v>
      </c>
      <c r="M2845" s="8" t="s">
        <v>13100</v>
      </c>
      <c r="N2845" s="8"/>
      <c r="O2845" s="8" t="s">
        <v>13101</v>
      </c>
      <c r="P2845" s="11"/>
      <c r="Q2845" s="8" t="s">
        <v>13102</v>
      </c>
      <c r="R2845" s="8" t="s">
        <v>13103</v>
      </c>
      <c r="S2845" s="8" t="s">
        <v>13953</v>
      </c>
    </row>
    <row r="2846" spans="1:19" ht="135" customHeight="1" x14ac:dyDescent="0.25">
      <c r="A2846" s="8" t="s">
        <v>13954</v>
      </c>
      <c r="B2846" s="8" t="s">
        <v>13098</v>
      </c>
      <c r="C2846" s="8" t="s">
        <v>4756</v>
      </c>
      <c r="D2846" s="10">
        <v>35</v>
      </c>
      <c r="E2846" s="8" t="s">
        <v>13955</v>
      </c>
      <c r="F2846" s="8"/>
      <c r="G2846" s="8" t="s">
        <v>4756</v>
      </c>
      <c r="H2846" s="8"/>
      <c r="I2846" s="8"/>
      <c r="J2846" s="15" t="s">
        <v>1685</v>
      </c>
      <c r="K2846" s="8"/>
      <c r="L2846" s="15" t="s">
        <v>1685</v>
      </c>
      <c r="M2846" s="8" t="s">
        <v>13100</v>
      </c>
      <c r="N2846" s="8"/>
      <c r="O2846" s="8" t="s">
        <v>13101</v>
      </c>
      <c r="P2846" s="11"/>
      <c r="Q2846" s="8" t="s">
        <v>13102</v>
      </c>
      <c r="R2846" s="8" t="s">
        <v>13103</v>
      </c>
      <c r="S2846" s="8" t="s">
        <v>13956</v>
      </c>
    </row>
    <row r="2847" spans="1:19" ht="120.95" customHeight="1" x14ac:dyDescent="0.25">
      <c r="A2847" s="8" t="s">
        <v>13957</v>
      </c>
      <c r="B2847" s="8" t="s">
        <v>13098</v>
      </c>
      <c r="C2847" s="8" t="s">
        <v>4756</v>
      </c>
      <c r="D2847" s="10">
        <v>36</v>
      </c>
      <c r="E2847" s="8" t="s">
        <v>13958</v>
      </c>
      <c r="F2847" s="8"/>
      <c r="G2847" s="8" t="s">
        <v>4756</v>
      </c>
      <c r="H2847" s="8"/>
      <c r="I2847" s="8"/>
      <c r="J2847" s="15" t="s">
        <v>1685</v>
      </c>
      <c r="K2847" s="8"/>
      <c r="L2847" s="15" t="s">
        <v>1685</v>
      </c>
      <c r="M2847" s="8" t="s">
        <v>13100</v>
      </c>
      <c r="N2847" s="8"/>
      <c r="O2847" s="8" t="s">
        <v>13101</v>
      </c>
      <c r="P2847" s="11"/>
      <c r="Q2847" s="8" t="s">
        <v>13102</v>
      </c>
      <c r="R2847" s="8" t="s">
        <v>13103</v>
      </c>
      <c r="S2847" s="8" t="s">
        <v>13959</v>
      </c>
    </row>
    <row r="2848" spans="1:19" ht="120.95" customHeight="1" x14ac:dyDescent="0.25">
      <c r="A2848" s="8" t="s">
        <v>13960</v>
      </c>
      <c r="B2848" s="8" t="s">
        <v>13098</v>
      </c>
      <c r="C2848" s="8" t="s">
        <v>4756</v>
      </c>
      <c r="D2848" s="10">
        <v>37</v>
      </c>
      <c r="E2848" s="8" t="s">
        <v>13961</v>
      </c>
      <c r="F2848" s="8"/>
      <c r="G2848" s="8" t="s">
        <v>4756</v>
      </c>
      <c r="H2848" s="8"/>
      <c r="I2848" s="8"/>
      <c r="J2848" s="15" t="s">
        <v>1685</v>
      </c>
      <c r="K2848" s="8"/>
      <c r="L2848" s="15" t="s">
        <v>1685</v>
      </c>
      <c r="M2848" s="8" t="s">
        <v>13100</v>
      </c>
      <c r="N2848" s="8"/>
      <c r="O2848" s="8" t="s">
        <v>13101</v>
      </c>
      <c r="P2848" s="11"/>
      <c r="Q2848" s="8" t="s">
        <v>13102</v>
      </c>
      <c r="R2848" s="8" t="s">
        <v>13103</v>
      </c>
      <c r="S2848" s="8" t="s">
        <v>13962</v>
      </c>
    </row>
    <row r="2849" spans="1:19" ht="120.95" customHeight="1" x14ac:dyDescent="0.25">
      <c r="A2849" s="8" t="s">
        <v>13963</v>
      </c>
      <c r="B2849" s="8" t="s">
        <v>13098</v>
      </c>
      <c r="C2849" s="8" t="s">
        <v>4756</v>
      </c>
      <c r="D2849" s="10">
        <v>38</v>
      </c>
      <c r="E2849" s="8" t="s">
        <v>13964</v>
      </c>
      <c r="F2849" s="8"/>
      <c r="G2849" s="8" t="s">
        <v>4756</v>
      </c>
      <c r="H2849" s="8"/>
      <c r="I2849" s="8"/>
      <c r="J2849" s="15" t="s">
        <v>1685</v>
      </c>
      <c r="K2849" s="8"/>
      <c r="L2849" s="15" t="s">
        <v>1685</v>
      </c>
      <c r="M2849" s="8" t="s">
        <v>13100</v>
      </c>
      <c r="N2849" s="8"/>
      <c r="O2849" s="8" t="s">
        <v>13101</v>
      </c>
      <c r="P2849" s="11"/>
      <c r="Q2849" s="8" t="s">
        <v>13102</v>
      </c>
      <c r="R2849" s="8" t="s">
        <v>13103</v>
      </c>
      <c r="S2849" s="8" t="s">
        <v>13965</v>
      </c>
    </row>
    <row r="2850" spans="1:19" ht="120.95" customHeight="1" x14ac:dyDescent="0.25">
      <c r="A2850" s="8" t="s">
        <v>13966</v>
      </c>
      <c r="B2850" s="8" t="s">
        <v>13098</v>
      </c>
      <c r="C2850" s="8" t="s">
        <v>4756</v>
      </c>
      <c r="D2850" s="10">
        <v>39</v>
      </c>
      <c r="E2850" s="8" t="s">
        <v>13967</v>
      </c>
      <c r="F2850" s="8"/>
      <c r="G2850" s="8" t="s">
        <v>4756</v>
      </c>
      <c r="H2850" s="8"/>
      <c r="I2850" s="8"/>
      <c r="J2850" s="15" t="s">
        <v>1685</v>
      </c>
      <c r="K2850" s="8"/>
      <c r="L2850" s="15" t="s">
        <v>1685</v>
      </c>
      <c r="M2850" s="8" t="s">
        <v>13100</v>
      </c>
      <c r="N2850" s="8"/>
      <c r="O2850" s="8" t="s">
        <v>13101</v>
      </c>
      <c r="P2850" s="11"/>
      <c r="Q2850" s="8" t="s">
        <v>13102</v>
      </c>
      <c r="R2850" s="8" t="s">
        <v>13103</v>
      </c>
      <c r="S2850" s="8" t="s">
        <v>13968</v>
      </c>
    </row>
    <row r="2851" spans="1:19" ht="51" customHeight="1" x14ac:dyDescent="0.25">
      <c r="A2851" s="8" t="s">
        <v>13969</v>
      </c>
      <c r="B2851" s="8" t="s">
        <v>13098</v>
      </c>
      <c r="C2851" s="8" t="s">
        <v>5347</v>
      </c>
      <c r="D2851" s="10">
        <v>44</v>
      </c>
      <c r="E2851" s="8" t="s">
        <v>13970</v>
      </c>
      <c r="F2851" s="8"/>
      <c r="G2851" s="8" t="s">
        <v>5347</v>
      </c>
      <c r="H2851" s="8"/>
      <c r="I2851" s="8"/>
      <c r="J2851" s="15" t="s">
        <v>1685</v>
      </c>
      <c r="K2851" s="8"/>
      <c r="L2851" s="15" t="s">
        <v>1685</v>
      </c>
      <c r="M2851" s="8" t="s">
        <v>13100</v>
      </c>
      <c r="N2851" s="8"/>
      <c r="O2851" s="8" t="s">
        <v>13101</v>
      </c>
      <c r="P2851" s="11"/>
      <c r="Q2851" s="8" t="s">
        <v>13102</v>
      </c>
      <c r="R2851" s="8" t="s">
        <v>13103</v>
      </c>
      <c r="S2851" s="8" t="s">
        <v>13971</v>
      </c>
    </row>
    <row r="2852" spans="1:19" ht="51" customHeight="1" x14ac:dyDescent="0.25">
      <c r="A2852" s="8" t="s">
        <v>13972</v>
      </c>
      <c r="B2852" s="8" t="s">
        <v>13098</v>
      </c>
      <c r="C2852" s="8" t="s">
        <v>5356</v>
      </c>
      <c r="D2852" s="10">
        <v>2</v>
      </c>
      <c r="E2852" s="8" t="s">
        <v>13099</v>
      </c>
      <c r="F2852" s="8"/>
      <c r="G2852" s="8" t="s">
        <v>5356</v>
      </c>
      <c r="H2852" s="8"/>
      <c r="I2852" s="8"/>
      <c r="J2852" s="15" t="s">
        <v>1685</v>
      </c>
      <c r="K2852" s="8"/>
      <c r="L2852" s="15" t="s">
        <v>1685</v>
      </c>
      <c r="M2852" s="8" t="s">
        <v>13100</v>
      </c>
      <c r="N2852" s="8"/>
      <c r="O2852" s="8" t="s">
        <v>13101</v>
      </c>
      <c r="P2852" s="11"/>
      <c r="Q2852" s="8" t="s">
        <v>13102</v>
      </c>
      <c r="R2852" s="8" t="s">
        <v>13103</v>
      </c>
      <c r="S2852" s="8" t="s">
        <v>13973</v>
      </c>
    </row>
    <row r="2853" spans="1:19" ht="51" customHeight="1" x14ac:dyDescent="0.25">
      <c r="A2853" s="8" t="s">
        <v>13974</v>
      </c>
      <c r="B2853" s="8" t="s">
        <v>13098</v>
      </c>
      <c r="C2853" s="8" t="s">
        <v>5356</v>
      </c>
      <c r="D2853" s="10">
        <v>8</v>
      </c>
      <c r="E2853" s="8" t="s">
        <v>13109</v>
      </c>
      <c r="F2853" s="8"/>
      <c r="G2853" s="8" t="s">
        <v>5356</v>
      </c>
      <c r="H2853" s="8"/>
      <c r="I2853" s="8"/>
      <c r="J2853" s="15" t="s">
        <v>1685</v>
      </c>
      <c r="K2853" s="8"/>
      <c r="L2853" s="15" t="s">
        <v>1685</v>
      </c>
      <c r="M2853" s="8" t="s">
        <v>13100</v>
      </c>
      <c r="N2853" s="8"/>
      <c r="O2853" s="8" t="s">
        <v>13101</v>
      </c>
      <c r="P2853" s="11"/>
      <c r="Q2853" s="8" t="s">
        <v>13102</v>
      </c>
      <c r="R2853" s="8" t="s">
        <v>13103</v>
      </c>
      <c r="S2853" s="8" t="s">
        <v>13975</v>
      </c>
    </row>
    <row r="2854" spans="1:19" ht="51" customHeight="1" x14ac:dyDescent="0.25">
      <c r="A2854" s="8" t="s">
        <v>13976</v>
      </c>
      <c r="B2854" s="8" t="s">
        <v>13098</v>
      </c>
      <c r="C2854" s="8" t="s">
        <v>4761</v>
      </c>
      <c r="D2854" s="10">
        <v>13</v>
      </c>
      <c r="E2854" s="8" t="s">
        <v>13889</v>
      </c>
      <c r="F2854" s="8"/>
      <c r="G2854" s="8" t="s">
        <v>4761</v>
      </c>
      <c r="H2854" s="8"/>
      <c r="I2854" s="8"/>
      <c r="J2854" s="15" t="s">
        <v>1685</v>
      </c>
      <c r="K2854" s="8"/>
      <c r="L2854" s="15" t="s">
        <v>1685</v>
      </c>
      <c r="M2854" s="8" t="s">
        <v>13100</v>
      </c>
      <c r="N2854" s="8"/>
      <c r="O2854" s="8" t="s">
        <v>13101</v>
      </c>
      <c r="P2854" s="11"/>
      <c r="Q2854" s="8" t="s">
        <v>13102</v>
      </c>
      <c r="R2854" s="8" t="s">
        <v>13103</v>
      </c>
      <c r="S2854" s="8" t="s">
        <v>13977</v>
      </c>
    </row>
    <row r="2855" spans="1:19" ht="107.1" customHeight="1" x14ac:dyDescent="0.25">
      <c r="A2855" s="8" t="s">
        <v>13978</v>
      </c>
      <c r="B2855" s="8" t="s">
        <v>13098</v>
      </c>
      <c r="C2855" s="8" t="s">
        <v>4338</v>
      </c>
      <c r="D2855" s="10">
        <v>2</v>
      </c>
      <c r="E2855" s="8" t="s">
        <v>3364</v>
      </c>
      <c r="F2855" s="8"/>
      <c r="G2855" s="8" t="s">
        <v>4338</v>
      </c>
      <c r="H2855" s="8"/>
      <c r="I2855" s="8" t="s">
        <v>566</v>
      </c>
      <c r="J2855" s="15" t="s">
        <v>1685</v>
      </c>
      <c r="K2855" s="8"/>
      <c r="L2855" s="15" t="s">
        <v>1685</v>
      </c>
      <c r="M2855" s="8" t="s">
        <v>13100</v>
      </c>
      <c r="N2855" s="8"/>
      <c r="O2855" s="8" t="s">
        <v>13101</v>
      </c>
      <c r="P2855" s="11"/>
      <c r="Q2855" s="8" t="s">
        <v>13102</v>
      </c>
      <c r="R2855" s="8" t="s">
        <v>13103</v>
      </c>
      <c r="S2855" s="8" t="s">
        <v>13979</v>
      </c>
    </row>
    <row r="2856" spans="1:19" ht="65.099999999999994" customHeight="1" x14ac:dyDescent="0.25">
      <c r="A2856" s="8" t="s">
        <v>2610</v>
      </c>
      <c r="B2856" s="8" t="s">
        <v>13980</v>
      </c>
      <c r="C2856" s="8" t="s">
        <v>13981</v>
      </c>
      <c r="D2856" s="8"/>
      <c r="E2856" s="8"/>
      <c r="F2856" s="8" t="s">
        <v>13982</v>
      </c>
      <c r="G2856" s="8" t="s">
        <v>104</v>
      </c>
      <c r="H2856" s="8" t="s">
        <v>2605</v>
      </c>
      <c r="I2856" s="8" t="s">
        <v>720</v>
      </c>
      <c r="J2856" s="15" t="s">
        <v>1685</v>
      </c>
      <c r="K2856" s="15" t="s">
        <v>1685</v>
      </c>
      <c r="L2856" s="15" t="s">
        <v>1685</v>
      </c>
      <c r="M2856" s="8" t="s">
        <v>13983</v>
      </c>
      <c r="N2856" s="15" t="s">
        <v>1685</v>
      </c>
      <c r="O2856" s="8" t="s">
        <v>13984</v>
      </c>
      <c r="P2856" s="11" t="s">
        <v>3800</v>
      </c>
      <c r="Q2856" s="8" t="s">
        <v>13985</v>
      </c>
      <c r="R2856" s="8" t="s">
        <v>13986</v>
      </c>
      <c r="S2856" s="8" t="s">
        <v>13987</v>
      </c>
    </row>
    <row r="2857" spans="1:19" ht="51" customHeight="1" x14ac:dyDescent="0.25">
      <c r="A2857" s="8" t="s">
        <v>3223</v>
      </c>
      <c r="B2857" s="8" t="s">
        <v>13988</v>
      </c>
      <c r="C2857" s="8" t="s">
        <v>13989</v>
      </c>
      <c r="D2857" s="8"/>
      <c r="E2857" s="8" t="s">
        <v>922</v>
      </c>
      <c r="F2857" s="8" t="s">
        <v>926</v>
      </c>
      <c r="G2857" s="8" t="s">
        <v>4551</v>
      </c>
      <c r="H2857" s="8" t="s">
        <v>922</v>
      </c>
      <c r="I2857" s="8" t="s">
        <v>922</v>
      </c>
      <c r="J2857" s="15" t="s">
        <v>1685</v>
      </c>
      <c r="K2857" s="15" t="s">
        <v>1685</v>
      </c>
      <c r="L2857" s="15" t="s">
        <v>1685</v>
      </c>
      <c r="M2857" s="8" t="s">
        <v>13990</v>
      </c>
      <c r="N2857" s="15" t="s">
        <v>1685</v>
      </c>
      <c r="O2857" s="8" t="s">
        <v>13991</v>
      </c>
      <c r="P2857" s="11" t="s">
        <v>3222</v>
      </c>
      <c r="Q2857" s="8" t="s">
        <v>13992</v>
      </c>
      <c r="R2857" s="8"/>
      <c r="S2857" s="8"/>
    </row>
    <row r="2858" spans="1:19" ht="51" customHeight="1" x14ac:dyDescent="0.25">
      <c r="A2858" s="8" t="s">
        <v>928</v>
      </c>
      <c r="B2858" s="8" t="s">
        <v>13988</v>
      </c>
      <c r="C2858" s="8" t="s">
        <v>13989</v>
      </c>
      <c r="D2858" s="8"/>
      <c r="E2858" s="8" t="s">
        <v>921</v>
      </c>
      <c r="F2858" s="8" t="s">
        <v>926</v>
      </c>
      <c r="G2858" s="8" t="s">
        <v>67</v>
      </c>
      <c r="H2858" s="8" t="s">
        <v>921</v>
      </c>
      <c r="I2858" s="8" t="s">
        <v>922</v>
      </c>
      <c r="J2858" s="15" t="s">
        <v>1685</v>
      </c>
      <c r="K2858" s="15" t="s">
        <v>1685</v>
      </c>
      <c r="L2858" s="15" t="s">
        <v>1685</v>
      </c>
      <c r="M2858" s="8" t="s">
        <v>13990</v>
      </c>
      <c r="N2858" s="15" t="s">
        <v>1685</v>
      </c>
      <c r="O2858" s="8" t="s">
        <v>13991</v>
      </c>
      <c r="P2858" s="11" t="s">
        <v>3222</v>
      </c>
      <c r="Q2858" s="8" t="s">
        <v>13992</v>
      </c>
      <c r="R2858" s="8"/>
      <c r="S2858" s="8"/>
    </row>
    <row r="2859" spans="1:19" ht="51" customHeight="1" x14ac:dyDescent="0.25">
      <c r="A2859" s="8" t="s">
        <v>2613</v>
      </c>
      <c r="B2859" s="8" t="s">
        <v>13988</v>
      </c>
      <c r="C2859" s="8" t="s">
        <v>13989</v>
      </c>
      <c r="D2859" s="8"/>
      <c r="E2859" s="8" t="s">
        <v>2611</v>
      </c>
      <c r="F2859" s="8" t="s">
        <v>926</v>
      </c>
      <c r="G2859" s="8" t="s">
        <v>104</v>
      </c>
      <c r="H2859" s="8" t="s">
        <v>2611</v>
      </c>
      <c r="I2859" s="8" t="s">
        <v>922</v>
      </c>
      <c r="J2859" s="15" t="s">
        <v>1685</v>
      </c>
      <c r="K2859" s="15" t="s">
        <v>1685</v>
      </c>
      <c r="L2859" s="15" t="s">
        <v>1685</v>
      </c>
      <c r="M2859" s="8" t="s">
        <v>13990</v>
      </c>
      <c r="N2859" s="15" t="s">
        <v>1685</v>
      </c>
      <c r="O2859" s="8" t="s">
        <v>13991</v>
      </c>
      <c r="P2859" s="11" t="s">
        <v>3222</v>
      </c>
      <c r="Q2859" s="8" t="s">
        <v>13992</v>
      </c>
      <c r="R2859" s="8"/>
      <c r="S2859" s="8"/>
    </row>
    <row r="2860" spans="1:19" ht="51" customHeight="1" x14ac:dyDescent="0.25">
      <c r="A2860" s="8" t="s">
        <v>3226</v>
      </c>
      <c r="B2860" s="8" t="s">
        <v>13988</v>
      </c>
      <c r="C2860" s="8" t="s">
        <v>13989</v>
      </c>
      <c r="D2860" s="8"/>
      <c r="E2860" s="8" t="s">
        <v>906</v>
      </c>
      <c r="F2860" s="8" t="s">
        <v>909</v>
      </c>
      <c r="G2860" s="8" t="s">
        <v>4551</v>
      </c>
      <c r="H2860" s="8" t="s">
        <v>906</v>
      </c>
      <c r="I2860" s="8" t="s">
        <v>906</v>
      </c>
      <c r="J2860" s="15" t="s">
        <v>1685</v>
      </c>
      <c r="K2860" s="15" t="s">
        <v>1685</v>
      </c>
      <c r="L2860" s="15" t="s">
        <v>1685</v>
      </c>
      <c r="M2860" s="8" t="s">
        <v>13990</v>
      </c>
      <c r="N2860" s="15" t="s">
        <v>1685</v>
      </c>
      <c r="O2860" s="8" t="s">
        <v>13991</v>
      </c>
      <c r="P2860" s="11" t="s">
        <v>3225</v>
      </c>
      <c r="Q2860" s="8" t="s">
        <v>13992</v>
      </c>
      <c r="R2860" s="8"/>
      <c r="S2860" s="8"/>
    </row>
    <row r="2861" spans="1:19" ht="51" customHeight="1" x14ac:dyDescent="0.25">
      <c r="A2861" s="8" t="s">
        <v>911</v>
      </c>
      <c r="B2861" s="8" t="s">
        <v>13988</v>
      </c>
      <c r="C2861" s="8" t="s">
        <v>13989</v>
      </c>
      <c r="D2861" s="8"/>
      <c r="E2861" s="8" t="s">
        <v>905</v>
      </c>
      <c r="F2861" s="8" t="s">
        <v>909</v>
      </c>
      <c r="G2861" s="8" t="s">
        <v>67</v>
      </c>
      <c r="H2861" s="8" t="s">
        <v>905</v>
      </c>
      <c r="I2861" s="8" t="s">
        <v>906</v>
      </c>
      <c r="J2861" s="15" t="s">
        <v>1685</v>
      </c>
      <c r="K2861" s="15" t="s">
        <v>1685</v>
      </c>
      <c r="L2861" s="15" t="s">
        <v>1685</v>
      </c>
      <c r="M2861" s="8" t="s">
        <v>13990</v>
      </c>
      <c r="N2861" s="15" t="s">
        <v>1685</v>
      </c>
      <c r="O2861" s="8" t="s">
        <v>13991</v>
      </c>
      <c r="P2861" s="11" t="s">
        <v>3225</v>
      </c>
      <c r="Q2861" s="8" t="s">
        <v>13992</v>
      </c>
      <c r="R2861" s="8"/>
      <c r="S2861" s="8"/>
    </row>
    <row r="2862" spans="1:19" ht="51" customHeight="1" x14ac:dyDescent="0.25">
      <c r="A2862" s="8" t="s">
        <v>2615</v>
      </c>
      <c r="B2862" s="8" t="s">
        <v>13988</v>
      </c>
      <c r="C2862" s="8" t="s">
        <v>13989</v>
      </c>
      <c r="D2862" s="8"/>
      <c r="E2862" s="8" t="s">
        <v>2614</v>
      </c>
      <c r="F2862" s="8" t="s">
        <v>909</v>
      </c>
      <c r="G2862" s="8" t="s">
        <v>104</v>
      </c>
      <c r="H2862" s="8" t="s">
        <v>2614</v>
      </c>
      <c r="I2862" s="8" t="s">
        <v>906</v>
      </c>
      <c r="J2862" s="15" t="s">
        <v>1685</v>
      </c>
      <c r="K2862" s="15" t="s">
        <v>1685</v>
      </c>
      <c r="L2862" s="15" t="s">
        <v>1685</v>
      </c>
      <c r="M2862" s="8" t="s">
        <v>13990</v>
      </c>
      <c r="N2862" s="15" t="s">
        <v>1685</v>
      </c>
      <c r="O2862" s="8" t="s">
        <v>13991</v>
      </c>
      <c r="P2862" s="11" t="s">
        <v>3225</v>
      </c>
      <c r="Q2862" s="8" t="s">
        <v>13992</v>
      </c>
      <c r="R2862" s="8"/>
      <c r="S2862" s="8"/>
    </row>
    <row r="2863" spans="1:19" ht="51" customHeight="1" x14ac:dyDescent="0.25">
      <c r="A2863" s="8" t="s">
        <v>3229</v>
      </c>
      <c r="B2863" s="8" t="s">
        <v>13988</v>
      </c>
      <c r="C2863" s="8" t="s">
        <v>13989</v>
      </c>
      <c r="D2863" s="8"/>
      <c r="E2863" s="8" t="s">
        <v>931</v>
      </c>
      <c r="F2863" s="8" t="s">
        <v>934</v>
      </c>
      <c r="G2863" s="8" t="s">
        <v>4551</v>
      </c>
      <c r="H2863" s="8" t="s">
        <v>931</v>
      </c>
      <c r="I2863" s="8" t="s">
        <v>931</v>
      </c>
      <c r="J2863" s="15" t="s">
        <v>1685</v>
      </c>
      <c r="K2863" s="15" t="s">
        <v>1685</v>
      </c>
      <c r="L2863" s="15" t="s">
        <v>1685</v>
      </c>
      <c r="M2863" s="8" t="s">
        <v>13990</v>
      </c>
      <c r="N2863" s="15" t="s">
        <v>1685</v>
      </c>
      <c r="O2863" s="8" t="s">
        <v>13991</v>
      </c>
      <c r="P2863" s="11" t="s">
        <v>3228</v>
      </c>
      <c r="Q2863" s="8" t="s">
        <v>13992</v>
      </c>
      <c r="R2863" s="8"/>
      <c r="S2863" s="8"/>
    </row>
    <row r="2864" spans="1:19" ht="51" customHeight="1" x14ac:dyDescent="0.25">
      <c r="A2864" s="8" t="s">
        <v>936</v>
      </c>
      <c r="B2864" s="8" t="s">
        <v>13988</v>
      </c>
      <c r="C2864" s="8" t="s">
        <v>13989</v>
      </c>
      <c r="D2864" s="8"/>
      <c r="E2864" s="8" t="s">
        <v>930</v>
      </c>
      <c r="F2864" s="8" t="s">
        <v>934</v>
      </c>
      <c r="G2864" s="8" t="s">
        <v>67</v>
      </c>
      <c r="H2864" s="8" t="s">
        <v>930</v>
      </c>
      <c r="I2864" s="8" t="s">
        <v>931</v>
      </c>
      <c r="J2864" s="15" t="s">
        <v>1685</v>
      </c>
      <c r="K2864" s="15" t="s">
        <v>1685</v>
      </c>
      <c r="L2864" s="15" t="s">
        <v>1685</v>
      </c>
      <c r="M2864" s="8" t="s">
        <v>13990</v>
      </c>
      <c r="N2864" s="15" t="s">
        <v>1685</v>
      </c>
      <c r="O2864" s="8" t="s">
        <v>13991</v>
      </c>
      <c r="P2864" s="11" t="s">
        <v>3228</v>
      </c>
      <c r="Q2864" s="8" t="s">
        <v>13992</v>
      </c>
      <c r="R2864" s="8"/>
      <c r="S2864" s="8"/>
    </row>
    <row r="2865" spans="1:19" ht="51" customHeight="1" x14ac:dyDescent="0.25">
      <c r="A2865" s="8" t="s">
        <v>2617</v>
      </c>
      <c r="B2865" s="8" t="s">
        <v>13988</v>
      </c>
      <c r="C2865" s="8" t="s">
        <v>13989</v>
      </c>
      <c r="D2865" s="8"/>
      <c r="E2865" s="8" t="s">
        <v>2616</v>
      </c>
      <c r="F2865" s="8" t="s">
        <v>934</v>
      </c>
      <c r="G2865" s="8" t="s">
        <v>104</v>
      </c>
      <c r="H2865" s="8" t="s">
        <v>2616</v>
      </c>
      <c r="I2865" s="8" t="s">
        <v>931</v>
      </c>
      <c r="J2865" s="15" t="s">
        <v>1685</v>
      </c>
      <c r="K2865" s="15" t="s">
        <v>1685</v>
      </c>
      <c r="L2865" s="15" t="s">
        <v>1685</v>
      </c>
      <c r="M2865" s="8" t="s">
        <v>13990</v>
      </c>
      <c r="N2865" s="15" t="s">
        <v>1685</v>
      </c>
      <c r="O2865" s="8" t="s">
        <v>13991</v>
      </c>
      <c r="P2865" s="11" t="s">
        <v>3228</v>
      </c>
      <c r="Q2865" s="8" t="s">
        <v>13992</v>
      </c>
      <c r="R2865" s="8"/>
      <c r="S2865" s="8"/>
    </row>
    <row r="2866" spans="1:19" ht="51" customHeight="1" x14ac:dyDescent="0.25">
      <c r="A2866" s="8" t="s">
        <v>3232</v>
      </c>
      <c r="B2866" s="8" t="s">
        <v>13988</v>
      </c>
      <c r="C2866" s="8" t="s">
        <v>13989</v>
      </c>
      <c r="D2866" s="8"/>
      <c r="E2866" s="8" t="s">
        <v>1043</v>
      </c>
      <c r="F2866" s="8" t="s">
        <v>1045</v>
      </c>
      <c r="G2866" s="8" t="s">
        <v>4551</v>
      </c>
      <c r="H2866" s="8" t="s">
        <v>1043</v>
      </c>
      <c r="I2866" s="8" t="s">
        <v>1043</v>
      </c>
      <c r="J2866" s="15" t="s">
        <v>1685</v>
      </c>
      <c r="K2866" s="15" t="s">
        <v>1685</v>
      </c>
      <c r="L2866" s="15" t="s">
        <v>1685</v>
      </c>
      <c r="M2866" s="8" t="s">
        <v>13990</v>
      </c>
      <c r="N2866" s="15" t="s">
        <v>1685</v>
      </c>
      <c r="O2866" s="8" t="s">
        <v>13991</v>
      </c>
      <c r="P2866" s="11" t="s">
        <v>3231</v>
      </c>
      <c r="Q2866" s="8" t="s">
        <v>13992</v>
      </c>
      <c r="R2866" s="8"/>
      <c r="S2866" s="8"/>
    </row>
    <row r="2867" spans="1:19" ht="51" customHeight="1" x14ac:dyDescent="0.25">
      <c r="A2867" s="8" t="s">
        <v>1047</v>
      </c>
      <c r="B2867" s="8" t="s">
        <v>13988</v>
      </c>
      <c r="C2867" s="8" t="s">
        <v>13989</v>
      </c>
      <c r="D2867" s="8"/>
      <c r="E2867" s="8" t="s">
        <v>1042</v>
      </c>
      <c r="F2867" s="8" t="s">
        <v>1045</v>
      </c>
      <c r="G2867" s="8" t="s">
        <v>67</v>
      </c>
      <c r="H2867" s="8" t="s">
        <v>1042</v>
      </c>
      <c r="I2867" s="8" t="s">
        <v>1043</v>
      </c>
      <c r="J2867" s="15" t="s">
        <v>1685</v>
      </c>
      <c r="K2867" s="15" t="s">
        <v>1685</v>
      </c>
      <c r="L2867" s="15" t="s">
        <v>1685</v>
      </c>
      <c r="M2867" s="8" t="s">
        <v>13990</v>
      </c>
      <c r="N2867" s="15" t="s">
        <v>1685</v>
      </c>
      <c r="O2867" s="8" t="s">
        <v>13991</v>
      </c>
      <c r="P2867" s="11" t="s">
        <v>3231</v>
      </c>
      <c r="Q2867" s="8" t="s">
        <v>13992</v>
      </c>
      <c r="R2867" s="8"/>
      <c r="S2867" s="8"/>
    </row>
    <row r="2868" spans="1:19" ht="51" customHeight="1" x14ac:dyDescent="0.25">
      <c r="A2868" s="8" t="s">
        <v>2619</v>
      </c>
      <c r="B2868" s="8" t="s">
        <v>13988</v>
      </c>
      <c r="C2868" s="8" t="s">
        <v>13989</v>
      </c>
      <c r="D2868" s="8"/>
      <c r="E2868" s="8" t="s">
        <v>2618</v>
      </c>
      <c r="F2868" s="8" t="s">
        <v>1045</v>
      </c>
      <c r="G2868" s="8" t="s">
        <v>104</v>
      </c>
      <c r="H2868" s="8" t="s">
        <v>2618</v>
      </c>
      <c r="I2868" s="8" t="s">
        <v>1043</v>
      </c>
      <c r="J2868" s="15" t="s">
        <v>1685</v>
      </c>
      <c r="K2868" s="15" t="s">
        <v>1685</v>
      </c>
      <c r="L2868" s="15" t="s">
        <v>1685</v>
      </c>
      <c r="M2868" s="8" t="s">
        <v>13990</v>
      </c>
      <c r="N2868" s="15" t="s">
        <v>1685</v>
      </c>
      <c r="O2868" s="8" t="s">
        <v>13991</v>
      </c>
      <c r="P2868" s="11" t="s">
        <v>3231</v>
      </c>
      <c r="Q2868" s="8" t="s">
        <v>13992</v>
      </c>
      <c r="R2868" s="8"/>
      <c r="S2868" s="8"/>
    </row>
    <row r="2869" spans="1:19" ht="51" customHeight="1" x14ac:dyDescent="0.25">
      <c r="A2869" s="8" t="s">
        <v>3235</v>
      </c>
      <c r="B2869" s="8" t="s">
        <v>13988</v>
      </c>
      <c r="C2869" s="8" t="s">
        <v>13989</v>
      </c>
      <c r="D2869" s="8"/>
      <c r="E2869" s="8" t="s">
        <v>914</v>
      </c>
      <c r="F2869" s="8" t="s">
        <v>917</v>
      </c>
      <c r="G2869" s="8" t="s">
        <v>4551</v>
      </c>
      <c r="H2869" s="8" t="s">
        <v>914</v>
      </c>
      <c r="I2869" s="8" t="s">
        <v>914</v>
      </c>
      <c r="J2869" s="15" t="s">
        <v>1685</v>
      </c>
      <c r="K2869" s="15" t="s">
        <v>1685</v>
      </c>
      <c r="L2869" s="15" t="s">
        <v>1685</v>
      </c>
      <c r="M2869" s="8" t="s">
        <v>13990</v>
      </c>
      <c r="N2869" s="15" t="s">
        <v>1685</v>
      </c>
      <c r="O2869" s="8" t="s">
        <v>13991</v>
      </c>
      <c r="P2869" s="11" t="s">
        <v>3234</v>
      </c>
      <c r="Q2869" s="8" t="s">
        <v>13992</v>
      </c>
      <c r="R2869" s="8"/>
      <c r="S2869" s="8"/>
    </row>
    <row r="2870" spans="1:19" ht="51" customHeight="1" x14ac:dyDescent="0.25">
      <c r="A2870" s="8" t="s">
        <v>919</v>
      </c>
      <c r="B2870" s="8" t="s">
        <v>13988</v>
      </c>
      <c r="C2870" s="8" t="s">
        <v>13989</v>
      </c>
      <c r="D2870" s="8"/>
      <c r="E2870" s="8" t="s">
        <v>913</v>
      </c>
      <c r="F2870" s="8" t="s">
        <v>917</v>
      </c>
      <c r="G2870" s="8" t="s">
        <v>67</v>
      </c>
      <c r="H2870" s="8" t="s">
        <v>913</v>
      </c>
      <c r="I2870" s="8" t="s">
        <v>914</v>
      </c>
      <c r="J2870" s="15" t="s">
        <v>1685</v>
      </c>
      <c r="K2870" s="15" t="s">
        <v>1685</v>
      </c>
      <c r="L2870" s="15" t="s">
        <v>1685</v>
      </c>
      <c r="M2870" s="8" t="s">
        <v>13990</v>
      </c>
      <c r="N2870" s="15" t="s">
        <v>1685</v>
      </c>
      <c r="O2870" s="8" t="s">
        <v>13991</v>
      </c>
      <c r="P2870" s="11" t="s">
        <v>3234</v>
      </c>
      <c r="Q2870" s="8" t="s">
        <v>13992</v>
      </c>
      <c r="R2870" s="8"/>
      <c r="S2870" s="8"/>
    </row>
    <row r="2871" spans="1:19" ht="51" customHeight="1" x14ac:dyDescent="0.25">
      <c r="A2871" s="8" t="s">
        <v>2621</v>
      </c>
      <c r="B2871" s="8" t="s">
        <v>13988</v>
      </c>
      <c r="C2871" s="8" t="s">
        <v>13989</v>
      </c>
      <c r="D2871" s="8"/>
      <c r="E2871" s="8" t="s">
        <v>2620</v>
      </c>
      <c r="F2871" s="8" t="s">
        <v>917</v>
      </c>
      <c r="G2871" s="8" t="s">
        <v>104</v>
      </c>
      <c r="H2871" s="8" t="s">
        <v>2620</v>
      </c>
      <c r="I2871" s="8" t="s">
        <v>914</v>
      </c>
      <c r="J2871" s="15" t="s">
        <v>1685</v>
      </c>
      <c r="K2871" s="15" t="s">
        <v>1685</v>
      </c>
      <c r="L2871" s="15" t="s">
        <v>1685</v>
      </c>
      <c r="M2871" s="8" t="s">
        <v>13990</v>
      </c>
      <c r="N2871" s="15" t="s">
        <v>1685</v>
      </c>
      <c r="O2871" s="8" t="s">
        <v>13991</v>
      </c>
      <c r="P2871" s="11" t="s">
        <v>3234</v>
      </c>
      <c r="Q2871" s="8" t="s">
        <v>13992</v>
      </c>
      <c r="R2871" s="8"/>
      <c r="S2871" s="8"/>
    </row>
    <row r="2872" spans="1:19" ht="51" customHeight="1" x14ac:dyDescent="0.25">
      <c r="A2872" s="8" t="s">
        <v>3238</v>
      </c>
      <c r="B2872" s="8" t="s">
        <v>13988</v>
      </c>
      <c r="C2872" s="8" t="s">
        <v>13989</v>
      </c>
      <c r="D2872" s="8"/>
      <c r="E2872" s="8" t="s">
        <v>939</v>
      </c>
      <c r="F2872" s="8" t="s">
        <v>942</v>
      </c>
      <c r="G2872" s="8" t="s">
        <v>4551</v>
      </c>
      <c r="H2872" s="8" t="s">
        <v>939</v>
      </c>
      <c r="I2872" s="8" t="s">
        <v>939</v>
      </c>
      <c r="J2872" s="15" t="s">
        <v>1685</v>
      </c>
      <c r="K2872" s="15" t="s">
        <v>1685</v>
      </c>
      <c r="L2872" s="15" t="s">
        <v>1685</v>
      </c>
      <c r="M2872" s="8" t="s">
        <v>13990</v>
      </c>
      <c r="N2872" s="15" t="s">
        <v>1685</v>
      </c>
      <c r="O2872" s="8" t="s">
        <v>13991</v>
      </c>
      <c r="P2872" s="11" t="s">
        <v>3816</v>
      </c>
      <c r="Q2872" s="8" t="s">
        <v>13992</v>
      </c>
      <c r="R2872" s="8"/>
      <c r="S2872" s="8"/>
    </row>
    <row r="2873" spans="1:19" ht="51" customHeight="1" x14ac:dyDescent="0.25">
      <c r="A2873" s="8" t="s">
        <v>946</v>
      </c>
      <c r="B2873" s="8" t="s">
        <v>13988</v>
      </c>
      <c r="C2873" s="8" t="s">
        <v>13989</v>
      </c>
      <c r="D2873" s="8"/>
      <c r="E2873" s="8" t="s">
        <v>938</v>
      </c>
      <c r="F2873" s="8" t="s">
        <v>942</v>
      </c>
      <c r="G2873" s="8" t="s">
        <v>67</v>
      </c>
      <c r="H2873" s="8" t="s">
        <v>938</v>
      </c>
      <c r="I2873" s="8" t="s">
        <v>939</v>
      </c>
      <c r="J2873" s="15" t="s">
        <v>1685</v>
      </c>
      <c r="K2873" s="15" t="s">
        <v>1685</v>
      </c>
      <c r="L2873" s="15" t="s">
        <v>1685</v>
      </c>
      <c r="M2873" s="8" t="s">
        <v>13990</v>
      </c>
      <c r="N2873" s="15" t="s">
        <v>1685</v>
      </c>
      <c r="O2873" s="8" t="s">
        <v>13991</v>
      </c>
      <c r="P2873" s="11" t="s">
        <v>3816</v>
      </c>
      <c r="Q2873" s="8" t="s">
        <v>13992</v>
      </c>
      <c r="R2873" s="8"/>
      <c r="S2873" s="8"/>
    </row>
    <row r="2874" spans="1:19" ht="51" customHeight="1" x14ac:dyDescent="0.25">
      <c r="A2874" s="8" t="s">
        <v>2623</v>
      </c>
      <c r="B2874" s="8" t="s">
        <v>13988</v>
      </c>
      <c r="C2874" s="8" t="s">
        <v>13989</v>
      </c>
      <c r="D2874" s="8"/>
      <c r="E2874" s="8" t="s">
        <v>2622</v>
      </c>
      <c r="F2874" s="8" t="s">
        <v>942</v>
      </c>
      <c r="G2874" s="8" t="s">
        <v>104</v>
      </c>
      <c r="H2874" s="8" t="s">
        <v>2622</v>
      </c>
      <c r="I2874" s="8" t="s">
        <v>939</v>
      </c>
      <c r="J2874" s="15" t="s">
        <v>1685</v>
      </c>
      <c r="K2874" s="15" t="s">
        <v>1685</v>
      </c>
      <c r="L2874" s="15" t="s">
        <v>1685</v>
      </c>
      <c r="M2874" s="8" t="s">
        <v>13990</v>
      </c>
      <c r="N2874" s="15" t="s">
        <v>1685</v>
      </c>
      <c r="O2874" s="8" t="s">
        <v>13991</v>
      </c>
      <c r="P2874" s="11" t="s">
        <v>3816</v>
      </c>
      <c r="Q2874" s="8" t="s">
        <v>13992</v>
      </c>
      <c r="R2874" s="8"/>
      <c r="S2874" s="8"/>
    </row>
    <row r="2875" spans="1:19" ht="51" customHeight="1" x14ac:dyDescent="0.25">
      <c r="A2875" s="8" t="s">
        <v>3242</v>
      </c>
      <c r="B2875" s="8" t="s">
        <v>13988</v>
      </c>
      <c r="C2875" s="8" t="s">
        <v>13989</v>
      </c>
      <c r="D2875" s="8"/>
      <c r="E2875" s="8" t="s">
        <v>2625</v>
      </c>
      <c r="F2875" s="8" t="s">
        <v>3240</v>
      </c>
      <c r="G2875" s="8" t="s">
        <v>4551</v>
      </c>
      <c r="H2875" s="8" t="s">
        <v>2625</v>
      </c>
      <c r="I2875" s="8" t="s">
        <v>2625</v>
      </c>
      <c r="J2875" s="15" t="s">
        <v>1685</v>
      </c>
      <c r="K2875" s="15" t="s">
        <v>1685</v>
      </c>
      <c r="L2875" s="15" t="s">
        <v>1685</v>
      </c>
      <c r="M2875" s="8" t="s">
        <v>13990</v>
      </c>
      <c r="N2875" s="15" t="s">
        <v>1685</v>
      </c>
      <c r="O2875" s="8" t="s">
        <v>13991</v>
      </c>
      <c r="P2875" s="11" t="s">
        <v>3241</v>
      </c>
      <c r="Q2875" s="8" t="s">
        <v>13992</v>
      </c>
      <c r="R2875" s="8"/>
      <c r="S2875" s="8"/>
    </row>
    <row r="2876" spans="1:19" ht="51" customHeight="1" x14ac:dyDescent="0.25">
      <c r="A2876" s="8" t="s">
        <v>2627</v>
      </c>
      <c r="B2876" s="8" t="s">
        <v>13988</v>
      </c>
      <c r="C2876" s="8" t="s">
        <v>13989</v>
      </c>
      <c r="D2876" s="8"/>
      <c r="E2876" s="8" t="s">
        <v>2624</v>
      </c>
      <c r="F2876" s="8" t="s">
        <v>3240</v>
      </c>
      <c r="G2876" s="8" t="s">
        <v>104</v>
      </c>
      <c r="H2876" s="8" t="s">
        <v>2624</v>
      </c>
      <c r="I2876" s="8" t="s">
        <v>2625</v>
      </c>
      <c r="J2876" s="15" t="s">
        <v>1685</v>
      </c>
      <c r="K2876" s="15" t="s">
        <v>1685</v>
      </c>
      <c r="L2876" s="15" t="s">
        <v>1685</v>
      </c>
      <c r="M2876" s="8" t="s">
        <v>13990</v>
      </c>
      <c r="N2876" s="15" t="s">
        <v>1685</v>
      </c>
      <c r="O2876" s="8" t="s">
        <v>13991</v>
      </c>
      <c r="P2876" s="11" t="s">
        <v>3241</v>
      </c>
      <c r="Q2876" s="8" t="s">
        <v>13992</v>
      </c>
      <c r="R2876" s="8"/>
      <c r="S2876" s="8"/>
    </row>
    <row r="2877" spans="1:19" ht="51" customHeight="1" x14ac:dyDescent="0.25">
      <c r="A2877" s="8" t="s">
        <v>2165</v>
      </c>
      <c r="B2877" s="8" t="s">
        <v>13988</v>
      </c>
      <c r="C2877" s="8" t="s">
        <v>13989</v>
      </c>
      <c r="D2877" s="8"/>
      <c r="E2877" s="8" t="s">
        <v>2159</v>
      </c>
      <c r="F2877" s="8" t="s">
        <v>2160</v>
      </c>
      <c r="G2877" s="8" t="s">
        <v>98</v>
      </c>
      <c r="H2877" s="8" t="s">
        <v>2159</v>
      </c>
      <c r="I2877" s="8"/>
      <c r="J2877" s="15" t="s">
        <v>1685</v>
      </c>
      <c r="K2877" s="15" t="s">
        <v>1685</v>
      </c>
      <c r="L2877" s="15" t="s">
        <v>1685</v>
      </c>
      <c r="M2877" s="8" t="s">
        <v>13990</v>
      </c>
      <c r="N2877" s="15" t="s">
        <v>1685</v>
      </c>
      <c r="O2877" s="8" t="s">
        <v>13991</v>
      </c>
      <c r="P2877" s="11" t="s">
        <v>3842</v>
      </c>
      <c r="Q2877" s="8" t="s">
        <v>13992</v>
      </c>
      <c r="R2877" s="8"/>
      <c r="S2877" s="8"/>
    </row>
    <row r="2878" spans="1:19" ht="51" customHeight="1" x14ac:dyDescent="0.25">
      <c r="A2878" s="8" t="s">
        <v>2172</v>
      </c>
      <c r="B2878" s="8" t="s">
        <v>13988</v>
      </c>
      <c r="C2878" s="8" t="s">
        <v>13989</v>
      </c>
      <c r="D2878" s="8"/>
      <c r="E2878" s="8" t="s">
        <v>2166</v>
      </c>
      <c r="F2878" s="8" t="s">
        <v>2167</v>
      </c>
      <c r="G2878" s="8" t="s">
        <v>98</v>
      </c>
      <c r="H2878" s="8" t="s">
        <v>2166</v>
      </c>
      <c r="I2878" s="8"/>
      <c r="J2878" s="15" t="s">
        <v>1685</v>
      </c>
      <c r="K2878" s="15" t="s">
        <v>1685</v>
      </c>
      <c r="L2878" s="15" t="s">
        <v>1685</v>
      </c>
      <c r="M2878" s="8" t="s">
        <v>13990</v>
      </c>
      <c r="N2878" s="15" t="s">
        <v>1685</v>
      </c>
      <c r="O2878" s="8" t="s">
        <v>13991</v>
      </c>
      <c r="P2878" s="11" t="s">
        <v>3845</v>
      </c>
      <c r="Q2878" s="8" t="s">
        <v>13992</v>
      </c>
      <c r="R2878" s="8"/>
      <c r="S2878" s="8"/>
    </row>
    <row r="2879" spans="1:19" ht="51" customHeight="1" x14ac:dyDescent="0.25">
      <c r="A2879" s="8" t="s">
        <v>2178</v>
      </c>
      <c r="B2879" s="8" t="s">
        <v>13988</v>
      </c>
      <c r="C2879" s="8" t="s">
        <v>13989</v>
      </c>
      <c r="D2879" s="8"/>
      <c r="E2879" s="8" t="s">
        <v>2173</v>
      </c>
      <c r="F2879" s="8" t="s">
        <v>2174</v>
      </c>
      <c r="G2879" s="8" t="s">
        <v>98</v>
      </c>
      <c r="H2879" s="8" t="s">
        <v>2173</v>
      </c>
      <c r="I2879" s="8"/>
      <c r="J2879" s="15" t="s">
        <v>1685</v>
      </c>
      <c r="K2879" s="15" t="s">
        <v>1685</v>
      </c>
      <c r="L2879" s="15" t="s">
        <v>1685</v>
      </c>
      <c r="M2879" s="8" t="s">
        <v>13990</v>
      </c>
      <c r="N2879" s="15" t="s">
        <v>1685</v>
      </c>
      <c r="O2879" s="8" t="s">
        <v>13991</v>
      </c>
      <c r="P2879" s="11" t="s">
        <v>3848</v>
      </c>
      <c r="Q2879" s="8" t="s">
        <v>13992</v>
      </c>
      <c r="R2879" s="8"/>
      <c r="S2879" s="8"/>
    </row>
    <row r="2880" spans="1:19" ht="51" customHeight="1" x14ac:dyDescent="0.25">
      <c r="A2880" s="8" t="s">
        <v>2184</v>
      </c>
      <c r="B2880" s="8" t="s">
        <v>13988</v>
      </c>
      <c r="C2880" s="8" t="s">
        <v>13989</v>
      </c>
      <c r="D2880" s="8"/>
      <c r="E2880" s="8" t="s">
        <v>2179</v>
      </c>
      <c r="F2880" s="8" t="s">
        <v>2180</v>
      </c>
      <c r="G2880" s="8" t="s">
        <v>98</v>
      </c>
      <c r="H2880" s="8" t="s">
        <v>2179</v>
      </c>
      <c r="I2880" s="8"/>
      <c r="J2880" s="15" t="s">
        <v>1685</v>
      </c>
      <c r="K2880" s="15" t="s">
        <v>1685</v>
      </c>
      <c r="L2880" s="15" t="s">
        <v>1685</v>
      </c>
      <c r="M2880" s="8" t="s">
        <v>13990</v>
      </c>
      <c r="N2880" s="15" t="s">
        <v>1685</v>
      </c>
      <c r="O2880" s="8" t="s">
        <v>13991</v>
      </c>
      <c r="P2880" s="11" t="s">
        <v>3851</v>
      </c>
      <c r="Q2880" s="8" t="s">
        <v>13992</v>
      </c>
      <c r="R2880" s="8"/>
      <c r="S2880" s="8"/>
    </row>
    <row r="2881" spans="1:19" ht="51" customHeight="1" x14ac:dyDescent="0.25">
      <c r="A2881" s="8" t="s">
        <v>2191</v>
      </c>
      <c r="B2881" s="8" t="s">
        <v>13988</v>
      </c>
      <c r="C2881" s="8" t="s">
        <v>13989</v>
      </c>
      <c r="D2881" s="8"/>
      <c r="E2881" s="8" t="s">
        <v>2185</v>
      </c>
      <c r="F2881" s="8" t="s">
        <v>2186</v>
      </c>
      <c r="G2881" s="8" t="s">
        <v>98</v>
      </c>
      <c r="H2881" s="8" t="s">
        <v>2185</v>
      </c>
      <c r="I2881" s="8"/>
      <c r="J2881" s="15" t="s">
        <v>1685</v>
      </c>
      <c r="K2881" s="15" t="s">
        <v>1685</v>
      </c>
      <c r="L2881" s="15" t="s">
        <v>1685</v>
      </c>
      <c r="M2881" s="8" t="s">
        <v>13990</v>
      </c>
      <c r="N2881" s="15" t="s">
        <v>1685</v>
      </c>
      <c r="O2881" s="8" t="s">
        <v>13991</v>
      </c>
      <c r="P2881" s="11" t="s">
        <v>3854</v>
      </c>
      <c r="Q2881" s="8" t="s">
        <v>13992</v>
      </c>
      <c r="R2881" s="8"/>
      <c r="S2881" s="8"/>
    </row>
    <row r="2882" spans="1:19" ht="51" customHeight="1" x14ac:dyDescent="0.25">
      <c r="A2882" s="8" t="s">
        <v>2198</v>
      </c>
      <c r="B2882" s="8" t="s">
        <v>13988</v>
      </c>
      <c r="C2882" s="8" t="s">
        <v>13989</v>
      </c>
      <c r="D2882" s="8"/>
      <c r="E2882" s="8" t="s">
        <v>2192</v>
      </c>
      <c r="F2882" s="8" t="s">
        <v>2193</v>
      </c>
      <c r="G2882" s="8" t="s">
        <v>98</v>
      </c>
      <c r="H2882" s="8" t="s">
        <v>2192</v>
      </c>
      <c r="I2882" s="8"/>
      <c r="J2882" s="15" t="s">
        <v>1685</v>
      </c>
      <c r="K2882" s="15" t="s">
        <v>1685</v>
      </c>
      <c r="L2882" s="15" t="s">
        <v>1685</v>
      </c>
      <c r="M2882" s="8" t="s">
        <v>13990</v>
      </c>
      <c r="N2882" s="15" t="s">
        <v>1685</v>
      </c>
      <c r="O2882" s="8" t="s">
        <v>13991</v>
      </c>
      <c r="P2882" s="11" t="s">
        <v>3241</v>
      </c>
      <c r="Q2882" s="8" t="s">
        <v>13992</v>
      </c>
      <c r="R2882" s="8"/>
      <c r="S2882" s="8"/>
    </row>
    <row r="2883" spans="1:19" ht="93" customHeight="1" x14ac:dyDescent="0.25">
      <c r="A2883" s="8" t="s">
        <v>13993</v>
      </c>
      <c r="B2883" s="8" t="s">
        <v>13994</v>
      </c>
      <c r="C2883" s="8" t="s">
        <v>4542</v>
      </c>
      <c r="D2883" s="8"/>
      <c r="E2883" s="8" t="s">
        <v>1014</v>
      </c>
      <c r="F2883" s="8"/>
      <c r="G2883" s="8" t="s">
        <v>4542</v>
      </c>
      <c r="H2883" s="8" t="s">
        <v>1014</v>
      </c>
      <c r="I2883" s="8"/>
      <c r="J2883" s="15" t="s">
        <v>1685</v>
      </c>
      <c r="K2883" s="8"/>
      <c r="L2883" s="15" t="s">
        <v>1685</v>
      </c>
      <c r="M2883" s="8" t="s">
        <v>282</v>
      </c>
      <c r="N2883" s="15" t="s">
        <v>1685</v>
      </c>
      <c r="O2883" s="8" t="s">
        <v>4685</v>
      </c>
      <c r="P2883" s="11" t="s">
        <v>3866</v>
      </c>
      <c r="Q2883" s="8" t="s">
        <v>13995</v>
      </c>
      <c r="R2883" s="8" t="s">
        <v>4684</v>
      </c>
      <c r="S2883" s="8" t="s">
        <v>13996</v>
      </c>
    </row>
    <row r="2884" spans="1:19" ht="120.95" customHeight="1" x14ac:dyDescent="0.25">
      <c r="A2884" s="8" t="s">
        <v>13997</v>
      </c>
      <c r="B2884" s="8" t="s">
        <v>13994</v>
      </c>
      <c r="C2884" s="8" t="s">
        <v>4542</v>
      </c>
      <c r="D2884" s="8"/>
      <c r="E2884" s="8" t="s">
        <v>350</v>
      </c>
      <c r="F2884" s="8"/>
      <c r="G2884" s="8" t="s">
        <v>4542</v>
      </c>
      <c r="H2884" s="8" t="s">
        <v>350</v>
      </c>
      <c r="I2884" s="8"/>
      <c r="J2884" s="15" t="s">
        <v>1685</v>
      </c>
      <c r="K2884" s="8"/>
      <c r="L2884" s="15" t="s">
        <v>1685</v>
      </c>
      <c r="M2884" s="8" t="s">
        <v>282</v>
      </c>
      <c r="N2884" s="15" t="s">
        <v>1685</v>
      </c>
      <c r="O2884" s="8" t="s">
        <v>4685</v>
      </c>
      <c r="P2884" s="11" t="s">
        <v>3870</v>
      </c>
      <c r="Q2884" s="8" t="s">
        <v>13995</v>
      </c>
      <c r="R2884" s="8" t="s">
        <v>4684</v>
      </c>
      <c r="S2884" s="8" t="s">
        <v>13998</v>
      </c>
    </row>
    <row r="2885" spans="1:19" ht="93" customHeight="1" x14ac:dyDescent="0.25">
      <c r="A2885" s="8" t="s">
        <v>13999</v>
      </c>
      <c r="B2885" s="8" t="s">
        <v>13994</v>
      </c>
      <c r="C2885" s="8" t="s">
        <v>4542</v>
      </c>
      <c r="D2885" s="8"/>
      <c r="E2885" s="8" t="s">
        <v>420</v>
      </c>
      <c r="F2885" s="8"/>
      <c r="G2885" s="8" t="s">
        <v>4542</v>
      </c>
      <c r="H2885" s="8" t="s">
        <v>420</v>
      </c>
      <c r="I2885" s="8"/>
      <c r="J2885" s="15" t="s">
        <v>1685</v>
      </c>
      <c r="K2885" s="8"/>
      <c r="L2885" s="15" t="s">
        <v>1685</v>
      </c>
      <c r="M2885" s="8" t="s">
        <v>282</v>
      </c>
      <c r="N2885" s="15" t="s">
        <v>1685</v>
      </c>
      <c r="O2885" s="8" t="s">
        <v>4685</v>
      </c>
      <c r="P2885" s="11" t="s">
        <v>3452</v>
      </c>
      <c r="Q2885" s="8" t="s">
        <v>13995</v>
      </c>
      <c r="R2885" s="8" t="s">
        <v>4689</v>
      </c>
      <c r="S2885" s="8" t="s">
        <v>14000</v>
      </c>
    </row>
    <row r="2886" spans="1:19" ht="93" customHeight="1" x14ac:dyDescent="0.25">
      <c r="A2886" s="8" t="s">
        <v>14001</v>
      </c>
      <c r="B2886" s="8" t="s">
        <v>13994</v>
      </c>
      <c r="C2886" s="8" t="s">
        <v>4542</v>
      </c>
      <c r="D2886" s="8"/>
      <c r="E2886" s="8" t="s">
        <v>3872</v>
      </c>
      <c r="F2886" s="8"/>
      <c r="G2886" s="8" t="s">
        <v>4542</v>
      </c>
      <c r="H2886" s="8" t="s">
        <v>3872</v>
      </c>
      <c r="I2886" s="8"/>
      <c r="J2886" s="15" t="s">
        <v>1685</v>
      </c>
      <c r="K2886" s="8"/>
      <c r="L2886" s="15" t="s">
        <v>1685</v>
      </c>
      <c r="M2886" s="8" t="s">
        <v>282</v>
      </c>
      <c r="N2886" s="15" t="s">
        <v>1685</v>
      </c>
      <c r="O2886" s="8" t="s">
        <v>4685</v>
      </c>
      <c r="P2886" s="11" t="s">
        <v>3874</v>
      </c>
      <c r="Q2886" s="8" t="s">
        <v>13995</v>
      </c>
      <c r="R2886" s="8" t="s">
        <v>4684</v>
      </c>
      <c r="S2886" s="8" t="s">
        <v>14002</v>
      </c>
    </row>
    <row r="2887" spans="1:19" ht="93" customHeight="1" x14ac:dyDescent="0.25">
      <c r="A2887" s="8" t="s">
        <v>14003</v>
      </c>
      <c r="B2887" s="8" t="s">
        <v>13994</v>
      </c>
      <c r="C2887" s="8" t="s">
        <v>4542</v>
      </c>
      <c r="D2887" s="8"/>
      <c r="E2887" s="8" t="s">
        <v>1001</v>
      </c>
      <c r="F2887" s="8"/>
      <c r="G2887" s="8" t="s">
        <v>4542</v>
      </c>
      <c r="H2887" s="8" t="s">
        <v>1001</v>
      </c>
      <c r="I2887" s="8"/>
      <c r="J2887" s="15" t="s">
        <v>1685</v>
      </c>
      <c r="K2887" s="8"/>
      <c r="L2887" s="15" t="s">
        <v>1685</v>
      </c>
      <c r="M2887" s="8" t="s">
        <v>282</v>
      </c>
      <c r="N2887" s="15" t="s">
        <v>1685</v>
      </c>
      <c r="O2887" s="8" t="s">
        <v>4685</v>
      </c>
      <c r="P2887" s="11" t="s">
        <v>3877</v>
      </c>
      <c r="Q2887" s="8" t="s">
        <v>13995</v>
      </c>
      <c r="R2887" s="8" t="s">
        <v>4684</v>
      </c>
      <c r="S2887" s="8" t="s">
        <v>14004</v>
      </c>
    </row>
    <row r="2888" spans="1:19" ht="107.1" customHeight="1" x14ac:dyDescent="0.25">
      <c r="A2888" s="8" t="s">
        <v>14005</v>
      </c>
      <c r="B2888" s="8" t="s">
        <v>13994</v>
      </c>
      <c r="C2888" s="8" t="s">
        <v>4542</v>
      </c>
      <c r="D2888" s="8"/>
      <c r="E2888" s="8" t="s">
        <v>562</v>
      </c>
      <c r="F2888" s="8"/>
      <c r="G2888" s="8" t="s">
        <v>4542</v>
      </c>
      <c r="H2888" s="8" t="s">
        <v>562</v>
      </c>
      <c r="I2888" s="8"/>
      <c r="J2888" s="15" t="s">
        <v>1685</v>
      </c>
      <c r="K2888" s="8"/>
      <c r="L2888" s="15" t="s">
        <v>1685</v>
      </c>
      <c r="M2888" s="8" t="s">
        <v>282</v>
      </c>
      <c r="N2888" s="15" t="s">
        <v>1685</v>
      </c>
      <c r="O2888" s="8" t="s">
        <v>4685</v>
      </c>
      <c r="P2888" s="11" t="s">
        <v>3880</v>
      </c>
      <c r="Q2888" s="8" t="s">
        <v>13995</v>
      </c>
      <c r="R2888" s="8" t="s">
        <v>4684</v>
      </c>
      <c r="S2888" s="8" t="s">
        <v>14006</v>
      </c>
    </row>
    <row r="2889" spans="1:19" ht="93" customHeight="1" x14ac:dyDescent="0.25">
      <c r="A2889" s="8" t="s">
        <v>14007</v>
      </c>
      <c r="B2889" s="8" t="s">
        <v>13994</v>
      </c>
      <c r="C2889" s="8" t="s">
        <v>4542</v>
      </c>
      <c r="D2889" s="8"/>
      <c r="E2889" s="8" t="s">
        <v>3883</v>
      </c>
      <c r="F2889" s="8"/>
      <c r="G2889" s="8" t="s">
        <v>4542</v>
      </c>
      <c r="H2889" s="8" t="s">
        <v>3883</v>
      </c>
      <c r="I2889" s="8"/>
      <c r="J2889" s="15" t="s">
        <v>1685</v>
      </c>
      <c r="K2889" s="8"/>
      <c r="L2889" s="15" t="s">
        <v>1685</v>
      </c>
      <c r="M2889" s="8" t="s">
        <v>282</v>
      </c>
      <c r="N2889" s="15" t="s">
        <v>1685</v>
      </c>
      <c r="O2889" s="8" t="s">
        <v>4685</v>
      </c>
      <c r="P2889" s="11" t="s">
        <v>3885</v>
      </c>
      <c r="Q2889" s="8" t="s">
        <v>13995</v>
      </c>
      <c r="R2889" s="8" t="s">
        <v>4684</v>
      </c>
      <c r="S2889" s="8" t="s">
        <v>14008</v>
      </c>
    </row>
    <row r="2890" spans="1:19" ht="93" customHeight="1" x14ac:dyDescent="0.25">
      <c r="A2890" s="8" t="s">
        <v>14009</v>
      </c>
      <c r="B2890" s="8" t="s">
        <v>13994</v>
      </c>
      <c r="C2890" s="8" t="s">
        <v>4542</v>
      </c>
      <c r="D2890" s="8"/>
      <c r="E2890" s="8" t="s">
        <v>759</v>
      </c>
      <c r="F2890" s="8"/>
      <c r="G2890" s="8" t="s">
        <v>4542</v>
      </c>
      <c r="H2890" s="8" t="s">
        <v>759</v>
      </c>
      <c r="I2890" s="8"/>
      <c r="J2890" s="15" t="s">
        <v>1685</v>
      </c>
      <c r="K2890" s="8"/>
      <c r="L2890" s="15" t="s">
        <v>1685</v>
      </c>
      <c r="M2890" s="8" t="s">
        <v>282</v>
      </c>
      <c r="N2890" s="15" t="s">
        <v>1685</v>
      </c>
      <c r="O2890" s="8" t="s">
        <v>4685</v>
      </c>
      <c r="P2890" s="11" t="s">
        <v>3888</v>
      </c>
      <c r="Q2890" s="8" t="s">
        <v>13995</v>
      </c>
      <c r="R2890" s="8" t="s">
        <v>4684</v>
      </c>
      <c r="S2890" s="8" t="s">
        <v>14010</v>
      </c>
    </row>
    <row r="2891" spans="1:19" ht="93" customHeight="1" x14ac:dyDescent="0.25">
      <c r="A2891" s="8" t="s">
        <v>14011</v>
      </c>
      <c r="B2891" s="8" t="s">
        <v>13994</v>
      </c>
      <c r="C2891" s="8" t="s">
        <v>4542</v>
      </c>
      <c r="D2891" s="8"/>
      <c r="E2891" s="8" t="s">
        <v>3890</v>
      </c>
      <c r="F2891" s="8"/>
      <c r="G2891" s="8" t="s">
        <v>4542</v>
      </c>
      <c r="H2891" s="8" t="s">
        <v>3890</v>
      </c>
      <c r="I2891" s="8"/>
      <c r="J2891" s="15" t="s">
        <v>1685</v>
      </c>
      <c r="K2891" s="8"/>
      <c r="L2891" s="15" t="s">
        <v>1685</v>
      </c>
      <c r="M2891" s="8" t="s">
        <v>282</v>
      </c>
      <c r="N2891" s="15" t="s">
        <v>1685</v>
      </c>
      <c r="O2891" s="8" t="s">
        <v>4685</v>
      </c>
      <c r="P2891" s="11" t="s">
        <v>3893</v>
      </c>
      <c r="Q2891" s="8" t="s">
        <v>13995</v>
      </c>
      <c r="R2891" s="8" t="s">
        <v>4684</v>
      </c>
      <c r="S2891" s="8" t="s">
        <v>14012</v>
      </c>
    </row>
    <row r="2892" spans="1:19" ht="93" customHeight="1" x14ac:dyDescent="0.25">
      <c r="A2892" s="8" t="s">
        <v>14013</v>
      </c>
      <c r="B2892" s="8" t="s">
        <v>13994</v>
      </c>
      <c r="C2892" s="8" t="s">
        <v>4542</v>
      </c>
      <c r="D2892" s="8"/>
      <c r="E2892" s="8" t="s">
        <v>2202</v>
      </c>
      <c r="F2892" s="8"/>
      <c r="G2892" s="8" t="s">
        <v>4542</v>
      </c>
      <c r="H2892" s="8" t="s">
        <v>2202</v>
      </c>
      <c r="I2892" s="8"/>
      <c r="J2892" s="15" t="s">
        <v>1685</v>
      </c>
      <c r="K2892" s="8"/>
      <c r="L2892" s="15" t="s">
        <v>1685</v>
      </c>
      <c r="M2892" s="8" t="s">
        <v>282</v>
      </c>
      <c r="N2892" s="15" t="s">
        <v>1685</v>
      </c>
      <c r="O2892" s="8" t="s">
        <v>4685</v>
      </c>
      <c r="P2892" s="11" t="s">
        <v>3897</v>
      </c>
      <c r="Q2892" s="8" t="s">
        <v>13995</v>
      </c>
      <c r="R2892" s="8" t="s">
        <v>4684</v>
      </c>
      <c r="S2892" s="8" t="s">
        <v>14014</v>
      </c>
    </row>
    <row r="2893" spans="1:19" ht="93" customHeight="1" x14ac:dyDescent="0.25">
      <c r="A2893" s="8" t="s">
        <v>14015</v>
      </c>
      <c r="B2893" s="8" t="s">
        <v>13994</v>
      </c>
      <c r="C2893" s="8" t="s">
        <v>4542</v>
      </c>
      <c r="D2893" s="8"/>
      <c r="E2893" s="8" t="s">
        <v>1776</v>
      </c>
      <c r="F2893" s="8"/>
      <c r="G2893" s="8" t="s">
        <v>4542</v>
      </c>
      <c r="H2893" s="8" t="s">
        <v>1776</v>
      </c>
      <c r="I2893" s="8"/>
      <c r="J2893" s="15" t="s">
        <v>1685</v>
      </c>
      <c r="K2893" s="8"/>
      <c r="L2893" s="15" t="s">
        <v>1685</v>
      </c>
      <c r="M2893" s="8" t="s">
        <v>282</v>
      </c>
      <c r="N2893" s="15" t="s">
        <v>1685</v>
      </c>
      <c r="O2893" s="8" t="s">
        <v>4685</v>
      </c>
      <c r="P2893" s="11" t="s">
        <v>3901</v>
      </c>
      <c r="Q2893" s="8" t="s">
        <v>13995</v>
      </c>
      <c r="R2893" s="8" t="s">
        <v>4684</v>
      </c>
      <c r="S2893" s="8" t="s">
        <v>14016</v>
      </c>
    </row>
    <row r="2894" spans="1:19" ht="93" customHeight="1" x14ac:dyDescent="0.25">
      <c r="A2894" s="8" t="s">
        <v>14017</v>
      </c>
      <c r="B2894" s="8" t="s">
        <v>13994</v>
      </c>
      <c r="C2894" s="8" t="s">
        <v>4542</v>
      </c>
      <c r="D2894" s="8"/>
      <c r="E2894" s="8" t="s">
        <v>3906</v>
      </c>
      <c r="F2894" s="8"/>
      <c r="G2894" s="8" t="s">
        <v>4542</v>
      </c>
      <c r="H2894" s="8" t="s">
        <v>3906</v>
      </c>
      <c r="I2894" s="8"/>
      <c r="J2894" s="15" t="s">
        <v>1685</v>
      </c>
      <c r="K2894" s="8"/>
      <c r="L2894" s="15" t="s">
        <v>1685</v>
      </c>
      <c r="M2894" s="8" t="s">
        <v>282</v>
      </c>
      <c r="N2894" s="15" t="s">
        <v>1685</v>
      </c>
      <c r="O2894" s="8" t="s">
        <v>4685</v>
      </c>
      <c r="P2894" s="11" t="s">
        <v>3908</v>
      </c>
      <c r="Q2894" s="8" t="s">
        <v>13995</v>
      </c>
      <c r="R2894" s="8" t="s">
        <v>4684</v>
      </c>
      <c r="S2894" s="8" t="s">
        <v>14018</v>
      </c>
    </row>
    <row r="2895" spans="1:19" ht="93" customHeight="1" x14ac:dyDescent="0.25">
      <c r="A2895" s="8" t="s">
        <v>14019</v>
      </c>
      <c r="B2895" s="8" t="s">
        <v>13994</v>
      </c>
      <c r="C2895" s="8" t="s">
        <v>4551</v>
      </c>
      <c r="D2895" s="8"/>
      <c r="E2895" s="8" t="s">
        <v>1011</v>
      </c>
      <c r="F2895" s="8"/>
      <c r="G2895" s="8" t="s">
        <v>4551</v>
      </c>
      <c r="H2895" s="8" t="s">
        <v>1011</v>
      </c>
      <c r="I2895" s="8" t="s">
        <v>1011</v>
      </c>
      <c r="J2895" s="15" t="s">
        <v>1685</v>
      </c>
      <c r="K2895" s="8"/>
      <c r="L2895" s="15" t="s">
        <v>1685</v>
      </c>
      <c r="M2895" s="8" t="s">
        <v>282</v>
      </c>
      <c r="N2895" s="15" t="s">
        <v>1685</v>
      </c>
      <c r="O2895" s="8" t="s">
        <v>4700</v>
      </c>
      <c r="P2895" s="11" t="s">
        <v>3073</v>
      </c>
      <c r="Q2895" s="8" t="s">
        <v>13995</v>
      </c>
      <c r="R2895" s="8" t="s">
        <v>4689</v>
      </c>
      <c r="S2895" s="8" t="s">
        <v>14020</v>
      </c>
    </row>
    <row r="2896" spans="1:19" ht="93" customHeight="1" x14ac:dyDescent="0.25">
      <c r="A2896" s="8" t="s">
        <v>14021</v>
      </c>
      <c r="B2896" s="8" t="s">
        <v>13994</v>
      </c>
      <c r="C2896" s="8" t="s">
        <v>4551</v>
      </c>
      <c r="D2896" s="8"/>
      <c r="E2896" s="8" t="s">
        <v>343</v>
      </c>
      <c r="F2896" s="8"/>
      <c r="G2896" s="8" t="s">
        <v>4551</v>
      </c>
      <c r="H2896" s="8" t="s">
        <v>343</v>
      </c>
      <c r="I2896" s="8" t="s">
        <v>343</v>
      </c>
      <c r="J2896" s="15" t="s">
        <v>1685</v>
      </c>
      <c r="K2896" s="8"/>
      <c r="L2896" s="15" t="s">
        <v>1685</v>
      </c>
      <c r="M2896" s="8" t="s">
        <v>282</v>
      </c>
      <c r="N2896" s="15" t="s">
        <v>1685</v>
      </c>
      <c r="O2896" s="8" t="s">
        <v>4700</v>
      </c>
      <c r="P2896" s="11" t="s">
        <v>2995</v>
      </c>
      <c r="Q2896" s="8" t="s">
        <v>13995</v>
      </c>
      <c r="R2896" s="8" t="s">
        <v>4689</v>
      </c>
      <c r="S2896" s="8" t="s">
        <v>14022</v>
      </c>
    </row>
    <row r="2897" spans="1:19" ht="93" customHeight="1" x14ac:dyDescent="0.25">
      <c r="A2897" s="8" t="s">
        <v>14023</v>
      </c>
      <c r="B2897" s="8" t="s">
        <v>13994</v>
      </c>
      <c r="C2897" s="8" t="s">
        <v>4551</v>
      </c>
      <c r="D2897" s="8"/>
      <c r="E2897" s="8" t="s">
        <v>996</v>
      </c>
      <c r="F2897" s="8"/>
      <c r="G2897" s="8" t="s">
        <v>4551</v>
      </c>
      <c r="H2897" s="8" t="s">
        <v>996</v>
      </c>
      <c r="I2897" s="8" t="s">
        <v>996</v>
      </c>
      <c r="J2897" s="15" t="s">
        <v>1685</v>
      </c>
      <c r="K2897" s="8"/>
      <c r="L2897" s="15" t="s">
        <v>1685</v>
      </c>
      <c r="M2897" s="8" t="s">
        <v>282</v>
      </c>
      <c r="N2897" s="15" t="s">
        <v>1685</v>
      </c>
      <c r="O2897" s="8" t="s">
        <v>4700</v>
      </c>
      <c r="P2897" s="11" t="s">
        <v>3180</v>
      </c>
      <c r="Q2897" s="8" t="s">
        <v>13995</v>
      </c>
      <c r="R2897" s="8" t="s">
        <v>4689</v>
      </c>
      <c r="S2897" s="8" t="s">
        <v>14024</v>
      </c>
    </row>
    <row r="2898" spans="1:19" ht="93" customHeight="1" x14ac:dyDescent="0.25">
      <c r="A2898" s="8" t="s">
        <v>14025</v>
      </c>
      <c r="B2898" s="8" t="s">
        <v>13994</v>
      </c>
      <c r="C2898" s="8" t="s">
        <v>4551</v>
      </c>
      <c r="D2898" s="8"/>
      <c r="E2898" s="8" t="s">
        <v>414</v>
      </c>
      <c r="F2898" s="8"/>
      <c r="G2898" s="8" t="s">
        <v>4551</v>
      </c>
      <c r="H2898" s="8" t="s">
        <v>414</v>
      </c>
      <c r="I2898" s="8" t="s">
        <v>414</v>
      </c>
      <c r="J2898" s="15" t="s">
        <v>1685</v>
      </c>
      <c r="K2898" s="8"/>
      <c r="L2898" s="15" t="s">
        <v>1685</v>
      </c>
      <c r="M2898" s="8" t="s">
        <v>282</v>
      </c>
      <c r="N2898" s="15" t="s">
        <v>1685</v>
      </c>
      <c r="O2898" s="8" t="s">
        <v>4700</v>
      </c>
      <c r="P2898" s="11" t="s">
        <v>3052</v>
      </c>
      <c r="Q2898" s="8" t="s">
        <v>13995</v>
      </c>
      <c r="R2898" s="8" t="s">
        <v>4689</v>
      </c>
      <c r="S2898" s="8" t="s">
        <v>14026</v>
      </c>
    </row>
    <row r="2899" spans="1:19" ht="93" customHeight="1" x14ac:dyDescent="0.25">
      <c r="A2899" s="8" t="s">
        <v>14027</v>
      </c>
      <c r="B2899" s="8" t="s">
        <v>13994</v>
      </c>
      <c r="C2899" s="8" t="s">
        <v>4551</v>
      </c>
      <c r="D2899" s="8"/>
      <c r="E2899" s="8" t="s">
        <v>753</v>
      </c>
      <c r="F2899" s="8"/>
      <c r="G2899" s="8" t="s">
        <v>4551</v>
      </c>
      <c r="H2899" s="8" t="s">
        <v>753</v>
      </c>
      <c r="I2899" s="8" t="s">
        <v>753</v>
      </c>
      <c r="J2899" s="15" t="s">
        <v>1685</v>
      </c>
      <c r="K2899" s="8"/>
      <c r="L2899" s="15" t="s">
        <v>1685</v>
      </c>
      <c r="M2899" s="8" t="s">
        <v>282</v>
      </c>
      <c r="N2899" s="15" t="s">
        <v>1685</v>
      </c>
      <c r="O2899" s="8" t="s">
        <v>4700</v>
      </c>
      <c r="P2899" s="11" t="s">
        <v>3135</v>
      </c>
      <c r="Q2899" s="8" t="s">
        <v>13995</v>
      </c>
      <c r="R2899" s="8" t="s">
        <v>4689</v>
      </c>
      <c r="S2899" s="8" t="s">
        <v>14028</v>
      </c>
    </row>
    <row r="2900" spans="1:19" ht="93" customHeight="1" x14ac:dyDescent="0.25">
      <c r="A2900" s="8" t="s">
        <v>14029</v>
      </c>
      <c r="B2900" s="8" t="s">
        <v>13994</v>
      </c>
      <c r="C2900" s="8" t="s">
        <v>4551</v>
      </c>
      <c r="D2900" s="8"/>
      <c r="E2900" s="8" t="s">
        <v>466</v>
      </c>
      <c r="F2900" s="8"/>
      <c r="G2900" s="8" t="s">
        <v>4551</v>
      </c>
      <c r="H2900" s="8" t="s">
        <v>466</v>
      </c>
      <c r="I2900" s="8" t="s">
        <v>466</v>
      </c>
      <c r="J2900" s="15" t="s">
        <v>1685</v>
      </c>
      <c r="K2900" s="8"/>
      <c r="L2900" s="15" t="s">
        <v>1685</v>
      </c>
      <c r="M2900" s="8" t="s">
        <v>282</v>
      </c>
      <c r="N2900" s="15" t="s">
        <v>1685</v>
      </c>
      <c r="O2900" s="8" t="s">
        <v>4700</v>
      </c>
      <c r="P2900" s="11" t="s">
        <v>2980</v>
      </c>
      <c r="Q2900" s="8" t="s">
        <v>13995</v>
      </c>
      <c r="R2900" s="8" t="s">
        <v>4689</v>
      </c>
      <c r="S2900" s="8" t="s">
        <v>14030</v>
      </c>
    </row>
    <row r="2901" spans="1:19" ht="93" customHeight="1" x14ac:dyDescent="0.25">
      <c r="A2901" s="8" t="s">
        <v>14031</v>
      </c>
      <c r="B2901" s="8" t="s">
        <v>13994</v>
      </c>
      <c r="C2901" s="8" t="s">
        <v>4551</v>
      </c>
      <c r="D2901" s="8"/>
      <c r="E2901" s="8" t="s">
        <v>976</v>
      </c>
      <c r="F2901" s="8"/>
      <c r="G2901" s="8" t="s">
        <v>4551</v>
      </c>
      <c r="H2901" s="8" t="s">
        <v>976</v>
      </c>
      <c r="I2901" s="8" t="s">
        <v>976</v>
      </c>
      <c r="J2901" s="15" t="s">
        <v>1685</v>
      </c>
      <c r="K2901" s="8"/>
      <c r="L2901" s="15" t="s">
        <v>1685</v>
      </c>
      <c r="M2901" s="8" t="s">
        <v>282</v>
      </c>
      <c r="N2901" s="15" t="s">
        <v>1685</v>
      </c>
      <c r="O2901" s="8" t="s">
        <v>4700</v>
      </c>
      <c r="P2901" s="11" t="s">
        <v>2950</v>
      </c>
      <c r="Q2901" s="8" t="s">
        <v>13995</v>
      </c>
      <c r="R2901" s="8" t="s">
        <v>4689</v>
      </c>
      <c r="S2901" s="8" t="s">
        <v>14032</v>
      </c>
    </row>
    <row r="2902" spans="1:19" ht="93" customHeight="1" x14ac:dyDescent="0.25">
      <c r="A2902" s="8" t="s">
        <v>14033</v>
      </c>
      <c r="B2902" s="8" t="s">
        <v>13994</v>
      </c>
      <c r="C2902" s="8" t="s">
        <v>4551</v>
      </c>
      <c r="D2902" s="8"/>
      <c r="E2902" s="8" t="s">
        <v>502</v>
      </c>
      <c r="F2902" s="8"/>
      <c r="G2902" s="8" t="s">
        <v>4551</v>
      </c>
      <c r="H2902" s="8" t="s">
        <v>502</v>
      </c>
      <c r="I2902" s="8" t="s">
        <v>502</v>
      </c>
      <c r="J2902" s="15" t="s">
        <v>1685</v>
      </c>
      <c r="K2902" s="8"/>
      <c r="L2902" s="15" t="s">
        <v>1685</v>
      </c>
      <c r="M2902" s="8" t="s">
        <v>282</v>
      </c>
      <c r="N2902" s="15" t="s">
        <v>1685</v>
      </c>
      <c r="O2902" s="8" t="s">
        <v>4700</v>
      </c>
      <c r="P2902" s="11" t="s">
        <v>2846</v>
      </c>
      <c r="Q2902" s="8" t="s">
        <v>13995</v>
      </c>
      <c r="R2902" s="8" t="s">
        <v>4689</v>
      </c>
      <c r="S2902" s="8" t="s">
        <v>14034</v>
      </c>
    </row>
    <row r="2903" spans="1:19" ht="107.1" customHeight="1" x14ac:dyDescent="0.25">
      <c r="A2903" s="8" t="s">
        <v>14035</v>
      </c>
      <c r="B2903" s="8" t="s">
        <v>13994</v>
      </c>
      <c r="C2903" s="8" t="s">
        <v>4551</v>
      </c>
      <c r="D2903" s="8"/>
      <c r="E2903" s="8" t="s">
        <v>555</v>
      </c>
      <c r="F2903" s="8"/>
      <c r="G2903" s="8" t="s">
        <v>4551</v>
      </c>
      <c r="H2903" s="8" t="s">
        <v>555</v>
      </c>
      <c r="I2903" s="8" t="s">
        <v>555</v>
      </c>
      <c r="J2903" s="15" t="s">
        <v>1685</v>
      </c>
      <c r="K2903" s="8"/>
      <c r="L2903" s="15" t="s">
        <v>1685</v>
      </c>
      <c r="M2903" s="8" t="s">
        <v>282</v>
      </c>
      <c r="N2903" s="15" t="s">
        <v>1685</v>
      </c>
      <c r="O2903" s="8" t="s">
        <v>4710</v>
      </c>
      <c r="P2903" s="11" t="s">
        <v>3880</v>
      </c>
      <c r="Q2903" s="8" t="s">
        <v>13995</v>
      </c>
      <c r="R2903" s="8" t="s">
        <v>4709</v>
      </c>
      <c r="S2903" s="8" t="s">
        <v>14036</v>
      </c>
    </row>
    <row r="2904" spans="1:19" ht="51" customHeight="1" x14ac:dyDescent="0.25">
      <c r="A2904" s="8" t="s">
        <v>563</v>
      </c>
      <c r="B2904" s="8" t="s">
        <v>13994</v>
      </c>
      <c r="C2904" s="8"/>
      <c r="D2904" s="8"/>
      <c r="E2904" s="8" t="s">
        <v>555</v>
      </c>
      <c r="F2904" s="8"/>
      <c r="G2904" s="8"/>
      <c r="H2904" s="8" t="s">
        <v>555</v>
      </c>
      <c r="I2904" s="8"/>
      <c r="J2904" s="8"/>
      <c r="K2904" s="8"/>
      <c r="L2904" s="15" t="s">
        <v>1685</v>
      </c>
      <c r="M2904" s="8" t="s">
        <v>282</v>
      </c>
      <c r="N2904" s="15" t="s">
        <v>1685</v>
      </c>
      <c r="O2904" s="8"/>
      <c r="P2904" s="11" t="s">
        <v>3880</v>
      </c>
      <c r="Q2904" s="8"/>
      <c r="R2904" s="8" t="s">
        <v>14037</v>
      </c>
      <c r="S2904" s="8"/>
    </row>
    <row r="2905" spans="1:19" ht="36.950000000000003" customHeight="1" x14ac:dyDescent="0.25">
      <c r="A2905" s="8" t="s">
        <v>2204</v>
      </c>
      <c r="B2905" s="8" t="s">
        <v>13994</v>
      </c>
      <c r="C2905" s="8"/>
      <c r="D2905" s="8"/>
      <c r="E2905" s="8" t="s">
        <v>2199</v>
      </c>
      <c r="F2905" s="8"/>
      <c r="G2905" s="8"/>
      <c r="H2905" s="8" t="s">
        <v>2199</v>
      </c>
      <c r="I2905" s="8"/>
      <c r="J2905" s="8"/>
      <c r="K2905" s="8"/>
      <c r="L2905" s="15" t="s">
        <v>1685</v>
      </c>
      <c r="M2905" s="8" t="s">
        <v>282</v>
      </c>
      <c r="N2905" s="15" t="s">
        <v>1685</v>
      </c>
      <c r="O2905" s="8"/>
      <c r="P2905" s="11" t="s">
        <v>3897</v>
      </c>
      <c r="Q2905" s="8"/>
      <c r="R2905" s="8" t="s">
        <v>14037</v>
      </c>
      <c r="S2905" s="8"/>
    </row>
  </sheetData>
  <pageMargins left="0.75" right="0.75" top="1" bottom="1" header="0.5" footer="0.5"/>
  <legacy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8354A"/>
    <outlinePr summaryBelow="0" summaryRight="0"/>
    <pageSetUpPr fitToPage="1"/>
  </sheetPr>
  <dimension ref="A1:G110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2" width="27" customWidth="1"/>
    <col min="3" max="3" width="38" customWidth="1"/>
    <col min="4" max="4" width="20" customWidth="1"/>
    <col min="5" max="7" width="27" customWidth="1"/>
  </cols>
  <sheetData>
    <row r="1" spans="1:7" ht="42.95" customHeight="1" x14ac:dyDescent="0.25">
      <c r="A1" s="7" t="s">
        <v>5310</v>
      </c>
      <c r="B1" s="7" t="s">
        <v>5314</v>
      </c>
      <c r="C1" s="7" t="s">
        <v>5316</v>
      </c>
      <c r="D1" s="7" t="s">
        <v>238</v>
      </c>
      <c r="E1" s="7" t="s">
        <v>5318</v>
      </c>
      <c r="F1" s="7" t="s">
        <v>5320</v>
      </c>
      <c r="G1" s="7" t="s">
        <v>5322</v>
      </c>
    </row>
    <row r="2" spans="1:7" ht="36.950000000000003" customHeight="1" x14ac:dyDescent="0.25">
      <c r="A2" s="8" t="s">
        <v>14038</v>
      </c>
      <c r="B2" s="8" t="s">
        <v>14039</v>
      </c>
      <c r="C2" s="8" t="s">
        <v>14040</v>
      </c>
      <c r="D2" s="9" t="s">
        <v>14041</v>
      </c>
      <c r="E2" s="8" t="s">
        <v>14042</v>
      </c>
      <c r="F2" s="8" t="s">
        <v>14043</v>
      </c>
      <c r="G2" s="15" t="s">
        <v>1685</v>
      </c>
    </row>
    <row r="3" spans="1:7" ht="36.950000000000003" customHeight="1" x14ac:dyDescent="0.25">
      <c r="A3" s="8" t="s">
        <v>14044</v>
      </c>
      <c r="B3" s="8" t="s">
        <v>14039</v>
      </c>
      <c r="C3" s="8" t="s">
        <v>14045</v>
      </c>
      <c r="D3" s="9" t="s">
        <v>14041</v>
      </c>
      <c r="E3" s="8" t="s">
        <v>14042</v>
      </c>
      <c r="F3" s="8" t="s">
        <v>14043</v>
      </c>
      <c r="G3" s="15" t="s">
        <v>1685</v>
      </c>
    </row>
    <row r="4" spans="1:7" ht="36.950000000000003" customHeight="1" x14ac:dyDescent="0.25">
      <c r="A4" s="8" t="s">
        <v>14046</v>
      </c>
      <c r="B4" s="8" t="s">
        <v>14039</v>
      </c>
      <c r="C4" s="8" t="s">
        <v>14047</v>
      </c>
      <c r="D4" s="9" t="s">
        <v>14041</v>
      </c>
      <c r="E4" s="8" t="s">
        <v>14042</v>
      </c>
      <c r="F4" s="8" t="s">
        <v>14043</v>
      </c>
      <c r="G4" s="15" t="s">
        <v>1685</v>
      </c>
    </row>
    <row r="5" spans="1:7" ht="36.950000000000003" customHeight="1" x14ac:dyDescent="0.25">
      <c r="A5" s="8" t="s">
        <v>14048</v>
      </c>
      <c r="B5" s="8" t="s">
        <v>14039</v>
      </c>
      <c r="C5" s="8" t="s">
        <v>14049</v>
      </c>
      <c r="D5" s="9" t="s">
        <v>14041</v>
      </c>
      <c r="E5" s="8" t="s">
        <v>14042</v>
      </c>
      <c r="F5" s="8" t="s">
        <v>14043</v>
      </c>
      <c r="G5" s="15" t="s">
        <v>1685</v>
      </c>
    </row>
    <row r="6" spans="1:7" ht="36.950000000000003" customHeight="1" x14ac:dyDescent="0.25">
      <c r="A6" s="8" t="s">
        <v>14050</v>
      </c>
      <c r="B6" s="8" t="s">
        <v>14039</v>
      </c>
      <c r="C6" s="8" t="s">
        <v>14051</v>
      </c>
      <c r="D6" s="9" t="s">
        <v>14041</v>
      </c>
      <c r="E6" s="8" t="s">
        <v>14042</v>
      </c>
      <c r="F6" s="8" t="s">
        <v>14043</v>
      </c>
      <c r="G6" s="15" t="s">
        <v>1685</v>
      </c>
    </row>
    <row r="7" spans="1:7" ht="36.950000000000003" customHeight="1" x14ac:dyDescent="0.25">
      <c r="A7" s="8" t="s">
        <v>14052</v>
      </c>
      <c r="B7" s="8" t="s">
        <v>14039</v>
      </c>
      <c r="C7" s="8" t="s">
        <v>14053</v>
      </c>
      <c r="D7" s="9" t="s">
        <v>14041</v>
      </c>
      <c r="E7" s="8" t="s">
        <v>14042</v>
      </c>
      <c r="F7" s="8" t="s">
        <v>14043</v>
      </c>
      <c r="G7" s="15" t="s">
        <v>1685</v>
      </c>
    </row>
    <row r="8" spans="1:7" ht="36.950000000000003" customHeight="1" x14ac:dyDescent="0.25">
      <c r="A8" s="8" t="s">
        <v>14054</v>
      </c>
      <c r="B8" s="8" t="s">
        <v>14039</v>
      </c>
      <c r="C8" s="8" t="s">
        <v>14055</v>
      </c>
      <c r="D8" s="9" t="s">
        <v>14041</v>
      </c>
      <c r="E8" s="8" t="s">
        <v>14042</v>
      </c>
      <c r="F8" s="8" t="s">
        <v>14043</v>
      </c>
      <c r="G8" s="15" t="s">
        <v>1685</v>
      </c>
    </row>
    <row r="9" spans="1:7" ht="36.950000000000003" customHeight="1" x14ac:dyDescent="0.25">
      <c r="A9" s="8" t="s">
        <v>14056</v>
      </c>
      <c r="B9" s="8" t="s">
        <v>14039</v>
      </c>
      <c r="C9" s="8" t="s">
        <v>14057</v>
      </c>
      <c r="D9" s="9" t="s">
        <v>14041</v>
      </c>
      <c r="E9" s="8" t="s">
        <v>14042</v>
      </c>
      <c r="F9" s="8" t="s">
        <v>14043</v>
      </c>
      <c r="G9" s="15" t="s">
        <v>1685</v>
      </c>
    </row>
    <row r="10" spans="1:7" ht="36.950000000000003" customHeight="1" x14ac:dyDescent="0.25">
      <c r="A10" s="8" t="s">
        <v>14058</v>
      </c>
      <c r="B10" s="8" t="s">
        <v>14039</v>
      </c>
      <c r="C10" s="8" t="s">
        <v>14059</v>
      </c>
      <c r="D10" s="9" t="s">
        <v>14041</v>
      </c>
      <c r="E10" s="8" t="s">
        <v>14042</v>
      </c>
      <c r="F10" s="8" t="s">
        <v>14043</v>
      </c>
      <c r="G10" s="15" t="s">
        <v>1685</v>
      </c>
    </row>
    <row r="11" spans="1:7" ht="36.950000000000003" customHeight="1" x14ac:dyDescent="0.25">
      <c r="A11" s="8" t="s">
        <v>14060</v>
      </c>
      <c r="B11" s="8" t="s">
        <v>14039</v>
      </c>
      <c r="C11" s="8" t="s">
        <v>14061</v>
      </c>
      <c r="D11" s="9" t="s">
        <v>14041</v>
      </c>
      <c r="E11" s="8" t="s">
        <v>14042</v>
      </c>
      <c r="F11" s="8" t="s">
        <v>14043</v>
      </c>
      <c r="G11" s="15" t="s">
        <v>1685</v>
      </c>
    </row>
    <row r="12" spans="1:7" ht="36.950000000000003" customHeight="1" x14ac:dyDescent="0.25">
      <c r="A12" s="8" t="s">
        <v>14062</v>
      </c>
      <c r="B12" s="8" t="s">
        <v>14039</v>
      </c>
      <c r="C12" s="8" t="s">
        <v>14063</v>
      </c>
      <c r="D12" s="9" t="s">
        <v>14041</v>
      </c>
      <c r="E12" s="8" t="s">
        <v>14042</v>
      </c>
      <c r="F12" s="8" t="s">
        <v>14043</v>
      </c>
      <c r="G12" s="15" t="s">
        <v>1685</v>
      </c>
    </row>
    <row r="13" spans="1:7" ht="36.950000000000003" customHeight="1" x14ac:dyDescent="0.25">
      <c r="A13" s="8" t="s">
        <v>14064</v>
      </c>
      <c r="B13" s="8" t="s">
        <v>14039</v>
      </c>
      <c r="C13" s="8" t="s">
        <v>14065</v>
      </c>
      <c r="D13" s="9" t="s">
        <v>14041</v>
      </c>
      <c r="E13" s="8" t="s">
        <v>14042</v>
      </c>
      <c r="F13" s="8" t="s">
        <v>14043</v>
      </c>
      <c r="G13" s="15" t="s">
        <v>1685</v>
      </c>
    </row>
    <row r="14" spans="1:7" ht="36.950000000000003" customHeight="1" x14ac:dyDescent="0.25">
      <c r="A14" s="8" t="s">
        <v>14066</v>
      </c>
      <c r="B14" s="8" t="s">
        <v>14039</v>
      </c>
      <c r="C14" s="8" t="s">
        <v>14067</v>
      </c>
      <c r="D14" s="9" t="s">
        <v>14041</v>
      </c>
      <c r="E14" s="8" t="s">
        <v>14042</v>
      </c>
      <c r="F14" s="8" t="s">
        <v>14043</v>
      </c>
      <c r="G14" s="15" t="s">
        <v>1685</v>
      </c>
    </row>
    <row r="15" spans="1:7" ht="36.950000000000003" customHeight="1" x14ac:dyDescent="0.25">
      <c r="A15" s="8" t="s">
        <v>14068</v>
      </c>
      <c r="B15" s="8" t="s">
        <v>14039</v>
      </c>
      <c r="C15" s="8" t="s">
        <v>14069</v>
      </c>
      <c r="D15" s="9" t="s">
        <v>14041</v>
      </c>
      <c r="E15" s="8" t="s">
        <v>14042</v>
      </c>
      <c r="F15" s="8" t="s">
        <v>14043</v>
      </c>
      <c r="G15" s="15" t="s">
        <v>1685</v>
      </c>
    </row>
    <row r="16" spans="1:7" ht="36.950000000000003" customHeight="1" x14ac:dyDescent="0.25">
      <c r="A16" s="8" t="s">
        <v>14070</v>
      </c>
      <c r="B16" s="8" t="s">
        <v>14039</v>
      </c>
      <c r="C16" s="8" t="s">
        <v>14071</v>
      </c>
      <c r="D16" s="9" t="s">
        <v>14041</v>
      </c>
      <c r="E16" s="8" t="s">
        <v>14042</v>
      </c>
      <c r="F16" s="8" t="s">
        <v>14043</v>
      </c>
      <c r="G16" s="15" t="s">
        <v>1685</v>
      </c>
    </row>
    <row r="17" spans="1:7" ht="36.950000000000003" customHeight="1" x14ac:dyDescent="0.25">
      <c r="A17" s="8" t="s">
        <v>14072</v>
      </c>
      <c r="B17" s="8" t="s">
        <v>14039</v>
      </c>
      <c r="C17" s="8" t="s">
        <v>14073</v>
      </c>
      <c r="D17" s="9" t="s">
        <v>14041</v>
      </c>
      <c r="E17" s="8" t="s">
        <v>14042</v>
      </c>
      <c r="F17" s="8" t="s">
        <v>14043</v>
      </c>
      <c r="G17" s="15" t="s">
        <v>1685</v>
      </c>
    </row>
    <row r="18" spans="1:7" ht="36.950000000000003" customHeight="1" x14ac:dyDescent="0.25">
      <c r="A18" s="8" t="s">
        <v>14074</v>
      </c>
      <c r="B18" s="8" t="s">
        <v>14039</v>
      </c>
      <c r="C18" s="8" t="s">
        <v>14075</v>
      </c>
      <c r="D18" s="9" t="s">
        <v>14041</v>
      </c>
      <c r="E18" s="8" t="s">
        <v>14042</v>
      </c>
      <c r="F18" s="8" t="s">
        <v>14043</v>
      </c>
      <c r="G18" s="15" t="s">
        <v>1685</v>
      </c>
    </row>
    <row r="19" spans="1:7" ht="36.950000000000003" customHeight="1" x14ac:dyDescent="0.25">
      <c r="A19" s="8" t="s">
        <v>14076</v>
      </c>
      <c r="B19" s="8" t="s">
        <v>14039</v>
      </c>
      <c r="C19" s="8" t="s">
        <v>14077</v>
      </c>
      <c r="D19" s="9" t="s">
        <v>14041</v>
      </c>
      <c r="E19" s="8" t="s">
        <v>14042</v>
      </c>
      <c r="F19" s="8" t="s">
        <v>14043</v>
      </c>
      <c r="G19" s="15" t="s">
        <v>1685</v>
      </c>
    </row>
    <row r="20" spans="1:7" ht="36.950000000000003" customHeight="1" x14ac:dyDescent="0.25">
      <c r="A20" s="8" t="s">
        <v>14078</v>
      </c>
      <c r="B20" s="8" t="s">
        <v>14039</v>
      </c>
      <c r="C20" s="8" t="s">
        <v>14079</v>
      </c>
      <c r="D20" s="9" t="s">
        <v>14041</v>
      </c>
      <c r="E20" s="8" t="s">
        <v>14042</v>
      </c>
      <c r="F20" s="8" t="s">
        <v>14043</v>
      </c>
      <c r="G20" s="15" t="s">
        <v>1685</v>
      </c>
    </row>
    <row r="21" spans="1:7" ht="36.950000000000003" customHeight="1" x14ac:dyDescent="0.25">
      <c r="A21" s="8" t="s">
        <v>14080</v>
      </c>
      <c r="B21" s="8" t="s">
        <v>14039</v>
      </c>
      <c r="C21" s="8" t="s">
        <v>14081</v>
      </c>
      <c r="D21" s="9" t="s">
        <v>14041</v>
      </c>
      <c r="E21" s="8" t="s">
        <v>14042</v>
      </c>
      <c r="F21" s="8" t="s">
        <v>14043</v>
      </c>
      <c r="G21" s="15" t="s">
        <v>1685</v>
      </c>
    </row>
    <row r="22" spans="1:7" ht="36.950000000000003" customHeight="1" x14ac:dyDescent="0.25">
      <c r="A22" s="8" t="s">
        <v>14082</v>
      </c>
      <c r="B22" s="8" t="s">
        <v>14039</v>
      </c>
      <c r="C22" s="8" t="s">
        <v>14083</v>
      </c>
      <c r="D22" s="9" t="s">
        <v>14041</v>
      </c>
      <c r="E22" s="8" t="s">
        <v>14042</v>
      </c>
      <c r="F22" s="8" t="s">
        <v>14043</v>
      </c>
      <c r="G22" s="15" t="s">
        <v>1685</v>
      </c>
    </row>
    <row r="23" spans="1:7" ht="36.950000000000003" customHeight="1" x14ac:dyDescent="0.25">
      <c r="A23" s="8" t="s">
        <v>14084</v>
      </c>
      <c r="B23" s="8" t="s">
        <v>14039</v>
      </c>
      <c r="C23" s="8" t="s">
        <v>14085</v>
      </c>
      <c r="D23" s="9" t="s">
        <v>14041</v>
      </c>
      <c r="E23" s="8" t="s">
        <v>14042</v>
      </c>
      <c r="F23" s="8" t="s">
        <v>14043</v>
      </c>
      <c r="G23" s="15" t="s">
        <v>1685</v>
      </c>
    </row>
    <row r="24" spans="1:7" ht="36.950000000000003" customHeight="1" x14ac:dyDescent="0.25">
      <c r="A24" s="8" t="s">
        <v>14086</v>
      </c>
      <c r="B24" s="8" t="s">
        <v>14039</v>
      </c>
      <c r="C24" s="8" t="s">
        <v>14087</v>
      </c>
      <c r="D24" s="9" t="s">
        <v>14041</v>
      </c>
      <c r="E24" s="8" t="s">
        <v>14042</v>
      </c>
      <c r="F24" s="8" t="s">
        <v>14043</v>
      </c>
      <c r="G24" s="15" t="s">
        <v>1685</v>
      </c>
    </row>
    <row r="25" spans="1:7" ht="36.950000000000003" customHeight="1" x14ac:dyDescent="0.25">
      <c r="A25" s="8" t="s">
        <v>14088</v>
      </c>
      <c r="B25" s="8" t="s">
        <v>14039</v>
      </c>
      <c r="C25" s="8" t="s">
        <v>14089</v>
      </c>
      <c r="D25" s="9" t="s">
        <v>14041</v>
      </c>
      <c r="E25" s="8" t="s">
        <v>14042</v>
      </c>
      <c r="F25" s="8" t="s">
        <v>14043</v>
      </c>
      <c r="G25" s="15" t="s">
        <v>1685</v>
      </c>
    </row>
    <row r="26" spans="1:7" ht="36.950000000000003" customHeight="1" x14ac:dyDescent="0.25">
      <c r="A26" s="8" t="s">
        <v>14090</v>
      </c>
      <c r="B26" s="8" t="s">
        <v>14039</v>
      </c>
      <c r="C26" s="8" t="s">
        <v>14091</v>
      </c>
      <c r="D26" s="9" t="s">
        <v>14041</v>
      </c>
      <c r="E26" s="8" t="s">
        <v>14042</v>
      </c>
      <c r="F26" s="8" t="s">
        <v>14043</v>
      </c>
      <c r="G26" s="15" t="s">
        <v>1685</v>
      </c>
    </row>
    <row r="27" spans="1:7" ht="36.950000000000003" customHeight="1" x14ac:dyDescent="0.25">
      <c r="A27" s="8" t="s">
        <v>14092</v>
      </c>
      <c r="B27" s="8" t="s">
        <v>14039</v>
      </c>
      <c r="C27" s="8" t="s">
        <v>14093</v>
      </c>
      <c r="D27" s="9" t="s">
        <v>14041</v>
      </c>
      <c r="E27" s="8" t="s">
        <v>14042</v>
      </c>
      <c r="F27" s="8" t="s">
        <v>14043</v>
      </c>
      <c r="G27" s="15" t="s">
        <v>1685</v>
      </c>
    </row>
    <row r="28" spans="1:7" ht="36.950000000000003" customHeight="1" x14ac:dyDescent="0.25">
      <c r="A28" s="8" t="s">
        <v>14094</v>
      </c>
      <c r="B28" s="8" t="s">
        <v>14039</v>
      </c>
      <c r="C28" s="8" t="s">
        <v>14095</v>
      </c>
      <c r="D28" s="9" t="s">
        <v>14041</v>
      </c>
      <c r="E28" s="8" t="s">
        <v>14042</v>
      </c>
      <c r="F28" s="8" t="s">
        <v>14043</v>
      </c>
      <c r="G28" s="15" t="s">
        <v>1685</v>
      </c>
    </row>
    <row r="29" spans="1:7" ht="36.950000000000003" customHeight="1" x14ac:dyDescent="0.25">
      <c r="A29" s="8" t="s">
        <v>14096</v>
      </c>
      <c r="B29" s="8" t="s">
        <v>14039</v>
      </c>
      <c r="C29" s="8" t="s">
        <v>14097</v>
      </c>
      <c r="D29" s="9" t="s">
        <v>14041</v>
      </c>
      <c r="E29" s="8" t="s">
        <v>14042</v>
      </c>
      <c r="F29" s="8" t="s">
        <v>14043</v>
      </c>
      <c r="G29" s="15" t="s">
        <v>1685</v>
      </c>
    </row>
    <row r="30" spans="1:7" ht="36.950000000000003" customHeight="1" x14ac:dyDescent="0.25">
      <c r="A30" s="8" t="s">
        <v>14098</v>
      </c>
      <c r="B30" s="8" t="s">
        <v>14039</v>
      </c>
      <c r="C30" s="8" t="s">
        <v>14099</v>
      </c>
      <c r="D30" s="9" t="s">
        <v>14041</v>
      </c>
      <c r="E30" s="8" t="s">
        <v>14042</v>
      </c>
      <c r="F30" s="8" t="s">
        <v>14043</v>
      </c>
      <c r="G30" s="15" t="s">
        <v>1685</v>
      </c>
    </row>
    <row r="31" spans="1:7" ht="36.950000000000003" customHeight="1" x14ac:dyDescent="0.25">
      <c r="A31" s="8" t="s">
        <v>14100</v>
      </c>
      <c r="B31" s="8" t="s">
        <v>14039</v>
      </c>
      <c r="C31" s="8" t="s">
        <v>14101</v>
      </c>
      <c r="D31" s="9" t="s">
        <v>14041</v>
      </c>
      <c r="E31" s="8" t="s">
        <v>14042</v>
      </c>
      <c r="F31" s="8" t="s">
        <v>14043</v>
      </c>
      <c r="G31" s="15" t="s">
        <v>1685</v>
      </c>
    </row>
    <row r="32" spans="1:7" ht="36.950000000000003" customHeight="1" x14ac:dyDescent="0.25">
      <c r="A32" s="8" t="s">
        <v>14102</v>
      </c>
      <c r="B32" s="8" t="s">
        <v>14039</v>
      </c>
      <c r="C32" s="8" t="s">
        <v>14103</v>
      </c>
      <c r="D32" s="9" t="s">
        <v>14041</v>
      </c>
      <c r="E32" s="8" t="s">
        <v>14042</v>
      </c>
      <c r="F32" s="8" t="s">
        <v>14043</v>
      </c>
      <c r="G32" s="15" t="s">
        <v>1685</v>
      </c>
    </row>
    <row r="33" spans="1:7" ht="36.950000000000003" customHeight="1" x14ac:dyDescent="0.25">
      <c r="A33" s="8" t="s">
        <v>14104</v>
      </c>
      <c r="B33" s="8" t="s">
        <v>14039</v>
      </c>
      <c r="C33" s="8" t="s">
        <v>14105</v>
      </c>
      <c r="D33" s="9" t="s">
        <v>14041</v>
      </c>
      <c r="E33" s="8" t="s">
        <v>14042</v>
      </c>
      <c r="F33" s="8" t="s">
        <v>14043</v>
      </c>
      <c r="G33" s="15" t="s">
        <v>1685</v>
      </c>
    </row>
    <row r="34" spans="1:7" ht="36.950000000000003" customHeight="1" x14ac:dyDescent="0.25">
      <c r="A34" s="8" t="s">
        <v>14106</v>
      </c>
      <c r="B34" s="8" t="s">
        <v>14039</v>
      </c>
      <c r="C34" s="8" t="s">
        <v>14107</v>
      </c>
      <c r="D34" s="9" t="s">
        <v>14041</v>
      </c>
      <c r="E34" s="8" t="s">
        <v>14042</v>
      </c>
      <c r="F34" s="8" t="s">
        <v>14043</v>
      </c>
      <c r="G34" s="15" t="s">
        <v>1685</v>
      </c>
    </row>
    <row r="35" spans="1:7" ht="36.950000000000003" customHeight="1" x14ac:dyDescent="0.25">
      <c r="A35" s="8" t="s">
        <v>14108</v>
      </c>
      <c r="B35" s="8" t="s">
        <v>14039</v>
      </c>
      <c r="C35" s="8" t="s">
        <v>14109</v>
      </c>
      <c r="D35" s="9" t="s">
        <v>14041</v>
      </c>
      <c r="E35" s="8" t="s">
        <v>14042</v>
      </c>
      <c r="F35" s="8" t="s">
        <v>14043</v>
      </c>
      <c r="G35" s="15" t="s">
        <v>1685</v>
      </c>
    </row>
    <row r="36" spans="1:7" ht="36.950000000000003" customHeight="1" x14ac:dyDescent="0.25">
      <c r="A36" s="8" t="s">
        <v>14110</v>
      </c>
      <c r="B36" s="8" t="s">
        <v>14039</v>
      </c>
      <c r="C36" s="8" t="s">
        <v>14111</v>
      </c>
      <c r="D36" s="9" t="s">
        <v>14041</v>
      </c>
      <c r="E36" s="8" t="s">
        <v>14042</v>
      </c>
      <c r="F36" s="8" t="s">
        <v>14043</v>
      </c>
      <c r="G36" s="15" t="s">
        <v>1685</v>
      </c>
    </row>
    <row r="37" spans="1:7" ht="36.950000000000003" customHeight="1" x14ac:dyDescent="0.25">
      <c r="A37" s="8" t="s">
        <v>14112</v>
      </c>
      <c r="B37" s="8" t="s">
        <v>14039</v>
      </c>
      <c r="C37" s="8" t="s">
        <v>14113</v>
      </c>
      <c r="D37" s="9" t="s">
        <v>14041</v>
      </c>
      <c r="E37" s="8" t="s">
        <v>14042</v>
      </c>
      <c r="F37" s="8" t="s">
        <v>14043</v>
      </c>
      <c r="G37" s="15" t="s">
        <v>1685</v>
      </c>
    </row>
    <row r="38" spans="1:7" ht="36.950000000000003" customHeight="1" x14ac:dyDescent="0.25">
      <c r="A38" s="8" t="s">
        <v>14114</v>
      </c>
      <c r="B38" s="8" t="s">
        <v>14039</v>
      </c>
      <c r="C38" s="8" t="s">
        <v>14115</v>
      </c>
      <c r="D38" s="9" t="s">
        <v>14041</v>
      </c>
      <c r="E38" s="8" t="s">
        <v>14042</v>
      </c>
      <c r="F38" s="8" t="s">
        <v>14043</v>
      </c>
      <c r="G38" s="15" t="s">
        <v>1685</v>
      </c>
    </row>
    <row r="39" spans="1:7" ht="36.950000000000003" customHeight="1" x14ac:dyDescent="0.25">
      <c r="A39" s="8" t="s">
        <v>14116</v>
      </c>
      <c r="B39" s="8" t="s">
        <v>14039</v>
      </c>
      <c r="C39" s="8" t="s">
        <v>14117</v>
      </c>
      <c r="D39" s="9" t="s">
        <v>14041</v>
      </c>
      <c r="E39" s="8" t="s">
        <v>14042</v>
      </c>
      <c r="F39" s="8" t="s">
        <v>14043</v>
      </c>
      <c r="G39" s="15" t="s">
        <v>1685</v>
      </c>
    </row>
    <row r="40" spans="1:7" ht="36.950000000000003" customHeight="1" x14ac:dyDescent="0.25">
      <c r="A40" s="8" t="s">
        <v>14118</v>
      </c>
      <c r="B40" s="8" t="s">
        <v>14039</v>
      </c>
      <c r="C40" s="8" t="s">
        <v>14119</v>
      </c>
      <c r="D40" s="9" t="s">
        <v>14041</v>
      </c>
      <c r="E40" s="8" t="s">
        <v>14042</v>
      </c>
      <c r="F40" s="8" t="s">
        <v>14043</v>
      </c>
      <c r="G40" s="15" t="s">
        <v>1685</v>
      </c>
    </row>
    <row r="41" spans="1:7" ht="36.950000000000003" customHeight="1" x14ac:dyDescent="0.25">
      <c r="A41" s="8" t="s">
        <v>14120</v>
      </c>
      <c r="B41" s="8" t="s">
        <v>14039</v>
      </c>
      <c r="C41" s="8" t="s">
        <v>14121</v>
      </c>
      <c r="D41" s="9" t="s">
        <v>14041</v>
      </c>
      <c r="E41" s="8" t="s">
        <v>14042</v>
      </c>
      <c r="F41" s="8" t="s">
        <v>14043</v>
      </c>
      <c r="G41" s="15" t="s">
        <v>1685</v>
      </c>
    </row>
    <row r="42" spans="1:7" ht="36.950000000000003" customHeight="1" x14ac:dyDescent="0.25">
      <c r="A42" s="8" t="s">
        <v>14122</v>
      </c>
      <c r="B42" s="8" t="s">
        <v>14039</v>
      </c>
      <c r="C42" s="8" t="s">
        <v>14123</v>
      </c>
      <c r="D42" s="9" t="s">
        <v>14041</v>
      </c>
      <c r="E42" s="8" t="s">
        <v>14042</v>
      </c>
      <c r="F42" s="8" t="s">
        <v>14043</v>
      </c>
      <c r="G42" s="15" t="s">
        <v>1685</v>
      </c>
    </row>
    <row r="43" spans="1:7" ht="36.950000000000003" customHeight="1" x14ac:dyDescent="0.25">
      <c r="A43" s="8" t="s">
        <v>14124</v>
      </c>
      <c r="B43" s="8" t="s">
        <v>14039</v>
      </c>
      <c r="C43" s="8" t="s">
        <v>14125</v>
      </c>
      <c r="D43" s="9" t="s">
        <v>14041</v>
      </c>
      <c r="E43" s="8" t="s">
        <v>14042</v>
      </c>
      <c r="F43" s="8" t="s">
        <v>14043</v>
      </c>
      <c r="G43" s="15" t="s">
        <v>1685</v>
      </c>
    </row>
    <row r="44" spans="1:7" ht="36.950000000000003" customHeight="1" x14ac:dyDescent="0.25">
      <c r="A44" s="8" t="s">
        <v>14126</v>
      </c>
      <c r="B44" s="8" t="s">
        <v>14039</v>
      </c>
      <c r="C44" s="8" t="s">
        <v>14127</v>
      </c>
      <c r="D44" s="9" t="s">
        <v>14041</v>
      </c>
      <c r="E44" s="8" t="s">
        <v>14042</v>
      </c>
      <c r="F44" s="8" t="s">
        <v>14043</v>
      </c>
      <c r="G44" s="15" t="s">
        <v>1685</v>
      </c>
    </row>
    <row r="45" spans="1:7" ht="36.950000000000003" customHeight="1" x14ac:dyDescent="0.25">
      <c r="A45" s="8" t="s">
        <v>14128</v>
      </c>
      <c r="B45" s="8" t="s">
        <v>14039</v>
      </c>
      <c r="C45" s="8" t="s">
        <v>14129</v>
      </c>
      <c r="D45" s="9" t="s">
        <v>14041</v>
      </c>
      <c r="E45" s="8" t="s">
        <v>14042</v>
      </c>
      <c r="F45" s="8" t="s">
        <v>14043</v>
      </c>
      <c r="G45" s="15" t="s">
        <v>1685</v>
      </c>
    </row>
    <row r="46" spans="1:7" ht="36.950000000000003" customHeight="1" x14ac:dyDescent="0.25">
      <c r="A46" s="8" t="s">
        <v>14130</v>
      </c>
      <c r="B46" s="8" t="s">
        <v>14039</v>
      </c>
      <c r="C46" s="8" t="s">
        <v>14131</v>
      </c>
      <c r="D46" s="9" t="s">
        <v>14041</v>
      </c>
      <c r="E46" s="8" t="s">
        <v>14042</v>
      </c>
      <c r="F46" s="8" t="s">
        <v>14043</v>
      </c>
      <c r="G46" s="15" t="s">
        <v>1685</v>
      </c>
    </row>
    <row r="47" spans="1:7" ht="36.950000000000003" customHeight="1" x14ac:dyDescent="0.25">
      <c r="A47" s="8" t="s">
        <v>14132</v>
      </c>
      <c r="B47" s="8" t="s">
        <v>14039</v>
      </c>
      <c r="C47" s="8" t="s">
        <v>14133</v>
      </c>
      <c r="D47" s="9" t="s">
        <v>14041</v>
      </c>
      <c r="E47" s="8" t="s">
        <v>14042</v>
      </c>
      <c r="F47" s="8" t="s">
        <v>14043</v>
      </c>
      <c r="G47" s="15" t="s">
        <v>1685</v>
      </c>
    </row>
    <row r="48" spans="1:7" ht="36.950000000000003" customHeight="1" x14ac:dyDescent="0.25">
      <c r="A48" s="8" t="s">
        <v>14134</v>
      </c>
      <c r="B48" s="8" t="s">
        <v>14039</v>
      </c>
      <c r="C48" s="8" t="s">
        <v>14135</v>
      </c>
      <c r="D48" s="9" t="s">
        <v>14041</v>
      </c>
      <c r="E48" s="8" t="s">
        <v>14042</v>
      </c>
      <c r="F48" s="8" t="s">
        <v>14043</v>
      </c>
      <c r="G48" s="15" t="s">
        <v>1685</v>
      </c>
    </row>
    <row r="49" spans="1:7" ht="36.950000000000003" customHeight="1" x14ac:dyDescent="0.25">
      <c r="A49" s="8" t="s">
        <v>14136</v>
      </c>
      <c r="B49" s="8" t="s">
        <v>14039</v>
      </c>
      <c r="C49" s="8" t="s">
        <v>14137</v>
      </c>
      <c r="D49" s="9" t="s">
        <v>14041</v>
      </c>
      <c r="E49" s="8" t="s">
        <v>14042</v>
      </c>
      <c r="F49" s="8" t="s">
        <v>14043</v>
      </c>
      <c r="G49" s="15" t="s">
        <v>1685</v>
      </c>
    </row>
    <row r="50" spans="1:7" ht="36.950000000000003" customHeight="1" x14ac:dyDescent="0.25">
      <c r="A50" s="8" t="s">
        <v>14138</v>
      </c>
      <c r="B50" s="8" t="s">
        <v>14039</v>
      </c>
      <c r="C50" s="8" t="s">
        <v>14139</v>
      </c>
      <c r="D50" s="9" t="s">
        <v>14041</v>
      </c>
      <c r="E50" s="8" t="s">
        <v>14042</v>
      </c>
      <c r="F50" s="8" t="s">
        <v>14043</v>
      </c>
      <c r="G50" s="15" t="s">
        <v>1685</v>
      </c>
    </row>
    <row r="51" spans="1:7" ht="36.950000000000003" customHeight="1" x14ac:dyDescent="0.25">
      <c r="A51" s="8" t="s">
        <v>14140</v>
      </c>
      <c r="B51" s="8" t="s">
        <v>14039</v>
      </c>
      <c r="C51" s="8" t="s">
        <v>14141</v>
      </c>
      <c r="D51" s="9" t="s">
        <v>14041</v>
      </c>
      <c r="E51" s="8" t="s">
        <v>14042</v>
      </c>
      <c r="F51" s="8" t="s">
        <v>14043</v>
      </c>
      <c r="G51" s="15" t="s">
        <v>1685</v>
      </c>
    </row>
    <row r="52" spans="1:7" ht="36.950000000000003" customHeight="1" x14ac:dyDescent="0.25">
      <c r="A52" s="8" t="s">
        <v>14142</v>
      </c>
      <c r="B52" s="8" t="s">
        <v>14039</v>
      </c>
      <c r="C52" s="8" t="s">
        <v>14143</v>
      </c>
      <c r="D52" s="9" t="s">
        <v>14041</v>
      </c>
      <c r="E52" s="8" t="s">
        <v>14042</v>
      </c>
      <c r="F52" s="8" t="s">
        <v>14043</v>
      </c>
      <c r="G52" s="15" t="s">
        <v>1685</v>
      </c>
    </row>
    <row r="53" spans="1:7" ht="36.950000000000003" customHeight="1" x14ac:dyDescent="0.25">
      <c r="A53" s="8" t="s">
        <v>14144</v>
      </c>
      <c r="B53" s="8" t="s">
        <v>14039</v>
      </c>
      <c r="C53" s="8" t="s">
        <v>14145</v>
      </c>
      <c r="D53" s="9" t="s">
        <v>14041</v>
      </c>
      <c r="E53" s="8" t="s">
        <v>14042</v>
      </c>
      <c r="F53" s="8" t="s">
        <v>14043</v>
      </c>
      <c r="G53" s="15" t="s">
        <v>1685</v>
      </c>
    </row>
    <row r="54" spans="1:7" ht="36.950000000000003" customHeight="1" x14ac:dyDescent="0.25">
      <c r="A54" s="8" t="s">
        <v>14146</v>
      </c>
      <c r="B54" s="8" t="s">
        <v>14039</v>
      </c>
      <c r="C54" s="8" t="s">
        <v>14147</v>
      </c>
      <c r="D54" s="9" t="s">
        <v>14041</v>
      </c>
      <c r="E54" s="8" t="s">
        <v>14042</v>
      </c>
      <c r="F54" s="8" t="s">
        <v>14043</v>
      </c>
      <c r="G54" s="15" t="s">
        <v>1685</v>
      </c>
    </row>
    <row r="55" spans="1:7" ht="36.950000000000003" customHeight="1" x14ac:dyDescent="0.25">
      <c r="A55" s="8" t="s">
        <v>14148</v>
      </c>
      <c r="B55" s="8" t="s">
        <v>14039</v>
      </c>
      <c r="C55" s="8" t="s">
        <v>14149</v>
      </c>
      <c r="D55" s="9" t="s">
        <v>14041</v>
      </c>
      <c r="E55" s="8" t="s">
        <v>14042</v>
      </c>
      <c r="F55" s="8" t="s">
        <v>14043</v>
      </c>
      <c r="G55" s="15" t="s">
        <v>1685</v>
      </c>
    </row>
    <row r="56" spans="1:7" ht="51" customHeight="1" x14ac:dyDescent="0.25">
      <c r="A56" s="8" t="s">
        <v>14150</v>
      </c>
      <c r="B56" s="8" t="s">
        <v>14151</v>
      </c>
      <c r="C56" s="8" t="s">
        <v>14152</v>
      </c>
      <c r="D56" s="9" t="s">
        <v>14041</v>
      </c>
      <c r="E56" s="8" t="s">
        <v>14153</v>
      </c>
      <c r="F56" s="8" t="s">
        <v>14154</v>
      </c>
      <c r="G56" s="15" t="s">
        <v>1685</v>
      </c>
    </row>
    <row r="57" spans="1:7" ht="51" customHeight="1" x14ac:dyDescent="0.25">
      <c r="A57" s="8" t="s">
        <v>14155</v>
      </c>
      <c r="B57" s="8" t="s">
        <v>14151</v>
      </c>
      <c r="C57" s="8" t="s">
        <v>14156</v>
      </c>
      <c r="D57" s="9" t="s">
        <v>14041</v>
      </c>
      <c r="E57" s="8" t="s">
        <v>14153</v>
      </c>
      <c r="F57" s="8" t="s">
        <v>14154</v>
      </c>
      <c r="G57" s="15" t="s">
        <v>1685</v>
      </c>
    </row>
    <row r="58" spans="1:7" ht="51" customHeight="1" x14ac:dyDescent="0.25">
      <c r="A58" s="8" t="s">
        <v>14157</v>
      </c>
      <c r="B58" s="8" t="s">
        <v>14151</v>
      </c>
      <c r="C58" s="8" t="s">
        <v>14158</v>
      </c>
      <c r="D58" s="9" t="s">
        <v>14041</v>
      </c>
      <c r="E58" s="8" t="s">
        <v>14153</v>
      </c>
      <c r="F58" s="8" t="s">
        <v>14154</v>
      </c>
      <c r="G58" s="15" t="s">
        <v>1685</v>
      </c>
    </row>
    <row r="59" spans="1:7" ht="51" customHeight="1" x14ac:dyDescent="0.25">
      <c r="A59" s="8" t="s">
        <v>14159</v>
      </c>
      <c r="B59" s="8" t="s">
        <v>14151</v>
      </c>
      <c r="C59" s="8" t="s">
        <v>14160</v>
      </c>
      <c r="D59" s="9" t="s">
        <v>14041</v>
      </c>
      <c r="E59" s="8" t="s">
        <v>14153</v>
      </c>
      <c r="F59" s="8" t="s">
        <v>14154</v>
      </c>
      <c r="G59" s="15" t="s">
        <v>1685</v>
      </c>
    </row>
    <row r="60" spans="1:7" ht="51" customHeight="1" x14ac:dyDescent="0.25">
      <c r="A60" s="8" t="s">
        <v>14161</v>
      </c>
      <c r="B60" s="8" t="s">
        <v>14151</v>
      </c>
      <c r="C60" s="8" t="s">
        <v>14162</v>
      </c>
      <c r="D60" s="9" t="s">
        <v>14041</v>
      </c>
      <c r="E60" s="8" t="s">
        <v>14153</v>
      </c>
      <c r="F60" s="8" t="s">
        <v>14154</v>
      </c>
      <c r="G60" s="15" t="s">
        <v>1685</v>
      </c>
    </row>
    <row r="61" spans="1:7" ht="51" customHeight="1" x14ac:dyDescent="0.25">
      <c r="A61" s="8" t="s">
        <v>14163</v>
      </c>
      <c r="B61" s="8" t="s">
        <v>14151</v>
      </c>
      <c r="C61" s="8" t="s">
        <v>14164</v>
      </c>
      <c r="D61" s="9" t="s">
        <v>14041</v>
      </c>
      <c r="E61" s="8" t="s">
        <v>14153</v>
      </c>
      <c r="F61" s="8" t="s">
        <v>14154</v>
      </c>
      <c r="G61" s="15" t="s">
        <v>1685</v>
      </c>
    </row>
    <row r="62" spans="1:7" ht="51" customHeight="1" x14ac:dyDescent="0.25">
      <c r="A62" s="8" t="s">
        <v>14165</v>
      </c>
      <c r="B62" s="8" t="s">
        <v>14151</v>
      </c>
      <c r="C62" s="8" t="s">
        <v>14166</v>
      </c>
      <c r="D62" s="9" t="s">
        <v>14041</v>
      </c>
      <c r="E62" s="8" t="s">
        <v>14153</v>
      </c>
      <c r="F62" s="8" t="s">
        <v>14154</v>
      </c>
      <c r="G62" s="15" t="s">
        <v>1685</v>
      </c>
    </row>
    <row r="63" spans="1:7" ht="51" customHeight="1" x14ac:dyDescent="0.25">
      <c r="A63" s="8" t="s">
        <v>14167</v>
      </c>
      <c r="B63" s="8" t="s">
        <v>14151</v>
      </c>
      <c r="C63" s="8" t="s">
        <v>14168</v>
      </c>
      <c r="D63" s="9" t="s">
        <v>14041</v>
      </c>
      <c r="E63" s="8" t="s">
        <v>14153</v>
      </c>
      <c r="F63" s="8" t="s">
        <v>14154</v>
      </c>
      <c r="G63" s="15" t="s">
        <v>1685</v>
      </c>
    </row>
    <row r="64" spans="1:7" ht="51" customHeight="1" x14ac:dyDescent="0.25">
      <c r="A64" s="8" t="s">
        <v>14169</v>
      </c>
      <c r="B64" s="8" t="s">
        <v>14151</v>
      </c>
      <c r="C64" s="8" t="s">
        <v>14170</v>
      </c>
      <c r="D64" s="9" t="s">
        <v>14041</v>
      </c>
      <c r="E64" s="8" t="s">
        <v>14153</v>
      </c>
      <c r="F64" s="8" t="s">
        <v>14154</v>
      </c>
      <c r="G64" s="15" t="s">
        <v>1685</v>
      </c>
    </row>
    <row r="65" spans="1:7" ht="51" customHeight="1" x14ac:dyDescent="0.25">
      <c r="A65" s="8" t="s">
        <v>14171</v>
      </c>
      <c r="B65" s="8" t="s">
        <v>14151</v>
      </c>
      <c r="C65" s="8" t="s">
        <v>14172</v>
      </c>
      <c r="D65" s="9" t="s">
        <v>14041</v>
      </c>
      <c r="E65" s="8" t="s">
        <v>14153</v>
      </c>
      <c r="F65" s="8" t="s">
        <v>14154</v>
      </c>
      <c r="G65" s="15" t="s">
        <v>1685</v>
      </c>
    </row>
    <row r="66" spans="1:7" ht="51" customHeight="1" x14ac:dyDescent="0.25">
      <c r="A66" s="8" t="s">
        <v>14173</v>
      </c>
      <c r="B66" s="8" t="s">
        <v>14151</v>
      </c>
      <c r="C66" s="8" t="s">
        <v>14174</v>
      </c>
      <c r="D66" s="9" t="s">
        <v>14041</v>
      </c>
      <c r="E66" s="8" t="s">
        <v>14153</v>
      </c>
      <c r="F66" s="8" t="s">
        <v>14154</v>
      </c>
      <c r="G66" s="15" t="s">
        <v>1685</v>
      </c>
    </row>
    <row r="67" spans="1:7" ht="51" customHeight="1" x14ac:dyDescent="0.25">
      <c r="A67" s="8" t="s">
        <v>14175</v>
      </c>
      <c r="B67" s="8" t="s">
        <v>14151</v>
      </c>
      <c r="C67" s="8" t="s">
        <v>14176</v>
      </c>
      <c r="D67" s="9" t="s">
        <v>14041</v>
      </c>
      <c r="E67" s="8" t="s">
        <v>14153</v>
      </c>
      <c r="F67" s="8" t="s">
        <v>14154</v>
      </c>
      <c r="G67" s="15" t="s">
        <v>1685</v>
      </c>
    </row>
    <row r="68" spans="1:7" ht="51" customHeight="1" x14ac:dyDescent="0.25">
      <c r="A68" s="8" t="s">
        <v>14177</v>
      </c>
      <c r="B68" s="8" t="s">
        <v>14151</v>
      </c>
      <c r="C68" s="8" t="s">
        <v>14133</v>
      </c>
      <c r="D68" s="9" t="s">
        <v>14041</v>
      </c>
      <c r="E68" s="8" t="s">
        <v>14153</v>
      </c>
      <c r="F68" s="8" t="s">
        <v>14154</v>
      </c>
      <c r="G68" s="15" t="s">
        <v>1685</v>
      </c>
    </row>
    <row r="69" spans="1:7" ht="51" customHeight="1" x14ac:dyDescent="0.25">
      <c r="A69" s="8" t="s">
        <v>14178</v>
      </c>
      <c r="B69" s="8" t="s">
        <v>14151</v>
      </c>
      <c r="C69" s="8" t="s">
        <v>14179</v>
      </c>
      <c r="D69" s="9" t="s">
        <v>14041</v>
      </c>
      <c r="E69" s="8" t="s">
        <v>14153</v>
      </c>
      <c r="F69" s="8" t="s">
        <v>14154</v>
      </c>
      <c r="G69" s="15" t="s">
        <v>1685</v>
      </c>
    </row>
    <row r="70" spans="1:7" ht="51" customHeight="1" x14ac:dyDescent="0.25">
      <c r="A70" s="8" t="s">
        <v>14180</v>
      </c>
      <c r="B70" s="8" t="s">
        <v>14151</v>
      </c>
      <c r="C70" s="8" t="s">
        <v>14181</v>
      </c>
      <c r="D70" s="9" t="s">
        <v>14041</v>
      </c>
      <c r="E70" s="8" t="s">
        <v>14153</v>
      </c>
      <c r="F70" s="8" t="s">
        <v>14154</v>
      </c>
      <c r="G70" s="15" t="s">
        <v>1685</v>
      </c>
    </row>
    <row r="71" spans="1:7" ht="51" customHeight="1" x14ac:dyDescent="0.25">
      <c r="A71" s="8" t="s">
        <v>14182</v>
      </c>
      <c r="B71" s="8" t="s">
        <v>14151</v>
      </c>
      <c r="C71" s="8" t="s">
        <v>14183</v>
      </c>
      <c r="D71" s="9" t="s">
        <v>14041</v>
      </c>
      <c r="E71" s="8" t="s">
        <v>14153</v>
      </c>
      <c r="F71" s="8" t="s">
        <v>14154</v>
      </c>
      <c r="G71" s="15" t="s">
        <v>1685</v>
      </c>
    </row>
    <row r="72" spans="1:7" ht="51" customHeight="1" x14ac:dyDescent="0.25">
      <c r="A72" s="8" t="s">
        <v>14184</v>
      </c>
      <c r="B72" s="8" t="s">
        <v>14151</v>
      </c>
      <c r="C72" s="8" t="s">
        <v>14185</v>
      </c>
      <c r="D72" s="9" t="s">
        <v>14041</v>
      </c>
      <c r="E72" s="8" t="s">
        <v>14153</v>
      </c>
      <c r="F72" s="8" t="s">
        <v>14154</v>
      </c>
      <c r="G72" s="15" t="s">
        <v>1685</v>
      </c>
    </row>
    <row r="73" spans="1:7" ht="51" customHeight="1" x14ac:dyDescent="0.25">
      <c r="A73" s="8" t="s">
        <v>14186</v>
      </c>
      <c r="B73" s="8" t="s">
        <v>14151</v>
      </c>
      <c r="C73" s="8" t="s">
        <v>14187</v>
      </c>
      <c r="D73" s="9" t="s">
        <v>14041</v>
      </c>
      <c r="E73" s="8" t="s">
        <v>14153</v>
      </c>
      <c r="F73" s="8" t="s">
        <v>14154</v>
      </c>
      <c r="G73" s="15" t="s">
        <v>1685</v>
      </c>
    </row>
    <row r="74" spans="1:7" ht="51" customHeight="1" x14ac:dyDescent="0.25">
      <c r="A74" s="8" t="s">
        <v>14188</v>
      </c>
      <c r="B74" s="8" t="s">
        <v>14151</v>
      </c>
      <c r="C74" s="8" t="s">
        <v>14189</v>
      </c>
      <c r="D74" s="9" t="s">
        <v>14041</v>
      </c>
      <c r="E74" s="8" t="s">
        <v>14153</v>
      </c>
      <c r="F74" s="8" t="s">
        <v>14154</v>
      </c>
      <c r="G74" s="15" t="s">
        <v>1685</v>
      </c>
    </row>
    <row r="75" spans="1:7" ht="51" customHeight="1" x14ac:dyDescent="0.25">
      <c r="A75" s="8" t="s">
        <v>14190</v>
      </c>
      <c r="B75" s="8" t="s">
        <v>14151</v>
      </c>
      <c r="C75" s="8" t="s">
        <v>14191</v>
      </c>
      <c r="D75" s="9" t="s">
        <v>14041</v>
      </c>
      <c r="E75" s="8" t="s">
        <v>14153</v>
      </c>
      <c r="F75" s="8" t="s">
        <v>14154</v>
      </c>
      <c r="G75" s="15" t="s">
        <v>1685</v>
      </c>
    </row>
    <row r="76" spans="1:7" ht="51" customHeight="1" x14ac:dyDescent="0.25">
      <c r="A76" s="8" t="s">
        <v>14192</v>
      </c>
      <c r="B76" s="8" t="s">
        <v>14151</v>
      </c>
      <c r="C76" s="8" t="s">
        <v>14193</v>
      </c>
      <c r="D76" s="9" t="s">
        <v>14041</v>
      </c>
      <c r="E76" s="8" t="s">
        <v>14153</v>
      </c>
      <c r="F76" s="8" t="s">
        <v>14154</v>
      </c>
      <c r="G76" s="15" t="s">
        <v>1685</v>
      </c>
    </row>
    <row r="77" spans="1:7" ht="51" customHeight="1" x14ac:dyDescent="0.25">
      <c r="A77" s="8" t="s">
        <v>14194</v>
      </c>
      <c r="B77" s="8" t="s">
        <v>14151</v>
      </c>
      <c r="C77" s="8" t="s">
        <v>14195</v>
      </c>
      <c r="D77" s="9" t="s">
        <v>14041</v>
      </c>
      <c r="E77" s="8" t="s">
        <v>14153</v>
      </c>
      <c r="F77" s="8" t="s">
        <v>14154</v>
      </c>
      <c r="G77" s="15" t="s">
        <v>1685</v>
      </c>
    </row>
    <row r="78" spans="1:7" ht="51" customHeight="1" x14ac:dyDescent="0.25">
      <c r="A78" s="8" t="s">
        <v>14196</v>
      </c>
      <c r="B78" s="8" t="s">
        <v>14151</v>
      </c>
      <c r="C78" s="8" t="s">
        <v>14197</v>
      </c>
      <c r="D78" s="9" t="s">
        <v>14041</v>
      </c>
      <c r="E78" s="8" t="s">
        <v>14153</v>
      </c>
      <c r="F78" s="8" t="s">
        <v>14154</v>
      </c>
      <c r="G78" s="15" t="s">
        <v>1685</v>
      </c>
    </row>
    <row r="79" spans="1:7" ht="51" customHeight="1" x14ac:dyDescent="0.25">
      <c r="A79" s="8" t="s">
        <v>14198</v>
      </c>
      <c r="B79" s="8" t="s">
        <v>14151</v>
      </c>
      <c r="C79" s="8" t="s">
        <v>14199</v>
      </c>
      <c r="D79" s="9" t="s">
        <v>14041</v>
      </c>
      <c r="E79" s="8" t="s">
        <v>14153</v>
      </c>
      <c r="F79" s="8" t="s">
        <v>14154</v>
      </c>
      <c r="G79" s="15" t="s">
        <v>1685</v>
      </c>
    </row>
    <row r="80" spans="1:7" ht="51" customHeight="1" x14ac:dyDescent="0.25">
      <c r="A80" s="8" t="s">
        <v>14200</v>
      </c>
      <c r="B80" s="8" t="s">
        <v>14151</v>
      </c>
      <c r="C80" s="8" t="s">
        <v>14201</v>
      </c>
      <c r="D80" s="9" t="s">
        <v>14041</v>
      </c>
      <c r="E80" s="8" t="s">
        <v>14153</v>
      </c>
      <c r="F80" s="8" t="s">
        <v>14154</v>
      </c>
      <c r="G80" s="15" t="s">
        <v>1685</v>
      </c>
    </row>
    <row r="81" spans="1:7" ht="51" customHeight="1" x14ac:dyDescent="0.25">
      <c r="A81" s="8" t="s">
        <v>14202</v>
      </c>
      <c r="B81" s="8" t="s">
        <v>14151</v>
      </c>
      <c r="C81" s="8" t="s">
        <v>14203</v>
      </c>
      <c r="D81" s="9" t="s">
        <v>14041</v>
      </c>
      <c r="E81" s="8" t="s">
        <v>14153</v>
      </c>
      <c r="F81" s="8" t="s">
        <v>14154</v>
      </c>
      <c r="G81" s="15" t="s">
        <v>1685</v>
      </c>
    </row>
    <row r="82" spans="1:7" ht="51" customHeight="1" x14ac:dyDescent="0.25">
      <c r="A82" s="8" t="s">
        <v>14204</v>
      </c>
      <c r="B82" s="8" t="s">
        <v>14151</v>
      </c>
      <c r="C82" s="8" t="s">
        <v>14205</v>
      </c>
      <c r="D82" s="9" t="s">
        <v>14041</v>
      </c>
      <c r="E82" s="8" t="s">
        <v>14153</v>
      </c>
      <c r="F82" s="8" t="s">
        <v>14154</v>
      </c>
      <c r="G82" s="15" t="s">
        <v>1685</v>
      </c>
    </row>
    <row r="83" spans="1:7" ht="51" customHeight="1" x14ac:dyDescent="0.25">
      <c r="A83" s="8" t="s">
        <v>14206</v>
      </c>
      <c r="B83" s="8" t="s">
        <v>14151</v>
      </c>
      <c r="C83" s="8" t="s">
        <v>14207</v>
      </c>
      <c r="D83" s="9" t="s">
        <v>14041</v>
      </c>
      <c r="E83" s="8" t="s">
        <v>14153</v>
      </c>
      <c r="F83" s="8" t="s">
        <v>14154</v>
      </c>
      <c r="G83" s="15" t="s">
        <v>1685</v>
      </c>
    </row>
    <row r="84" spans="1:7" ht="36.950000000000003" customHeight="1" x14ac:dyDescent="0.25">
      <c r="A84" s="8" t="s">
        <v>14208</v>
      </c>
      <c r="B84" s="8" t="s">
        <v>14151</v>
      </c>
      <c r="C84" s="8" t="s">
        <v>14209</v>
      </c>
      <c r="D84" s="9" t="s">
        <v>14041</v>
      </c>
      <c r="E84" s="8" t="s">
        <v>14210</v>
      </c>
      <c r="F84" s="8" t="s">
        <v>14211</v>
      </c>
      <c r="G84" s="15" t="s">
        <v>1685</v>
      </c>
    </row>
    <row r="85" spans="1:7" ht="36.950000000000003" customHeight="1" x14ac:dyDescent="0.25">
      <c r="A85" s="8" t="s">
        <v>14212</v>
      </c>
      <c r="B85" s="8" t="s">
        <v>14151</v>
      </c>
      <c r="C85" s="8" t="s">
        <v>14213</v>
      </c>
      <c r="D85" s="9" t="s">
        <v>14041</v>
      </c>
      <c r="E85" s="8" t="s">
        <v>14210</v>
      </c>
      <c r="F85" s="8" t="s">
        <v>14211</v>
      </c>
      <c r="G85" s="15" t="s">
        <v>1685</v>
      </c>
    </row>
    <row r="86" spans="1:7" ht="36.950000000000003" customHeight="1" x14ac:dyDescent="0.25">
      <c r="A86" s="8" t="s">
        <v>14214</v>
      </c>
      <c r="B86" s="8" t="s">
        <v>14151</v>
      </c>
      <c r="C86" s="8" t="s">
        <v>14215</v>
      </c>
      <c r="D86" s="9" t="s">
        <v>14041</v>
      </c>
      <c r="E86" s="8" t="s">
        <v>14210</v>
      </c>
      <c r="F86" s="8" t="s">
        <v>14211</v>
      </c>
      <c r="G86" s="15" t="s">
        <v>1685</v>
      </c>
    </row>
    <row r="87" spans="1:7" ht="36.950000000000003" customHeight="1" x14ac:dyDescent="0.25">
      <c r="A87" s="8" t="s">
        <v>14216</v>
      </c>
      <c r="B87" s="8" t="s">
        <v>14151</v>
      </c>
      <c r="C87" s="8" t="s">
        <v>14217</v>
      </c>
      <c r="D87" s="9" t="s">
        <v>14041</v>
      </c>
      <c r="E87" s="8" t="s">
        <v>14210</v>
      </c>
      <c r="F87" s="8" t="s">
        <v>14211</v>
      </c>
      <c r="G87" s="15" t="s">
        <v>1685</v>
      </c>
    </row>
    <row r="88" spans="1:7" ht="36.950000000000003" customHeight="1" x14ac:dyDescent="0.25">
      <c r="A88" s="8" t="s">
        <v>14218</v>
      </c>
      <c r="B88" s="8" t="s">
        <v>14151</v>
      </c>
      <c r="C88" s="8" t="s">
        <v>14219</v>
      </c>
      <c r="D88" s="9" t="s">
        <v>14041</v>
      </c>
      <c r="E88" s="8" t="s">
        <v>14210</v>
      </c>
      <c r="F88" s="8" t="s">
        <v>14211</v>
      </c>
      <c r="G88" s="15" t="s">
        <v>1685</v>
      </c>
    </row>
    <row r="89" spans="1:7" ht="36.950000000000003" customHeight="1" x14ac:dyDescent="0.25">
      <c r="A89" s="8" t="s">
        <v>14220</v>
      </c>
      <c r="B89" s="8" t="s">
        <v>14151</v>
      </c>
      <c r="C89" s="8" t="s">
        <v>14221</v>
      </c>
      <c r="D89" s="9" t="s">
        <v>14041</v>
      </c>
      <c r="E89" s="8" t="s">
        <v>14210</v>
      </c>
      <c r="F89" s="8" t="s">
        <v>14211</v>
      </c>
      <c r="G89" s="15" t="s">
        <v>1685</v>
      </c>
    </row>
    <row r="90" spans="1:7" ht="36.950000000000003" customHeight="1" x14ac:dyDescent="0.25">
      <c r="A90" s="8" t="s">
        <v>14222</v>
      </c>
      <c r="B90" s="8" t="s">
        <v>14151</v>
      </c>
      <c r="C90" s="8" t="s">
        <v>14223</v>
      </c>
      <c r="D90" s="9" t="s">
        <v>14041</v>
      </c>
      <c r="E90" s="8" t="s">
        <v>14210</v>
      </c>
      <c r="F90" s="8" t="s">
        <v>14211</v>
      </c>
      <c r="G90" s="15" t="s">
        <v>1685</v>
      </c>
    </row>
    <row r="91" spans="1:7" ht="36.950000000000003" customHeight="1" x14ac:dyDescent="0.25">
      <c r="A91" s="8" t="s">
        <v>14224</v>
      </c>
      <c r="B91" s="8" t="s">
        <v>14151</v>
      </c>
      <c r="C91" s="8" t="s">
        <v>14225</v>
      </c>
      <c r="D91" s="9" t="s">
        <v>14041</v>
      </c>
      <c r="E91" s="8" t="s">
        <v>14210</v>
      </c>
      <c r="F91" s="8" t="s">
        <v>14211</v>
      </c>
      <c r="G91" s="15" t="s">
        <v>1685</v>
      </c>
    </row>
    <row r="92" spans="1:7" ht="36.950000000000003" customHeight="1" x14ac:dyDescent="0.25">
      <c r="A92" s="8" t="s">
        <v>14226</v>
      </c>
      <c r="B92" s="8" t="s">
        <v>14151</v>
      </c>
      <c r="C92" s="8" t="s">
        <v>14227</v>
      </c>
      <c r="D92" s="9" t="s">
        <v>14041</v>
      </c>
      <c r="E92" s="8" t="s">
        <v>14210</v>
      </c>
      <c r="F92" s="8" t="s">
        <v>14211</v>
      </c>
      <c r="G92" s="15" t="s">
        <v>1685</v>
      </c>
    </row>
    <row r="93" spans="1:7" ht="36.950000000000003" customHeight="1" x14ac:dyDescent="0.25">
      <c r="A93" s="8" t="s">
        <v>14228</v>
      </c>
      <c r="B93" s="8" t="s">
        <v>14151</v>
      </c>
      <c r="C93" s="8" t="s">
        <v>14229</v>
      </c>
      <c r="D93" s="9" t="s">
        <v>14041</v>
      </c>
      <c r="E93" s="8" t="s">
        <v>14210</v>
      </c>
      <c r="F93" s="8" t="s">
        <v>14211</v>
      </c>
      <c r="G93" s="15" t="s">
        <v>1685</v>
      </c>
    </row>
    <row r="94" spans="1:7" ht="36.950000000000003" customHeight="1" x14ac:dyDescent="0.25">
      <c r="A94" s="8" t="s">
        <v>14230</v>
      </c>
      <c r="B94" s="8" t="s">
        <v>14151</v>
      </c>
      <c r="C94" s="8" t="s">
        <v>14231</v>
      </c>
      <c r="D94" s="9" t="s">
        <v>14041</v>
      </c>
      <c r="E94" s="8" t="s">
        <v>14210</v>
      </c>
      <c r="F94" s="8" t="s">
        <v>14211</v>
      </c>
      <c r="G94" s="15" t="s">
        <v>1685</v>
      </c>
    </row>
    <row r="95" spans="1:7" ht="36.950000000000003" customHeight="1" x14ac:dyDescent="0.25">
      <c r="A95" s="8" t="s">
        <v>14232</v>
      </c>
      <c r="B95" s="8" t="s">
        <v>14151</v>
      </c>
      <c r="C95" s="8" t="s">
        <v>14233</v>
      </c>
      <c r="D95" s="9" t="s">
        <v>14041</v>
      </c>
      <c r="E95" s="8" t="s">
        <v>14210</v>
      </c>
      <c r="F95" s="8" t="s">
        <v>14211</v>
      </c>
      <c r="G95" s="15" t="s">
        <v>1685</v>
      </c>
    </row>
    <row r="96" spans="1:7" ht="36.950000000000003" customHeight="1" x14ac:dyDescent="0.25">
      <c r="A96" s="8" t="s">
        <v>14234</v>
      </c>
      <c r="B96" s="8" t="s">
        <v>14151</v>
      </c>
      <c r="C96" s="8" t="s">
        <v>14235</v>
      </c>
      <c r="D96" s="9" t="s">
        <v>14041</v>
      </c>
      <c r="E96" s="8" t="s">
        <v>14210</v>
      </c>
      <c r="F96" s="8" t="s">
        <v>14211</v>
      </c>
      <c r="G96" s="15" t="s">
        <v>1685</v>
      </c>
    </row>
    <row r="97" spans="1:7" ht="36.950000000000003" customHeight="1" x14ac:dyDescent="0.25">
      <c r="A97" s="8" t="s">
        <v>14236</v>
      </c>
      <c r="B97" s="8" t="s">
        <v>14151</v>
      </c>
      <c r="C97" s="8" t="s">
        <v>14237</v>
      </c>
      <c r="D97" s="9" t="s">
        <v>14041</v>
      </c>
      <c r="E97" s="8" t="s">
        <v>14210</v>
      </c>
      <c r="F97" s="8" t="s">
        <v>14211</v>
      </c>
      <c r="G97" s="15" t="s">
        <v>1685</v>
      </c>
    </row>
    <row r="98" spans="1:7" ht="36.950000000000003" customHeight="1" x14ac:dyDescent="0.25">
      <c r="A98" s="8" t="s">
        <v>14238</v>
      </c>
      <c r="B98" s="8" t="s">
        <v>14151</v>
      </c>
      <c r="C98" s="8" t="s">
        <v>14239</v>
      </c>
      <c r="D98" s="9" t="s">
        <v>14041</v>
      </c>
      <c r="E98" s="8" t="s">
        <v>14210</v>
      </c>
      <c r="F98" s="8" t="s">
        <v>14211</v>
      </c>
      <c r="G98" s="15" t="s">
        <v>1685</v>
      </c>
    </row>
    <row r="99" spans="1:7" ht="36.950000000000003" customHeight="1" x14ac:dyDescent="0.25">
      <c r="A99" s="8" t="s">
        <v>14240</v>
      </c>
      <c r="B99" s="8" t="s">
        <v>14151</v>
      </c>
      <c r="C99" s="8" t="s">
        <v>14241</v>
      </c>
      <c r="D99" s="9" t="s">
        <v>14041</v>
      </c>
      <c r="E99" s="8" t="s">
        <v>14210</v>
      </c>
      <c r="F99" s="8" t="s">
        <v>14211</v>
      </c>
      <c r="G99" s="15" t="s">
        <v>1685</v>
      </c>
    </row>
    <row r="100" spans="1:7" ht="36.950000000000003" customHeight="1" x14ac:dyDescent="0.25">
      <c r="A100" s="8" t="s">
        <v>14242</v>
      </c>
      <c r="B100" s="8" t="s">
        <v>14151</v>
      </c>
      <c r="C100" s="8" t="s">
        <v>14243</v>
      </c>
      <c r="D100" s="9" t="s">
        <v>14041</v>
      </c>
      <c r="E100" s="8" t="s">
        <v>14210</v>
      </c>
      <c r="F100" s="8" t="s">
        <v>14211</v>
      </c>
      <c r="G100" s="15" t="s">
        <v>1685</v>
      </c>
    </row>
    <row r="101" spans="1:7" ht="36.950000000000003" customHeight="1" x14ac:dyDescent="0.25">
      <c r="A101" s="8" t="s">
        <v>14244</v>
      </c>
      <c r="B101" s="8" t="s">
        <v>14151</v>
      </c>
      <c r="C101" s="8" t="s">
        <v>14245</v>
      </c>
      <c r="D101" s="9" t="s">
        <v>14041</v>
      </c>
      <c r="E101" s="8" t="s">
        <v>14210</v>
      </c>
      <c r="F101" s="8" t="s">
        <v>14211</v>
      </c>
      <c r="G101" s="15" t="s">
        <v>1685</v>
      </c>
    </row>
    <row r="102" spans="1:7" ht="36.950000000000003" customHeight="1" x14ac:dyDescent="0.25">
      <c r="A102" s="8" t="s">
        <v>14246</v>
      </c>
      <c r="B102" s="8" t="s">
        <v>14151</v>
      </c>
      <c r="C102" s="8" t="s">
        <v>14247</v>
      </c>
      <c r="D102" s="9" t="s">
        <v>14041</v>
      </c>
      <c r="E102" s="8" t="s">
        <v>14210</v>
      </c>
      <c r="F102" s="8" t="s">
        <v>14211</v>
      </c>
      <c r="G102" s="15" t="s">
        <v>1685</v>
      </c>
    </row>
    <row r="103" spans="1:7" ht="36.950000000000003" customHeight="1" x14ac:dyDescent="0.25">
      <c r="A103" s="8" t="s">
        <v>14248</v>
      </c>
      <c r="B103" s="8" t="s">
        <v>14151</v>
      </c>
      <c r="C103" s="8" t="s">
        <v>14249</v>
      </c>
      <c r="D103" s="9" t="s">
        <v>14041</v>
      </c>
      <c r="E103" s="8" t="s">
        <v>14210</v>
      </c>
      <c r="F103" s="8" t="s">
        <v>14211</v>
      </c>
      <c r="G103" s="15" t="s">
        <v>1685</v>
      </c>
    </row>
    <row r="104" spans="1:7" ht="36.950000000000003" customHeight="1" x14ac:dyDescent="0.25">
      <c r="A104" s="8" t="s">
        <v>14250</v>
      </c>
      <c r="B104" s="8" t="s">
        <v>14151</v>
      </c>
      <c r="C104" s="8" t="s">
        <v>14251</v>
      </c>
      <c r="D104" s="9" t="s">
        <v>14041</v>
      </c>
      <c r="E104" s="8" t="s">
        <v>14210</v>
      </c>
      <c r="F104" s="8" t="s">
        <v>14211</v>
      </c>
      <c r="G104" s="15" t="s">
        <v>1685</v>
      </c>
    </row>
    <row r="105" spans="1:7" ht="36.950000000000003" customHeight="1" x14ac:dyDescent="0.25">
      <c r="A105" s="8" t="s">
        <v>14252</v>
      </c>
      <c r="B105" s="8" t="s">
        <v>14151</v>
      </c>
      <c r="C105" s="8" t="s">
        <v>14253</v>
      </c>
      <c r="D105" s="9" t="s">
        <v>14041</v>
      </c>
      <c r="E105" s="8" t="s">
        <v>14210</v>
      </c>
      <c r="F105" s="8" t="s">
        <v>14211</v>
      </c>
      <c r="G105" s="15" t="s">
        <v>1685</v>
      </c>
    </row>
    <row r="106" spans="1:7" ht="36.950000000000003" customHeight="1" x14ac:dyDescent="0.25">
      <c r="A106" s="8" t="s">
        <v>14254</v>
      </c>
      <c r="B106" s="8" t="s">
        <v>14151</v>
      </c>
      <c r="C106" s="8" t="s">
        <v>14255</v>
      </c>
      <c r="D106" s="9" t="s">
        <v>14041</v>
      </c>
      <c r="E106" s="8" t="s">
        <v>14210</v>
      </c>
      <c r="F106" s="8" t="s">
        <v>14211</v>
      </c>
      <c r="G106" s="15" t="s">
        <v>1685</v>
      </c>
    </row>
    <row r="107" spans="1:7" ht="36.950000000000003" customHeight="1" x14ac:dyDescent="0.25">
      <c r="A107" s="8" t="s">
        <v>14256</v>
      </c>
      <c r="B107" s="8" t="s">
        <v>14151</v>
      </c>
      <c r="C107" s="8" t="s">
        <v>14257</v>
      </c>
      <c r="D107" s="9" t="s">
        <v>14041</v>
      </c>
      <c r="E107" s="8" t="s">
        <v>14210</v>
      </c>
      <c r="F107" s="8" t="s">
        <v>14211</v>
      </c>
      <c r="G107" s="15" t="s">
        <v>1685</v>
      </c>
    </row>
    <row r="108" spans="1:7" ht="36.950000000000003" customHeight="1" x14ac:dyDescent="0.25">
      <c r="A108" s="8" t="s">
        <v>14258</v>
      </c>
      <c r="B108" s="8" t="s">
        <v>14151</v>
      </c>
      <c r="C108" s="8" t="s">
        <v>14259</v>
      </c>
      <c r="D108" s="9" t="s">
        <v>14041</v>
      </c>
      <c r="E108" s="8" t="s">
        <v>14210</v>
      </c>
      <c r="F108" s="8" t="s">
        <v>14211</v>
      </c>
      <c r="G108" s="15" t="s">
        <v>1685</v>
      </c>
    </row>
    <row r="109" spans="1:7" ht="36.950000000000003" customHeight="1" x14ac:dyDescent="0.25">
      <c r="A109" s="8" t="s">
        <v>14260</v>
      </c>
      <c r="B109" s="8" t="s">
        <v>14151</v>
      </c>
      <c r="C109" s="8" t="s">
        <v>14261</v>
      </c>
      <c r="D109" s="9" t="s">
        <v>14041</v>
      </c>
      <c r="E109" s="8" t="s">
        <v>14210</v>
      </c>
      <c r="F109" s="8" t="s">
        <v>14211</v>
      </c>
      <c r="G109" s="15" t="s">
        <v>1685</v>
      </c>
    </row>
    <row r="110" spans="1:7" ht="36.950000000000003" customHeight="1" x14ac:dyDescent="0.25">
      <c r="A110" s="8" t="s">
        <v>14262</v>
      </c>
      <c r="B110" s="8" t="s">
        <v>14151</v>
      </c>
      <c r="C110" s="8" t="s">
        <v>14263</v>
      </c>
      <c r="D110" s="9" t="s">
        <v>14041</v>
      </c>
      <c r="E110" s="8" t="s">
        <v>14210</v>
      </c>
      <c r="F110" s="8" t="s">
        <v>14211</v>
      </c>
      <c r="G110" s="15" t="s">
        <v>1685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8354A"/>
    <outlinePr summaryBelow="0" summaryRight="0"/>
    <pageSetUpPr fitToPage="1"/>
  </sheetPr>
  <dimension ref="A1:K14"/>
  <sheetViews>
    <sheetView showGridLines="0" zoomScale="8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9" customWidth="1"/>
    <col min="2" max="10" width="27" customWidth="1"/>
    <col min="11" max="11" width="61" customWidth="1"/>
  </cols>
  <sheetData>
    <row r="1" spans="1:11" ht="42.95" customHeight="1" x14ac:dyDescent="0.25">
      <c r="A1" s="7" t="s">
        <v>5325</v>
      </c>
      <c r="B1" s="7" t="s">
        <v>5327</v>
      </c>
      <c r="C1" s="7" t="s">
        <v>5329</v>
      </c>
      <c r="D1" s="7" t="s">
        <v>5331</v>
      </c>
      <c r="E1" s="7" t="s">
        <v>5333</v>
      </c>
      <c r="F1" s="7" t="s">
        <v>5335</v>
      </c>
      <c r="G1" s="7" t="s">
        <v>5337</v>
      </c>
      <c r="H1" s="7" t="s">
        <v>5339</v>
      </c>
      <c r="I1" s="7" t="s">
        <v>5341</v>
      </c>
      <c r="J1" s="7" t="s">
        <v>5343</v>
      </c>
      <c r="K1" s="7" t="s">
        <v>1674</v>
      </c>
    </row>
    <row r="2" spans="1:11" ht="65.099999999999994" customHeight="1" x14ac:dyDescent="0.25">
      <c r="A2" s="8" t="s">
        <v>14264</v>
      </c>
      <c r="B2" s="8" t="s">
        <v>14265</v>
      </c>
      <c r="C2" s="8" t="s">
        <v>14266</v>
      </c>
      <c r="D2" s="8" t="s">
        <v>14266</v>
      </c>
      <c r="E2" s="8" t="s">
        <v>14266</v>
      </c>
      <c r="F2" s="8"/>
      <c r="G2" s="8" t="s">
        <v>14267</v>
      </c>
      <c r="H2" s="8" t="s">
        <v>14268</v>
      </c>
      <c r="I2" s="8" t="s">
        <v>14269</v>
      </c>
      <c r="J2" s="8" t="s">
        <v>14270</v>
      </c>
      <c r="K2" s="8" t="s">
        <v>14271</v>
      </c>
    </row>
    <row r="3" spans="1:11" ht="65.099999999999994" customHeight="1" x14ac:dyDescent="0.25">
      <c r="A3" s="8" t="s">
        <v>14272</v>
      </c>
      <c r="B3" s="8" t="s">
        <v>14273</v>
      </c>
      <c r="C3" s="8" t="s">
        <v>14274</v>
      </c>
      <c r="D3" s="8" t="s">
        <v>14274</v>
      </c>
      <c r="E3" s="8" t="s">
        <v>14274</v>
      </c>
      <c r="F3" s="8"/>
      <c r="G3" s="8" t="s">
        <v>14267</v>
      </c>
      <c r="H3" s="8" t="s">
        <v>14268</v>
      </c>
      <c r="I3" s="8" t="s">
        <v>14269</v>
      </c>
      <c r="J3" s="8" t="s">
        <v>14270</v>
      </c>
      <c r="K3" s="8" t="s">
        <v>14275</v>
      </c>
    </row>
    <row r="4" spans="1:11" ht="65.099999999999994" customHeight="1" x14ac:dyDescent="0.25">
      <c r="A4" s="8" t="s">
        <v>14276</v>
      </c>
      <c r="B4" s="8" t="s">
        <v>14277</v>
      </c>
      <c r="C4" s="8" t="s">
        <v>902</v>
      </c>
      <c r="D4" s="8" t="s">
        <v>902</v>
      </c>
      <c r="E4" s="8" t="s">
        <v>902</v>
      </c>
      <c r="F4" s="8"/>
      <c r="G4" s="8" t="s">
        <v>14267</v>
      </c>
      <c r="H4" s="8" t="s">
        <v>14268</v>
      </c>
      <c r="I4" s="8" t="s">
        <v>14269</v>
      </c>
      <c r="J4" s="8" t="s">
        <v>14270</v>
      </c>
      <c r="K4" s="8" t="s">
        <v>14275</v>
      </c>
    </row>
    <row r="5" spans="1:11" ht="65.099999999999994" customHeight="1" x14ac:dyDescent="0.25">
      <c r="A5" s="8" t="s">
        <v>14278</v>
      </c>
      <c r="B5" s="8" t="s">
        <v>14279</v>
      </c>
      <c r="C5" s="8" t="s">
        <v>14280</v>
      </c>
      <c r="D5" s="8" t="s">
        <v>14280</v>
      </c>
      <c r="E5" s="8"/>
      <c r="F5" s="8" t="s">
        <v>14281</v>
      </c>
      <c r="G5" s="8" t="s">
        <v>14282</v>
      </c>
      <c r="H5" s="8" t="s">
        <v>14283</v>
      </c>
      <c r="I5" s="8" t="s">
        <v>14269</v>
      </c>
      <c r="J5" s="8" t="s">
        <v>14270</v>
      </c>
      <c r="K5" s="8" t="s">
        <v>14284</v>
      </c>
    </row>
    <row r="6" spans="1:11" ht="65.099999999999994" customHeight="1" x14ac:dyDescent="0.25">
      <c r="A6" s="8" t="s">
        <v>14285</v>
      </c>
      <c r="B6" s="8" t="s">
        <v>14286</v>
      </c>
      <c r="C6" s="8" t="s">
        <v>14287</v>
      </c>
      <c r="D6" s="8" t="s">
        <v>14287</v>
      </c>
      <c r="E6" s="8" t="s">
        <v>14287</v>
      </c>
      <c r="F6" s="8"/>
      <c r="G6" s="8" t="s">
        <v>14267</v>
      </c>
      <c r="H6" s="8" t="s">
        <v>14268</v>
      </c>
      <c r="I6" s="8" t="s">
        <v>14269</v>
      </c>
      <c r="J6" s="8" t="s">
        <v>14270</v>
      </c>
      <c r="K6" s="8" t="s">
        <v>14275</v>
      </c>
    </row>
    <row r="7" spans="1:11" ht="65.099999999999994" customHeight="1" x14ac:dyDescent="0.25">
      <c r="A7" s="8" t="s">
        <v>14288</v>
      </c>
      <c r="B7" s="8" t="s">
        <v>14289</v>
      </c>
      <c r="C7" s="8" t="s">
        <v>2940</v>
      </c>
      <c r="D7" s="8" t="s">
        <v>2940</v>
      </c>
      <c r="E7" s="8" t="s">
        <v>2940</v>
      </c>
      <c r="F7" s="8"/>
      <c r="G7" s="8" t="s">
        <v>14290</v>
      </c>
      <c r="H7" s="8" t="s">
        <v>14268</v>
      </c>
      <c r="I7" s="8" t="s">
        <v>14269</v>
      </c>
      <c r="J7" s="8" t="s">
        <v>14270</v>
      </c>
      <c r="K7" s="8" t="s">
        <v>14275</v>
      </c>
    </row>
    <row r="8" spans="1:11" ht="65.099999999999994" customHeight="1" x14ac:dyDescent="0.25">
      <c r="A8" s="8" t="s">
        <v>14291</v>
      </c>
      <c r="B8" s="8" t="s">
        <v>14292</v>
      </c>
      <c r="C8" s="8" t="s">
        <v>12934</v>
      </c>
      <c r="D8" s="8" t="s">
        <v>12934</v>
      </c>
      <c r="E8" s="8" t="s">
        <v>12934</v>
      </c>
      <c r="F8" s="8"/>
      <c r="G8" s="8" t="s">
        <v>14282</v>
      </c>
      <c r="H8" s="8" t="s">
        <v>14268</v>
      </c>
      <c r="I8" s="8" t="s">
        <v>14269</v>
      </c>
      <c r="J8" s="8" t="s">
        <v>14270</v>
      </c>
      <c r="K8" s="8" t="s">
        <v>14275</v>
      </c>
    </row>
    <row r="9" spans="1:11" ht="65.099999999999994" customHeight="1" x14ac:dyDescent="0.25">
      <c r="A9" s="8" t="s">
        <v>14293</v>
      </c>
      <c r="B9" s="8" t="s">
        <v>14294</v>
      </c>
      <c r="C9" s="8" t="s">
        <v>14295</v>
      </c>
      <c r="D9" s="8" t="s">
        <v>14295</v>
      </c>
      <c r="E9" s="8" t="s">
        <v>14295</v>
      </c>
      <c r="F9" s="8"/>
      <c r="G9" s="8" t="s">
        <v>14267</v>
      </c>
      <c r="H9" s="8" t="s">
        <v>14268</v>
      </c>
      <c r="I9" s="8" t="s">
        <v>14269</v>
      </c>
      <c r="J9" s="8" t="s">
        <v>14270</v>
      </c>
      <c r="K9" s="8" t="s">
        <v>14296</v>
      </c>
    </row>
    <row r="10" spans="1:11" ht="65.099999999999994" customHeight="1" x14ac:dyDescent="0.25">
      <c r="A10" s="8" t="s">
        <v>14297</v>
      </c>
      <c r="B10" s="8" t="s">
        <v>14298</v>
      </c>
      <c r="C10" s="8" t="s">
        <v>3209</v>
      </c>
      <c r="D10" s="8" t="s">
        <v>3209</v>
      </c>
      <c r="E10" s="8" t="s">
        <v>3209</v>
      </c>
      <c r="F10" s="8"/>
      <c r="G10" s="8" t="s">
        <v>14267</v>
      </c>
      <c r="H10" s="8" t="s">
        <v>14268</v>
      </c>
      <c r="I10" s="8" t="s">
        <v>14269</v>
      </c>
      <c r="J10" s="8" t="s">
        <v>14270</v>
      </c>
      <c r="K10" s="8" t="s">
        <v>14275</v>
      </c>
    </row>
    <row r="11" spans="1:11" ht="65.099999999999994" customHeight="1" x14ac:dyDescent="0.25">
      <c r="A11" s="8" t="s">
        <v>14299</v>
      </c>
      <c r="B11" s="8" t="s">
        <v>14300</v>
      </c>
      <c r="C11" s="8" t="s">
        <v>14301</v>
      </c>
      <c r="D11" s="8" t="s">
        <v>14301</v>
      </c>
      <c r="E11" s="8" t="s">
        <v>14301</v>
      </c>
      <c r="F11" s="8"/>
      <c r="G11" s="8" t="s">
        <v>14267</v>
      </c>
      <c r="H11" s="8" t="s">
        <v>14268</v>
      </c>
      <c r="I11" s="8" t="s">
        <v>14269</v>
      </c>
      <c r="J11" s="8" t="s">
        <v>14270</v>
      </c>
      <c r="K11" s="8" t="s">
        <v>14296</v>
      </c>
    </row>
    <row r="12" spans="1:11" ht="65.099999999999994" customHeight="1" x14ac:dyDescent="0.25">
      <c r="A12" s="8" t="s">
        <v>14302</v>
      </c>
      <c r="B12" s="8" t="s">
        <v>14303</v>
      </c>
      <c r="C12" s="8" t="s">
        <v>14304</v>
      </c>
      <c r="D12" s="8" t="s">
        <v>14304</v>
      </c>
      <c r="E12" s="8" t="s">
        <v>14304</v>
      </c>
      <c r="F12" s="8"/>
      <c r="G12" s="8" t="s">
        <v>14267</v>
      </c>
      <c r="H12" s="8" t="s">
        <v>14268</v>
      </c>
      <c r="I12" s="8" t="s">
        <v>14269</v>
      </c>
      <c r="J12" s="8" t="s">
        <v>14270</v>
      </c>
      <c r="K12" s="8" t="s">
        <v>14275</v>
      </c>
    </row>
    <row r="13" spans="1:11" ht="65.099999999999994" customHeight="1" x14ac:dyDescent="0.25">
      <c r="A13" s="8" t="s">
        <v>14305</v>
      </c>
      <c r="B13" s="8" t="s">
        <v>14306</v>
      </c>
      <c r="C13" s="8" t="s">
        <v>893</v>
      </c>
      <c r="D13" s="8" t="s">
        <v>893</v>
      </c>
      <c r="E13" s="8" t="s">
        <v>893</v>
      </c>
      <c r="F13" s="8"/>
      <c r="G13" s="8" t="s">
        <v>14267</v>
      </c>
      <c r="H13" s="8" t="s">
        <v>14268</v>
      </c>
      <c r="I13" s="8" t="s">
        <v>14269</v>
      </c>
      <c r="J13" s="8" t="s">
        <v>14270</v>
      </c>
      <c r="K13" s="8" t="s">
        <v>14275</v>
      </c>
    </row>
    <row r="14" spans="1:11" ht="65.099999999999994" customHeight="1" x14ac:dyDescent="0.25">
      <c r="A14" s="8" t="s">
        <v>14307</v>
      </c>
      <c r="B14" s="8" t="s">
        <v>14308</v>
      </c>
      <c r="C14" s="8" t="s">
        <v>14309</v>
      </c>
      <c r="D14" s="8" t="s">
        <v>14309</v>
      </c>
      <c r="E14" s="8" t="s">
        <v>14309</v>
      </c>
      <c r="F14" s="8"/>
      <c r="G14" s="8" t="s">
        <v>14267</v>
      </c>
      <c r="H14" s="8" t="s">
        <v>14268</v>
      </c>
      <c r="I14" s="8" t="s">
        <v>14269</v>
      </c>
      <c r="J14" s="8" t="s">
        <v>14270</v>
      </c>
      <c r="K14" s="8" t="s">
        <v>14296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START</vt:lpstr>
      <vt:lpstr>MODULE_CONFIG</vt:lpstr>
      <vt:lpstr>FLAGSHIP_CHECK</vt:lpstr>
      <vt:lpstr>EFFICIENCY_REVIEW</vt:lpstr>
      <vt:lpstr>M01_COMPETITORS</vt:lpstr>
      <vt:lpstr>M02_CLINICAL</vt:lpstr>
      <vt:lpstr>M03_SCI_TECH</vt:lpstr>
      <vt:lpstr>M04_REGULATORY</vt:lpstr>
      <vt:lpstr>M05_FUNDING</vt:lpstr>
      <vt:lpstr>M06_BD_PARTNERS</vt:lpstr>
      <vt:lpstr>M07_DEALS</vt:lpstr>
      <vt:lpstr>M08_EVENTS</vt:lpstr>
      <vt:lpstr>M09_MEDICAL</vt:lpstr>
      <vt:lpstr>M10_IP_PATENT</vt:lpstr>
      <vt:lpstr>M11_CMC</vt:lpstr>
      <vt:lpstr>M12_POLICY_ACCESS</vt:lpstr>
      <vt:lpstr>ENTITY_MASTER</vt:lpstr>
      <vt:lpstr>SOURCE_REGISTRY</vt:lpstr>
      <vt:lpstr>MATCH_ANCHORS</vt:lpstr>
      <vt:lpstr>QUERY_TEMPLATES</vt:lpstr>
      <vt:lpstr>DZIF_COVERAGE</vt:lpstr>
      <vt:lpstr>REVIEW_QUEUE</vt:lpstr>
      <vt:lpstr>CHANGELOG</vt:lpstr>
      <vt:lpstr>TAXONOMY</vt:lpstr>
      <vt:lpstr>MASTER_CONFIG</vt:lpstr>
      <vt:lpstr>SELECTION_POLICY</vt:lpstr>
      <vt:lpstr>MATCH_RULES</vt:lpstr>
      <vt:lpstr>FIELD_DICTIONARY</vt:lpstr>
      <vt:lpstr>OUTPUT_SCHEMA</vt:lpstr>
      <vt:lpstr>PROVENANCE</vt:lpstr>
      <vt:lpstr>STRUCTURAL_TESTS</vt:lpstr>
      <vt:lpstr>PROJECT_RELEVANCE_TESTS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Ripke, Nico</cp:lastModifiedBy>
  <dcterms:created xsi:type="dcterms:W3CDTF">2026-10-29T19:58:07Z</dcterms:created>
  <dcterms:modified xsi:type="dcterms:W3CDTF">2026-10-30T09:30:08Z</dcterms:modified>
</cp:coreProperties>
</file>